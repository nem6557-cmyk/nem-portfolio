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1bccc8a5dd0a0f/Documents/"/>
    </mc:Choice>
  </mc:AlternateContent>
  <xr:revisionPtr revIDLastSave="0" documentId="8_{FE818FD6-7452-41A6-AC59-433E6AA2ACD8}" xr6:coauthVersionLast="47" xr6:coauthVersionMax="47" xr10:uidLastSave="{00000000-0000-0000-0000-000000000000}"/>
  <bookViews>
    <workbookView xWindow="-108" yWindow="-108" windowWidth="23256" windowHeight="12456" xr2:uid="{28608C56-7BDF-4E52-9F8B-14561AAB576C}"/>
  </bookViews>
  <sheets>
    <sheet name="Novac 7000 381 um 20C 1212026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292" i="1" l="1"/>
  <c r="R1292" i="1"/>
  <c r="Q1292" i="1"/>
  <c r="P1292" i="1"/>
  <c r="S1291" i="1"/>
  <c r="R1291" i="1"/>
  <c r="Q1291" i="1"/>
  <c r="P1291" i="1"/>
  <c r="S1290" i="1"/>
  <c r="R1290" i="1"/>
  <c r="Q1290" i="1"/>
  <c r="P1290" i="1"/>
  <c r="S1289" i="1"/>
  <c r="R1289" i="1"/>
  <c r="Q1289" i="1"/>
  <c r="P1289" i="1"/>
  <c r="S1288" i="1"/>
  <c r="R1288" i="1"/>
  <c r="Q1288" i="1"/>
  <c r="P1288" i="1"/>
  <c r="S1287" i="1"/>
  <c r="R1287" i="1"/>
  <c r="Q1287" i="1"/>
  <c r="P1287" i="1"/>
  <c r="S1286" i="1"/>
  <c r="R1286" i="1"/>
  <c r="Q1286" i="1"/>
  <c r="P1286" i="1"/>
  <c r="S1285" i="1"/>
  <c r="R1285" i="1"/>
  <c r="Q1285" i="1"/>
  <c r="P1285" i="1"/>
  <c r="S1284" i="1"/>
  <c r="R1284" i="1"/>
  <c r="Q1284" i="1"/>
  <c r="P1284" i="1"/>
  <c r="S1283" i="1"/>
  <c r="R1283" i="1"/>
  <c r="Q1283" i="1"/>
  <c r="P1283" i="1"/>
  <c r="S1282" i="1"/>
  <c r="R1282" i="1"/>
  <c r="Q1282" i="1"/>
  <c r="P1282" i="1"/>
  <c r="S1281" i="1"/>
  <c r="R1281" i="1"/>
  <c r="Q1281" i="1"/>
  <c r="P1281" i="1"/>
  <c r="S1280" i="1"/>
  <c r="R1280" i="1"/>
  <c r="Q1280" i="1"/>
  <c r="P1280" i="1"/>
  <c r="S1279" i="1"/>
  <c r="R1279" i="1"/>
  <c r="Q1279" i="1"/>
  <c r="P1279" i="1"/>
  <c r="S1278" i="1"/>
  <c r="R1278" i="1"/>
  <c r="Q1278" i="1"/>
  <c r="P1278" i="1"/>
  <c r="S1277" i="1"/>
  <c r="R1277" i="1"/>
  <c r="Q1277" i="1"/>
  <c r="P1277" i="1"/>
  <c r="S1276" i="1"/>
  <c r="R1276" i="1"/>
  <c r="Q1276" i="1"/>
  <c r="P1276" i="1"/>
  <c r="S1275" i="1"/>
  <c r="R1275" i="1"/>
  <c r="Q1275" i="1"/>
  <c r="P1275" i="1"/>
  <c r="S924" i="1"/>
  <c r="R924" i="1"/>
  <c r="Q924" i="1"/>
  <c r="P924" i="1"/>
  <c r="S923" i="1"/>
  <c r="R923" i="1"/>
  <c r="Q923" i="1"/>
  <c r="P923" i="1"/>
  <c r="S922" i="1"/>
  <c r="R922" i="1"/>
  <c r="Q922" i="1"/>
  <c r="P922" i="1"/>
  <c r="S921" i="1"/>
  <c r="R921" i="1"/>
  <c r="Q921" i="1"/>
  <c r="P921" i="1"/>
  <c r="S920" i="1"/>
  <c r="R920" i="1"/>
  <c r="Q920" i="1"/>
  <c r="P920" i="1"/>
  <c r="S919" i="1"/>
  <c r="R919" i="1"/>
  <c r="Q919" i="1"/>
  <c r="P919" i="1"/>
  <c r="S918" i="1"/>
  <c r="R918" i="1"/>
  <c r="Q918" i="1"/>
  <c r="P918" i="1"/>
  <c r="S917" i="1"/>
  <c r="R917" i="1"/>
  <c r="Q917" i="1"/>
  <c r="P917" i="1"/>
  <c r="S916" i="1"/>
  <c r="R916" i="1"/>
  <c r="Q916" i="1"/>
  <c r="P916" i="1"/>
  <c r="S915" i="1"/>
  <c r="R915" i="1"/>
  <c r="Q915" i="1"/>
  <c r="P915" i="1"/>
  <c r="S914" i="1"/>
  <c r="R914" i="1"/>
  <c r="Q914" i="1"/>
  <c r="P914" i="1"/>
  <c r="S913" i="1"/>
  <c r="R913" i="1"/>
  <c r="Q913" i="1"/>
  <c r="P913" i="1"/>
  <c r="S912" i="1"/>
  <c r="R912" i="1"/>
  <c r="Q912" i="1"/>
  <c r="P912" i="1"/>
  <c r="S911" i="1"/>
  <c r="R911" i="1"/>
  <c r="Q911" i="1"/>
  <c r="P911" i="1"/>
  <c r="S910" i="1"/>
  <c r="R910" i="1"/>
  <c r="Q910" i="1"/>
  <c r="P910" i="1"/>
  <c r="S909" i="1"/>
  <c r="R909" i="1"/>
  <c r="Q909" i="1"/>
  <c r="P909" i="1"/>
  <c r="S908" i="1"/>
  <c r="R908" i="1"/>
  <c r="Q908" i="1"/>
  <c r="P908" i="1"/>
  <c r="S907" i="1"/>
  <c r="R907" i="1"/>
  <c r="Q907" i="1"/>
  <c r="P907" i="1"/>
  <c r="S906" i="1"/>
  <c r="R906" i="1"/>
  <c r="Q906" i="1"/>
  <c r="P906" i="1"/>
  <c r="S905" i="1"/>
  <c r="R905" i="1"/>
  <c r="Q905" i="1"/>
  <c r="P905" i="1"/>
  <c r="S904" i="1"/>
  <c r="R904" i="1"/>
  <c r="Q904" i="1"/>
  <c r="P904" i="1"/>
  <c r="S903" i="1"/>
  <c r="R903" i="1"/>
  <c r="Q903" i="1"/>
  <c r="P903" i="1"/>
  <c r="S902" i="1"/>
  <c r="R902" i="1"/>
  <c r="Q902" i="1"/>
  <c r="P902" i="1"/>
  <c r="S901" i="1"/>
  <c r="R901" i="1"/>
  <c r="Q901" i="1"/>
  <c r="P901" i="1"/>
  <c r="S900" i="1"/>
  <c r="R900" i="1"/>
  <c r="Q900" i="1"/>
  <c r="P900" i="1"/>
  <c r="S899" i="1"/>
  <c r="R899" i="1"/>
  <c r="Q899" i="1"/>
  <c r="P899" i="1"/>
  <c r="S898" i="1"/>
  <c r="R898" i="1"/>
  <c r="Q898" i="1"/>
  <c r="P898" i="1"/>
  <c r="S897" i="1"/>
  <c r="R897" i="1"/>
  <c r="Q897" i="1"/>
  <c r="P897" i="1"/>
  <c r="S896" i="1"/>
  <c r="R896" i="1"/>
  <c r="Q896" i="1"/>
  <c r="P896" i="1"/>
  <c r="S895" i="1"/>
  <c r="R895" i="1"/>
  <c r="Q895" i="1"/>
  <c r="P895" i="1"/>
  <c r="S894" i="1"/>
  <c r="R894" i="1"/>
  <c r="Q894" i="1"/>
  <c r="P894" i="1"/>
  <c r="S893" i="1"/>
  <c r="R893" i="1"/>
  <c r="Q893" i="1"/>
  <c r="P893" i="1"/>
  <c r="S892" i="1"/>
  <c r="R892" i="1"/>
  <c r="Q892" i="1"/>
  <c r="P892" i="1"/>
  <c r="S891" i="1"/>
  <c r="R891" i="1"/>
  <c r="Q891" i="1"/>
  <c r="P891" i="1"/>
  <c r="S890" i="1"/>
  <c r="R890" i="1"/>
  <c r="Q890" i="1"/>
  <c r="P890" i="1"/>
  <c r="S889" i="1"/>
  <c r="R889" i="1"/>
  <c r="Q889" i="1"/>
  <c r="P889" i="1"/>
  <c r="S888" i="1"/>
  <c r="R888" i="1"/>
  <c r="Q888" i="1"/>
  <c r="P888" i="1"/>
  <c r="S887" i="1"/>
  <c r="R887" i="1"/>
  <c r="Q887" i="1"/>
  <c r="P887" i="1"/>
  <c r="S886" i="1"/>
  <c r="R886" i="1"/>
  <c r="Q886" i="1"/>
  <c r="P886" i="1"/>
  <c r="S885" i="1"/>
  <c r="R885" i="1"/>
  <c r="Q885" i="1"/>
  <c r="P885" i="1"/>
  <c r="S884" i="1"/>
  <c r="R884" i="1"/>
  <c r="Q884" i="1"/>
  <c r="P884" i="1"/>
  <c r="S883" i="1"/>
  <c r="R883" i="1"/>
  <c r="Q883" i="1"/>
  <c r="P883" i="1"/>
  <c r="S882" i="1"/>
  <c r="R882" i="1"/>
  <c r="Q882" i="1"/>
  <c r="P882" i="1"/>
  <c r="S881" i="1"/>
  <c r="R881" i="1"/>
  <c r="Q881" i="1"/>
  <c r="P881" i="1"/>
  <c r="S880" i="1"/>
  <c r="R880" i="1"/>
  <c r="Q880" i="1"/>
  <c r="P880" i="1"/>
  <c r="S879" i="1"/>
  <c r="R879" i="1"/>
  <c r="Q879" i="1"/>
  <c r="P879" i="1"/>
  <c r="S878" i="1"/>
  <c r="R878" i="1"/>
  <c r="Q878" i="1"/>
  <c r="P878" i="1"/>
  <c r="S877" i="1"/>
  <c r="R877" i="1"/>
  <c r="Q877" i="1"/>
  <c r="P877" i="1"/>
  <c r="S876" i="1"/>
  <c r="R876" i="1"/>
  <c r="Q876" i="1"/>
  <c r="P876" i="1"/>
  <c r="S875" i="1"/>
  <c r="R875" i="1"/>
  <c r="Q875" i="1"/>
  <c r="P875" i="1"/>
  <c r="S874" i="1"/>
  <c r="R874" i="1"/>
  <c r="Q874" i="1"/>
  <c r="P874" i="1"/>
  <c r="L874" i="1"/>
  <c r="K874" i="1"/>
  <c r="J874" i="1"/>
  <c r="S873" i="1"/>
  <c r="R873" i="1"/>
  <c r="Q873" i="1"/>
  <c r="P873" i="1"/>
  <c r="L873" i="1"/>
  <c r="K873" i="1"/>
  <c r="J873" i="1"/>
  <c r="S872" i="1"/>
  <c r="R872" i="1"/>
  <c r="Q872" i="1"/>
  <c r="P872" i="1"/>
  <c r="L872" i="1"/>
  <c r="K872" i="1"/>
  <c r="J872" i="1"/>
  <c r="S871" i="1"/>
  <c r="R871" i="1"/>
  <c r="Q871" i="1"/>
  <c r="P871" i="1"/>
  <c r="L871" i="1"/>
  <c r="K871" i="1"/>
  <c r="J871" i="1"/>
  <c r="S870" i="1"/>
  <c r="R870" i="1"/>
  <c r="Q870" i="1"/>
  <c r="P870" i="1"/>
  <c r="L870" i="1"/>
  <c r="K870" i="1"/>
  <c r="J870" i="1"/>
  <c r="S869" i="1"/>
  <c r="R869" i="1"/>
  <c r="Q869" i="1"/>
  <c r="P869" i="1"/>
  <c r="L869" i="1"/>
  <c r="K869" i="1"/>
  <c r="J869" i="1"/>
  <c r="S868" i="1"/>
  <c r="R868" i="1"/>
  <c r="Q868" i="1"/>
  <c r="P868" i="1"/>
  <c r="L868" i="1"/>
  <c r="K868" i="1"/>
  <c r="J868" i="1"/>
  <c r="S867" i="1"/>
  <c r="R867" i="1"/>
  <c r="Q867" i="1"/>
  <c r="P867" i="1"/>
  <c r="L867" i="1"/>
  <c r="K867" i="1"/>
  <c r="J867" i="1"/>
  <c r="S866" i="1"/>
  <c r="R866" i="1"/>
  <c r="Q866" i="1"/>
  <c r="P866" i="1"/>
  <c r="L866" i="1"/>
  <c r="K866" i="1"/>
  <c r="J866" i="1"/>
  <c r="S865" i="1"/>
  <c r="R865" i="1"/>
  <c r="Q865" i="1"/>
  <c r="P865" i="1"/>
  <c r="L865" i="1"/>
  <c r="K865" i="1"/>
  <c r="J865" i="1"/>
  <c r="S864" i="1"/>
  <c r="R864" i="1"/>
  <c r="Q864" i="1"/>
  <c r="P864" i="1"/>
  <c r="L864" i="1"/>
  <c r="K864" i="1"/>
  <c r="J864" i="1"/>
  <c r="S863" i="1"/>
  <c r="R863" i="1"/>
  <c r="Q863" i="1"/>
  <c r="P863" i="1"/>
  <c r="L863" i="1"/>
  <c r="K863" i="1"/>
  <c r="J863" i="1"/>
  <c r="S862" i="1"/>
  <c r="R862" i="1"/>
  <c r="Q862" i="1"/>
  <c r="P862" i="1"/>
  <c r="L862" i="1"/>
  <c r="K862" i="1"/>
  <c r="J862" i="1"/>
  <c r="S861" i="1"/>
  <c r="R861" i="1"/>
  <c r="Q861" i="1"/>
  <c r="P861" i="1"/>
  <c r="L861" i="1"/>
  <c r="K861" i="1"/>
  <c r="J861" i="1"/>
  <c r="S860" i="1"/>
  <c r="R860" i="1"/>
  <c r="Q860" i="1"/>
  <c r="P860" i="1"/>
  <c r="L860" i="1"/>
  <c r="K860" i="1"/>
  <c r="J860" i="1"/>
  <c r="S859" i="1"/>
  <c r="R859" i="1"/>
  <c r="Q859" i="1"/>
  <c r="P859" i="1"/>
  <c r="L859" i="1"/>
  <c r="K859" i="1"/>
  <c r="J859" i="1"/>
  <c r="S858" i="1"/>
  <c r="R858" i="1"/>
  <c r="Q858" i="1"/>
  <c r="P858" i="1"/>
  <c r="L858" i="1"/>
  <c r="K858" i="1"/>
  <c r="J858" i="1"/>
  <c r="S857" i="1"/>
  <c r="R857" i="1"/>
  <c r="Q857" i="1"/>
  <c r="P857" i="1"/>
  <c r="L857" i="1"/>
  <c r="K857" i="1"/>
  <c r="J857" i="1"/>
  <c r="S856" i="1"/>
  <c r="R856" i="1"/>
  <c r="Q856" i="1"/>
  <c r="P856" i="1"/>
  <c r="L856" i="1"/>
  <c r="K856" i="1"/>
  <c r="J856" i="1"/>
  <c r="S855" i="1"/>
  <c r="R855" i="1"/>
  <c r="Q855" i="1"/>
  <c r="P855" i="1"/>
  <c r="L855" i="1"/>
  <c r="K855" i="1"/>
  <c r="J855" i="1"/>
  <c r="S854" i="1"/>
  <c r="R854" i="1"/>
  <c r="Q854" i="1"/>
  <c r="P854" i="1"/>
  <c r="L854" i="1"/>
  <c r="K854" i="1"/>
  <c r="J854" i="1"/>
  <c r="S853" i="1"/>
  <c r="R853" i="1"/>
  <c r="Q853" i="1"/>
  <c r="P853" i="1"/>
  <c r="L853" i="1"/>
  <c r="K853" i="1"/>
  <c r="J853" i="1"/>
  <c r="S852" i="1"/>
  <c r="R852" i="1"/>
  <c r="Q852" i="1"/>
  <c r="P852" i="1"/>
  <c r="L852" i="1"/>
  <c r="K852" i="1"/>
  <c r="J852" i="1"/>
  <c r="S851" i="1"/>
  <c r="R851" i="1"/>
  <c r="Q851" i="1"/>
  <c r="P851" i="1"/>
  <c r="L851" i="1"/>
  <c r="K851" i="1"/>
  <c r="J851" i="1"/>
  <c r="S850" i="1"/>
  <c r="R850" i="1"/>
  <c r="Q850" i="1"/>
  <c r="P850" i="1"/>
  <c r="L850" i="1"/>
  <c r="K850" i="1"/>
  <c r="J850" i="1"/>
  <c r="S849" i="1"/>
  <c r="R849" i="1"/>
  <c r="Q849" i="1"/>
  <c r="P849" i="1"/>
  <c r="L849" i="1"/>
  <c r="K849" i="1"/>
  <c r="J849" i="1"/>
  <c r="S848" i="1"/>
  <c r="R848" i="1"/>
  <c r="Q848" i="1"/>
  <c r="P848" i="1"/>
  <c r="L848" i="1"/>
  <c r="K848" i="1"/>
  <c r="J848" i="1"/>
  <c r="S847" i="1"/>
  <c r="R847" i="1"/>
  <c r="Q847" i="1"/>
  <c r="P847" i="1"/>
  <c r="L847" i="1"/>
  <c r="K847" i="1"/>
  <c r="J847" i="1"/>
  <c r="S846" i="1"/>
  <c r="R846" i="1"/>
  <c r="Q846" i="1"/>
  <c r="P846" i="1"/>
  <c r="L846" i="1"/>
  <c r="K846" i="1"/>
  <c r="J846" i="1"/>
  <c r="S845" i="1"/>
  <c r="R845" i="1"/>
  <c r="Q845" i="1"/>
  <c r="P845" i="1"/>
  <c r="L845" i="1"/>
  <c r="K845" i="1"/>
  <c r="J845" i="1"/>
  <c r="S844" i="1"/>
  <c r="R844" i="1"/>
  <c r="Q844" i="1"/>
  <c r="P844" i="1"/>
  <c r="L844" i="1"/>
  <c r="K844" i="1"/>
  <c r="J844" i="1"/>
  <c r="S843" i="1"/>
  <c r="R843" i="1"/>
  <c r="Q843" i="1"/>
  <c r="P843" i="1"/>
  <c r="L843" i="1"/>
  <c r="K843" i="1"/>
  <c r="J843" i="1"/>
  <c r="S842" i="1"/>
  <c r="R842" i="1"/>
  <c r="Q842" i="1"/>
  <c r="P842" i="1"/>
  <c r="L842" i="1"/>
  <c r="K842" i="1"/>
  <c r="J842" i="1"/>
  <c r="S841" i="1"/>
  <c r="R841" i="1"/>
  <c r="Q841" i="1"/>
  <c r="P841" i="1"/>
  <c r="L841" i="1"/>
  <c r="K841" i="1"/>
  <c r="J841" i="1"/>
  <c r="S840" i="1"/>
  <c r="R840" i="1"/>
  <c r="Q840" i="1"/>
  <c r="P840" i="1"/>
  <c r="L840" i="1"/>
  <c r="K840" i="1"/>
  <c r="J840" i="1"/>
  <c r="S839" i="1"/>
  <c r="R839" i="1"/>
  <c r="Q839" i="1"/>
  <c r="P839" i="1"/>
  <c r="L839" i="1"/>
  <c r="K839" i="1"/>
  <c r="J839" i="1"/>
  <c r="S838" i="1"/>
  <c r="R838" i="1"/>
  <c r="Q838" i="1"/>
  <c r="P838" i="1"/>
  <c r="L838" i="1"/>
  <c r="K838" i="1"/>
  <c r="J838" i="1"/>
  <c r="S837" i="1"/>
  <c r="R837" i="1"/>
  <c r="Q837" i="1"/>
  <c r="P837" i="1"/>
  <c r="L837" i="1"/>
  <c r="K837" i="1"/>
  <c r="J837" i="1"/>
  <c r="S836" i="1"/>
  <c r="R836" i="1"/>
  <c r="Q836" i="1"/>
  <c r="P836" i="1"/>
  <c r="L836" i="1"/>
  <c r="K836" i="1"/>
  <c r="J836" i="1"/>
  <c r="S835" i="1"/>
  <c r="R835" i="1"/>
  <c r="Q835" i="1"/>
  <c r="P835" i="1"/>
  <c r="L835" i="1"/>
  <c r="K835" i="1"/>
  <c r="J835" i="1"/>
  <c r="S834" i="1"/>
  <c r="R834" i="1"/>
  <c r="Q834" i="1"/>
  <c r="P834" i="1"/>
  <c r="L834" i="1"/>
  <c r="K834" i="1"/>
  <c r="J834" i="1"/>
  <c r="S833" i="1"/>
  <c r="R833" i="1"/>
  <c r="Q833" i="1"/>
  <c r="P833" i="1"/>
  <c r="L833" i="1"/>
  <c r="K833" i="1"/>
  <c r="J833" i="1"/>
  <c r="S832" i="1"/>
  <c r="R832" i="1"/>
  <c r="Q832" i="1"/>
  <c r="P832" i="1"/>
  <c r="L832" i="1"/>
  <c r="K832" i="1"/>
  <c r="J832" i="1"/>
  <c r="S831" i="1"/>
  <c r="R831" i="1"/>
  <c r="Q831" i="1"/>
  <c r="P831" i="1"/>
  <c r="L831" i="1"/>
  <c r="K831" i="1"/>
  <c r="J831" i="1"/>
  <c r="S830" i="1"/>
  <c r="R830" i="1"/>
  <c r="Q830" i="1"/>
  <c r="P830" i="1"/>
  <c r="L830" i="1"/>
  <c r="K830" i="1"/>
  <c r="J830" i="1"/>
  <c r="S829" i="1"/>
  <c r="R829" i="1"/>
  <c r="Q829" i="1"/>
  <c r="P829" i="1"/>
  <c r="L829" i="1"/>
  <c r="K829" i="1"/>
  <c r="J829" i="1"/>
  <c r="S828" i="1"/>
  <c r="R828" i="1"/>
  <c r="Q828" i="1"/>
  <c r="P828" i="1"/>
  <c r="L828" i="1"/>
  <c r="K828" i="1"/>
  <c r="J828" i="1"/>
  <c r="S827" i="1"/>
  <c r="R827" i="1"/>
  <c r="Q827" i="1"/>
  <c r="P827" i="1"/>
  <c r="L827" i="1"/>
  <c r="K827" i="1"/>
  <c r="J827" i="1"/>
  <c r="S826" i="1"/>
  <c r="R826" i="1"/>
  <c r="Q826" i="1"/>
  <c r="P826" i="1"/>
  <c r="L826" i="1"/>
  <c r="K826" i="1"/>
  <c r="J826" i="1"/>
  <c r="S825" i="1"/>
  <c r="R825" i="1"/>
  <c r="Q825" i="1"/>
  <c r="P825" i="1"/>
  <c r="L825" i="1"/>
  <c r="K825" i="1"/>
  <c r="J825" i="1"/>
  <c r="S824" i="1"/>
  <c r="R824" i="1"/>
  <c r="Q824" i="1"/>
  <c r="P824" i="1"/>
  <c r="L824" i="1"/>
  <c r="K824" i="1"/>
  <c r="J824" i="1"/>
  <c r="S823" i="1"/>
  <c r="R823" i="1"/>
  <c r="Q823" i="1"/>
  <c r="P823" i="1"/>
  <c r="L823" i="1"/>
  <c r="K823" i="1"/>
  <c r="J823" i="1"/>
  <c r="S822" i="1"/>
  <c r="R822" i="1"/>
  <c r="Q822" i="1"/>
  <c r="P822" i="1"/>
  <c r="L822" i="1"/>
  <c r="K822" i="1"/>
  <c r="J822" i="1"/>
  <c r="S821" i="1"/>
  <c r="R821" i="1"/>
  <c r="Q821" i="1"/>
  <c r="P821" i="1"/>
  <c r="L821" i="1"/>
  <c r="K821" i="1"/>
  <c r="J821" i="1"/>
  <c r="S820" i="1"/>
  <c r="R820" i="1"/>
  <c r="Q820" i="1"/>
  <c r="P820" i="1"/>
  <c r="L820" i="1"/>
  <c r="K820" i="1"/>
  <c r="J820" i="1"/>
  <c r="S819" i="1"/>
  <c r="R819" i="1"/>
  <c r="Q819" i="1"/>
  <c r="P819" i="1"/>
  <c r="L819" i="1"/>
  <c r="K819" i="1"/>
  <c r="J819" i="1"/>
  <c r="S818" i="1"/>
  <c r="R818" i="1"/>
  <c r="Q818" i="1"/>
  <c r="P818" i="1"/>
  <c r="L818" i="1"/>
  <c r="K818" i="1"/>
  <c r="J818" i="1"/>
  <c r="S817" i="1"/>
  <c r="R817" i="1"/>
  <c r="Q817" i="1"/>
  <c r="P817" i="1"/>
  <c r="L817" i="1"/>
  <c r="K817" i="1"/>
  <c r="J817" i="1"/>
  <c r="S816" i="1"/>
  <c r="R816" i="1"/>
  <c r="Q816" i="1"/>
  <c r="P816" i="1"/>
  <c r="L816" i="1"/>
  <c r="K816" i="1"/>
  <c r="J816" i="1"/>
  <c r="S815" i="1"/>
  <c r="R815" i="1"/>
  <c r="Q815" i="1"/>
  <c r="P815" i="1"/>
  <c r="L815" i="1"/>
  <c r="K815" i="1"/>
  <c r="J815" i="1"/>
  <c r="S814" i="1"/>
  <c r="R814" i="1"/>
  <c r="Q814" i="1"/>
  <c r="P814" i="1"/>
  <c r="L814" i="1"/>
  <c r="K814" i="1"/>
  <c r="J814" i="1"/>
  <c r="S813" i="1"/>
  <c r="R813" i="1"/>
  <c r="Q813" i="1"/>
  <c r="P813" i="1"/>
  <c r="L813" i="1"/>
  <c r="K813" i="1"/>
  <c r="J813" i="1"/>
  <c r="S812" i="1"/>
  <c r="R812" i="1"/>
  <c r="Q812" i="1"/>
  <c r="P812" i="1"/>
  <c r="L812" i="1"/>
  <c r="K812" i="1"/>
  <c r="J812" i="1"/>
  <c r="S811" i="1"/>
  <c r="R811" i="1"/>
  <c r="Q811" i="1"/>
  <c r="P811" i="1"/>
  <c r="L811" i="1"/>
  <c r="K811" i="1"/>
  <c r="J811" i="1"/>
  <c r="S810" i="1"/>
  <c r="R810" i="1"/>
  <c r="Q810" i="1"/>
  <c r="P810" i="1"/>
  <c r="L810" i="1"/>
  <c r="K810" i="1"/>
  <c r="J810" i="1"/>
  <c r="S809" i="1"/>
  <c r="R809" i="1"/>
  <c r="Q809" i="1"/>
  <c r="P809" i="1"/>
  <c r="L809" i="1"/>
  <c r="K809" i="1"/>
  <c r="J809" i="1"/>
  <c r="S808" i="1"/>
  <c r="R808" i="1"/>
  <c r="Q808" i="1"/>
  <c r="P808" i="1"/>
  <c r="L808" i="1"/>
  <c r="K808" i="1"/>
  <c r="J808" i="1"/>
  <c r="S807" i="1"/>
  <c r="R807" i="1"/>
  <c r="Q807" i="1"/>
  <c r="P807" i="1"/>
  <c r="L807" i="1"/>
  <c r="K807" i="1"/>
  <c r="J807" i="1"/>
  <c r="S806" i="1"/>
  <c r="R806" i="1"/>
  <c r="Q806" i="1"/>
  <c r="P806" i="1"/>
  <c r="L806" i="1"/>
  <c r="K806" i="1"/>
  <c r="J806" i="1"/>
  <c r="S805" i="1"/>
  <c r="R805" i="1"/>
  <c r="Q805" i="1"/>
  <c r="P805" i="1"/>
  <c r="L805" i="1"/>
  <c r="K805" i="1"/>
  <c r="J805" i="1"/>
  <c r="S804" i="1"/>
  <c r="R804" i="1"/>
  <c r="Q804" i="1"/>
  <c r="P804" i="1"/>
  <c r="L804" i="1"/>
  <c r="K804" i="1"/>
  <c r="J804" i="1"/>
  <c r="S803" i="1"/>
  <c r="R803" i="1"/>
  <c r="Q803" i="1"/>
  <c r="P803" i="1"/>
  <c r="L803" i="1"/>
  <c r="K803" i="1"/>
  <c r="J803" i="1"/>
  <c r="S802" i="1"/>
  <c r="R802" i="1"/>
  <c r="Q802" i="1"/>
  <c r="P802" i="1"/>
  <c r="L802" i="1"/>
  <c r="K802" i="1"/>
  <c r="J802" i="1"/>
  <c r="S801" i="1"/>
  <c r="R801" i="1"/>
  <c r="Q801" i="1"/>
  <c r="P801" i="1"/>
  <c r="L801" i="1"/>
  <c r="K801" i="1"/>
  <c r="J801" i="1"/>
  <c r="S800" i="1"/>
  <c r="R800" i="1"/>
  <c r="Q800" i="1"/>
  <c r="P800" i="1"/>
  <c r="L800" i="1"/>
  <c r="K800" i="1"/>
  <c r="J800" i="1"/>
  <c r="S799" i="1"/>
  <c r="R799" i="1"/>
  <c r="Q799" i="1"/>
  <c r="P799" i="1"/>
  <c r="L799" i="1"/>
  <c r="K799" i="1"/>
  <c r="J799" i="1"/>
  <c r="S798" i="1"/>
  <c r="R798" i="1"/>
  <c r="Q798" i="1"/>
  <c r="P798" i="1"/>
  <c r="L798" i="1"/>
  <c r="K798" i="1"/>
  <c r="J798" i="1"/>
  <c r="S797" i="1"/>
  <c r="R797" i="1"/>
  <c r="Q797" i="1"/>
  <c r="P797" i="1"/>
  <c r="L797" i="1"/>
  <c r="K797" i="1"/>
  <c r="J797" i="1"/>
  <c r="S796" i="1"/>
  <c r="R796" i="1"/>
  <c r="Q796" i="1"/>
  <c r="P796" i="1"/>
  <c r="L796" i="1"/>
  <c r="K796" i="1"/>
  <c r="J796" i="1"/>
  <c r="S795" i="1"/>
  <c r="R795" i="1"/>
  <c r="Q795" i="1"/>
  <c r="P795" i="1"/>
  <c r="L795" i="1"/>
  <c r="K795" i="1"/>
  <c r="J795" i="1"/>
  <c r="S794" i="1"/>
  <c r="R794" i="1"/>
  <c r="Q794" i="1"/>
  <c r="P794" i="1"/>
  <c r="L794" i="1"/>
  <c r="K794" i="1"/>
  <c r="J794" i="1"/>
  <c r="S793" i="1"/>
  <c r="R793" i="1"/>
  <c r="Q793" i="1"/>
  <c r="P793" i="1"/>
  <c r="L793" i="1"/>
  <c r="K793" i="1"/>
  <c r="J793" i="1"/>
  <c r="S792" i="1"/>
  <c r="R792" i="1"/>
  <c r="Q792" i="1"/>
  <c r="P792" i="1"/>
  <c r="L792" i="1"/>
  <c r="K792" i="1"/>
  <c r="J792" i="1"/>
  <c r="S791" i="1"/>
  <c r="R791" i="1"/>
  <c r="Q791" i="1"/>
  <c r="P791" i="1"/>
  <c r="L791" i="1"/>
  <c r="K791" i="1"/>
  <c r="J791" i="1"/>
  <c r="S790" i="1"/>
  <c r="R790" i="1"/>
  <c r="Q790" i="1"/>
  <c r="P790" i="1"/>
  <c r="L790" i="1"/>
  <c r="K790" i="1"/>
  <c r="J790" i="1"/>
  <c r="S789" i="1"/>
  <c r="R789" i="1"/>
  <c r="Q789" i="1"/>
  <c r="P789" i="1"/>
  <c r="L789" i="1"/>
  <c r="K789" i="1"/>
  <c r="J789" i="1"/>
  <c r="S788" i="1"/>
  <c r="R788" i="1"/>
  <c r="Q788" i="1"/>
  <c r="P788" i="1"/>
  <c r="L788" i="1"/>
  <c r="K788" i="1"/>
  <c r="J788" i="1"/>
  <c r="S787" i="1"/>
  <c r="R787" i="1"/>
  <c r="Q787" i="1"/>
  <c r="P787" i="1"/>
  <c r="L787" i="1"/>
  <c r="K787" i="1"/>
  <c r="J787" i="1"/>
  <c r="S786" i="1"/>
  <c r="R786" i="1"/>
  <c r="Q786" i="1"/>
  <c r="P786" i="1"/>
  <c r="L786" i="1"/>
  <c r="K786" i="1"/>
  <c r="J786" i="1"/>
  <c r="S785" i="1"/>
  <c r="R785" i="1"/>
  <c r="Q785" i="1"/>
  <c r="P785" i="1"/>
  <c r="L785" i="1"/>
  <c r="K785" i="1"/>
  <c r="J785" i="1"/>
  <c r="S784" i="1"/>
  <c r="R784" i="1"/>
  <c r="Q784" i="1"/>
  <c r="P784" i="1"/>
  <c r="L784" i="1"/>
  <c r="K784" i="1"/>
  <c r="J784" i="1"/>
  <c r="S783" i="1"/>
  <c r="R783" i="1"/>
  <c r="Q783" i="1"/>
  <c r="P783" i="1"/>
  <c r="L783" i="1"/>
  <c r="K783" i="1"/>
  <c r="J783" i="1"/>
  <c r="S782" i="1"/>
  <c r="R782" i="1"/>
  <c r="Q782" i="1"/>
  <c r="P782" i="1"/>
  <c r="L782" i="1"/>
  <c r="K782" i="1"/>
  <c r="J782" i="1"/>
  <c r="S781" i="1"/>
  <c r="R781" i="1"/>
  <c r="Q781" i="1"/>
  <c r="P781" i="1"/>
  <c r="L781" i="1"/>
  <c r="K781" i="1"/>
  <c r="J781" i="1"/>
  <c r="S780" i="1"/>
  <c r="R780" i="1"/>
  <c r="Q780" i="1"/>
  <c r="P780" i="1"/>
  <c r="L780" i="1"/>
  <c r="K780" i="1"/>
  <c r="J780" i="1"/>
  <c r="S779" i="1"/>
  <c r="R779" i="1"/>
  <c r="Q779" i="1"/>
  <c r="P779" i="1"/>
  <c r="L779" i="1"/>
  <c r="K779" i="1"/>
  <c r="J779" i="1"/>
  <c r="S778" i="1"/>
  <c r="R778" i="1"/>
  <c r="Q778" i="1"/>
  <c r="P778" i="1"/>
  <c r="L778" i="1"/>
  <c r="K778" i="1"/>
  <c r="J778" i="1"/>
  <c r="S777" i="1"/>
  <c r="R777" i="1"/>
  <c r="Q777" i="1"/>
  <c r="P777" i="1"/>
  <c r="L777" i="1"/>
  <c r="K777" i="1"/>
  <c r="J777" i="1"/>
  <c r="S776" i="1"/>
  <c r="R776" i="1"/>
  <c r="Q776" i="1"/>
  <c r="P776" i="1"/>
  <c r="L776" i="1"/>
  <c r="K776" i="1"/>
  <c r="J776" i="1"/>
  <c r="S775" i="1"/>
  <c r="R775" i="1"/>
  <c r="Q775" i="1"/>
  <c r="P775" i="1"/>
  <c r="L775" i="1"/>
  <c r="K775" i="1"/>
  <c r="J775" i="1"/>
  <c r="S774" i="1"/>
  <c r="R774" i="1"/>
  <c r="Q774" i="1"/>
  <c r="P774" i="1"/>
  <c r="L774" i="1"/>
  <c r="K774" i="1"/>
  <c r="J774" i="1"/>
  <c r="S773" i="1"/>
  <c r="R773" i="1"/>
  <c r="Q773" i="1"/>
  <c r="P773" i="1"/>
  <c r="L773" i="1"/>
  <c r="K773" i="1"/>
  <c r="J773" i="1"/>
  <c r="S772" i="1"/>
  <c r="R772" i="1"/>
  <c r="Q772" i="1"/>
  <c r="P772" i="1"/>
  <c r="L772" i="1"/>
  <c r="K772" i="1"/>
  <c r="J772" i="1"/>
  <c r="S771" i="1"/>
  <c r="R771" i="1"/>
  <c r="Q771" i="1"/>
  <c r="P771" i="1"/>
  <c r="L771" i="1"/>
  <c r="K771" i="1"/>
  <c r="J771" i="1"/>
  <c r="S770" i="1"/>
  <c r="R770" i="1"/>
  <c r="Q770" i="1"/>
  <c r="P770" i="1"/>
  <c r="L770" i="1"/>
  <c r="K770" i="1"/>
  <c r="J770" i="1"/>
  <c r="S769" i="1"/>
  <c r="R769" i="1"/>
  <c r="Q769" i="1"/>
  <c r="P769" i="1"/>
  <c r="L769" i="1"/>
  <c r="K769" i="1"/>
  <c r="J769" i="1"/>
  <c r="S768" i="1"/>
  <c r="R768" i="1"/>
  <c r="Q768" i="1"/>
  <c r="P768" i="1"/>
  <c r="L768" i="1"/>
  <c r="K768" i="1"/>
  <c r="J768" i="1"/>
  <c r="S767" i="1"/>
  <c r="R767" i="1"/>
  <c r="Q767" i="1"/>
  <c r="P767" i="1"/>
  <c r="L767" i="1"/>
  <c r="K767" i="1"/>
  <c r="J767" i="1"/>
  <c r="S766" i="1"/>
  <c r="R766" i="1"/>
  <c r="Q766" i="1"/>
  <c r="P766" i="1"/>
  <c r="L766" i="1"/>
  <c r="K766" i="1"/>
  <c r="J766" i="1"/>
  <c r="S765" i="1"/>
  <c r="R765" i="1"/>
  <c r="Q765" i="1"/>
  <c r="P765" i="1"/>
  <c r="L765" i="1"/>
  <c r="K765" i="1"/>
  <c r="J765" i="1"/>
  <c r="S764" i="1"/>
  <c r="R764" i="1"/>
  <c r="Q764" i="1"/>
  <c r="P764" i="1"/>
  <c r="L764" i="1"/>
  <c r="K764" i="1"/>
  <c r="J764" i="1"/>
  <c r="S763" i="1"/>
  <c r="R763" i="1"/>
  <c r="Q763" i="1"/>
  <c r="P763" i="1"/>
  <c r="L763" i="1"/>
  <c r="K763" i="1"/>
  <c r="J763" i="1"/>
  <c r="S762" i="1"/>
  <c r="R762" i="1"/>
  <c r="Q762" i="1"/>
  <c r="P762" i="1"/>
  <c r="L762" i="1"/>
  <c r="K762" i="1"/>
  <c r="J762" i="1"/>
  <c r="S761" i="1"/>
  <c r="R761" i="1"/>
  <c r="Q761" i="1"/>
  <c r="P761" i="1"/>
  <c r="L761" i="1"/>
  <c r="K761" i="1"/>
  <c r="J761" i="1"/>
  <c r="S760" i="1"/>
  <c r="R760" i="1"/>
  <c r="Q760" i="1"/>
  <c r="P760" i="1"/>
  <c r="L760" i="1"/>
  <c r="K760" i="1"/>
  <c r="J760" i="1"/>
  <c r="S759" i="1"/>
  <c r="R759" i="1"/>
  <c r="Q759" i="1"/>
  <c r="P759" i="1"/>
  <c r="L759" i="1"/>
  <c r="K759" i="1"/>
  <c r="J759" i="1"/>
  <c r="S758" i="1"/>
  <c r="R758" i="1"/>
  <c r="Q758" i="1"/>
  <c r="P758" i="1"/>
  <c r="L758" i="1"/>
  <c r="K758" i="1"/>
  <c r="J758" i="1"/>
  <c r="S757" i="1"/>
  <c r="R757" i="1"/>
  <c r="Q757" i="1"/>
  <c r="P757" i="1"/>
  <c r="L757" i="1"/>
  <c r="K757" i="1"/>
  <c r="J757" i="1"/>
  <c r="S756" i="1"/>
  <c r="R756" i="1"/>
  <c r="Q756" i="1"/>
  <c r="P756" i="1"/>
  <c r="L756" i="1"/>
  <c r="K756" i="1"/>
  <c r="J756" i="1"/>
  <c r="S755" i="1"/>
  <c r="R755" i="1"/>
  <c r="Q755" i="1"/>
  <c r="P755" i="1"/>
  <c r="L755" i="1"/>
  <c r="K755" i="1"/>
  <c r="J755" i="1"/>
  <c r="S754" i="1"/>
  <c r="R754" i="1"/>
  <c r="Q754" i="1"/>
  <c r="P754" i="1"/>
  <c r="L754" i="1"/>
  <c r="K754" i="1"/>
  <c r="J754" i="1"/>
  <c r="S753" i="1"/>
  <c r="R753" i="1"/>
  <c r="Q753" i="1"/>
  <c r="P753" i="1"/>
  <c r="L753" i="1"/>
  <c r="K753" i="1"/>
  <c r="J753" i="1"/>
  <c r="S752" i="1"/>
  <c r="R752" i="1"/>
  <c r="Q752" i="1"/>
  <c r="P752" i="1"/>
  <c r="L752" i="1"/>
  <c r="K752" i="1"/>
  <c r="J752" i="1"/>
  <c r="S751" i="1"/>
  <c r="R751" i="1"/>
  <c r="Q751" i="1"/>
  <c r="P751" i="1"/>
  <c r="L751" i="1"/>
  <c r="K751" i="1"/>
  <c r="J751" i="1"/>
  <c r="S750" i="1"/>
  <c r="R750" i="1"/>
  <c r="Q750" i="1"/>
  <c r="P750" i="1"/>
  <c r="L750" i="1"/>
  <c r="K750" i="1"/>
  <c r="J750" i="1"/>
  <c r="S749" i="1"/>
  <c r="R749" i="1"/>
  <c r="Q749" i="1"/>
  <c r="P749" i="1"/>
  <c r="L749" i="1"/>
  <c r="K749" i="1"/>
  <c r="J749" i="1"/>
  <c r="S748" i="1"/>
  <c r="R748" i="1"/>
  <c r="Q748" i="1"/>
  <c r="P748" i="1"/>
  <c r="L748" i="1"/>
  <c r="K748" i="1"/>
  <c r="J748" i="1"/>
  <c r="S747" i="1"/>
  <c r="R747" i="1"/>
  <c r="Q747" i="1"/>
  <c r="P747" i="1"/>
  <c r="L747" i="1"/>
  <c r="K747" i="1"/>
  <c r="J747" i="1"/>
  <c r="S746" i="1"/>
  <c r="R746" i="1"/>
  <c r="Q746" i="1"/>
  <c r="P746" i="1"/>
  <c r="L746" i="1"/>
  <c r="K746" i="1"/>
  <c r="J746" i="1"/>
  <c r="S745" i="1"/>
  <c r="R745" i="1"/>
  <c r="Q745" i="1"/>
  <c r="P745" i="1"/>
  <c r="L745" i="1"/>
  <c r="K745" i="1"/>
  <c r="J745" i="1"/>
  <c r="S744" i="1"/>
  <c r="R744" i="1"/>
  <c r="Q744" i="1"/>
  <c r="P744" i="1"/>
  <c r="L744" i="1"/>
  <c r="K744" i="1"/>
  <c r="J744" i="1"/>
  <c r="S743" i="1"/>
  <c r="R743" i="1"/>
  <c r="Q743" i="1"/>
  <c r="P743" i="1"/>
  <c r="L743" i="1"/>
  <c r="K743" i="1"/>
  <c r="J743" i="1"/>
  <c r="S742" i="1"/>
  <c r="R742" i="1"/>
  <c r="Q742" i="1"/>
  <c r="P742" i="1"/>
  <c r="L742" i="1"/>
  <c r="K742" i="1"/>
  <c r="J742" i="1"/>
  <c r="S741" i="1"/>
  <c r="R741" i="1"/>
  <c r="Q741" i="1"/>
  <c r="P741" i="1"/>
  <c r="L741" i="1"/>
  <c r="K741" i="1"/>
  <c r="J741" i="1"/>
  <c r="S740" i="1"/>
  <c r="R740" i="1"/>
  <c r="Q740" i="1"/>
  <c r="P740" i="1"/>
  <c r="L740" i="1"/>
  <c r="K740" i="1"/>
  <c r="J740" i="1"/>
  <c r="S739" i="1"/>
  <c r="R739" i="1"/>
  <c r="Q739" i="1"/>
  <c r="P739" i="1"/>
  <c r="L739" i="1"/>
  <c r="K739" i="1"/>
  <c r="J739" i="1"/>
  <c r="S738" i="1"/>
  <c r="R738" i="1"/>
  <c r="Q738" i="1"/>
  <c r="P738" i="1"/>
  <c r="L738" i="1"/>
  <c r="K738" i="1"/>
  <c r="J738" i="1"/>
  <c r="S737" i="1"/>
  <c r="R737" i="1"/>
  <c r="Q737" i="1"/>
  <c r="P737" i="1"/>
  <c r="L737" i="1"/>
  <c r="K737" i="1"/>
  <c r="J737" i="1"/>
  <c r="S736" i="1"/>
  <c r="R736" i="1"/>
  <c r="Q736" i="1"/>
  <c r="P736" i="1"/>
  <c r="L736" i="1"/>
  <c r="K736" i="1"/>
  <c r="J736" i="1"/>
  <c r="S735" i="1"/>
  <c r="R735" i="1"/>
  <c r="Q735" i="1"/>
  <c r="P735" i="1"/>
  <c r="L735" i="1"/>
  <c r="K735" i="1"/>
  <c r="J735" i="1"/>
  <c r="S734" i="1"/>
  <c r="R734" i="1"/>
  <c r="Q734" i="1"/>
  <c r="P734" i="1"/>
  <c r="L734" i="1"/>
  <c r="K734" i="1"/>
  <c r="J734" i="1"/>
  <c r="S733" i="1"/>
  <c r="R733" i="1"/>
  <c r="Q733" i="1"/>
  <c r="P733" i="1"/>
  <c r="L733" i="1"/>
  <c r="K733" i="1"/>
  <c r="J733" i="1"/>
  <c r="S732" i="1"/>
  <c r="R732" i="1"/>
  <c r="Q732" i="1"/>
  <c r="P732" i="1"/>
  <c r="L732" i="1"/>
  <c r="K732" i="1"/>
  <c r="J732" i="1"/>
  <c r="S731" i="1"/>
  <c r="R731" i="1"/>
  <c r="Q731" i="1"/>
  <c r="P731" i="1"/>
  <c r="L731" i="1"/>
  <c r="K731" i="1"/>
  <c r="J731" i="1"/>
  <c r="S730" i="1"/>
  <c r="R730" i="1"/>
  <c r="Q730" i="1"/>
  <c r="P730" i="1"/>
  <c r="L730" i="1"/>
  <c r="K730" i="1"/>
  <c r="J730" i="1"/>
  <c r="S729" i="1"/>
  <c r="R729" i="1"/>
  <c r="Q729" i="1"/>
  <c r="P729" i="1"/>
  <c r="L729" i="1"/>
  <c r="K729" i="1"/>
  <c r="J729" i="1"/>
  <c r="S728" i="1"/>
  <c r="R728" i="1"/>
  <c r="Q728" i="1"/>
  <c r="P728" i="1"/>
  <c r="L728" i="1"/>
  <c r="K728" i="1"/>
  <c r="J728" i="1"/>
  <c r="S727" i="1"/>
  <c r="R727" i="1"/>
  <c r="Q727" i="1"/>
  <c r="P727" i="1"/>
  <c r="L727" i="1"/>
  <c r="K727" i="1"/>
  <c r="J727" i="1"/>
  <c r="S726" i="1"/>
  <c r="R726" i="1"/>
  <c r="Q726" i="1"/>
  <c r="P726" i="1"/>
  <c r="L726" i="1"/>
  <c r="K726" i="1"/>
  <c r="J726" i="1"/>
  <c r="S725" i="1"/>
  <c r="R725" i="1"/>
  <c r="Q725" i="1"/>
  <c r="P725" i="1"/>
  <c r="L725" i="1"/>
  <c r="K725" i="1"/>
  <c r="J725" i="1"/>
  <c r="S724" i="1"/>
  <c r="R724" i="1"/>
  <c r="Q724" i="1"/>
  <c r="P724" i="1"/>
  <c r="L724" i="1"/>
  <c r="K724" i="1"/>
  <c r="J724" i="1"/>
  <c r="S723" i="1"/>
  <c r="R723" i="1"/>
  <c r="Q723" i="1"/>
  <c r="P723" i="1"/>
  <c r="L723" i="1"/>
  <c r="K723" i="1"/>
  <c r="J723" i="1"/>
  <c r="S722" i="1"/>
  <c r="R722" i="1"/>
  <c r="Q722" i="1"/>
  <c r="P722" i="1"/>
  <c r="L722" i="1"/>
  <c r="K722" i="1"/>
  <c r="J722" i="1"/>
  <c r="S721" i="1"/>
  <c r="R721" i="1"/>
  <c r="Q721" i="1"/>
  <c r="P721" i="1"/>
  <c r="L721" i="1"/>
  <c r="K721" i="1"/>
  <c r="J721" i="1"/>
  <c r="S720" i="1"/>
  <c r="R720" i="1"/>
  <c r="Q720" i="1"/>
  <c r="P720" i="1"/>
  <c r="L720" i="1"/>
  <c r="K720" i="1"/>
  <c r="J720" i="1"/>
  <c r="S719" i="1"/>
  <c r="R719" i="1"/>
  <c r="Q719" i="1"/>
  <c r="P719" i="1"/>
  <c r="L719" i="1"/>
  <c r="K719" i="1"/>
  <c r="J719" i="1"/>
  <c r="S718" i="1"/>
  <c r="R718" i="1"/>
  <c r="Q718" i="1"/>
  <c r="P718" i="1"/>
  <c r="L718" i="1"/>
  <c r="K718" i="1"/>
  <c r="J718" i="1"/>
  <c r="S717" i="1"/>
  <c r="R717" i="1"/>
  <c r="Q717" i="1"/>
  <c r="P717" i="1"/>
  <c r="L717" i="1"/>
  <c r="K717" i="1"/>
  <c r="J717" i="1"/>
  <c r="S716" i="1"/>
  <c r="R716" i="1"/>
  <c r="Q716" i="1"/>
  <c r="P716" i="1"/>
  <c r="L716" i="1"/>
  <c r="K716" i="1"/>
  <c r="J716" i="1"/>
  <c r="S715" i="1"/>
  <c r="R715" i="1"/>
  <c r="Q715" i="1"/>
  <c r="P715" i="1"/>
  <c r="L715" i="1"/>
  <c r="K715" i="1"/>
  <c r="J715" i="1"/>
  <c r="S714" i="1"/>
  <c r="R714" i="1"/>
  <c r="Q714" i="1"/>
  <c r="P714" i="1"/>
  <c r="L714" i="1"/>
  <c r="K714" i="1"/>
  <c r="J714" i="1"/>
  <c r="S713" i="1"/>
  <c r="R713" i="1"/>
  <c r="Q713" i="1"/>
  <c r="P713" i="1"/>
  <c r="L713" i="1"/>
  <c r="K713" i="1"/>
  <c r="J713" i="1"/>
  <c r="S712" i="1"/>
  <c r="R712" i="1"/>
  <c r="Q712" i="1"/>
  <c r="P712" i="1"/>
  <c r="L712" i="1"/>
  <c r="K712" i="1"/>
  <c r="J712" i="1"/>
  <c r="S711" i="1"/>
  <c r="R711" i="1"/>
  <c r="Q711" i="1"/>
  <c r="P711" i="1"/>
  <c r="L711" i="1"/>
  <c r="K711" i="1"/>
  <c r="J711" i="1"/>
  <c r="S710" i="1"/>
  <c r="R710" i="1"/>
  <c r="Q710" i="1"/>
  <c r="P710" i="1"/>
  <c r="L710" i="1"/>
  <c r="K710" i="1"/>
  <c r="J710" i="1"/>
  <c r="S709" i="1"/>
  <c r="R709" i="1"/>
  <c r="Q709" i="1"/>
  <c r="P709" i="1"/>
  <c r="L709" i="1"/>
  <c r="K709" i="1"/>
  <c r="J709" i="1"/>
  <c r="S708" i="1"/>
  <c r="R708" i="1"/>
  <c r="Q708" i="1"/>
  <c r="P708" i="1"/>
  <c r="L708" i="1"/>
  <c r="K708" i="1"/>
  <c r="J708" i="1"/>
  <c r="S707" i="1"/>
  <c r="R707" i="1"/>
  <c r="Q707" i="1"/>
  <c r="P707" i="1"/>
  <c r="L707" i="1"/>
  <c r="K707" i="1"/>
  <c r="J707" i="1"/>
  <c r="S706" i="1"/>
  <c r="R706" i="1"/>
  <c r="Q706" i="1"/>
  <c r="P706" i="1"/>
  <c r="L706" i="1"/>
  <c r="K706" i="1"/>
  <c r="J706" i="1"/>
  <c r="S705" i="1"/>
  <c r="R705" i="1"/>
  <c r="Q705" i="1"/>
  <c r="P705" i="1"/>
  <c r="L705" i="1"/>
  <c r="K705" i="1"/>
  <c r="J705" i="1"/>
  <c r="S704" i="1"/>
  <c r="R704" i="1"/>
  <c r="Q704" i="1"/>
  <c r="P704" i="1"/>
  <c r="L704" i="1"/>
  <c r="K704" i="1"/>
  <c r="J704" i="1"/>
  <c r="S703" i="1"/>
  <c r="R703" i="1"/>
  <c r="Q703" i="1"/>
  <c r="P703" i="1"/>
  <c r="L703" i="1"/>
  <c r="K703" i="1"/>
  <c r="J703" i="1"/>
  <c r="S702" i="1"/>
  <c r="R702" i="1"/>
  <c r="Q702" i="1"/>
  <c r="P702" i="1"/>
  <c r="L702" i="1"/>
  <c r="K702" i="1"/>
  <c r="J702" i="1"/>
  <c r="S701" i="1"/>
  <c r="R701" i="1"/>
  <c r="Q701" i="1"/>
  <c r="P701" i="1"/>
  <c r="L701" i="1"/>
  <c r="K701" i="1"/>
  <c r="J701" i="1"/>
  <c r="S700" i="1"/>
  <c r="R700" i="1"/>
  <c r="Q700" i="1"/>
  <c r="P700" i="1"/>
  <c r="L700" i="1"/>
  <c r="K700" i="1"/>
  <c r="J700" i="1"/>
  <c r="S699" i="1"/>
  <c r="R699" i="1"/>
  <c r="Q699" i="1"/>
  <c r="P699" i="1"/>
  <c r="L699" i="1"/>
  <c r="K699" i="1"/>
  <c r="J699" i="1"/>
  <c r="S698" i="1"/>
  <c r="R698" i="1"/>
  <c r="Q698" i="1"/>
  <c r="P698" i="1"/>
  <c r="L698" i="1"/>
  <c r="K698" i="1"/>
  <c r="J698" i="1"/>
  <c r="S697" i="1"/>
  <c r="R697" i="1"/>
  <c r="Q697" i="1"/>
  <c r="P697" i="1"/>
  <c r="L697" i="1"/>
  <c r="K697" i="1"/>
  <c r="J697" i="1"/>
  <c r="S696" i="1"/>
  <c r="R696" i="1"/>
  <c r="Q696" i="1"/>
  <c r="P696" i="1"/>
  <c r="L696" i="1"/>
  <c r="K696" i="1"/>
  <c r="J696" i="1"/>
  <c r="S695" i="1"/>
  <c r="R695" i="1"/>
  <c r="Q695" i="1"/>
  <c r="P695" i="1"/>
  <c r="L695" i="1"/>
  <c r="K695" i="1"/>
  <c r="J695" i="1"/>
  <c r="S694" i="1"/>
  <c r="R694" i="1"/>
  <c r="Q694" i="1"/>
  <c r="P694" i="1"/>
  <c r="L694" i="1"/>
  <c r="K694" i="1"/>
  <c r="J694" i="1"/>
  <c r="S693" i="1"/>
  <c r="R693" i="1"/>
  <c r="Q693" i="1"/>
  <c r="P693" i="1"/>
  <c r="L693" i="1"/>
  <c r="K693" i="1"/>
  <c r="J693" i="1"/>
  <c r="S692" i="1"/>
  <c r="R692" i="1"/>
  <c r="Q692" i="1"/>
  <c r="P692" i="1"/>
  <c r="L692" i="1"/>
  <c r="K692" i="1"/>
  <c r="J692" i="1"/>
  <c r="S691" i="1"/>
  <c r="R691" i="1"/>
  <c r="Q691" i="1"/>
  <c r="P691" i="1"/>
  <c r="L691" i="1"/>
  <c r="K691" i="1"/>
  <c r="J691" i="1"/>
  <c r="S690" i="1"/>
  <c r="R690" i="1"/>
  <c r="Q690" i="1"/>
  <c r="P690" i="1"/>
  <c r="L690" i="1"/>
  <c r="K690" i="1"/>
  <c r="J690" i="1"/>
  <c r="S689" i="1"/>
  <c r="R689" i="1"/>
  <c r="Q689" i="1"/>
  <c r="P689" i="1"/>
  <c r="L689" i="1"/>
  <c r="K689" i="1"/>
  <c r="J689" i="1"/>
  <c r="S688" i="1"/>
  <c r="R688" i="1"/>
  <c r="Q688" i="1"/>
  <c r="P688" i="1"/>
  <c r="L688" i="1"/>
  <c r="K688" i="1"/>
  <c r="J688" i="1"/>
  <c r="S687" i="1"/>
  <c r="R687" i="1"/>
  <c r="Q687" i="1"/>
  <c r="P687" i="1"/>
  <c r="L687" i="1"/>
  <c r="K687" i="1"/>
  <c r="J687" i="1"/>
  <c r="S686" i="1"/>
  <c r="R686" i="1"/>
  <c r="Q686" i="1"/>
  <c r="P686" i="1"/>
  <c r="L686" i="1"/>
  <c r="K686" i="1"/>
  <c r="J686" i="1"/>
  <c r="S685" i="1"/>
  <c r="R685" i="1"/>
  <c r="Q685" i="1"/>
  <c r="P685" i="1"/>
  <c r="L685" i="1"/>
  <c r="K685" i="1"/>
  <c r="J685" i="1"/>
  <c r="S684" i="1"/>
  <c r="R684" i="1"/>
  <c r="Q684" i="1"/>
  <c r="P684" i="1"/>
  <c r="L684" i="1"/>
  <c r="K684" i="1"/>
  <c r="J684" i="1"/>
  <c r="S683" i="1"/>
  <c r="R683" i="1"/>
  <c r="Q683" i="1"/>
  <c r="P683" i="1"/>
  <c r="L683" i="1"/>
  <c r="K683" i="1"/>
  <c r="J683" i="1"/>
  <c r="S682" i="1"/>
  <c r="R682" i="1"/>
  <c r="Q682" i="1"/>
  <c r="P682" i="1"/>
  <c r="L682" i="1"/>
  <c r="K682" i="1"/>
  <c r="J682" i="1"/>
  <c r="S681" i="1"/>
  <c r="R681" i="1"/>
  <c r="Q681" i="1"/>
  <c r="P681" i="1"/>
  <c r="L681" i="1"/>
  <c r="K681" i="1"/>
  <c r="J681" i="1"/>
  <c r="S680" i="1"/>
  <c r="R680" i="1"/>
  <c r="Q680" i="1"/>
  <c r="P680" i="1"/>
  <c r="L680" i="1"/>
  <c r="K680" i="1"/>
  <c r="J680" i="1"/>
  <c r="S679" i="1"/>
  <c r="R679" i="1"/>
  <c r="Q679" i="1"/>
  <c r="P679" i="1"/>
  <c r="L679" i="1"/>
  <c r="K679" i="1"/>
  <c r="J679" i="1"/>
  <c r="S678" i="1"/>
  <c r="R678" i="1"/>
  <c r="Q678" i="1"/>
  <c r="P678" i="1"/>
  <c r="L678" i="1"/>
  <c r="K678" i="1"/>
  <c r="J678" i="1"/>
  <c r="S677" i="1"/>
  <c r="R677" i="1"/>
  <c r="Q677" i="1"/>
  <c r="P677" i="1"/>
  <c r="L677" i="1"/>
  <c r="K677" i="1"/>
  <c r="J677" i="1"/>
  <c r="S676" i="1"/>
  <c r="R676" i="1"/>
  <c r="Q676" i="1"/>
  <c r="P676" i="1"/>
  <c r="L676" i="1"/>
  <c r="K676" i="1"/>
  <c r="J676" i="1"/>
  <c r="S675" i="1"/>
  <c r="R675" i="1"/>
  <c r="Q675" i="1"/>
  <c r="P675" i="1"/>
  <c r="L675" i="1"/>
  <c r="K675" i="1"/>
  <c r="J675" i="1"/>
  <c r="S674" i="1"/>
  <c r="R674" i="1"/>
  <c r="Q674" i="1"/>
  <c r="P674" i="1"/>
  <c r="J674" i="1"/>
  <c r="S673" i="1"/>
  <c r="R673" i="1"/>
  <c r="Q673" i="1"/>
  <c r="P673" i="1"/>
  <c r="J673" i="1"/>
  <c r="S672" i="1"/>
  <c r="R672" i="1"/>
  <c r="Q672" i="1"/>
  <c r="P672" i="1"/>
  <c r="J672" i="1"/>
  <c r="S671" i="1"/>
  <c r="R671" i="1"/>
  <c r="Q671" i="1"/>
  <c r="P671" i="1"/>
  <c r="J671" i="1"/>
  <c r="S670" i="1"/>
  <c r="R670" i="1"/>
  <c r="Q670" i="1"/>
  <c r="P670" i="1"/>
  <c r="J670" i="1"/>
  <c r="S669" i="1"/>
  <c r="R669" i="1"/>
  <c r="Q669" i="1"/>
  <c r="P669" i="1"/>
  <c r="J669" i="1"/>
  <c r="S668" i="1"/>
  <c r="R668" i="1"/>
  <c r="Q668" i="1"/>
  <c r="P668" i="1"/>
  <c r="J668" i="1"/>
  <c r="S667" i="1"/>
  <c r="R667" i="1"/>
  <c r="Q667" i="1"/>
  <c r="P667" i="1"/>
  <c r="J667" i="1"/>
  <c r="S666" i="1"/>
  <c r="R666" i="1"/>
  <c r="Q666" i="1"/>
  <c r="P666" i="1"/>
  <c r="J666" i="1"/>
  <c r="S665" i="1"/>
  <c r="R665" i="1"/>
  <c r="Q665" i="1"/>
  <c r="P665" i="1"/>
  <c r="J665" i="1"/>
  <c r="S664" i="1"/>
  <c r="R664" i="1"/>
  <c r="Q664" i="1"/>
  <c r="P664" i="1"/>
  <c r="J664" i="1"/>
  <c r="S663" i="1"/>
  <c r="R663" i="1"/>
  <c r="Q663" i="1"/>
  <c r="P663" i="1"/>
  <c r="J663" i="1"/>
  <c r="S662" i="1"/>
  <c r="R662" i="1"/>
  <c r="Q662" i="1"/>
  <c r="P662" i="1"/>
  <c r="J662" i="1"/>
  <c r="S661" i="1"/>
  <c r="R661" i="1"/>
  <c r="Q661" i="1"/>
  <c r="P661" i="1"/>
  <c r="J661" i="1"/>
  <c r="S660" i="1"/>
  <c r="R660" i="1"/>
  <c r="Q660" i="1"/>
  <c r="P660" i="1"/>
  <c r="J660" i="1"/>
  <c r="S659" i="1"/>
  <c r="R659" i="1"/>
  <c r="Q659" i="1"/>
  <c r="P659" i="1"/>
  <c r="J659" i="1"/>
  <c r="S658" i="1"/>
  <c r="R658" i="1"/>
  <c r="Q658" i="1"/>
  <c r="P658" i="1"/>
  <c r="J658" i="1"/>
  <c r="S657" i="1"/>
  <c r="R657" i="1"/>
  <c r="Q657" i="1"/>
  <c r="P657" i="1"/>
  <c r="J657" i="1"/>
  <c r="S656" i="1"/>
  <c r="R656" i="1"/>
  <c r="Q656" i="1"/>
  <c r="P656" i="1"/>
  <c r="J656" i="1"/>
  <c r="S655" i="1"/>
  <c r="R655" i="1"/>
  <c r="Q655" i="1"/>
  <c r="P655" i="1"/>
  <c r="J655" i="1"/>
  <c r="S654" i="1"/>
  <c r="R654" i="1"/>
  <c r="Q654" i="1"/>
  <c r="P654" i="1"/>
  <c r="J654" i="1"/>
  <c r="S653" i="1"/>
  <c r="R653" i="1"/>
  <c r="Q653" i="1"/>
  <c r="P653" i="1"/>
  <c r="J653" i="1"/>
  <c r="S652" i="1"/>
  <c r="R652" i="1"/>
  <c r="Q652" i="1"/>
  <c r="P652" i="1"/>
  <c r="J652" i="1"/>
  <c r="S651" i="1"/>
  <c r="R651" i="1"/>
  <c r="Q651" i="1"/>
  <c r="P651" i="1"/>
  <c r="J651" i="1"/>
  <c r="S650" i="1"/>
  <c r="R650" i="1"/>
  <c r="Q650" i="1"/>
  <c r="P650" i="1"/>
  <c r="J650" i="1"/>
  <c r="S649" i="1"/>
  <c r="R649" i="1"/>
  <c r="Q649" i="1"/>
  <c r="P649" i="1"/>
  <c r="J649" i="1"/>
  <c r="S648" i="1"/>
  <c r="R648" i="1"/>
  <c r="Q648" i="1"/>
  <c r="P648" i="1"/>
  <c r="J648" i="1"/>
  <c r="S647" i="1"/>
  <c r="R647" i="1"/>
  <c r="Q647" i="1"/>
  <c r="P647" i="1"/>
  <c r="J647" i="1"/>
  <c r="S646" i="1"/>
  <c r="R646" i="1"/>
  <c r="Q646" i="1"/>
  <c r="P646" i="1"/>
  <c r="J646" i="1"/>
  <c r="S645" i="1"/>
  <c r="R645" i="1"/>
  <c r="Q645" i="1"/>
  <c r="P645" i="1"/>
  <c r="J645" i="1"/>
  <c r="S644" i="1"/>
  <c r="R644" i="1"/>
  <c r="Q644" i="1"/>
  <c r="P644" i="1"/>
  <c r="J644" i="1"/>
  <c r="S643" i="1"/>
  <c r="R643" i="1"/>
  <c r="Q643" i="1"/>
  <c r="P643" i="1"/>
  <c r="J643" i="1"/>
  <c r="S642" i="1"/>
  <c r="R642" i="1"/>
  <c r="Q642" i="1"/>
  <c r="P642" i="1"/>
  <c r="J642" i="1"/>
  <c r="S641" i="1"/>
  <c r="R641" i="1"/>
  <c r="Q641" i="1"/>
  <c r="P641" i="1"/>
  <c r="J641" i="1"/>
  <c r="S640" i="1"/>
  <c r="R640" i="1"/>
  <c r="Q640" i="1"/>
  <c r="P640" i="1"/>
  <c r="J640" i="1"/>
  <c r="S639" i="1"/>
  <c r="R639" i="1"/>
  <c r="Q639" i="1"/>
  <c r="P639" i="1"/>
  <c r="J639" i="1"/>
  <c r="S638" i="1"/>
  <c r="R638" i="1"/>
  <c r="Q638" i="1"/>
  <c r="P638" i="1"/>
  <c r="J638" i="1"/>
  <c r="S637" i="1"/>
  <c r="R637" i="1"/>
  <c r="Q637" i="1"/>
  <c r="P637" i="1"/>
  <c r="J637" i="1"/>
  <c r="S636" i="1"/>
  <c r="R636" i="1"/>
  <c r="Q636" i="1"/>
  <c r="P636" i="1"/>
  <c r="J636" i="1"/>
  <c r="S635" i="1"/>
  <c r="R635" i="1"/>
  <c r="Q635" i="1"/>
  <c r="P635" i="1"/>
  <c r="J635" i="1"/>
  <c r="S634" i="1"/>
  <c r="R634" i="1"/>
  <c r="Q634" i="1"/>
  <c r="P634" i="1"/>
  <c r="J634" i="1"/>
  <c r="S633" i="1"/>
  <c r="R633" i="1"/>
  <c r="Q633" i="1"/>
  <c r="P633" i="1"/>
  <c r="J633" i="1"/>
  <c r="S632" i="1"/>
  <c r="R632" i="1"/>
  <c r="Q632" i="1"/>
  <c r="P632" i="1"/>
  <c r="J632" i="1"/>
  <c r="S631" i="1"/>
  <c r="R631" i="1"/>
  <c r="Q631" i="1"/>
  <c r="P631" i="1"/>
  <c r="J631" i="1"/>
  <c r="S630" i="1"/>
  <c r="R630" i="1"/>
  <c r="Q630" i="1"/>
  <c r="P630" i="1"/>
  <c r="J630" i="1"/>
  <c r="S629" i="1"/>
  <c r="R629" i="1"/>
  <c r="Q629" i="1"/>
  <c r="P629" i="1"/>
  <c r="J629" i="1"/>
  <c r="S628" i="1"/>
  <c r="R628" i="1"/>
  <c r="Q628" i="1"/>
  <c r="P628" i="1"/>
  <c r="J628" i="1"/>
  <c r="S627" i="1"/>
  <c r="R627" i="1"/>
  <c r="Q627" i="1"/>
  <c r="P627" i="1"/>
  <c r="J627" i="1"/>
  <c r="S626" i="1"/>
  <c r="R626" i="1"/>
  <c r="Q626" i="1"/>
  <c r="P626" i="1"/>
  <c r="J626" i="1"/>
  <c r="S625" i="1"/>
  <c r="R625" i="1"/>
  <c r="Q625" i="1"/>
  <c r="P625" i="1"/>
  <c r="J625" i="1"/>
  <c r="S624" i="1"/>
  <c r="R624" i="1"/>
  <c r="Q624" i="1"/>
  <c r="P624" i="1"/>
  <c r="J624" i="1"/>
  <c r="S623" i="1"/>
  <c r="R623" i="1"/>
  <c r="Q623" i="1"/>
  <c r="P623" i="1"/>
  <c r="J623" i="1"/>
  <c r="S622" i="1"/>
  <c r="R622" i="1"/>
  <c r="Q622" i="1"/>
  <c r="P622" i="1"/>
  <c r="J622" i="1"/>
  <c r="S621" i="1"/>
  <c r="R621" i="1"/>
  <c r="Q621" i="1"/>
  <c r="P621" i="1"/>
  <c r="J621" i="1"/>
  <c r="S620" i="1"/>
  <c r="R620" i="1"/>
  <c r="Q620" i="1"/>
  <c r="P620" i="1"/>
  <c r="J620" i="1"/>
  <c r="S619" i="1"/>
  <c r="R619" i="1"/>
  <c r="Q619" i="1"/>
  <c r="P619" i="1"/>
  <c r="J619" i="1"/>
  <c r="S618" i="1"/>
  <c r="R618" i="1"/>
  <c r="Q618" i="1"/>
  <c r="P618" i="1"/>
  <c r="J618" i="1"/>
  <c r="S617" i="1"/>
  <c r="R617" i="1"/>
  <c r="Q617" i="1"/>
  <c r="P617" i="1"/>
  <c r="J617" i="1"/>
  <c r="S616" i="1"/>
  <c r="R616" i="1"/>
  <c r="Q616" i="1"/>
  <c r="P616" i="1"/>
  <c r="J616" i="1"/>
  <c r="S615" i="1"/>
  <c r="R615" i="1"/>
  <c r="Q615" i="1"/>
  <c r="P615" i="1"/>
  <c r="J615" i="1"/>
  <c r="S614" i="1"/>
  <c r="R614" i="1"/>
  <c r="Q614" i="1"/>
  <c r="P614" i="1"/>
  <c r="J614" i="1"/>
  <c r="S613" i="1"/>
  <c r="R613" i="1"/>
  <c r="Q613" i="1"/>
  <c r="P613" i="1"/>
  <c r="J613" i="1"/>
  <c r="S612" i="1"/>
  <c r="R612" i="1"/>
  <c r="Q612" i="1"/>
  <c r="P612" i="1"/>
  <c r="J612" i="1"/>
  <c r="S611" i="1"/>
  <c r="R611" i="1"/>
  <c r="Q611" i="1"/>
  <c r="P611" i="1"/>
  <c r="J611" i="1"/>
  <c r="S610" i="1"/>
  <c r="R610" i="1"/>
  <c r="Q610" i="1"/>
  <c r="P610" i="1"/>
  <c r="J610" i="1"/>
  <c r="S609" i="1"/>
  <c r="R609" i="1"/>
  <c r="Q609" i="1"/>
  <c r="P609" i="1"/>
  <c r="J609" i="1"/>
  <c r="S608" i="1"/>
  <c r="R608" i="1"/>
  <c r="Q608" i="1"/>
  <c r="P608" i="1"/>
  <c r="J608" i="1"/>
  <c r="S607" i="1"/>
  <c r="R607" i="1"/>
  <c r="Q607" i="1"/>
  <c r="P607" i="1"/>
  <c r="J607" i="1"/>
  <c r="S606" i="1"/>
  <c r="R606" i="1"/>
  <c r="Q606" i="1"/>
  <c r="P606" i="1"/>
  <c r="J606" i="1"/>
  <c r="S605" i="1"/>
  <c r="R605" i="1"/>
  <c r="Q605" i="1"/>
  <c r="P605" i="1"/>
  <c r="J605" i="1"/>
  <c r="S604" i="1"/>
  <c r="R604" i="1"/>
  <c r="Q604" i="1"/>
  <c r="P604" i="1"/>
  <c r="J604" i="1"/>
  <c r="S603" i="1"/>
  <c r="R603" i="1"/>
  <c r="Q603" i="1"/>
  <c r="P603" i="1"/>
  <c r="J603" i="1"/>
  <c r="S602" i="1"/>
  <c r="R602" i="1"/>
  <c r="Q602" i="1"/>
  <c r="P602" i="1"/>
  <c r="J602" i="1"/>
  <c r="S601" i="1"/>
  <c r="R601" i="1"/>
  <c r="Q601" i="1"/>
  <c r="P601" i="1"/>
  <c r="J601" i="1"/>
  <c r="S600" i="1"/>
  <c r="R600" i="1"/>
  <c r="Q600" i="1"/>
  <c r="P600" i="1"/>
  <c r="J600" i="1"/>
  <c r="S599" i="1"/>
  <c r="R599" i="1"/>
  <c r="Q599" i="1"/>
  <c r="P599" i="1"/>
  <c r="J599" i="1"/>
  <c r="S598" i="1"/>
  <c r="R598" i="1"/>
  <c r="Q598" i="1"/>
  <c r="P598" i="1"/>
  <c r="J598" i="1"/>
  <c r="S597" i="1"/>
  <c r="R597" i="1"/>
  <c r="Q597" i="1"/>
  <c r="P597" i="1"/>
  <c r="J597" i="1"/>
  <c r="S596" i="1"/>
  <c r="R596" i="1"/>
  <c r="Q596" i="1"/>
  <c r="P596" i="1"/>
  <c r="J596" i="1"/>
  <c r="S595" i="1"/>
  <c r="R595" i="1"/>
  <c r="Q595" i="1"/>
  <c r="P595" i="1"/>
  <c r="J595" i="1"/>
  <c r="S594" i="1"/>
  <c r="R594" i="1"/>
  <c r="Q594" i="1"/>
  <c r="P594" i="1"/>
  <c r="J594" i="1"/>
  <c r="S593" i="1"/>
  <c r="R593" i="1"/>
  <c r="Q593" i="1"/>
  <c r="P593" i="1"/>
  <c r="J593" i="1"/>
  <c r="S592" i="1"/>
  <c r="R592" i="1"/>
  <c r="Q592" i="1"/>
  <c r="P592" i="1"/>
  <c r="J592" i="1"/>
  <c r="S591" i="1"/>
  <c r="R591" i="1"/>
  <c r="Q591" i="1"/>
  <c r="P591" i="1"/>
  <c r="J591" i="1"/>
  <c r="S590" i="1"/>
  <c r="R590" i="1"/>
  <c r="Q590" i="1"/>
  <c r="P590" i="1"/>
  <c r="J590" i="1"/>
  <c r="S589" i="1"/>
  <c r="R589" i="1"/>
  <c r="Q589" i="1"/>
  <c r="P589" i="1"/>
  <c r="J589" i="1"/>
  <c r="S588" i="1"/>
  <c r="R588" i="1"/>
  <c r="Q588" i="1"/>
  <c r="P588" i="1"/>
  <c r="J588" i="1"/>
  <c r="S587" i="1"/>
  <c r="R587" i="1"/>
  <c r="Q587" i="1"/>
  <c r="P587" i="1"/>
  <c r="J587" i="1"/>
  <c r="S586" i="1"/>
  <c r="R586" i="1"/>
  <c r="Q586" i="1"/>
  <c r="P586" i="1"/>
  <c r="J586" i="1"/>
  <c r="S585" i="1"/>
  <c r="R585" i="1"/>
  <c r="Q585" i="1"/>
  <c r="P585" i="1"/>
  <c r="J585" i="1"/>
  <c r="S584" i="1"/>
  <c r="R584" i="1"/>
  <c r="Q584" i="1"/>
  <c r="P584" i="1"/>
  <c r="J584" i="1"/>
  <c r="S583" i="1"/>
  <c r="R583" i="1"/>
  <c r="Q583" i="1"/>
  <c r="P583" i="1"/>
  <c r="J583" i="1"/>
  <c r="S582" i="1"/>
  <c r="R582" i="1"/>
  <c r="Q582" i="1"/>
  <c r="P582" i="1"/>
  <c r="J582" i="1"/>
  <c r="S581" i="1"/>
  <c r="R581" i="1"/>
  <c r="Q581" i="1"/>
  <c r="P581" i="1"/>
  <c r="J581" i="1"/>
  <c r="S580" i="1"/>
  <c r="R580" i="1"/>
  <c r="Q580" i="1"/>
  <c r="P580" i="1"/>
  <c r="J580" i="1"/>
  <c r="S579" i="1"/>
  <c r="R579" i="1"/>
  <c r="Q579" i="1"/>
  <c r="P579" i="1"/>
  <c r="J579" i="1"/>
  <c r="S578" i="1"/>
  <c r="R578" i="1"/>
  <c r="Q578" i="1"/>
  <c r="P578" i="1"/>
  <c r="J578" i="1"/>
  <c r="S577" i="1"/>
  <c r="R577" i="1"/>
  <c r="Q577" i="1"/>
  <c r="P577" i="1"/>
  <c r="J577" i="1"/>
  <c r="S576" i="1"/>
  <c r="R576" i="1"/>
  <c r="Q576" i="1"/>
  <c r="P576" i="1"/>
  <c r="J576" i="1"/>
  <c r="S575" i="1"/>
  <c r="R575" i="1"/>
  <c r="Q575" i="1"/>
  <c r="P575" i="1"/>
  <c r="J575" i="1"/>
  <c r="S574" i="1"/>
  <c r="R574" i="1"/>
  <c r="Q574" i="1"/>
  <c r="P574" i="1"/>
  <c r="J574" i="1"/>
  <c r="S573" i="1"/>
  <c r="R573" i="1"/>
  <c r="Q573" i="1"/>
  <c r="P573" i="1"/>
  <c r="J573" i="1"/>
  <c r="S572" i="1"/>
  <c r="R572" i="1"/>
  <c r="Q572" i="1"/>
  <c r="P572" i="1"/>
  <c r="J572" i="1"/>
  <c r="S571" i="1"/>
  <c r="R571" i="1"/>
  <c r="Q571" i="1"/>
  <c r="P571" i="1"/>
  <c r="J571" i="1"/>
  <c r="S570" i="1"/>
  <c r="R570" i="1"/>
  <c r="Q570" i="1"/>
  <c r="P570" i="1"/>
  <c r="J570" i="1"/>
  <c r="S569" i="1"/>
  <c r="R569" i="1"/>
  <c r="Q569" i="1"/>
  <c r="P569" i="1"/>
  <c r="J569" i="1"/>
  <c r="S568" i="1"/>
  <c r="R568" i="1"/>
  <c r="Q568" i="1"/>
  <c r="P568" i="1"/>
  <c r="J568" i="1"/>
  <c r="S567" i="1"/>
  <c r="R567" i="1"/>
  <c r="Q567" i="1"/>
  <c r="P567" i="1"/>
  <c r="J567" i="1"/>
  <c r="S566" i="1"/>
  <c r="R566" i="1"/>
  <c r="Q566" i="1"/>
  <c r="P566" i="1"/>
  <c r="J566" i="1"/>
  <c r="S565" i="1"/>
  <c r="R565" i="1"/>
  <c r="Q565" i="1"/>
  <c r="P565" i="1"/>
  <c r="J565" i="1"/>
  <c r="S564" i="1"/>
  <c r="R564" i="1"/>
  <c r="Q564" i="1"/>
  <c r="P564" i="1"/>
  <c r="J564" i="1"/>
  <c r="S563" i="1"/>
  <c r="R563" i="1"/>
  <c r="Q563" i="1"/>
  <c r="P563" i="1"/>
  <c r="J563" i="1"/>
  <c r="S562" i="1"/>
  <c r="R562" i="1"/>
  <c r="Q562" i="1"/>
  <c r="P562" i="1"/>
  <c r="J562" i="1"/>
  <c r="S561" i="1"/>
  <c r="R561" i="1"/>
  <c r="Q561" i="1"/>
  <c r="P561" i="1"/>
  <c r="J561" i="1"/>
  <c r="S560" i="1"/>
  <c r="R560" i="1"/>
  <c r="Q560" i="1"/>
  <c r="P560" i="1"/>
  <c r="J560" i="1"/>
  <c r="S559" i="1"/>
  <c r="R559" i="1"/>
  <c r="Q559" i="1"/>
  <c r="P559" i="1"/>
  <c r="J559" i="1"/>
  <c r="S558" i="1"/>
  <c r="R558" i="1"/>
  <c r="Q558" i="1"/>
  <c r="P558" i="1"/>
  <c r="J558" i="1"/>
  <c r="S557" i="1"/>
  <c r="R557" i="1"/>
  <c r="Q557" i="1"/>
  <c r="P557" i="1"/>
  <c r="J557" i="1"/>
  <c r="S556" i="1"/>
  <c r="R556" i="1"/>
  <c r="Q556" i="1"/>
  <c r="P556" i="1"/>
  <c r="J556" i="1"/>
  <c r="S555" i="1"/>
  <c r="R555" i="1"/>
  <c r="Q555" i="1"/>
  <c r="P555" i="1"/>
  <c r="J555" i="1"/>
  <c r="S554" i="1"/>
  <c r="R554" i="1"/>
  <c r="Q554" i="1"/>
  <c r="P554" i="1"/>
  <c r="J554" i="1"/>
  <c r="S553" i="1"/>
  <c r="R553" i="1"/>
  <c r="Q553" i="1"/>
  <c r="P553" i="1"/>
  <c r="J553" i="1"/>
  <c r="S552" i="1"/>
  <c r="R552" i="1"/>
  <c r="Q552" i="1"/>
  <c r="P552" i="1"/>
  <c r="J552" i="1"/>
  <c r="S551" i="1"/>
  <c r="R551" i="1"/>
  <c r="Q551" i="1"/>
  <c r="P551" i="1"/>
  <c r="J551" i="1"/>
  <c r="S550" i="1"/>
  <c r="R550" i="1"/>
  <c r="Q550" i="1"/>
  <c r="P550" i="1"/>
  <c r="J550" i="1"/>
  <c r="S549" i="1"/>
  <c r="R549" i="1"/>
  <c r="Q549" i="1"/>
  <c r="P549" i="1"/>
  <c r="J549" i="1"/>
  <c r="S548" i="1"/>
  <c r="R548" i="1"/>
  <c r="Q548" i="1"/>
  <c r="P548" i="1"/>
  <c r="J548" i="1"/>
  <c r="S547" i="1"/>
  <c r="R547" i="1"/>
  <c r="Q547" i="1"/>
  <c r="P547" i="1"/>
  <c r="J547" i="1"/>
  <c r="S546" i="1"/>
  <c r="R546" i="1"/>
  <c r="Q546" i="1"/>
  <c r="P546" i="1"/>
  <c r="J546" i="1"/>
  <c r="S545" i="1"/>
  <c r="R545" i="1"/>
  <c r="Q545" i="1"/>
  <c r="P545" i="1"/>
  <c r="J545" i="1"/>
  <c r="S544" i="1"/>
  <c r="R544" i="1"/>
  <c r="Q544" i="1"/>
  <c r="P544" i="1"/>
  <c r="J544" i="1"/>
  <c r="S543" i="1"/>
  <c r="R543" i="1"/>
  <c r="Q543" i="1"/>
  <c r="P543" i="1"/>
  <c r="J543" i="1"/>
  <c r="S542" i="1"/>
  <c r="R542" i="1"/>
  <c r="Q542" i="1"/>
  <c r="P542" i="1"/>
  <c r="J542" i="1"/>
  <c r="S541" i="1"/>
  <c r="R541" i="1"/>
  <c r="Q541" i="1"/>
  <c r="P541" i="1"/>
  <c r="J541" i="1"/>
  <c r="S540" i="1"/>
  <c r="R540" i="1"/>
  <c r="Q540" i="1"/>
  <c r="P540" i="1"/>
  <c r="J540" i="1"/>
  <c r="S539" i="1"/>
  <c r="R539" i="1"/>
  <c r="Q539" i="1"/>
  <c r="P539" i="1"/>
  <c r="J539" i="1"/>
  <c r="S538" i="1"/>
  <c r="R538" i="1"/>
  <c r="Q538" i="1"/>
  <c r="P538" i="1"/>
  <c r="J538" i="1"/>
  <c r="S537" i="1"/>
  <c r="R537" i="1"/>
  <c r="Q537" i="1"/>
  <c r="P537" i="1"/>
  <c r="J537" i="1"/>
  <c r="S536" i="1"/>
  <c r="R536" i="1"/>
  <c r="Q536" i="1"/>
  <c r="P536" i="1"/>
  <c r="J536" i="1"/>
  <c r="S535" i="1"/>
  <c r="R535" i="1"/>
  <c r="Q535" i="1"/>
  <c r="P535" i="1"/>
  <c r="J535" i="1"/>
  <c r="S534" i="1"/>
  <c r="R534" i="1"/>
  <c r="Q534" i="1"/>
  <c r="P534" i="1"/>
  <c r="J534" i="1"/>
  <c r="S533" i="1"/>
  <c r="R533" i="1"/>
  <c r="Q533" i="1"/>
  <c r="P533" i="1"/>
  <c r="J533" i="1"/>
  <c r="S532" i="1"/>
  <c r="R532" i="1"/>
  <c r="Q532" i="1"/>
  <c r="P532" i="1"/>
  <c r="J532" i="1"/>
  <c r="S531" i="1"/>
  <c r="R531" i="1"/>
  <c r="Q531" i="1"/>
  <c r="P531" i="1"/>
  <c r="J531" i="1"/>
  <c r="S530" i="1"/>
  <c r="R530" i="1"/>
  <c r="Q530" i="1"/>
  <c r="P530" i="1"/>
  <c r="J530" i="1"/>
  <c r="S529" i="1"/>
  <c r="R529" i="1"/>
  <c r="Q529" i="1"/>
  <c r="P529" i="1"/>
  <c r="J529" i="1"/>
  <c r="S528" i="1"/>
  <c r="R528" i="1"/>
  <c r="Q528" i="1"/>
  <c r="P528" i="1"/>
  <c r="J528" i="1"/>
  <c r="S527" i="1"/>
  <c r="R527" i="1"/>
  <c r="Q527" i="1"/>
  <c r="P527" i="1"/>
  <c r="J527" i="1"/>
  <c r="S526" i="1"/>
  <c r="R526" i="1"/>
  <c r="Q526" i="1"/>
  <c r="P526" i="1"/>
  <c r="J526" i="1"/>
  <c r="S525" i="1"/>
  <c r="R525" i="1"/>
  <c r="Q525" i="1"/>
  <c r="P525" i="1"/>
  <c r="J525" i="1"/>
  <c r="S524" i="1"/>
  <c r="R524" i="1"/>
  <c r="Q524" i="1"/>
  <c r="P524" i="1"/>
  <c r="J524" i="1"/>
  <c r="S523" i="1"/>
  <c r="R523" i="1"/>
  <c r="Q523" i="1"/>
  <c r="P523" i="1"/>
  <c r="J523" i="1"/>
  <c r="S522" i="1"/>
  <c r="R522" i="1"/>
  <c r="Q522" i="1"/>
  <c r="P522" i="1"/>
  <c r="J522" i="1"/>
  <c r="S521" i="1"/>
  <c r="R521" i="1"/>
  <c r="Q521" i="1"/>
  <c r="P521" i="1"/>
  <c r="J521" i="1"/>
  <c r="S520" i="1"/>
  <c r="R520" i="1"/>
  <c r="Q520" i="1"/>
  <c r="P520" i="1"/>
  <c r="J520" i="1"/>
  <c r="S519" i="1"/>
  <c r="R519" i="1"/>
  <c r="Q519" i="1"/>
  <c r="P519" i="1"/>
  <c r="J519" i="1"/>
  <c r="S518" i="1"/>
  <c r="R518" i="1"/>
  <c r="Q518" i="1"/>
  <c r="P518" i="1"/>
  <c r="J518" i="1"/>
  <c r="S517" i="1"/>
  <c r="R517" i="1"/>
  <c r="Q517" i="1"/>
  <c r="P517" i="1"/>
  <c r="J517" i="1"/>
  <c r="S516" i="1"/>
  <c r="R516" i="1"/>
  <c r="Q516" i="1"/>
  <c r="P516" i="1"/>
  <c r="J516" i="1"/>
  <c r="S515" i="1"/>
  <c r="R515" i="1"/>
  <c r="Q515" i="1"/>
  <c r="P515" i="1"/>
  <c r="J515" i="1"/>
  <c r="S514" i="1"/>
  <c r="R514" i="1"/>
  <c r="Q514" i="1"/>
  <c r="P514" i="1"/>
  <c r="J514" i="1"/>
  <c r="S513" i="1"/>
  <c r="R513" i="1"/>
  <c r="Q513" i="1"/>
  <c r="P513" i="1"/>
  <c r="J513" i="1"/>
  <c r="S512" i="1"/>
  <c r="R512" i="1"/>
  <c r="Q512" i="1"/>
  <c r="P512" i="1"/>
  <c r="J512" i="1"/>
  <c r="S511" i="1"/>
  <c r="R511" i="1"/>
  <c r="Q511" i="1"/>
  <c r="P511" i="1"/>
  <c r="J511" i="1"/>
  <c r="S510" i="1"/>
  <c r="R510" i="1"/>
  <c r="Q510" i="1"/>
  <c r="P510" i="1"/>
  <c r="J510" i="1"/>
  <c r="S509" i="1"/>
  <c r="R509" i="1"/>
  <c r="Q509" i="1"/>
  <c r="P509" i="1"/>
  <c r="J509" i="1"/>
  <c r="S508" i="1"/>
  <c r="R508" i="1"/>
  <c r="Q508" i="1"/>
  <c r="P508" i="1"/>
  <c r="J508" i="1"/>
  <c r="S507" i="1"/>
  <c r="R507" i="1"/>
  <c r="Q507" i="1"/>
  <c r="P507" i="1"/>
  <c r="J507" i="1"/>
  <c r="S506" i="1"/>
  <c r="R506" i="1"/>
  <c r="Q506" i="1"/>
  <c r="P506" i="1"/>
  <c r="J506" i="1"/>
  <c r="S505" i="1"/>
  <c r="R505" i="1"/>
  <c r="Q505" i="1"/>
  <c r="P505" i="1"/>
  <c r="J505" i="1"/>
  <c r="S504" i="1"/>
  <c r="R504" i="1"/>
  <c r="Q504" i="1"/>
  <c r="P504" i="1"/>
  <c r="J504" i="1"/>
  <c r="S503" i="1"/>
  <c r="R503" i="1"/>
  <c r="Q503" i="1"/>
  <c r="P503" i="1"/>
  <c r="J503" i="1"/>
  <c r="S502" i="1"/>
  <c r="R502" i="1"/>
  <c r="Q502" i="1"/>
  <c r="P502" i="1"/>
  <c r="J502" i="1"/>
  <c r="S501" i="1"/>
  <c r="R501" i="1"/>
  <c r="Q501" i="1"/>
  <c r="P501" i="1"/>
  <c r="J501" i="1"/>
  <c r="S500" i="1"/>
  <c r="R500" i="1"/>
  <c r="Q500" i="1"/>
  <c r="P500" i="1"/>
  <c r="J500" i="1"/>
  <c r="S499" i="1"/>
  <c r="R499" i="1"/>
  <c r="Q499" i="1"/>
  <c r="P499" i="1"/>
  <c r="J499" i="1"/>
  <c r="S498" i="1"/>
  <c r="R498" i="1"/>
  <c r="Q498" i="1"/>
  <c r="P498" i="1"/>
  <c r="J498" i="1"/>
  <c r="S497" i="1"/>
  <c r="R497" i="1"/>
  <c r="Q497" i="1"/>
  <c r="P497" i="1"/>
  <c r="J497" i="1"/>
  <c r="S496" i="1"/>
  <c r="R496" i="1"/>
  <c r="Q496" i="1"/>
  <c r="P496" i="1"/>
  <c r="J496" i="1"/>
  <c r="S495" i="1"/>
  <c r="R495" i="1"/>
  <c r="Q495" i="1"/>
  <c r="P495" i="1"/>
  <c r="J495" i="1"/>
  <c r="S494" i="1"/>
  <c r="R494" i="1"/>
  <c r="Q494" i="1"/>
  <c r="P494" i="1"/>
  <c r="J494" i="1"/>
  <c r="S493" i="1"/>
  <c r="R493" i="1"/>
  <c r="Q493" i="1"/>
  <c r="P493" i="1"/>
  <c r="J493" i="1"/>
  <c r="S492" i="1"/>
  <c r="R492" i="1"/>
  <c r="Q492" i="1"/>
  <c r="P492" i="1"/>
  <c r="J492" i="1"/>
  <c r="S491" i="1"/>
  <c r="R491" i="1"/>
  <c r="Q491" i="1"/>
  <c r="P491" i="1"/>
  <c r="J491" i="1"/>
  <c r="S490" i="1"/>
  <c r="R490" i="1"/>
  <c r="Q490" i="1"/>
  <c r="P490" i="1"/>
  <c r="J490" i="1"/>
  <c r="S489" i="1"/>
  <c r="R489" i="1"/>
  <c r="Q489" i="1"/>
  <c r="P489" i="1"/>
  <c r="J489" i="1"/>
  <c r="S488" i="1"/>
  <c r="R488" i="1"/>
  <c r="Q488" i="1"/>
  <c r="P488" i="1"/>
  <c r="J488" i="1"/>
  <c r="S487" i="1"/>
  <c r="R487" i="1"/>
  <c r="Q487" i="1"/>
  <c r="P487" i="1"/>
  <c r="J487" i="1"/>
  <c r="S486" i="1"/>
  <c r="R486" i="1"/>
  <c r="Q486" i="1"/>
  <c r="P486" i="1"/>
  <c r="J486" i="1"/>
  <c r="S485" i="1"/>
  <c r="R485" i="1"/>
  <c r="Q485" i="1"/>
  <c r="P485" i="1"/>
  <c r="J485" i="1"/>
  <c r="S484" i="1"/>
  <c r="R484" i="1"/>
  <c r="Q484" i="1"/>
  <c r="P484" i="1"/>
  <c r="J484" i="1"/>
  <c r="S483" i="1"/>
  <c r="R483" i="1"/>
  <c r="Q483" i="1"/>
  <c r="P483" i="1"/>
  <c r="J483" i="1"/>
  <c r="S482" i="1"/>
  <c r="R482" i="1"/>
  <c r="Q482" i="1"/>
  <c r="P482" i="1"/>
  <c r="J482" i="1"/>
  <c r="S481" i="1"/>
  <c r="R481" i="1"/>
  <c r="Q481" i="1"/>
  <c r="P481" i="1"/>
  <c r="J481" i="1"/>
  <c r="S480" i="1"/>
  <c r="R480" i="1"/>
  <c r="Q480" i="1"/>
  <c r="P480" i="1"/>
  <c r="J480" i="1"/>
  <c r="S479" i="1"/>
  <c r="R479" i="1"/>
  <c r="Q479" i="1"/>
  <c r="P479" i="1"/>
  <c r="J479" i="1"/>
  <c r="S478" i="1"/>
  <c r="R478" i="1"/>
  <c r="Q478" i="1"/>
  <c r="P478" i="1"/>
  <c r="J478" i="1"/>
  <c r="S477" i="1"/>
  <c r="R477" i="1"/>
  <c r="Q477" i="1"/>
  <c r="P477" i="1"/>
  <c r="J477" i="1"/>
  <c r="S476" i="1"/>
  <c r="R476" i="1"/>
  <c r="Q476" i="1"/>
  <c r="P476" i="1"/>
  <c r="J476" i="1"/>
  <c r="S475" i="1"/>
  <c r="R475" i="1"/>
  <c r="Q475" i="1"/>
  <c r="P475" i="1"/>
  <c r="J475" i="1"/>
  <c r="S474" i="1"/>
  <c r="R474" i="1"/>
  <c r="Q474" i="1"/>
  <c r="P474" i="1"/>
  <c r="J474" i="1"/>
  <c r="S473" i="1"/>
  <c r="R473" i="1"/>
  <c r="Q473" i="1"/>
  <c r="P473" i="1"/>
  <c r="J473" i="1"/>
  <c r="S472" i="1"/>
  <c r="R472" i="1"/>
  <c r="Q472" i="1"/>
  <c r="P472" i="1"/>
  <c r="J472" i="1"/>
  <c r="S471" i="1"/>
  <c r="R471" i="1"/>
  <c r="Q471" i="1"/>
  <c r="P471" i="1"/>
  <c r="J471" i="1"/>
  <c r="S470" i="1"/>
  <c r="R470" i="1"/>
  <c r="Q470" i="1"/>
  <c r="P470" i="1"/>
  <c r="J470" i="1"/>
  <c r="S469" i="1"/>
  <c r="R469" i="1"/>
  <c r="Q469" i="1"/>
  <c r="P469" i="1"/>
  <c r="J469" i="1"/>
  <c r="S468" i="1"/>
  <c r="R468" i="1"/>
  <c r="Q468" i="1"/>
  <c r="P468" i="1"/>
  <c r="J468" i="1"/>
  <c r="S467" i="1"/>
  <c r="R467" i="1"/>
  <c r="Q467" i="1"/>
  <c r="P467" i="1"/>
  <c r="J467" i="1"/>
  <c r="S466" i="1"/>
  <c r="R466" i="1"/>
  <c r="Q466" i="1"/>
  <c r="P466" i="1"/>
  <c r="J466" i="1"/>
  <c r="S465" i="1"/>
  <c r="R465" i="1"/>
  <c r="Q465" i="1"/>
  <c r="P465" i="1"/>
  <c r="J465" i="1"/>
  <c r="S464" i="1"/>
  <c r="R464" i="1"/>
  <c r="Q464" i="1"/>
  <c r="P464" i="1"/>
  <c r="J464" i="1"/>
  <c r="S463" i="1"/>
  <c r="R463" i="1"/>
  <c r="Q463" i="1"/>
  <c r="P463" i="1"/>
  <c r="J463" i="1"/>
  <c r="S462" i="1"/>
  <c r="R462" i="1"/>
  <c r="Q462" i="1"/>
  <c r="P462" i="1"/>
  <c r="J462" i="1"/>
  <c r="S461" i="1"/>
  <c r="R461" i="1"/>
  <c r="Q461" i="1"/>
  <c r="P461" i="1"/>
  <c r="J461" i="1"/>
  <c r="S460" i="1"/>
  <c r="R460" i="1"/>
  <c r="Q460" i="1"/>
  <c r="P460" i="1"/>
  <c r="J460" i="1"/>
  <c r="S459" i="1"/>
  <c r="R459" i="1"/>
  <c r="Q459" i="1"/>
  <c r="P459" i="1"/>
  <c r="J459" i="1"/>
  <c r="S458" i="1"/>
  <c r="R458" i="1"/>
  <c r="Q458" i="1"/>
  <c r="P458" i="1"/>
  <c r="J458" i="1"/>
  <c r="S457" i="1"/>
  <c r="R457" i="1"/>
  <c r="Q457" i="1"/>
  <c r="P457" i="1"/>
  <c r="J457" i="1"/>
  <c r="S456" i="1"/>
  <c r="R456" i="1"/>
  <c r="Q456" i="1"/>
  <c r="P456" i="1"/>
  <c r="J456" i="1"/>
  <c r="S455" i="1"/>
  <c r="R455" i="1"/>
  <c r="Q455" i="1"/>
  <c r="P455" i="1"/>
  <c r="J455" i="1"/>
  <c r="S454" i="1"/>
  <c r="R454" i="1"/>
  <c r="Q454" i="1"/>
  <c r="P454" i="1"/>
  <c r="J454" i="1"/>
  <c r="S453" i="1"/>
  <c r="R453" i="1"/>
  <c r="Q453" i="1"/>
  <c r="P453" i="1"/>
  <c r="J453" i="1"/>
  <c r="S452" i="1"/>
  <c r="R452" i="1"/>
  <c r="Q452" i="1"/>
  <c r="P452" i="1"/>
  <c r="J452" i="1"/>
  <c r="S451" i="1"/>
  <c r="R451" i="1"/>
  <c r="Q451" i="1"/>
  <c r="P451" i="1"/>
  <c r="J451" i="1"/>
  <c r="S450" i="1"/>
  <c r="R450" i="1"/>
  <c r="Q450" i="1"/>
  <c r="P450" i="1"/>
  <c r="J450" i="1"/>
  <c r="S449" i="1"/>
  <c r="R449" i="1"/>
  <c r="Q449" i="1"/>
  <c r="P449" i="1"/>
  <c r="J449" i="1"/>
  <c r="S448" i="1"/>
  <c r="R448" i="1"/>
  <c r="Q448" i="1"/>
  <c r="P448" i="1"/>
  <c r="J448" i="1"/>
  <c r="S447" i="1"/>
  <c r="R447" i="1"/>
  <c r="Q447" i="1"/>
  <c r="P447" i="1"/>
  <c r="J447" i="1"/>
  <c r="S446" i="1"/>
  <c r="R446" i="1"/>
  <c r="Q446" i="1"/>
  <c r="P446" i="1"/>
  <c r="J446" i="1"/>
  <c r="S445" i="1"/>
  <c r="R445" i="1"/>
  <c r="Q445" i="1"/>
  <c r="P445" i="1"/>
  <c r="J445" i="1"/>
  <c r="S444" i="1"/>
  <c r="R444" i="1"/>
  <c r="Q444" i="1"/>
  <c r="P444" i="1"/>
  <c r="J444" i="1"/>
  <c r="S443" i="1"/>
  <c r="R443" i="1"/>
  <c r="Q443" i="1"/>
  <c r="P443" i="1"/>
  <c r="J443" i="1"/>
  <c r="S442" i="1"/>
  <c r="R442" i="1"/>
  <c r="Q442" i="1"/>
  <c r="P442" i="1"/>
  <c r="J442" i="1"/>
  <c r="S441" i="1"/>
  <c r="R441" i="1"/>
  <c r="Q441" i="1"/>
  <c r="P441" i="1"/>
  <c r="J441" i="1"/>
  <c r="S440" i="1"/>
  <c r="R440" i="1"/>
  <c r="Q440" i="1"/>
  <c r="P440" i="1"/>
  <c r="J440" i="1"/>
  <c r="S439" i="1"/>
  <c r="R439" i="1"/>
  <c r="Q439" i="1"/>
  <c r="P439" i="1"/>
  <c r="J439" i="1"/>
  <c r="S438" i="1"/>
  <c r="R438" i="1"/>
  <c r="Q438" i="1"/>
  <c r="P438" i="1"/>
  <c r="J438" i="1"/>
  <c r="S437" i="1"/>
  <c r="R437" i="1"/>
  <c r="Q437" i="1"/>
  <c r="P437" i="1"/>
  <c r="J437" i="1"/>
  <c r="S436" i="1"/>
  <c r="R436" i="1"/>
  <c r="Q436" i="1"/>
  <c r="P436" i="1"/>
  <c r="J436" i="1"/>
  <c r="S435" i="1"/>
  <c r="R435" i="1"/>
  <c r="Q435" i="1"/>
  <c r="P435" i="1"/>
  <c r="J435" i="1"/>
  <c r="S434" i="1"/>
  <c r="R434" i="1"/>
  <c r="Q434" i="1"/>
  <c r="P434" i="1"/>
  <c r="J434" i="1"/>
  <c r="S433" i="1"/>
  <c r="R433" i="1"/>
  <c r="Q433" i="1"/>
  <c r="P433" i="1"/>
  <c r="J433" i="1"/>
  <c r="S432" i="1"/>
  <c r="R432" i="1"/>
  <c r="Q432" i="1"/>
  <c r="P432" i="1"/>
  <c r="J432" i="1"/>
  <c r="S431" i="1"/>
  <c r="R431" i="1"/>
  <c r="Q431" i="1"/>
  <c r="P431" i="1"/>
  <c r="J431" i="1"/>
  <c r="S430" i="1"/>
  <c r="R430" i="1"/>
  <c r="Q430" i="1"/>
  <c r="P430" i="1"/>
  <c r="J430" i="1"/>
  <c r="S429" i="1"/>
  <c r="R429" i="1"/>
  <c r="Q429" i="1"/>
  <c r="P429" i="1"/>
  <c r="J429" i="1"/>
  <c r="S428" i="1"/>
  <c r="R428" i="1"/>
  <c r="Q428" i="1"/>
  <c r="P428" i="1"/>
  <c r="J428" i="1"/>
  <c r="S427" i="1"/>
  <c r="R427" i="1"/>
  <c r="Q427" i="1"/>
  <c r="P427" i="1"/>
  <c r="J427" i="1"/>
  <c r="S426" i="1"/>
  <c r="R426" i="1"/>
  <c r="Q426" i="1"/>
  <c r="P426" i="1"/>
  <c r="J426" i="1"/>
  <c r="S425" i="1"/>
  <c r="R425" i="1"/>
  <c r="Q425" i="1"/>
  <c r="P425" i="1"/>
  <c r="J425" i="1"/>
  <c r="S424" i="1"/>
  <c r="R424" i="1"/>
  <c r="Q424" i="1"/>
  <c r="P424" i="1"/>
  <c r="J424" i="1"/>
  <c r="S423" i="1"/>
  <c r="R423" i="1"/>
  <c r="Q423" i="1"/>
  <c r="P423" i="1"/>
  <c r="J423" i="1"/>
  <c r="S422" i="1"/>
  <c r="R422" i="1"/>
  <c r="Q422" i="1"/>
  <c r="P422" i="1"/>
  <c r="J422" i="1"/>
  <c r="S421" i="1"/>
  <c r="R421" i="1"/>
  <c r="Q421" i="1"/>
  <c r="P421" i="1"/>
  <c r="J421" i="1"/>
  <c r="S420" i="1"/>
  <c r="R420" i="1"/>
  <c r="Q420" i="1"/>
  <c r="P420" i="1"/>
  <c r="J420" i="1"/>
  <c r="S419" i="1"/>
  <c r="R419" i="1"/>
  <c r="Q419" i="1"/>
  <c r="P419" i="1"/>
  <c r="J419" i="1"/>
  <c r="S418" i="1"/>
  <c r="R418" i="1"/>
  <c r="Q418" i="1"/>
  <c r="P418" i="1"/>
  <c r="J418" i="1"/>
  <c r="S417" i="1"/>
  <c r="R417" i="1"/>
  <c r="Q417" i="1"/>
  <c r="P417" i="1"/>
  <c r="J417" i="1"/>
  <c r="S416" i="1"/>
  <c r="R416" i="1"/>
  <c r="Q416" i="1"/>
  <c r="P416" i="1"/>
  <c r="J416" i="1"/>
  <c r="S415" i="1"/>
  <c r="R415" i="1"/>
  <c r="Q415" i="1"/>
  <c r="P415" i="1"/>
  <c r="J415" i="1"/>
  <c r="S414" i="1"/>
  <c r="R414" i="1"/>
  <c r="Q414" i="1"/>
  <c r="P414" i="1"/>
  <c r="J414" i="1"/>
  <c r="S413" i="1"/>
  <c r="R413" i="1"/>
  <c r="Q413" i="1"/>
  <c r="P413" i="1"/>
  <c r="J413" i="1"/>
  <c r="S412" i="1"/>
  <c r="R412" i="1"/>
  <c r="Q412" i="1"/>
  <c r="P412" i="1"/>
  <c r="J412" i="1"/>
  <c r="S411" i="1"/>
  <c r="R411" i="1"/>
  <c r="Q411" i="1"/>
  <c r="P411" i="1"/>
  <c r="J411" i="1"/>
  <c r="S410" i="1"/>
  <c r="R410" i="1"/>
  <c r="Q410" i="1"/>
  <c r="P410" i="1"/>
  <c r="J410" i="1"/>
  <c r="S409" i="1"/>
  <c r="R409" i="1"/>
  <c r="Q409" i="1"/>
  <c r="P409" i="1"/>
  <c r="J409" i="1"/>
  <c r="S408" i="1"/>
  <c r="R408" i="1"/>
  <c r="Q408" i="1"/>
  <c r="P408" i="1"/>
  <c r="J408" i="1"/>
  <c r="S407" i="1"/>
  <c r="R407" i="1"/>
  <c r="Q407" i="1"/>
  <c r="P407" i="1"/>
  <c r="J407" i="1"/>
  <c r="S406" i="1"/>
  <c r="R406" i="1"/>
  <c r="Q406" i="1"/>
  <c r="P406" i="1"/>
  <c r="J406" i="1"/>
  <c r="S405" i="1"/>
  <c r="R405" i="1"/>
  <c r="Q405" i="1"/>
  <c r="P405" i="1"/>
  <c r="J405" i="1"/>
  <c r="S404" i="1"/>
  <c r="R404" i="1"/>
  <c r="Q404" i="1"/>
  <c r="P404" i="1"/>
  <c r="J404" i="1"/>
  <c r="S403" i="1"/>
  <c r="R403" i="1"/>
  <c r="Q403" i="1"/>
  <c r="P403" i="1"/>
  <c r="J403" i="1"/>
  <c r="S402" i="1"/>
  <c r="R402" i="1"/>
  <c r="Q402" i="1"/>
  <c r="P402" i="1"/>
  <c r="J402" i="1"/>
  <c r="S401" i="1"/>
  <c r="R401" i="1"/>
  <c r="Q401" i="1"/>
  <c r="P401" i="1"/>
  <c r="J401" i="1"/>
  <c r="S400" i="1"/>
  <c r="R400" i="1"/>
  <c r="Q400" i="1"/>
  <c r="P400" i="1"/>
  <c r="J400" i="1"/>
  <c r="S399" i="1"/>
  <c r="R399" i="1"/>
  <c r="Q399" i="1"/>
  <c r="P399" i="1"/>
  <c r="J399" i="1"/>
  <c r="S398" i="1"/>
  <c r="R398" i="1"/>
  <c r="Q398" i="1"/>
  <c r="P398" i="1"/>
  <c r="J398" i="1"/>
  <c r="S397" i="1"/>
  <c r="R397" i="1"/>
  <c r="Q397" i="1"/>
  <c r="P397" i="1"/>
  <c r="J397" i="1"/>
  <c r="S396" i="1"/>
  <c r="R396" i="1"/>
  <c r="Q396" i="1"/>
  <c r="P396" i="1"/>
  <c r="J396" i="1"/>
  <c r="S395" i="1"/>
  <c r="R395" i="1"/>
  <c r="Q395" i="1"/>
  <c r="P395" i="1"/>
  <c r="J395" i="1"/>
  <c r="S394" i="1"/>
  <c r="R394" i="1"/>
  <c r="Q394" i="1"/>
  <c r="P394" i="1"/>
  <c r="J394" i="1"/>
  <c r="S393" i="1"/>
  <c r="R393" i="1"/>
  <c r="Q393" i="1"/>
  <c r="P393" i="1"/>
  <c r="J393" i="1"/>
  <c r="S392" i="1"/>
  <c r="R392" i="1"/>
  <c r="Q392" i="1"/>
  <c r="P392" i="1"/>
  <c r="J392" i="1"/>
  <c r="S391" i="1"/>
  <c r="R391" i="1"/>
  <c r="Q391" i="1"/>
  <c r="P391" i="1"/>
  <c r="J391" i="1"/>
  <c r="S390" i="1"/>
  <c r="R390" i="1"/>
  <c r="Q390" i="1"/>
  <c r="P390" i="1"/>
  <c r="J390" i="1"/>
  <c r="S389" i="1"/>
  <c r="R389" i="1"/>
  <c r="Q389" i="1"/>
  <c r="P389" i="1"/>
  <c r="J389" i="1"/>
  <c r="S388" i="1"/>
  <c r="R388" i="1"/>
  <c r="Q388" i="1"/>
  <c r="P388" i="1"/>
  <c r="J388" i="1"/>
  <c r="S387" i="1"/>
  <c r="R387" i="1"/>
  <c r="Q387" i="1"/>
  <c r="P387" i="1"/>
  <c r="J387" i="1"/>
  <c r="S386" i="1"/>
  <c r="R386" i="1"/>
  <c r="Q386" i="1"/>
  <c r="P386" i="1"/>
  <c r="J386" i="1"/>
  <c r="S385" i="1"/>
  <c r="R385" i="1"/>
  <c r="Q385" i="1"/>
  <c r="P385" i="1"/>
  <c r="J385" i="1"/>
  <c r="S384" i="1"/>
  <c r="R384" i="1"/>
  <c r="Q384" i="1"/>
  <c r="P384" i="1"/>
  <c r="J384" i="1"/>
  <c r="S383" i="1"/>
  <c r="R383" i="1"/>
  <c r="Q383" i="1"/>
  <c r="P383" i="1"/>
  <c r="J383" i="1"/>
  <c r="S382" i="1"/>
  <c r="R382" i="1"/>
  <c r="Q382" i="1"/>
  <c r="P382" i="1"/>
  <c r="J382" i="1"/>
  <c r="S381" i="1"/>
  <c r="R381" i="1"/>
  <c r="Q381" i="1"/>
  <c r="P381" i="1"/>
  <c r="J381" i="1"/>
  <c r="S380" i="1"/>
  <c r="R380" i="1"/>
  <c r="Q380" i="1"/>
  <c r="P380" i="1"/>
  <c r="J380" i="1"/>
  <c r="S379" i="1"/>
  <c r="R379" i="1"/>
  <c r="Q379" i="1"/>
  <c r="P379" i="1"/>
  <c r="J379" i="1"/>
  <c r="S378" i="1"/>
  <c r="R378" i="1"/>
  <c r="Q378" i="1"/>
  <c r="P378" i="1"/>
  <c r="J378" i="1"/>
  <c r="S377" i="1"/>
  <c r="R377" i="1"/>
  <c r="Q377" i="1"/>
  <c r="P377" i="1"/>
  <c r="J377" i="1"/>
  <c r="S376" i="1"/>
  <c r="R376" i="1"/>
  <c r="Q376" i="1"/>
  <c r="P376" i="1"/>
  <c r="J376" i="1"/>
  <c r="S375" i="1"/>
  <c r="R375" i="1"/>
  <c r="Q375" i="1"/>
  <c r="P375" i="1"/>
  <c r="J375" i="1"/>
  <c r="S374" i="1"/>
  <c r="R374" i="1"/>
  <c r="Q374" i="1"/>
  <c r="P374" i="1"/>
  <c r="J374" i="1"/>
  <c r="S373" i="1"/>
  <c r="R373" i="1"/>
  <c r="Q373" i="1"/>
  <c r="P373" i="1"/>
  <c r="J373" i="1"/>
  <c r="S372" i="1"/>
  <c r="R372" i="1"/>
  <c r="Q372" i="1"/>
  <c r="P372" i="1"/>
  <c r="J372" i="1"/>
  <c r="S371" i="1"/>
  <c r="R371" i="1"/>
  <c r="Q371" i="1"/>
  <c r="P371" i="1"/>
  <c r="J371" i="1"/>
  <c r="S370" i="1"/>
  <c r="R370" i="1"/>
  <c r="Q370" i="1"/>
  <c r="P370" i="1"/>
  <c r="J370" i="1"/>
  <c r="S369" i="1"/>
  <c r="R369" i="1"/>
  <c r="Q369" i="1"/>
  <c r="P369" i="1"/>
  <c r="J369" i="1"/>
  <c r="S368" i="1"/>
  <c r="R368" i="1"/>
  <c r="Q368" i="1"/>
  <c r="P368" i="1"/>
  <c r="J368" i="1"/>
  <c r="S367" i="1"/>
  <c r="R367" i="1"/>
  <c r="Q367" i="1"/>
  <c r="P367" i="1"/>
  <c r="J367" i="1"/>
  <c r="S366" i="1"/>
  <c r="R366" i="1"/>
  <c r="Q366" i="1"/>
  <c r="P366" i="1"/>
  <c r="J366" i="1"/>
  <c r="S365" i="1"/>
  <c r="R365" i="1"/>
  <c r="Q365" i="1"/>
  <c r="P365" i="1"/>
  <c r="J365" i="1"/>
  <c r="S364" i="1"/>
  <c r="R364" i="1"/>
  <c r="Q364" i="1"/>
  <c r="P364" i="1"/>
  <c r="J364" i="1"/>
  <c r="S363" i="1"/>
  <c r="R363" i="1"/>
  <c r="Q363" i="1"/>
  <c r="P363" i="1"/>
  <c r="J363" i="1"/>
  <c r="S362" i="1"/>
  <c r="R362" i="1"/>
  <c r="Q362" i="1"/>
  <c r="P362" i="1"/>
  <c r="J362" i="1"/>
  <c r="S361" i="1"/>
  <c r="R361" i="1"/>
  <c r="Q361" i="1"/>
  <c r="P361" i="1"/>
  <c r="J361" i="1"/>
  <c r="S360" i="1"/>
  <c r="R360" i="1"/>
  <c r="Q360" i="1"/>
  <c r="P360" i="1"/>
  <c r="J360" i="1"/>
  <c r="S359" i="1"/>
  <c r="R359" i="1"/>
  <c r="Q359" i="1"/>
  <c r="P359" i="1"/>
  <c r="J359" i="1"/>
  <c r="S358" i="1"/>
  <c r="R358" i="1"/>
  <c r="Q358" i="1"/>
  <c r="P358" i="1"/>
  <c r="J358" i="1"/>
  <c r="S357" i="1"/>
  <c r="R357" i="1"/>
  <c r="Q357" i="1"/>
  <c r="P357" i="1"/>
  <c r="J357" i="1"/>
  <c r="S356" i="1"/>
  <c r="R356" i="1"/>
  <c r="Q356" i="1"/>
  <c r="P356" i="1"/>
  <c r="J356" i="1"/>
  <c r="S355" i="1"/>
  <c r="R355" i="1"/>
  <c r="Q355" i="1"/>
  <c r="P355" i="1"/>
  <c r="J355" i="1"/>
  <c r="S354" i="1"/>
  <c r="R354" i="1"/>
  <c r="Q354" i="1"/>
  <c r="P354" i="1"/>
  <c r="J354" i="1"/>
  <c r="S353" i="1"/>
  <c r="R353" i="1"/>
  <c r="Q353" i="1"/>
  <c r="P353" i="1"/>
  <c r="J353" i="1"/>
  <c r="S352" i="1"/>
  <c r="R352" i="1"/>
  <c r="Q352" i="1"/>
  <c r="P352" i="1"/>
  <c r="J352" i="1"/>
  <c r="S351" i="1"/>
  <c r="R351" i="1"/>
  <c r="Q351" i="1"/>
  <c r="P351" i="1"/>
  <c r="J351" i="1"/>
  <c r="S350" i="1"/>
  <c r="R350" i="1"/>
  <c r="Q350" i="1"/>
  <c r="P350" i="1"/>
  <c r="J350" i="1"/>
  <c r="S349" i="1"/>
  <c r="R349" i="1"/>
  <c r="Q349" i="1"/>
  <c r="P349" i="1"/>
  <c r="J349" i="1"/>
  <c r="S348" i="1"/>
  <c r="R348" i="1"/>
  <c r="Q348" i="1"/>
  <c r="P348" i="1"/>
  <c r="J348" i="1"/>
  <c r="S347" i="1"/>
  <c r="R347" i="1"/>
  <c r="Q347" i="1"/>
  <c r="P347" i="1"/>
  <c r="J347" i="1"/>
  <c r="S346" i="1"/>
  <c r="R346" i="1"/>
  <c r="Q346" i="1"/>
  <c r="P346" i="1"/>
  <c r="J346" i="1"/>
  <c r="S345" i="1"/>
  <c r="R345" i="1"/>
  <c r="Q345" i="1"/>
  <c r="P345" i="1"/>
  <c r="J345" i="1"/>
  <c r="S344" i="1"/>
  <c r="R344" i="1"/>
  <c r="Q344" i="1"/>
  <c r="P344" i="1"/>
  <c r="J344" i="1"/>
  <c r="S343" i="1"/>
  <c r="R343" i="1"/>
  <c r="Q343" i="1"/>
  <c r="P343" i="1"/>
  <c r="J343" i="1"/>
  <c r="S342" i="1"/>
  <c r="R342" i="1"/>
  <c r="Q342" i="1"/>
  <c r="P342" i="1"/>
  <c r="J342" i="1"/>
  <c r="S341" i="1"/>
  <c r="R341" i="1"/>
  <c r="Q341" i="1"/>
  <c r="P341" i="1"/>
  <c r="J341" i="1"/>
  <c r="S340" i="1"/>
  <c r="R340" i="1"/>
  <c r="Q340" i="1"/>
  <c r="P340" i="1"/>
  <c r="J340" i="1"/>
  <c r="S339" i="1"/>
  <c r="R339" i="1"/>
  <c r="Q339" i="1"/>
  <c r="P339" i="1"/>
  <c r="J339" i="1"/>
  <c r="S338" i="1"/>
  <c r="R338" i="1"/>
  <c r="Q338" i="1"/>
  <c r="P338" i="1"/>
  <c r="J338" i="1"/>
  <c r="S337" i="1"/>
  <c r="R337" i="1"/>
  <c r="Q337" i="1"/>
  <c r="P337" i="1"/>
  <c r="J337" i="1"/>
  <c r="S336" i="1"/>
  <c r="R336" i="1"/>
  <c r="Q336" i="1"/>
  <c r="P336" i="1"/>
  <c r="J336" i="1"/>
  <c r="S335" i="1"/>
  <c r="R335" i="1"/>
  <c r="Q335" i="1"/>
  <c r="P335" i="1"/>
  <c r="J335" i="1"/>
  <c r="S334" i="1"/>
  <c r="R334" i="1"/>
  <c r="Q334" i="1"/>
  <c r="P334" i="1"/>
  <c r="J334" i="1"/>
  <c r="S333" i="1"/>
  <c r="R333" i="1"/>
  <c r="Q333" i="1"/>
  <c r="P333" i="1"/>
  <c r="J333" i="1"/>
  <c r="S332" i="1"/>
  <c r="R332" i="1"/>
  <c r="Q332" i="1"/>
  <c r="P332" i="1"/>
  <c r="J332" i="1"/>
  <c r="S331" i="1"/>
  <c r="R331" i="1"/>
  <c r="Q331" i="1"/>
  <c r="P331" i="1"/>
  <c r="J331" i="1"/>
  <c r="S330" i="1"/>
  <c r="R330" i="1"/>
  <c r="Q330" i="1"/>
  <c r="P330" i="1"/>
  <c r="J330" i="1"/>
  <c r="S329" i="1"/>
  <c r="R329" i="1"/>
  <c r="Q329" i="1"/>
  <c r="P329" i="1"/>
  <c r="J329" i="1"/>
  <c r="S328" i="1"/>
  <c r="R328" i="1"/>
  <c r="Q328" i="1"/>
  <c r="P328" i="1"/>
  <c r="J328" i="1"/>
  <c r="S327" i="1"/>
  <c r="R327" i="1"/>
  <c r="Q327" i="1"/>
  <c r="P327" i="1"/>
  <c r="J327" i="1"/>
  <c r="S326" i="1"/>
  <c r="R326" i="1"/>
  <c r="Q326" i="1"/>
  <c r="P326" i="1"/>
  <c r="J326" i="1"/>
  <c r="S325" i="1"/>
  <c r="R325" i="1"/>
  <c r="Q325" i="1"/>
  <c r="P325" i="1"/>
  <c r="J325" i="1"/>
  <c r="S324" i="1"/>
  <c r="R324" i="1"/>
  <c r="Q324" i="1"/>
  <c r="P324" i="1"/>
  <c r="J324" i="1"/>
  <c r="S323" i="1"/>
  <c r="R323" i="1"/>
  <c r="Q323" i="1"/>
  <c r="P323" i="1"/>
  <c r="J323" i="1"/>
  <c r="S322" i="1"/>
  <c r="R322" i="1"/>
  <c r="Q322" i="1"/>
  <c r="P322" i="1"/>
  <c r="J322" i="1"/>
  <c r="S321" i="1"/>
  <c r="R321" i="1"/>
  <c r="Q321" i="1"/>
  <c r="P321" i="1"/>
  <c r="J321" i="1"/>
  <c r="S320" i="1"/>
  <c r="R320" i="1"/>
  <c r="Q320" i="1"/>
  <c r="P320" i="1"/>
  <c r="J320" i="1"/>
  <c r="S319" i="1"/>
  <c r="R319" i="1"/>
  <c r="Q319" i="1"/>
  <c r="P319" i="1"/>
  <c r="J319" i="1"/>
  <c r="S318" i="1"/>
  <c r="R318" i="1"/>
  <c r="Q318" i="1"/>
  <c r="P318" i="1"/>
  <c r="J318" i="1"/>
  <c r="S317" i="1"/>
  <c r="R317" i="1"/>
  <c r="Q317" i="1"/>
  <c r="P317" i="1"/>
  <c r="J317" i="1"/>
  <c r="S316" i="1"/>
  <c r="R316" i="1"/>
  <c r="Q316" i="1"/>
  <c r="P316" i="1"/>
  <c r="J316" i="1"/>
  <c r="S315" i="1"/>
  <c r="R315" i="1"/>
  <c r="Q315" i="1"/>
  <c r="P315" i="1"/>
  <c r="J315" i="1"/>
  <c r="S314" i="1"/>
  <c r="R314" i="1"/>
  <c r="Q314" i="1"/>
  <c r="P314" i="1"/>
  <c r="J314" i="1"/>
  <c r="S313" i="1"/>
  <c r="R313" i="1"/>
  <c r="Q313" i="1"/>
  <c r="P313" i="1"/>
  <c r="J313" i="1"/>
  <c r="S312" i="1"/>
  <c r="R312" i="1"/>
  <c r="Q312" i="1"/>
  <c r="P312" i="1"/>
  <c r="J312" i="1"/>
  <c r="S311" i="1"/>
  <c r="R311" i="1"/>
  <c r="Q311" i="1"/>
  <c r="P311" i="1"/>
  <c r="J311" i="1"/>
  <c r="S310" i="1"/>
  <c r="R310" i="1"/>
  <c r="Q310" i="1"/>
  <c r="P310" i="1"/>
  <c r="J310" i="1"/>
  <c r="S309" i="1"/>
  <c r="R309" i="1"/>
  <c r="Q309" i="1"/>
  <c r="P309" i="1"/>
  <c r="J309" i="1"/>
  <c r="S308" i="1"/>
  <c r="R308" i="1"/>
  <c r="Q308" i="1"/>
  <c r="P308" i="1"/>
  <c r="J308" i="1"/>
  <c r="S307" i="1"/>
  <c r="R307" i="1"/>
  <c r="Q307" i="1"/>
  <c r="P307" i="1"/>
  <c r="J307" i="1"/>
  <c r="S306" i="1"/>
  <c r="R306" i="1"/>
  <c r="Q306" i="1"/>
  <c r="P306" i="1"/>
  <c r="J306" i="1"/>
  <c r="S305" i="1"/>
  <c r="R305" i="1"/>
  <c r="Q305" i="1"/>
  <c r="P305" i="1"/>
  <c r="J305" i="1"/>
  <c r="S304" i="1"/>
  <c r="R304" i="1"/>
  <c r="Q304" i="1"/>
  <c r="P304" i="1"/>
  <c r="J304" i="1"/>
  <c r="S303" i="1"/>
  <c r="R303" i="1"/>
  <c r="Q303" i="1"/>
  <c r="P303" i="1"/>
  <c r="J303" i="1"/>
  <c r="S302" i="1"/>
  <c r="R302" i="1"/>
  <c r="Q302" i="1"/>
  <c r="P302" i="1"/>
  <c r="J302" i="1"/>
  <c r="S301" i="1"/>
  <c r="R301" i="1"/>
  <c r="Q301" i="1"/>
  <c r="P301" i="1"/>
  <c r="J301" i="1"/>
  <c r="S300" i="1"/>
  <c r="R300" i="1"/>
  <c r="Q300" i="1"/>
  <c r="P300" i="1"/>
  <c r="J300" i="1"/>
  <c r="S299" i="1"/>
  <c r="R299" i="1"/>
  <c r="Q299" i="1"/>
  <c r="P299" i="1"/>
  <c r="J299" i="1"/>
  <c r="S298" i="1"/>
  <c r="R298" i="1"/>
  <c r="Q298" i="1"/>
  <c r="P298" i="1"/>
  <c r="J298" i="1"/>
  <c r="S297" i="1"/>
  <c r="R297" i="1"/>
  <c r="Q297" i="1"/>
  <c r="P297" i="1"/>
  <c r="J297" i="1"/>
  <c r="S296" i="1"/>
  <c r="R296" i="1"/>
  <c r="Q296" i="1"/>
  <c r="P296" i="1"/>
  <c r="J296" i="1"/>
  <c r="S295" i="1"/>
  <c r="R295" i="1"/>
  <c r="Q295" i="1"/>
  <c r="P295" i="1"/>
  <c r="J295" i="1"/>
  <c r="S294" i="1"/>
  <c r="R294" i="1"/>
  <c r="Q294" i="1"/>
  <c r="P294" i="1"/>
  <c r="J294" i="1"/>
  <c r="S293" i="1"/>
  <c r="R293" i="1"/>
  <c r="Q293" i="1"/>
  <c r="P293" i="1"/>
  <c r="J293" i="1"/>
  <c r="S292" i="1"/>
  <c r="R292" i="1"/>
  <c r="Q292" i="1"/>
  <c r="P292" i="1"/>
  <c r="J292" i="1"/>
  <c r="S291" i="1"/>
  <c r="R291" i="1"/>
  <c r="Q291" i="1"/>
  <c r="P291" i="1"/>
  <c r="J291" i="1"/>
  <c r="S290" i="1"/>
  <c r="R290" i="1"/>
  <c r="Q290" i="1"/>
  <c r="P290" i="1"/>
  <c r="J290" i="1"/>
  <c r="S289" i="1"/>
  <c r="R289" i="1"/>
  <c r="Q289" i="1"/>
  <c r="P289" i="1"/>
  <c r="J289" i="1"/>
  <c r="S288" i="1"/>
  <c r="R288" i="1"/>
  <c r="Q288" i="1"/>
  <c r="P288" i="1"/>
  <c r="J288" i="1"/>
  <c r="S287" i="1"/>
  <c r="R287" i="1"/>
  <c r="Q287" i="1"/>
  <c r="P287" i="1"/>
  <c r="J287" i="1"/>
  <c r="S286" i="1"/>
  <c r="R286" i="1"/>
  <c r="Q286" i="1"/>
  <c r="P286" i="1"/>
  <c r="J286" i="1"/>
  <c r="S285" i="1"/>
  <c r="R285" i="1"/>
  <c r="Q285" i="1"/>
  <c r="P285" i="1"/>
  <c r="J285" i="1"/>
  <c r="S284" i="1"/>
  <c r="R284" i="1"/>
  <c r="Q284" i="1"/>
  <c r="P284" i="1"/>
  <c r="J284" i="1"/>
  <c r="S283" i="1"/>
  <c r="R283" i="1"/>
  <c r="Q283" i="1"/>
  <c r="P283" i="1"/>
  <c r="J283" i="1"/>
  <c r="S282" i="1"/>
  <c r="R282" i="1"/>
  <c r="Q282" i="1"/>
  <c r="P282" i="1"/>
  <c r="J282" i="1"/>
  <c r="S281" i="1"/>
  <c r="R281" i="1"/>
  <c r="Q281" i="1"/>
  <c r="P281" i="1"/>
  <c r="J281" i="1"/>
  <c r="S280" i="1"/>
  <c r="R280" i="1"/>
  <c r="Q280" i="1"/>
  <c r="P280" i="1"/>
  <c r="J280" i="1"/>
  <c r="S279" i="1"/>
  <c r="R279" i="1"/>
  <c r="Q279" i="1"/>
  <c r="P279" i="1"/>
  <c r="J279" i="1"/>
  <c r="S278" i="1"/>
  <c r="R278" i="1"/>
  <c r="Q278" i="1"/>
  <c r="P278" i="1"/>
  <c r="J278" i="1"/>
  <c r="S277" i="1"/>
  <c r="R277" i="1"/>
  <c r="Q277" i="1"/>
  <c r="P277" i="1"/>
  <c r="J277" i="1"/>
  <c r="S276" i="1"/>
  <c r="R276" i="1"/>
  <c r="Q276" i="1"/>
  <c r="P276" i="1"/>
  <c r="J276" i="1"/>
  <c r="S275" i="1"/>
  <c r="R275" i="1"/>
  <c r="Q275" i="1"/>
  <c r="P275" i="1"/>
  <c r="J275" i="1"/>
  <c r="S274" i="1"/>
  <c r="R274" i="1"/>
  <c r="Q274" i="1"/>
  <c r="P274" i="1"/>
  <c r="S273" i="1"/>
  <c r="R273" i="1"/>
  <c r="Q273" i="1"/>
  <c r="P273" i="1"/>
  <c r="S272" i="1"/>
  <c r="R272" i="1"/>
  <c r="Q272" i="1"/>
  <c r="P272" i="1"/>
  <c r="S271" i="1"/>
  <c r="R271" i="1"/>
  <c r="Q271" i="1"/>
  <c r="P271" i="1"/>
  <c r="S270" i="1"/>
  <c r="R270" i="1"/>
  <c r="Q270" i="1"/>
  <c r="P270" i="1"/>
  <c r="S269" i="1"/>
  <c r="R269" i="1"/>
  <c r="Q269" i="1"/>
  <c r="P269" i="1"/>
  <c r="S268" i="1"/>
  <c r="R268" i="1"/>
  <c r="Q268" i="1"/>
  <c r="P268" i="1"/>
  <c r="S267" i="1"/>
  <c r="R267" i="1"/>
  <c r="Q267" i="1"/>
  <c r="P267" i="1"/>
  <c r="S266" i="1"/>
  <c r="R266" i="1"/>
  <c r="Q266" i="1"/>
  <c r="P266" i="1"/>
  <c r="S265" i="1"/>
  <c r="R265" i="1"/>
  <c r="Q265" i="1"/>
  <c r="P265" i="1"/>
  <c r="S264" i="1"/>
  <c r="R264" i="1"/>
  <c r="Q264" i="1"/>
  <c r="P264" i="1"/>
  <c r="S263" i="1"/>
  <c r="R263" i="1"/>
  <c r="Q263" i="1"/>
  <c r="P263" i="1"/>
  <c r="S262" i="1"/>
  <c r="R262" i="1"/>
  <c r="Q262" i="1"/>
  <c r="P262" i="1"/>
  <c r="S261" i="1"/>
  <c r="R261" i="1"/>
  <c r="Q261" i="1"/>
  <c r="P261" i="1"/>
  <c r="S260" i="1"/>
  <c r="R260" i="1"/>
  <c r="Q260" i="1"/>
  <c r="P260" i="1"/>
  <c r="S259" i="1"/>
  <c r="R259" i="1"/>
  <c r="Q259" i="1"/>
  <c r="P259" i="1"/>
  <c r="S258" i="1"/>
  <c r="R258" i="1"/>
  <c r="Q258" i="1"/>
  <c r="P258" i="1"/>
  <c r="S257" i="1"/>
  <c r="R257" i="1"/>
  <c r="Q257" i="1"/>
  <c r="P257" i="1"/>
  <c r="S256" i="1"/>
  <c r="R256" i="1"/>
  <c r="Q256" i="1"/>
  <c r="P256" i="1"/>
  <c r="S255" i="1"/>
  <c r="R255" i="1"/>
  <c r="Q255" i="1"/>
  <c r="P255" i="1"/>
  <c r="S254" i="1"/>
  <c r="R254" i="1"/>
  <c r="Q254" i="1"/>
  <c r="P254" i="1"/>
  <c r="S253" i="1"/>
  <c r="R253" i="1"/>
  <c r="Q253" i="1"/>
  <c r="P253" i="1"/>
  <c r="S252" i="1"/>
  <c r="R252" i="1"/>
  <c r="Q252" i="1"/>
  <c r="P252" i="1"/>
  <c r="S251" i="1"/>
  <c r="R251" i="1"/>
  <c r="Q251" i="1"/>
  <c r="P251" i="1"/>
  <c r="S250" i="1"/>
  <c r="R250" i="1"/>
  <c r="Q250" i="1"/>
  <c r="P250" i="1"/>
  <c r="S249" i="1"/>
  <c r="R249" i="1"/>
  <c r="Q249" i="1"/>
  <c r="P249" i="1"/>
  <c r="S248" i="1"/>
  <c r="R248" i="1"/>
  <c r="Q248" i="1"/>
  <c r="P248" i="1"/>
  <c r="S247" i="1"/>
  <c r="R247" i="1"/>
  <c r="Q247" i="1"/>
  <c r="P247" i="1"/>
  <c r="S246" i="1"/>
  <c r="R246" i="1"/>
  <c r="Q246" i="1"/>
  <c r="P246" i="1"/>
  <c r="S245" i="1"/>
  <c r="R245" i="1"/>
  <c r="Q245" i="1"/>
  <c r="P245" i="1"/>
  <c r="S244" i="1"/>
  <c r="R244" i="1"/>
  <c r="Q244" i="1"/>
  <c r="P244" i="1"/>
  <c r="S243" i="1"/>
  <c r="R243" i="1"/>
  <c r="Q243" i="1"/>
  <c r="P243" i="1"/>
  <c r="S242" i="1"/>
  <c r="R242" i="1"/>
  <c r="Q242" i="1"/>
  <c r="P242" i="1"/>
  <c r="S241" i="1"/>
  <c r="R241" i="1"/>
  <c r="Q241" i="1"/>
  <c r="P241" i="1"/>
  <c r="S240" i="1"/>
  <c r="R240" i="1"/>
  <c r="Q240" i="1"/>
  <c r="P240" i="1"/>
  <c r="S239" i="1"/>
  <c r="R239" i="1"/>
  <c r="Q239" i="1"/>
  <c r="P239" i="1"/>
  <c r="S238" i="1"/>
  <c r="R238" i="1"/>
  <c r="Q238" i="1"/>
  <c r="P238" i="1"/>
  <c r="S237" i="1"/>
  <c r="R237" i="1"/>
  <c r="Q237" i="1"/>
  <c r="P237" i="1"/>
  <c r="S236" i="1"/>
  <c r="R236" i="1"/>
  <c r="Q236" i="1"/>
  <c r="P236" i="1"/>
  <c r="S235" i="1"/>
  <c r="R235" i="1"/>
  <c r="Q235" i="1"/>
  <c r="P235" i="1"/>
  <c r="S234" i="1"/>
  <c r="R234" i="1"/>
  <c r="Q234" i="1"/>
  <c r="P234" i="1"/>
  <c r="S233" i="1"/>
  <c r="R233" i="1"/>
  <c r="Q233" i="1"/>
  <c r="P233" i="1"/>
  <c r="S232" i="1"/>
  <c r="R232" i="1"/>
  <c r="Q232" i="1"/>
  <c r="P232" i="1"/>
  <c r="S231" i="1"/>
  <c r="R231" i="1"/>
  <c r="Q231" i="1"/>
  <c r="P231" i="1"/>
  <c r="S230" i="1"/>
  <c r="R230" i="1"/>
  <c r="Q230" i="1"/>
  <c r="P230" i="1"/>
  <c r="S229" i="1"/>
  <c r="R229" i="1"/>
  <c r="Q229" i="1"/>
  <c r="P229" i="1"/>
  <c r="S228" i="1"/>
  <c r="R228" i="1"/>
  <c r="Q228" i="1"/>
  <c r="P228" i="1"/>
  <c r="S227" i="1"/>
  <c r="R227" i="1"/>
  <c r="Q227" i="1"/>
  <c r="P227" i="1"/>
  <c r="S226" i="1"/>
  <c r="R226" i="1"/>
  <c r="Q226" i="1"/>
  <c r="P226" i="1"/>
  <c r="S225" i="1"/>
  <c r="R225" i="1"/>
  <c r="Q225" i="1"/>
  <c r="P225" i="1"/>
  <c r="S224" i="1"/>
  <c r="R224" i="1"/>
  <c r="Q224" i="1"/>
  <c r="P224" i="1"/>
  <c r="S223" i="1"/>
  <c r="R223" i="1"/>
  <c r="Q223" i="1"/>
  <c r="P223" i="1"/>
  <c r="S222" i="1"/>
  <c r="R222" i="1"/>
  <c r="Q222" i="1"/>
  <c r="P222" i="1"/>
  <c r="S221" i="1"/>
  <c r="R221" i="1"/>
  <c r="Q221" i="1"/>
  <c r="P221" i="1"/>
  <c r="S220" i="1"/>
  <c r="R220" i="1"/>
  <c r="Q220" i="1"/>
  <c r="P220" i="1"/>
  <c r="S219" i="1"/>
  <c r="R219" i="1"/>
  <c r="Q219" i="1"/>
  <c r="P219" i="1"/>
  <c r="S218" i="1"/>
  <c r="R218" i="1"/>
  <c r="Q218" i="1"/>
  <c r="P218" i="1"/>
  <c r="S217" i="1"/>
  <c r="R217" i="1"/>
  <c r="Q217" i="1"/>
  <c r="P217" i="1"/>
  <c r="S216" i="1"/>
  <c r="R216" i="1"/>
  <c r="Q216" i="1"/>
  <c r="P216" i="1"/>
  <c r="S215" i="1"/>
  <c r="R215" i="1"/>
  <c r="Q215" i="1"/>
  <c r="P215" i="1"/>
  <c r="S214" i="1"/>
  <c r="R214" i="1"/>
  <c r="Q214" i="1"/>
  <c r="P214" i="1"/>
  <c r="S213" i="1"/>
  <c r="R213" i="1"/>
  <c r="Q213" i="1"/>
  <c r="P213" i="1"/>
  <c r="S212" i="1"/>
  <c r="R212" i="1"/>
  <c r="Q212" i="1"/>
  <c r="P212" i="1"/>
  <c r="S211" i="1"/>
  <c r="R211" i="1"/>
  <c r="Q211" i="1"/>
  <c r="P211" i="1"/>
  <c r="S210" i="1"/>
  <c r="R210" i="1"/>
  <c r="Q210" i="1"/>
  <c r="P210" i="1"/>
  <c r="S209" i="1"/>
  <c r="R209" i="1"/>
  <c r="Q209" i="1"/>
  <c r="P209" i="1"/>
  <c r="S208" i="1"/>
  <c r="R208" i="1"/>
  <c r="Q208" i="1"/>
  <c r="P208" i="1"/>
  <c r="S207" i="1"/>
  <c r="R207" i="1"/>
  <c r="Q207" i="1"/>
  <c r="P207" i="1"/>
  <c r="S206" i="1"/>
  <c r="R206" i="1"/>
  <c r="Q206" i="1"/>
  <c r="P206" i="1"/>
  <c r="S205" i="1"/>
  <c r="R205" i="1"/>
  <c r="Q205" i="1"/>
  <c r="P205" i="1"/>
  <c r="S204" i="1"/>
  <c r="R204" i="1"/>
  <c r="Q204" i="1"/>
  <c r="P204" i="1"/>
  <c r="S203" i="1"/>
  <c r="R203" i="1"/>
  <c r="Q203" i="1"/>
  <c r="P203" i="1"/>
  <c r="S202" i="1"/>
  <c r="R202" i="1"/>
  <c r="Q202" i="1"/>
  <c r="P202" i="1"/>
  <c r="S201" i="1"/>
  <c r="R201" i="1"/>
  <c r="Q201" i="1"/>
  <c r="P201" i="1"/>
  <c r="S200" i="1"/>
  <c r="R200" i="1"/>
  <c r="Q200" i="1"/>
  <c r="P200" i="1"/>
  <c r="S199" i="1"/>
  <c r="R199" i="1"/>
  <c r="Q199" i="1"/>
  <c r="P199" i="1"/>
  <c r="S198" i="1"/>
  <c r="R198" i="1"/>
  <c r="Q198" i="1"/>
  <c r="P198" i="1"/>
  <c r="S197" i="1"/>
  <c r="R197" i="1"/>
  <c r="Q197" i="1"/>
  <c r="P197" i="1"/>
  <c r="S196" i="1"/>
  <c r="R196" i="1"/>
  <c r="Q196" i="1"/>
  <c r="P196" i="1"/>
  <c r="S195" i="1"/>
  <c r="R195" i="1"/>
  <c r="Q195" i="1"/>
  <c r="P195" i="1"/>
  <c r="S194" i="1"/>
  <c r="R194" i="1"/>
  <c r="Q194" i="1"/>
  <c r="P194" i="1"/>
  <c r="S193" i="1"/>
  <c r="R193" i="1"/>
  <c r="Q193" i="1"/>
  <c r="P193" i="1"/>
  <c r="S192" i="1"/>
  <c r="R192" i="1"/>
  <c r="Q192" i="1"/>
  <c r="P192" i="1"/>
  <c r="S191" i="1"/>
  <c r="R191" i="1"/>
  <c r="Q191" i="1"/>
  <c r="P191" i="1"/>
  <c r="S190" i="1"/>
  <c r="R190" i="1"/>
  <c r="Q190" i="1"/>
  <c r="P190" i="1"/>
  <c r="S189" i="1"/>
  <c r="R189" i="1"/>
  <c r="Q189" i="1"/>
  <c r="P189" i="1"/>
  <c r="S188" i="1"/>
  <c r="R188" i="1"/>
  <c r="Q188" i="1"/>
  <c r="P188" i="1"/>
  <c r="S187" i="1"/>
  <c r="R187" i="1"/>
  <c r="Q187" i="1"/>
  <c r="P187" i="1"/>
  <c r="S186" i="1"/>
  <c r="R186" i="1"/>
  <c r="Q186" i="1"/>
  <c r="P186" i="1"/>
  <c r="S185" i="1"/>
  <c r="R185" i="1"/>
  <c r="Q185" i="1"/>
  <c r="P185" i="1"/>
  <c r="S184" i="1"/>
  <c r="R184" i="1"/>
  <c r="Q184" i="1"/>
  <c r="P184" i="1"/>
  <c r="S183" i="1"/>
  <c r="R183" i="1"/>
  <c r="Q183" i="1"/>
  <c r="P183" i="1"/>
  <c r="S182" i="1"/>
  <c r="R182" i="1"/>
  <c r="Q182" i="1"/>
  <c r="P182" i="1"/>
  <c r="S181" i="1"/>
  <c r="R181" i="1"/>
  <c r="Q181" i="1"/>
  <c r="P181" i="1"/>
  <c r="S180" i="1"/>
  <c r="R180" i="1"/>
  <c r="Q180" i="1"/>
  <c r="P180" i="1"/>
  <c r="S179" i="1"/>
  <c r="R179" i="1"/>
  <c r="Q179" i="1"/>
  <c r="P179" i="1"/>
  <c r="S178" i="1"/>
  <c r="R178" i="1"/>
  <c r="Q178" i="1"/>
  <c r="P178" i="1"/>
  <c r="S177" i="1"/>
  <c r="R177" i="1"/>
  <c r="Q177" i="1"/>
  <c r="P177" i="1"/>
  <c r="S176" i="1"/>
  <c r="R176" i="1"/>
  <c r="Q176" i="1"/>
  <c r="P176" i="1"/>
  <c r="S175" i="1"/>
  <c r="R175" i="1"/>
  <c r="Q175" i="1"/>
  <c r="P175" i="1"/>
  <c r="S174" i="1"/>
  <c r="R174" i="1"/>
  <c r="Q174" i="1"/>
  <c r="P174" i="1"/>
  <c r="S173" i="1"/>
  <c r="R173" i="1"/>
  <c r="Q173" i="1"/>
  <c r="P173" i="1"/>
  <c r="S172" i="1"/>
  <c r="R172" i="1"/>
  <c r="Q172" i="1"/>
  <c r="P172" i="1"/>
  <c r="S171" i="1"/>
  <c r="R171" i="1"/>
  <c r="Q171" i="1"/>
  <c r="P171" i="1"/>
  <c r="S170" i="1"/>
  <c r="R170" i="1"/>
  <c r="Q170" i="1"/>
  <c r="P170" i="1"/>
  <c r="S169" i="1"/>
  <c r="R169" i="1"/>
  <c r="Q169" i="1"/>
  <c r="P169" i="1"/>
  <c r="S168" i="1"/>
  <c r="R168" i="1"/>
  <c r="Q168" i="1"/>
  <c r="P168" i="1"/>
  <c r="S167" i="1"/>
  <c r="R167" i="1"/>
  <c r="Q167" i="1"/>
  <c r="P167" i="1"/>
  <c r="S166" i="1"/>
  <c r="R166" i="1"/>
  <c r="Q166" i="1"/>
  <c r="P166" i="1"/>
  <c r="S165" i="1"/>
  <c r="R165" i="1"/>
  <c r="Q165" i="1"/>
  <c r="P165" i="1"/>
  <c r="S164" i="1"/>
  <c r="R164" i="1"/>
  <c r="Q164" i="1"/>
  <c r="P164" i="1"/>
  <c r="S163" i="1"/>
  <c r="R163" i="1"/>
  <c r="Q163" i="1"/>
  <c r="P163" i="1"/>
  <c r="S162" i="1"/>
  <c r="R162" i="1"/>
  <c r="Q162" i="1"/>
  <c r="P162" i="1"/>
  <c r="S161" i="1"/>
  <c r="R161" i="1"/>
  <c r="Q161" i="1"/>
  <c r="P161" i="1"/>
  <c r="S160" i="1"/>
  <c r="R160" i="1"/>
  <c r="Q160" i="1"/>
  <c r="P160" i="1"/>
  <c r="S159" i="1"/>
  <c r="R159" i="1"/>
  <c r="Q159" i="1"/>
  <c r="P159" i="1"/>
  <c r="S158" i="1"/>
  <c r="R158" i="1"/>
  <c r="Q158" i="1"/>
  <c r="P158" i="1"/>
  <c r="S157" i="1"/>
  <c r="R157" i="1"/>
  <c r="Q157" i="1"/>
  <c r="P157" i="1"/>
  <c r="S156" i="1"/>
  <c r="R156" i="1"/>
  <c r="Q156" i="1"/>
  <c r="P156" i="1"/>
  <c r="S155" i="1"/>
  <c r="R155" i="1"/>
  <c r="Q155" i="1"/>
  <c r="P155" i="1"/>
  <c r="S154" i="1"/>
  <c r="R154" i="1"/>
  <c r="Q154" i="1"/>
  <c r="P154" i="1"/>
  <c r="S153" i="1"/>
  <c r="R153" i="1"/>
  <c r="Q153" i="1"/>
  <c r="P153" i="1"/>
  <c r="S152" i="1"/>
  <c r="R152" i="1"/>
  <c r="Q152" i="1"/>
  <c r="P152" i="1"/>
  <c r="S151" i="1"/>
  <c r="R151" i="1"/>
  <c r="Q151" i="1"/>
  <c r="P151" i="1"/>
  <c r="S150" i="1"/>
  <c r="R150" i="1"/>
  <c r="Q150" i="1"/>
  <c r="P150" i="1"/>
  <c r="S149" i="1"/>
  <c r="R149" i="1"/>
  <c r="Q149" i="1"/>
  <c r="P149" i="1"/>
  <c r="S148" i="1"/>
  <c r="R148" i="1"/>
  <c r="Q148" i="1"/>
  <c r="P148" i="1"/>
  <c r="S147" i="1"/>
  <c r="R147" i="1"/>
  <c r="Q147" i="1"/>
  <c r="P147" i="1"/>
  <c r="S146" i="1"/>
  <c r="R146" i="1"/>
  <c r="Q146" i="1"/>
  <c r="P146" i="1"/>
  <c r="S145" i="1"/>
  <c r="R145" i="1"/>
  <c r="Q145" i="1"/>
  <c r="P145" i="1"/>
  <c r="S144" i="1"/>
  <c r="R144" i="1"/>
  <c r="Q144" i="1"/>
  <c r="P144" i="1"/>
  <c r="S143" i="1"/>
  <c r="R143" i="1"/>
  <c r="Q143" i="1"/>
  <c r="P143" i="1"/>
  <c r="S142" i="1"/>
  <c r="R142" i="1"/>
  <c r="Q142" i="1"/>
  <c r="P142" i="1"/>
  <c r="S141" i="1"/>
  <c r="R141" i="1"/>
  <c r="Q141" i="1"/>
  <c r="P141" i="1"/>
  <c r="S140" i="1"/>
  <c r="R140" i="1"/>
  <c r="Q140" i="1"/>
  <c r="P140" i="1"/>
  <c r="S139" i="1"/>
  <c r="R139" i="1"/>
  <c r="Q139" i="1"/>
  <c r="P139" i="1"/>
  <c r="S138" i="1"/>
  <c r="R138" i="1"/>
  <c r="Q138" i="1"/>
  <c r="P138" i="1"/>
  <c r="S137" i="1"/>
  <c r="R137" i="1"/>
  <c r="Q137" i="1"/>
  <c r="P137" i="1"/>
  <c r="S136" i="1"/>
  <c r="R136" i="1"/>
  <c r="Q136" i="1"/>
  <c r="P136" i="1"/>
  <c r="S135" i="1"/>
  <c r="R135" i="1"/>
  <c r="Q135" i="1"/>
  <c r="P135" i="1"/>
  <c r="S134" i="1"/>
  <c r="R134" i="1"/>
  <c r="Q134" i="1"/>
  <c r="P134" i="1"/>
  <c r="S133" i="1"/>
  <c r="R133" i="1"/>
  <c r="Q133" i="1"/>
  <c r="P133" i="1"/>
  <c r="S132" i="1"/>
  <c r="R132" i="1"/>
  <c r="Q132" i="1"/>
  <c r="P132" i="1"/>
  <c r="S131" i="1"/>
  <c r="R131" i="1"/>
  <c r="Q131" i="1"/>
  <c r="P131" i="1"/>
  <c r="S130" i="1"/>
  <c r="R130" i="1"/>
  <c r="Q130" i="1"/>
  <c r="P130" i="1"/>
  <c r="S129" i="1"/>
  <c r="R129" i="1"/>
  <c r="Q129" i="1"/>
  <c r="P129" i="1"/>
  <c r="S128" i="1"/>
  <c r="R128" i="1"/>
  <c r="Q128" i="1"/>
  <c r="P128" i="1"/>
  <c r="S127" i="1"/>
  <c r="R127" i="1"/>
  <c r="Q127" i="1"/>
  <c r="P127" i="1"/>
  <c r="S126" i="1"/>
  <c r="R126" i="1"/>
  <c r="Q126" i="1"/>
  <c r="P126" i="1"/>
  <c r="S125" i="1"/>
  <c r="R125" i="1"/>
  <c r="Q125" i="1"/>
  <c r="P125" i="1"/>
  <c r="S124" i="1"/>
  <c r="R124" i="1"/>
  <c r="Q124" i="1"/>
  <c r="P124" i="1"/>
  <c r="S123" i="1"/>
  <c r="R123" i="1"/>
  <c r="Q123" i="1"/>
  <c r="P123" i="1"/>
  <c r="S122" i="1"/>
  <c r="R122" i="1"/>
  <c r="Q122" i="1"/>
  <c r="P122" i="1"/>
  <c r="S121" i="1"/>
  <c r="R121" i="1"/>
  <c r="Q121" i="1"/>
  <c r="P121" i="1"/>
  <c r="S120" i="1"/>
  <c r="R120" i="1"/>
  <c r="Q120" i="1"/>
  <c r="P120" i="1"/>
  <c r="S119" i="1"/>
  <c r="R119" i="1"/>
  <c r="Q119" i="1"/>
  <c r="P119" i="1"/>
  <c r="S118" i="1"/>
  <c r="R118" i="1"/>
  <c r="Q118" i="1"/>
  <c r="P118" i="1"/>
  <c r="S117" i="1"/>
  <c r="R117" i="1"/>
  <c r="Q117" i="1"/>
  <c r="P117" i="1"/>
  <c r="S116" i="1"/>
  <c r="R116" i="1"/>
  <c r="Q116" i="1"/>
  <c r="P116" i="1"/>
  <c r="S115" i="1"/>
  <c r="R115" i="1"/>
  <c r="Q115" i="1"/>
  <c r="P115" i="1"/>
  <c r="S114" i="1"/>
  <c r="R114" i="1"/>
  <c r="Q114" i="1"/>
  <c r="P114" i="1"/>
  <c r="S113" i="1"/>
  <c r="R113" i="1"/>
  <c r="Q113" i="1"/>
  <c r="P113" i="1"/>
  <c r="S112" i="1"/>
  <c r="R112" i="1"/>
  <c r="Q112" i="1"/>
  <c r="P112" i="1"/>
  <c r="S111" i="1"/>
  <c r="R111" i="1"/>
  <c r="Q111" i="1"/>
  <c r="P111" i="1"/>
  <c r="S110" i="1"/>
  <c r="R110" i="1"/>
  <c r="Q110" i="1"/>
  <c r="P110" i="1"/>
  <c r="S109" i="1"/>
  <c r="R109" i="1"/>
  <c r="Q109" i="1"/>
  <c r="P109" i="1"/>
  <c r="S108" i="1"/>
  <c r="R108" i="1"/>
  <c r="Q108" i="1"/>
  <c r="P108" i="1"/>
  <c r="S107" i="1"/>
  <c r="R107" i="1"/>
  <c r="Q107" i="1"/>
  <c r="P107" i="1"/>
  <c r="S106" i="1"/>
  <c r="R106" i="1"/>
  <c r="Q106" i="1"/>
  <c r="P106" i="1"/>
  <c r="S105" i="1"/>
  <c r="R105" i="1"/>
  <c r="Q105" i="1"/>
  <c r="P105" i="1"/>
  <c r="S104" i="1"/>
  <c r="R104" i="1"/>
  <c r="Q104" i="1"/>
  <c r="P104" i="1"/>
  <c r="S103" i="1"/>
  <c r="R103" i="1"/>
  <c r="Q103" i="1"/>
  <c r="P103" i="1"/>
  <c r="S102" i="1"/>
  <c r="R102" i="1"/>
  <c r="Q102" i="1"/>
  <c r="P102" i="1"/>
  <c r="S101" i="1"/>
  <c r="R101" i="1"/>
  <c r="Q101" i="1"/>
  <c r="P101" i="1"/>
  <c r="S100" i="1"/>
  <c r="R100" i="1"/>
  <c r="Q100" i="1"/>
  <c r="P100" i="1"/>
  <c r="S99" i="1"/>
  <c r="R99" i="1"/>
  <c r="Q99" i="1"/>
  <c r="P99" i="1"/>
  <c r="S98" i="1"/>
  <c r="R98" i="1"/>
  <c r="Q98" i="1"/>
  <c r="P98" i="1"/>
  <c r="S97" i="1"/>
  <c r="R97" i="1"/>
  <c r="Q97" i="1"/>
  <c r="P97" i="1"/>
  <c r="S96" i="1"/>
  <c r="R96" i="1"/>
  <c r="Q96" i="1"/>
  <c r="P96" i="1"/>
  <c r="S95" i="1"/>
  <c r="R95" i="1"/>
  <c r="Q95" i="1"/>
  <c r="P95" i="1"/>
  <c r="S94" i="1"/>
  <c r="R94" i="1"/>
  <c r="Q94" i="1"/>
  <c r="P94" i="1"/>
  <c r="S93" i="1"/>
  <c r="R93" i="1"/>
  <c r="Q93" i="1"/>
  <c r="P93" i="1"/>
  <c r="S92" i="1"/>
  <c r="R92" i="1"/>
  <c r="Q92" i="1"/>
  <c r="P92" i="1"/>
  <c r="S91" i="1"/>
  <c r="R91" i="1"/>
  <c r="Q91" i="1"/>
  <c r="P91" i="1"/>
  <c r="S90" i="1"/>
  <c r="R90" i="1"/>
  <c r="Q90" i="1"/>
  <c r="P90" i="1"/>
  <c r="S89" i="1"/>
  <c r="R89" i="1"/>
  <c r="Q89" i="1"/>
  <c r="P89" i="1"/>
  <c r="S88" i="1"/>
  <c r="R88" i="1"/>
  <c r="Q88" i="1"/>
  <c r="P88" i="1"/>
  <c r="S87" i="1"/>
  <c r="R87" i="1"/>
  <c r="Q87" i="1"/>
  <c r="P87" i="1"/>
  <c r="S86" i="1"/>
  <c r="R86" i="1"/>
  <c r="Q86" i="1"/>
  <c r="P86" i="1"/>
  <c r="S85" i="1"/>
  <c r="R85" i="1"/>
  <c r="Q85" i="1"/>
  <c r="P85" i="1"/>
  <c r="S84" i="1"/>
  <c r="R84" i="1"/>
  <c r="Q84" i="1"/>
  <c r="P84" i="1"/>
  <c r="S83" i="1"/>
  <c r="R83" i="1"/>
  <c r="Q83" i="1"/>
  <c r="P83" i="1"/>
  <c r="S82" i="1"/>
  <c r="R82" i="1"/>
  <c r="Q82" i="1"/>
  <c r="P82" i="1"/>
  <c r="S81" i="1"/>
  <c r="R81" i="1"/>
  <c r="Q81" i="1"/>
  <c r="P81" i="1"/>
  <c r="S80" i="1"/>
  <c r="R80" i="1"/>
  <c r="Q80" i="1"/>
  <c r="P80" i="1"/>
  <c r="S79" i="1"/>
  <c r="R79" i="1"/>
  <c r="Q79" i="1"/>
  <c r="P79" i="1"/>
  <c r="S78" i="1"/>
  <c r="R78" i="1"/>
  <c r="Q78" i="1"/>
  <c r="P78" i="1"/>
  <c r="S77" i="1"/>
  <c r="R77" i="1"/>
  <c r="Q77" i="1"/>
  <c r="P77" i="1"/>
  <c r="S76" i="1"/>
  <c r="R76" i="1"/>
  <c r="Q76" i="1"/>
  <c r="P76" i="1"/>
  <c r="S75" i="1"/>
  <c r="R75" i="1"/>
  <c r="Q75" i="1"/>
  <c r="P75" i="1"/>
  <c r="S74" i="1"/>
  <c r="R74" i="1"/>
  <c r="Q74" i="1"/>
  <c r="P74" i="1"/>
  <c r="S73" i="1"/>
  <c r="R73" i="1"/>
  <c r="Q73" i="1"/>
  <c r="P73" i="1"/>
  <c r="S72" i="1"/>
  <c r="R72" i="1"/>
  <c r="Q72" i="1"/>
  <c r="P72" i="1"/>
  <c r="S71" i="1"/>
  <c r="R71" i="1"/>
  <c r="Q71" i="1"/>
  <c r="P71" i="1"/>
  <c r="S70" i="1"/>
  <c r="R70" i="1"/>
  <c r="Q70" i="1"/>
  <c r="P70" i="1"/>
  <c r="S69" i="1"/>
  <c r="R69" i="1"/>
  <c r="Q69" i="1"/>
  <c r="P69" i="1"/>
  <c r="S68" i="1"/>
  <c r="R68" i="1"/>
  <c r="Q68" i="1"/>
  <c r="P68" i="1"/>
  <c r="S67" i="1"/>
  <c r="R67" i="1"/>
  <c r="Q67" i="1"/>
  <c r="P67" i="1"/>
  <c r="S66" i="1"/>
  <c r="R66" i="1"/>
  <c r="Q66" i="1"/>
  <c r="P66" i="1"/>
  <c r="S65" i="1"/>
  <c r="R65" i="1"/>
  <c r="Q65" i="1"/>
  <c r="P65" i="1"/>
  <c r="S64" i="1"/>
  <c r="R64" i="1"/>
  <c r="Q64" i="1"/>
  <c r="P64" i="1"/>
  <c r="S63" i="1"/>
  <c r="R63" i="1"/>
  <c r="Q63" i="1"/>
  <c r="P63" i="1"/>
  <c r="S62" i="1"/>
  <c r="R62" i="1"/>
  <c r="Q62" i="1"/>
  <c r="P62" i="1"/>
  <c r="S61" i="1"/>
  <c r="R61" i="1"/>
  <c r="Q61" i="1"/>
  <c r="P61" i="1"/>
  <c r="S60" i="1"/>
  <c r="R60" i="1"/>
  <c r="Q60" i="1"/>
  <c r="P60" i="1"/>
  <c r="S59" i="1"/>
  <c r="R59" i="1"/>
  <c r="Q59" i="1"/>
  <c r="P59" i="1"/>
  <c r="S58" i="1"/>
  <c r="R58" i="1"/>
  <c r="Q58" i="1"/>
  <c r="P58" i="1"/>
  <c r="S57" i="1"/>
  <c r="R57" i="1"/>
  <c r="Q57" i="1"/>
  <c r="P57" i="1"/>
  <c r="S56" i="1"/>
  <c r="R56" i="1"/>
  <c r="Q56" i="1"/>
  <c r="P56" i="1"/>
  <c r="S55" i="1"/>
  <c r="R55" i="1"/>
  <c r="Q55" i="1"/>
  <c r="P55" i="1"/>
  <c r="S54" i="1"/>
  <c r="R54" i="1"/>
  <c r="Q54" i="1"/>
  <c r="P54" i="1"/>
  <c r="S53" i="1"/>
  <c r="R53" i="1"/>
  <c r="Q53" i="1"/>
  <c r="P53" i="1"/>
  <c r="S52" i="1"/>
  <c r="R52" i="1"/>
  <c r="Q52" i="1"/>
  <c r="P52" i="1"/>
  <c r="S51" i="1"/>
  <c r="R51" i="1"/>
  <c r="Q51" i="1"/>
  <c r="P51" i="1"/>
  <c r="S50" i="1"/>
  <c r="R50" i="1"/>
  <c r="Q50" i="1"/>
  <c r="P50" i="1"/>
  <c r="S49" i="1"/>
  <c r="R49" i="1"/>
  <c r="Q49" i="1"/>
  <c r="P49" i="1"/>
  <c r="S48" i="1"/>
  <c r="R48" i="1"/>
  <c r="Q48" i="1"/>
  <c r="P48" i="1"/>
  <c r="S47" i="1"/>
  <c r="R47" i="1"/>
  <c r="Q47" i="1"/>
  <c r="P47" i="1"/>
  <c r="S46" i="1"/>
  <c r="R46" i="1"/>
  <c r="Q46" i="1"/>
  <c r="P46" i="1"/>
  <c r="S45" i="1"/>
  <c r="R45" i="1"/>
  <c r="Q45" i="1"/>
  <c r="P45" i="1"/>
  <c r="S44" i="1"/>
  <c r="R44" i="1"/>
  <c r="Q44" i="1"/>
  <c r="P44" i="1"/>
  <c r="S43" i="1"/>
  <c r="R43" i="1"/>
  <c r="Q43" i="1"/>
  <c r="P43" i="1"/>
  <c r="BE30" i="1"/>
  <c r="BC30" i="1"/>
  <c r="BF30" i="1" s="1"/>
  <c r="BG30" i="1" s="1"/>
  <c r="BH30" i="1" s="1"/>
  <c r="BI30" i="1" s="1"/>
  <c r="AA30" i="1"/>
  <c r="AN30" i="1" s="1"/>
  <c r="Z30" i="1"/>
  <c r="Y30" i="1"/>
  <c r="X30" i="1"/>
  <c r="AH30" i="1" s="1"/>
  <c r="W30" i="1"/>
  <c r="V30" i="1"/>
  <c r="AE30" i="1" s="1"/>
  <c r="U30" i="1"/>
  <c r="T30" i="1"/>
  <c r="AB30" i="1" s="1"/>
  <c r="S30" i="1"/>
  <c r="R30" i="1"/>
  <c r="Q30" i="1"/>
  <c r="P30" i="1"/>
  <c r="AC30" i="1" s="1"/>
  <c r="AD30" i="1" s="1"/>
  <c r="BE29" i="1"/>
  <c r="BC29" i="1"/>
  <c r="BF29" i="1" s="1"/>
  <c r="BG29" i="1" s="1"/>
  <c r="BH29" i="1" s="1"/>
  <c r="BI29" i="1" s="1"/>
  <c r="AH29" i="1"/>
  <c r="AA29" i="1"/>
  <c r="AN29" i="1" s="1"/>
  <c r="Z29" i="1"/>
  <c r="Y29" i="1"/>
  <c r="X29" i="1"/>
  <c r="W29" i="1"/>
  <c r="V29" i="1"/>
  <c r="AE29" i="1" s="1"/>
  <c r="U29" i="1"/>
  <c r="T29" i="1"/>
  <c r="AB29" i="1" s="1"/>
  <c r="S29" i="1"/>
  <c r="R29" i="1"/>
  <c r="Q29" i="1"/>
  <c r="P29" i="1"/>
  <c r="AC29" i="1" s="1"/>
  <c r="AD29" i="1" s="1"/>
  <c r="BE28" i="1"/>
  <c r="BC28" i="1"/>
  <c r="BF28" i="1" s="1"/>
  <c r="BG28" i="1" s="1"/>
  <c r="BH28" i="1" s="1"/>
  <c r="BI28" i="1" s="1"/>
  <c r="AH28" i="1"/>
  <c r="AA28" i="1"/>
  <c r="AN28" i="1" s="1"/>
  <c r="Z28" i="1"/>
  <c r="Y28" i="1"/>
  <c r="X28" i="1"/>
  <c r="W28" i="1"/>
  <c r="V28" i="1"/>
  <c r="U28" i="1"/>
  <c r="T28" i="1"/>
  <c r="AB28" i="1" s="1"/>
  <c r="S28" i="1"/>
  <c r="R28" i="1"/>
  <c r="Q28" i="1"/>
  <c r="P28" i="1"/>
  <c r="AR28" i="1" s="1"/>
  <c r="BE27" i="1"/>
  <c r="BC27" i="1"/>
  <c r="BF27" i="1" s="1"/>
  <c r="BG27" i="1" s="1"/>
  <c r="BH27" i="1" s="1"/>
  <c r="BI27" i="1" s="1"/>
  <c r="AH27" i="1"/>
  <c r="AA27" i="1"/>
  <c r="AN27" i="1" s="1"/>
  <c r="Z27" i="1"/>
  <c r="Y27" i="1"/>
  <c r="X27" i="1"/>
  <c r="W27" i="1"/>
  <c r="V27" i="1"/>
  <c r="AE27" i="1" s="1"/>
  <c r="U27" i="1"/>
  <c r="T27" i="1"/>
  <c r="AB27" i="1" s="1"/>
  <c r="S27" i="1"/>
  <c r="R27" i="1"/>
  <c r="AC27" i="1" s="1"/>
  <c r="AD27" i="1" s="1"/>
  <c r="Q27" i="1"/>
  <c r="P27" i="1"/>
  <c r="AR27" i="1" s="1"/>
  <c r="BE26" i="1"/>
  <c r="BF26" i="1" s="1"/>
  <c r="BG26" i="1" s="1"/>
  <c r="BH26" i="1" s="1"/>
  <c r="BI26" i="1" s="1"/>
  <c r="BC26" i="1"/>
  <c r="AC26" i="1"/>
  <c r="AD26" i="1" s="1"/>
  <c r="AA26" i="1"/>
  <c r="AN26" i="1" s="1"/>
  <c r="Z26" i="1"/>
  <c r="Y26" i="1"/>
  <c r="X26" i="1"/>
  <c r="W26" i="1"/>
  <c r="V26" i="1"/>
  <c r="U26" i="1"/>
  <c r="T26" i="1"/>
  <c r="AB26" i="1" s="1"/>
  <c r="S26" i="1"/>
  <c r="R26" i="1"/>
  <c r="Q26" i="1"/>
  <c r="P26" i="1"/>
  <c r="AR26" i="1" s="1"/>
  <c r="BE25" i="1"/>
  <c r="BF25" i="1" s="1"/>
  <c r="BG25" i="1" s="1"/>
  <c r="BH25" i="1" s="1"/>
  <c r="BI25" i="1" s="1"/>
  <c r="BC25" i="1"/>
  <c r="AN25" i="1"/>
  <c r="AA25" i="1"/>
  <c r="Z25" i="1"/>
  <c r="Y25" i="1"/>
  <c r="X25" i="1"/>
  <c r="W25" i="1"/>
  <c r="V25" i="1"/>
  <c r="U25" i="1"/>
  <c r="T25" i="1"/>
  <c r="AC25" i="1" s="1"/>
  <c r="AD25" i="1" s="1"/>
  <c r="S25" i="1"/>
  <c r="R25" i="1"/>
  <c r="AR25" i="1" s="1"/>
  <c r="Q25" i="1"/>
  <c r="P25" i="1"/>
  <c r="BE24" i="1"/>
  <c r="BC24" i="1"/>
  <c r="BF24" i="1" s="1"/>
  <c r="BG24" i="1" s="1"/>
  <c r="BH24" i="1" s="1"/>
  <c r="BI24" i="1" s="1"/>
  <c r="AN24" i="1"/>
  <c r="AC24" i="1"/>
  <c r="AD24" i="1" s="1"/>
  <c r="AA24" i="1"/>
  <c r="Z24" i="1"/>
  <c r="Y24" i="1"/>
  <c r="X24" i="1"/>
  <c r="W24" i="1"/>
  <c r="V24" i="1"/>
  <c r="U24" i="1"/>
  <c r="T24" i="1"/>
  <c r="AB24" i="1" s="1"/>
  <c r="AE71" i="1" s="1"/>
  <c r="AF71" i="1" s="1"/>
  <c r="S24" i="1"/>
  <c r="R24" i="1"/>
  <c r="AR24" i="1" s="1"/>
  <c r="Q24" i="1"/>
  <c r="P24" i="1"/>
  <c r="BE23" i="1"/>
  <c r="BC23" i="1"/>
  <c r="BF23" i="1" s="1"/>
  <c r="BG23" i="1" s="1"/>
  <c r="BH23" i="1" s="1"/>
  <c r="BI23" i="1" s="1"/>
  <c r="AN23" i="1"/>
  <c r="AA23" i="1"/>
  <c r="Z23" i="1"/>
  <c r="Y23" i="1"/>
  <c r="X23" i="1"/>
  <c r="W23" i="1"/>
  <c r="V23" i="1"/>
  <c r="U23" i="1"/>
  <c r="T23" i="1"/>
  <c r="AB23" i="1" s="1"/>
  <c r="AE70" i="1" s="1"/>
  <c r="AF70" i="1" s="1"/>
  <c r="S23" i="1"/>
  <c r="R23" i="1"/>
  <c r="AC23" i="1" s="1"/>
  <c r="AD23" i="1" s="1"/>
  <c r="Q23" i="1"/>
  <c r="P23" i="1"/>
  <c r="AR23" i="1" s="1"/>
  <c r="BE22" i="1"/>
  <c r="BC22" i="1"/>
  <c r="BF22" i="1" s="1"/>
  <c r="BG22" i="1" s="1"/>
  <c r="BH22" i="1" s="1"/>
  <c r="BI22" i="1" s="1"/>
  <c r="AA22" i="1"/>
  <c r="AN22" i="1" s="1"/>
  <c r="Z22" i="1"/>
  <c r="Y22" i="1"/>
  <c r="X22" i="1"/>
  <c r="AH22" i="1" s="1"/>
  <c r="W22" i="1"/>
  <c r="V22" i="1"/>
  <c r="U22" i="1"/>
  <c r="T22" i="1"/>
  <c r="AB22" i="1" s="1"/>
  <c r="AE69" i="1" s="1"/>
  <c r="AF69" i="1" s="1"/>
  <c r="S22" i="1"/>
  <c r="R22" i="1"/>
  <c r="AC22" i="1" s="1"/>
  <c r="AD22" i="1" s="1"/>
  <c r="Q22" i="1"/>
  <c r="P22" i="1"/>
  <c r="BE21" i="1"/>
  <c r="BC21" i="1"/>
  <c r="BF21" i="1" s="1"/>
  <c r="BG21" i="1" s="1"/>
  <c r="BH21" i="1" s="1"/>
  <c r="BI21" i="1" s="1"/>
  <c r="AR21" i="1"/>
  <c r="AQ21" i="1" s="1"/>
  <c r="AC21" i="1"/>
  <c r="AD21" i="1" s="1"/>
  <c r="AA21" i="1"/>
  <c r="AN21" i="1" s="1"/>
  <c r="Z21" i="1"/>
  <c r="Y21" i="1"/>
  <c r="X21" i="1"/>
  <c r="W21" i="1"/>
  <c r="V21" i="1"/>
  <c r="U21" i="1"/>
  <c r="T21" i="1"/>
  <c r="AB21" i="1" s="1"/>
  <c r="AE68" i="1" s="1"/>
  <c r="AF68" i="1" s="1"/>
  <c r="S21" i="1"/>
  <c r="R21" i="1"/>
  <c r="Q21" i="1"/>
  <c r="P21" i="1"/>
  <c r="BE20" i="1"/>
  <c r="BC20" i="1"/>
  <c r="BF20" i="1" s="1"/>
  <c r="BG20" i="1" s="1"/>
  <c r="BH20" i="1" s="1"/>
  <c r="BI20" i="1" s="1"/>
  <c r="AA20" i="1"/>
  <c r="Z20" i="1"/>
  <c r="AN20" i="1" s="1"/>
  <c r="Y20" i="1"/>
  <c r="X20" i="1"/>
  <c r="AH20" i="1" s="1"/>
  <c r="W20" i="1"/>
  <c r="V20" i="1"/>
  <c r="AE20" i="1" s="1"/>
  <c r="U20" i="1"/>
  <c r="T20" i="1"/>
  <c r="AB20" i="1" s="1"/>
  <c r="AE67" i="1" s="1"/>
  <c r="AF67" i="1" s="1"/>
  <c r="S20" i="1"/>
  <c r="R20" i="1"/>
  <c r="AC20" i="1" s="1"/>
  <c r="AD20" i="1" s="1"/>
  <c r="Q20" i="1"/>
  <c r="P20" i="1"/>
  <c r="BE19" i="1"/>
  <c r="BC19" i="1"/>
  <c r="BF19" i="1" s="1"/>
  <c r="BG19" i="1" s="1"/>
  <c r="BH19" i="1" s="1"/>
  <c r="BI19" i="1" s="1"/>
  <c r="AR19" i="1"/>
  <c r="AS19" i="1" s="1"/>
  <c r="AC19" i="1"/>
  <c r="AD19" i="1" s="1"/>
  <c r="AB19" i="1"/>
  <c r="AE66" i="1" s="1"/>
  <c r="AF66" i="1" s="1"/>
  <c r="AA19" i="1"/>
  <c r="AN19" i="1" s="1"/>
  <c r="Z19" i="1"/>
  <c r="Y19" i="1"/>
  <c r="X19" i="1"/>
  <c r="AH19" i="1" s="1"/>
  <c r="W19" i="1"/>
  <c r="V19" i="1"/>
  <c r="U19" i="1"/>
  <c r="T19" i="1"/>
  <c r="S19" i="1"/>
  <c r="R19" i="1"/>
  <c r="Q19" i="1"/>
  <c r="P19" i="1"/>
  <c r="BE18" i="1"/>
  <c r="BC18" i="1"/>
  <c r="BF18" i="1" s="1"/>
  <c r="BG18" i="1" s="1"/>
  <c r="BH18" i="1" s="1"/>
  <c r="BI18" i="1" s="1"/>
  <c r="AN18" i="1"/>
  <c r="AA18" i="1"/>
  <c r="Z18" i="1"/>
  <c r="Y18" i="1"/>
  <c r="X18" i="1"/>
  <c r="W18" i="1"/>
  <c r="V18" i="1"/>
  <c r="AE18" i="1" s="1"/>
  <c r="U18" i="1"/>
  <c r="T18" i="1"/>
  <c r="AB18" i="1" s="1"/>
  <c r="AE65" i="1" s="1"/>
  <c r="AF65" i="1" s="1"/>
  <c r="S18" i="1"/>
  <c r="R18" i="1"/>
  <c r="AC18" i="1" s="1"/>
  <c r="AD18" i="1" s="1"/>
  <c r="Q18" i="1"/>
  <c r="P18" i="1"/>
  <c r="BF17" i="1"/>
  <c r="BG17" i="1" s="1"/>
  <c r="BH17" i="1" s="1"/>
  <c r="BI17" i="1" s="1"/>
  <c r="BE17" i="1"/>
  <c r="BC17" i="1"/>
  <c r="AD17" i="1"/>
  <c r="AL17" i="1" s="1"/>
  <c r="AC17" i="1"/>
  <c r="AB17" i="1"/>
  <c r="AE64" i="1" s="1"/>
  <c r="AF64" i="1" s="1"/>
  <c r="AA17" i="1"/>
  <c r="AN17" i="1" s="1"/>
  <c r="Z17" i="1"/>
  <c r="Y17" i="1"/>
  <c r="X17" i="1"/>
  <c r="W17" i="1"/>
  <c r="V17" i="1"/>
  <c r="U17" i="1"/>
  <c r="T17" i="1"/>
  <c r="S17" i="1"/>
  <c r="R17" i="1"/>
  <c r="AR17" i="1" s="1"/>
  <c r="AQ17" i="1" s="1"/>
  <c r="Q17" i="1"/>
  <c r="P17" i="1"/>
  <c r="BF16" i="1"/>
  <c r="BG16" i="1" s="1"/>
  <c r="BH16" i="1" s="1"/>
  <c r="BI16" i="1" s="1"/>
  <c r="BE16" i="1"/>
  <c r="BC16" i="1"/>
  <c r="AN16" i="1"/>
  <c r="AA16" i="1"/>
  <c r="Z16" i="1"/>
  <c r="Y16" i="1"/>
  <c r="X16" i="1"/>
  <c r="W16" i="1"/>
  <c r="V16" i="1"/>
  <c r="AE16" i="1" s="1"/>
  <c r="U16" i="1"/>
  <c r="T16" i="1"/>
  <c r="AB16" i="1" s="1"/>
  <c r="AE63" i="1" s="1"/>
  <c r="AF63" i="1" s="1"/>
  <c r="S16" i="1"/>
  <c r="R16" i="1"/>
  <c r="AR16" i="1" s="1"/>
  <c r="AQ16" i="1" s="1"/>
  <c r="Q16" i="1"/>
  <c r="P16" i="1"/>
  <c r="AC16" i="1" s="1"/>
  <c r="AD16" i="1" s="1"/>
  <c r="BE15" i="1"/>
  <c r="BC15" i="1"/>
  <c r="BF15" i="1" s="1"/>
  <c r="BG15" i="1" s="1"/>
  <c r="BH15" i="1" s="1"/>
  <c r="BI15" i="1" s="1"/>
  <c r="AH15" i="1"/>
  <c r="AA15" i="1"/>
  <c r="AN15" i="1" s="1"/>
  <c r="Z15" i="1"/>
  <c r="Y15" i="1"/>
  <c r="X15" i="1"/>
  <c r="W15" i="1"/>
  <c r="V15" i="1"/>
  <c r="U15" i="1"/>
  <c r="T15" i="1"/>
  <c r="AB15" i="1" s="1"/>
  <c r="AE62" i="1" s="1"/>
  <c r="AF62" i="1" s="1"/>
  <c r="S15" i="1"/>
  <c r="R15" i="1"/>
  <c r="Q15" i="1"/>
  <c r="P15" i="1"/>
  <c r="AC15" i="1" s="1"/>
  <c r="AD15" i="1" s="1"/>
  <c r="BE14" i="1"/>
  <c r="BC14" i="1"/>
  <c r="BF14" i="1" s="1"/>
  <c r="BG14" i="1" s="1"/>
  <c r="BH14" i="1" s="1"/>
  <c r="BI14" i="1" s="1"/>
  <c r="AH14" i="1"/>
  <c r="AA14" i="1"/>
  <c r="Z14" i="1"/>
  <c r="AN14" i="1" s="1"/>
  <c r="Y14" i="1"/>
  <c r="X14" i="1"/>
  <c r="W14" i="1"/>
  <c r="V14" i="1"/>
  <c r="U14" i="1"/>
  <c r="T14" i="1"/>
  <c r="S14" i="1"/>
  <c r="R14" i="1"/>
  <c r="AB14" i="1" s="1"/>
  <c r="AE61" i="1" s="1"/>
  <c r="AF61" i="1" s="1"/>
  <c r="Q14" i="1"/>
  <c r="P14" i="1"/>
  <c r="AC14" i="1" s="1"/>
  <c r="AD14" i="1" s="1"/>
  <c r="BE13" i="1"/>
  <c r="BC13" i="1"/>
  <c r="BF13" i="1" s="1"/>
  <c r="BG13" i="1" s="1"/>
  <c r="BH13" i="1" s="1"/>
  <c r="BI13" i="1" s="1"/>
  <c r="AS13" i="1"/>
  <c r="AR13" i="1"/>
  <c r="AQ13" i="1" s="1"/>
  <c r="AO13" i="1"/>
  <c r="AH13" i="1"/>
  <c r="AB13" i="1"/>
  <c r="AE60" i="1" s="1"/>
  <c r="AF60" i="1" s="1"/>
  <c r="AA13" i="1"/>
  <c r="AN13" i="1" s="1"/>
  <c r="Z13" i="1"/>
  <c r="Y13" i="1"/>
  <c r="X13" i="1"/>
  <c r="W13" i="1"/>
  <c r="V13" i="1"/>
  <c r="U13" i="1"/>
  <c r="T13" i="1"/>
  <c r="S13" i="1"/>
  <c r="R13" i="1"/>
  <c r="Q13" i="1"/>
  <c r="P13" i="1"/>
  <c r="AC13" i="1" s="1"/>
  <c r="AD13" i="1" s="1"/>
  <c r="BE12" i="1"/>
  <c r="BC12" i="1"/>
  <c r="BF12" i="1" s="1"/>
  <c r="BG12" i="1" s="1"/>
  <c r="BH12" i="1" s="1"/>
  <c r="BI12" i="1" s="1"/>
  <c r="AH12" i="1"/>
  <c r="AA12" i="1"/>
  <c r="AN12" i="1" s="1"/>
  <c r="Z12" i="1"/>
  <c r="Y12" i="1"/>
  <c r="X12" i="1"/>
  <c r="W12" i="1"/>
  <c r="V12" i="1"/>
  <c r="U12" i="1"/>
  <c r="T12" i="1"/>
  <c r="AB12" i="1" s="1"/>
  <c r="AE59" i="1" s="1"/>
  <c r="AF59" i="1" s="1"/>
  <c r="S12" i="1"/>
  <c r="R12" i="1"/>
  <c r="Q12" i="1"/>
  <c r="AS12" i="1" s="1"/>
  <c r="AT12" i="1" s="1"/>
  <c r="P12" i="1"/>
  <c r="AR12" i="1" s="1"/>
  <c r="AQ12" i="1" s="1"/>
  <c r="BF11" i="1"/>
  <c r="BG11" i="1" s="1"/>
  <c r="BH11" i="1" s="1"/>
  <c r="BI11" i="1" s="1"/>
  <c r="BE11" i="1"/>
  <c r="BC11" i="1"/>
  <c r="AR11" i="1"/>
  <c r="AQ11" i="1"/>
  <c r="AH11" i="1"/>
  <c r="AC11" i="1"/>
  <c r="AD11" i="1" s="1"/>
  <c r="AB11" i="1"/>
  <c r="AE58" i="1" s="1"/>
  <c r="AF58" i="1" s="1"/>
  <c r="AA11" i="1"/>
  <c r="AN11" i="1" s="1"/>
  <c r="Z11" i="1"/>
  <c r="Y11" i="1"/>
  <c r="X11" i="1"/>
  <c r="W11" i="1"/>
  <c r="V11" i="1"/>
  <c r="U11" i="1"/>
  <c r="T11" i="1"/>
  <c r="S11" i="1"/>
  <c r="R11" i="1"/>
  <c r="Q11" i="1"/>
  <c r="AS11" i="1" s="1"/>
  <c r="AT11" i="1" s="1"/>
  <c r="P11" i="1"/>
  <c r="BF10" i="1"/>
  <c r="BG10" i="1" s="1"/>
  <c r="BH10" i="1" s="1"/>
  <c r="BI10" i="1" s="1"/>
  <c r="BE10" i="1"/>
  <c r="BC10" i="1"/>
  <c r="AH10" i="1"/>
  <c r="AA10" i="1"/>
  <c r="Z10" i="1"/>
  <c r="AN10" i="1" s="1"/>
  <c r="Y10" i="1"/>
  <c r="X10" i="1"/>
  <c r="W10" i="1"/>
  <c r="V10" i="1"/>
  <c r="AE10" i="1" s="1"/>
  <c r="U10" i="1"/>
  <c r="T10" i="1"/>
  <c r="AB10" i="1" s="1"/>
  <c r="AE57" i="1" s="1"/>
  <c r="AF57" i="1" s="1"/>
  <c r="S10" i="1"/>
  <c r="R10" i="1"/>
  <c r="AR10" i="1" s="1"/>
  <c r="AQ10" i="1" s="1"/>
  <c r="Q10" i="1"/>
  <c r="P10" i="1"/>
  <c r="AC10" i="1" s="1"/>
  <c r="AD10" i="1" s="1"/>
  <c r="BE9" i="1"/>
  <c r="BC9" i="1"/>
  <c r="BF9" i="1" s="1"/>
  <c r="BG9" i="1" s="1"/>
  <c r="BH9" i="1" s="1"/>
  <c r="BI9" i="1" s="1"/>
  <c r="AH9" i="1"/>
  <c r="AD9" i="1"/>
  <c r="AL9" i="1" s="1"/>
  <c r="AY9" i="1" s="1"/>
  <c r="AC9" i="1"/>
  <c r="AB9" i="1"/>
  <c r="AE56" i="1" s="1"/>
  <c r="AF56" i="1" s="1"/>
  <c r="AA9" i="1"/>
  <c r="AN9" i="1" s="1"/>
  <c r="Z9" i="1"/>
  <c r="Y9" i="1"/>
  <c r="X9" i="1"/>
  <c r="W9" i="1"/>
  <c r="V9" i="1"/>
  <c r="U9" i="1"/>
  <c r="T9" i="1"/>
  <c r="S9" i="1"/>
  <c r="R9" i="1"/>
  <c r="Q9" i="1"/>
  <c r="P9" i="1"/>
  <c r="AR9" i="1" s="1"/>
  <c r="BE8" i="1"/>
  <c r="BF8" i="1" s="1"/>
  <c r="BG8" i="1" s="1"/>
  <c r="BH8" i="1" s="1"/>
  <c r="BI8" i="1" s="1"/>
  <c r="BC8" i="1"/>
  <c r="AN8" i="1"/>
  <c r="AB8" i="1"/>
  <c r="AE55" i="1" s="1"/>
  <c r="AF55" i="1" s="1"/>
  <c r="AA8" i="1"/>
  <c r="Z8" i="1"/>
  <c r="Y8" i="1"/>
  <c r="X8" i="1"/>
  <c r="W8" i="1"/>
  <c r="V8" i="1"/>
  <c r="U8" i="1"/>
  <c r="T8" i="1"/>
  <c r="S8" i="1"/>
  <c r="R8" i="1"/>
  <c r="Q8" i="1"/>
  <c r="P8" i="1"/>
  <c r="AC8" i="1" s="1"/>
  <c r="AD8" i="1" s="1"/>
  <c r="BF7" i="1"/>
  <c r="BG7" i="1" s="1"/>
  <c r="BH7" i="1" s="1"/>
  <c r="BI7" i="1" s="1"/>
  <c r="BE7" i="1"/>
  <c r="BC7" i="1"/>
  <c r="AH7" i="1"/>
  <c r="AC7" i="1"/>
  <c r="AD7" i="1" s="1"/>
  <c r="AA7" i="1"/>
  <c r="AN7" i="1" s="1"/>
  <c r="Z7" i="1"/>
  <c r="Y7" i="1"/>
  <c r="X7" i="1"/>
  <c r="W7" i="1"/>
  <c r="V7" i="1"/>
  <c r="U7" i="1"/>
  <c r="T7" i="1"/>
  <c r="AB7" i="1" s="1"/>
  <c r="AE54" i="1" s="1"/>
  <c r="AF54" i="1" s="1"/>
  <c r="S7" i="1"/>
  <c r="R7" i="1"/>
  <c r="Q7" i="1"/>
  <c r="AS7" i="1" s="1"/>
  <c r="AT7" i="1" s="1"/>
  <c r="P7" i="1"/>
  <c r="AR7" i="1" s="1"/>
  <c r="AQ7" i="1" s="1"/>
  <c r="BE6" i="1"/>
  <c r="BC6" i="1"/>
  <c r="BF6" i="1" s="1"/>
  <c r="BG6" i="1" s="1"/>
  <c r="BH6" i="1" s="1"/>
  <c r="BI6" i="1" s="1"/>
  <c r="AR6" i="1"/>
  <c r="AS6" i="1" s="1"/>
  <c r="AT6" i="1" s="1"/>
  <c r="AQ6" i="1"/>
  <c r="AN6" i="1"/>
  <c r="AA6" i="1"/>
  <c r="Z6" i="1"/>
  <c r="Y6" i="1"/>
  <c r="X6" i="1"/>
  <c r="AH6" i="1" s="1"/>
  <c r="W6" i="1"/>
  <c r="V6" i="1"/>
  <c r="AE6" i="1" s="1"/>
  <c r="U6" i="1"/>
  <c r="T6" i="1"/>
  <c r="S6" i="1"/>
  <c r="R6" i="1"/>
  <c r="AC6" i="1" s="1"/>
  <c r="AD6" i="1" s="1"/>
  <c r="Q6" i="1"/>
  <c r="P6" i="1"/>
  <c r="BE5" i="1"/>
  <c r="BC5" i="1"/>
  <c r="BF5" i="1" s="1"/>
  <c r="BG5" i="1" s="1"/>
  <c r="BH5" i="1" s="1"/>
  <c r="BI5" i="1" s="1"/>
  <c r="L5" i="1"/>
  <c r="AO23" i="1" s="1"/>
  <c r="AP23" i="1" s="1"/>
  <c r="L4" i="1"/>
  <c r="L3" i="1"/>
  <c r="AK6" i="1" l="1"/>
  <c r="AI6" i="1"/>
  <c r="AS24" i="1"/>
  <c r="AQ24" i="1"/>
  <c r="AE8" i="1"/>
  <c r="AL16" i="1"/>
  <c r="AL23" i="1"/>
  <c r="AE28" i="1"/>
  <c r="AK30" i="1"/>
  <c r="AI30" i="1"/>
  <c r="AL13" i="1"/>
  <c r="AY13" i="1" s="1"/>
  <c r="AT13" i="1"/>
  <c r="AS25" i="1"/>
  <c r="AQ25" i="1"/>
  <c r="AI29" i="1"/>
  <c r="AJ29" i="1" s="1"/>
  <c r="AX29" i="1"/>
  <c r="AZ29" i="1" s="1"/>
  <c r="AK29" i="1"/>
  <c r="AM29" i="1" s="1"/>
  <c r="AU12" i="1"/>
  <c r="AE15" i="1"/>
  <c r="AL15" i="1"/>
  <c r="AY15" i="1" s="1"/>
  <c r="AS16" i="1"/>
  <c r="AT16" i="1" s="1"/>
  <c r="AS17" i="1"/>
  <c r="AT17" i="1" s="1"/>
  <c r="AS22" i="1"/>
  <c r="AT22" i="1" s="1"/>
  <c r="AL25" i="1"/>
  <c r="AK27" i="1"/>
  <c r="AI27" i="1"/>
  <c r="AK10" i="1"/>
  <c r="AI10" i="1"/>
  <c r="AX10" i="1"/>
  <c r="AL14" i="1"/>
  <c r="AE14" i="1"/>
  <c r="AE22" i="1"/>
  <c r="AL22" i="1"/>
  <c r="AY22" i="1" s="1"/>
  <c r="AE26" i="1"/>
  <c r="AS23" i="1"/>
  <c r="AQ23" i="1"/>
  <c r="AE25" i="1"/>
  <c r="AY10" i="1"/>
  <c r="AL18" i="1"/>
  <c r="AX18" i="1" s="1"/>
  <c r="AZ18" i="1" s="1"/>
  <c r="AJ18" i="1"/>
  <c r="AJ20" i="1"/>
  <c r="AL20" i="1"/>
  <c r="AY20" i="1" s="1"/>
  <c r="AE23" i="1"/>
  <c r="AY26" i="1"/>
  <c r="AL7" i="1"/>
  <c r="AY7" i="1" s="1"/>
  <c r="AE7" i="1"/>
  <c r="AE13" i="1"/>
  <c r="AY25" i="1"/>
  <c r="AU6" i="1"/>
  <c r="AV6" i="1"/>
  <c r="AK16" i="1"/>
  <c r="AM16" i="1" s="1"/>
  <c r="AI16" i="1"/>
  <c r="AJ16" i="1" s="1"/>
  <c r="AX16" i="1"/>
  <c r="AZ16" i="1" s="1"/>
  <c r="AY23" i="1"/>
  <c r="AE19" i="1"/>
  <c r="AY16" i="1"/>
  <c r="AY17" i="1"/>
  <c r="AK18" i="1"/>
  <c r="AI18" i="1"/>
  <c r="AI20" i="1"/>
  <c r="AK20" i="1"/>
  <c r="AL26" i="1"/>
  <c r="AL30" i="1"/>
  <c r="AY30" i="1" s="1"/>
  <c r="AJ30" i="1"/>
  <c r="AE11" i="1"/>
  <c r="AL11" i="1"/>
  <c r="AY11" i="1" s="1"/>
  <c r="AL24" i="1"/>
  <c r="AY24" i="1" s="1"/>
  <c r="AE24" i="1"/>
  <c r="AL29" i="1"/>
  <c r="AY29" i="1" s="1"/>
  <c r="AL6" i="1"/>
  <c r="AX6" i="1" s="1"/>
  <c r="AZ6" i="1" s="1"/>
  <c r="AJ6" i="1"/>
  <c r="AU7" i="1"/>
  <c r="AW7" i="1"/>
  <c r="AV7" i="1"/>
  <c r="AL8" i="1"/>
  <c r="AY8" i="1" s="1"/>
  <c r="AS9" i="1"/>
  <c r="AQ9" i="1"/>
  <c r="AY14" i="1"/>
  <c r="AY18" i="1"/>
  <c r="AQ28" i="1"/>
  <c r="AS28" i="1"/>
  <c r="AT28" i="1" s="1"/>
  <c r="AS27" i="1"/>
  <c r="AQ27" i="1"/>
  <c r="AL19" i="1"/>
  <c r="AY19" i="1" s="1"/>
  <c r="AL10" i="1"/>
  <c r="AJ10" i="1"/>
  <c r="AL21" i="1"/>
  <c r="AY21" i="1" s="1"/>
  <c r="AE21" i="1"/>
  <c r="AS26" i="1"/>
  <c r="AQ26" i="1"/>
  <c r="AS10" i="1"/>
  <c r="AT10" i="1" s="1"/>
  <c r="AW11" i="1"/>
  <c r="AV11" i="1"/>
  <c r="AU11" i="1"/>
  <c r="AP13" i="1"/>
  <c r="AJ27" i="1"/>
  <c r="AL27" i="1"/>
  <c r="AX27" i="1" s="1"/>
  <c r="AZ27" i="1" s="1"/>
  <c r="AY6" i="1"/>
  <c r="AO16" i="1"/>
  <c r="AP16" i="1" s="1"/>
  <c r="AH8" i="1"/>
  <c r="AO9" i="1"/>
  <c r="AP9" i="1" s="1"/>
  <c r="AR14" i="1"/>
  <c r="AQ14" i="1" s="1"/>
  <c r="AE17" i="1"/>
  <c r="AS21" i="1"/>
  <c r="AT21" i="1" s="1"/>
  <c r="AH24" i="1"/>
  <c r="AO25" i="1"/>
  <c r="AP25" i="1" s="1"/>
  <c r="AR30" i="1"/>
  <c r="AQ30" i="1" s="1"/>
  <c r="AC12" i="1"/>
  <c r="AD12" i="1" s="1"/>
  <c r="AH17" i="1"/>
  <c r="AO18" i="1"/>
  <c r="AP18" i="1" s="1"/>
  <c r="AC28" i="1"/>
  <c r="AD28" i="1" s="1"/>
  <c r="AO11" i="1"/>
  <c r="AP11" i="1" s="1"/>
  <c r="AH26" i="1"/>
  <c r="AO27" i="1"/>
  <c r="AP27" i="1" s="1"/>
  <c r="AO20" i="1"/>
  <c r="AP20" i="1" s="1"/>
  <c r="AR18" i="1"/>
  <c r="AO29" i="1"/>
  <c r="AP29" i="1" s="1"/>
  <c r="AO6" i="1"/>
  <c r="AP6" i="1" s="1"/>
  <c r="AH21" i="1"/>
  <c r="AO22" i="1"/>
  <c r="AP22" i="1" s="1"/>
  <c r="AB25" i="1"/>
  <c r="AE72" i="1" s="1"/>
  <c r="AF72" i="1" s="1"/>
  <c r="AO15" i="1"/>
  <c r="AP15" i="1" s="1"/>
  <c r="AR20" i="1"/>
  <c r="AQ20" i="1" s="1"/>
  <c r="AO8" i="1"/>
  <c r="AP8" i="1" s="1"/>
  <c r="AH23" i="1"/>
  <c r="AO24" i="1"/>
  <c r="AP24" i="1" s="1"/>
  <c r="AR29" i="1"/>
  <c r="AE9" i="1"/>
  <c r="AH16" i="1"/>
  <c r="AO17" i="1"/>
  <c r="AP17" i="1" s="1"/>
  <c r="AR22" i="1"/>
  <c r="AQ22" i="1" s="1"/>
  <c r="AO10" i="1"/>
  <c r="AP10" i="1" s="1"/>
  <c r="AR15" i="1"/>
  <c r="AQ15" i="1" s="1"/>
  <c r="AH25" i="1"/>
  <c r="AO26" i="1"/>
  <c r="AP26" i="1" s="1"/>
  <c r="AB6" i="1"/>
  <c r="AE53" i="1" s="1"/>
  <c r="AF53" i="1" s="1"/>
  <c r="AR8" i="1"/>
  <c r="AQ8" i="1" s="1"/>
  <c r="AH18" i="1"/>
  <c r="AO19" i="1"/>
  <c r="AP19" i="1" s="1"/>
  <c r="AO12" i="1"/>
  <c r="AP12" i="1" s="1"/>
  <c r="AO28" i="1"/>
  <c r="AP28" i="1" s="1"/>
  <c r="AQ19" i="1"/>
  <c r="AT19" i="1" s="1"/>
  <c r="AO21" i="1"/>
  <c r="AP21" i="1" s="1"/>
  <c r="AO14" i="1"/>
  <c r="AP14" i="1" s="1"/>
  <c r="AO30" i="1"/>
  <c r="AP30" i="1" s="1"/>
  <c r="AO7" i="1"/>
  <c r="AP7" i="1" s="1"/>
  <c r="AW19" i="1" l="1"/>
  <c r="AV19" i="1"/>
  <c r="AU19" i="1"/>
  <c r="AL12" i="1"/>
  <c r="AW22" i="1"/>
  <c r="AV22" i="1"/>
  <c r="AU22" i="1"/>
  <c r="AK11" i="1"/>
  <c r="AM11" i="1" s="1"/>
  <c r="AI11" i="1"/>
  <c r="AJ11" i="1" s="1"/>
  <c r="AX11" i="1"/>
  <c r="AZ11" i="1" s="1"/>
  <c r="AX22" i="1"/>
  <c r="AZ22" i="1" s="1"/>
  <c r="AK22" i="1"/>
  <c r="AM22" i="1" s="1"/>
  <c r="AI22" i="1"/>
  <c r="AJ22" i="1" s="1"/>
  <c r="AW16" i="1"/>
  <c r="AV16" i="1"/>
  <c r="AU16" i="1"/>
  <c r="AX30" i="1"/>
  <c r="AZ30" i="1" s="1"/>
  <c r="AT26" i="1"/>
  <c r="AT9" i="1"/>
  <c r="AS15" i="1"/>
  <c r="AT15" i="1" s="1"/>
  <c r="AW21" i="1"/>
  <c r="AV21" i="1"/>
  <c r="AU21" i="1"/>
  <c r="AK21" i="1"/>
  <c r="AM21" i="1" s="1"/>
  <c r="AI21" i="1"/>
  <c r="AJ21" i="1" s="1"/>
  <c r="AX21" i="1"/>
  <c r="AZ21" i="1" s="1"/>
  <c r="AK14" i="1"/>
  <c r="AM14" i="1" s="1"/>
  <c r="AI14" i="1"/>
  <c r="AJ14" i="1" s="1"/>
  <c r="AX14" i="1"/>
  <c r="AZ14" i="1" s="1"/>
  <c r="AM30" i="1"/>
  <c r="AY27" i="1"/>
  <c r="AK28" i="1"/>
  <c r="AI28" i="1"/>
  <c r="AS18" i="1"/>
  <c r="AQ18" i="1"/>
  <c r="AM20" i="1"/>
  <c r="AW6" i="1"/>
  <c r="AK25" i="1"/>
  <c r="AM25" i="1" s="1"/>
  <c r="AI25" i="1"/>
  <c r="AJ25" i="1" s="1"/>
  <c r="AX25" i="1"/>
  <c r="AZ25" i="1" s="1"/>
  <c r="AM10" i="1"/>
  <c r="AW10" i="1"/>
  <c r="AV10" i="1"/>
  <c r="AU10" i="1"/>
  <c r="AX20" i="1"/>
  <c r="AZ20" i="1" s="1"/>
  <c r="AS20" i="1"/>
  <c r="AT20" i="1" s="1"/>
  <c r="AK8" i="1"/>
  <c r="AM8" i="1" s="1"/>
  <c r="AI8" i="1"/>
  <c r="AJ8" i="1" s="1"/>
  <c r="AX8" i="1"/>
  <c r="AZ8" i="1" s="1"/>
  <c r="AU17" i="1"/>
  <c r="AW17" i="1"/>
  <c r="AV17" i="1"/>
  <c r="AK17" i="1"/>
  <c r="AM17" i="1" s="1"/>
  <c r="AI17" i="1"/>
  <c r="AJ17" i="1" s="1"/>
  <c r="AX17" i="1"/>
  <c r="AZ17" i="1" s="1"/>
  <c r="AI9" i="1"/>
  <c r="AJ9" i="1" s="1"/>
  <c r="AX9" i="1"/>
  <c r="AZ9" i="1" s="1"/>
  <c r="AK9" i="1"/>
  <c r="AM9" i="1" s="1"/>
  <c r="AS30" i="1"/>
  <c r="AT30" i="1" s="1"/>
  <c r="AS14" i="1"/>
  <c r="AT14" i="1" s="1"/>
  <c r="AE12" i="1"/>
  <c r="AT27" i="1"/>
  <c r="AT24" i="1"/>
  <c r="AZ10" i="1"/>
  <c r="AL28" i="1"/>
  <c r="AY28" i="1" s="1"/>
  <c r="AJ28" i="1"/>
  <c r="AS8" i="1"/>
  <c r="AT8" i="1" s="1"/>
  <c r="AK7" i="1"/>
  <c r="AM7" i="1" s="1"/>
  <c r="AI7" i="1"/>
  <c r="AJ7" i="1" s="1"/>
  <c r="AX7" i="1"/>
  <c r="AZ7" i="1" s="1"/>
  <c r="AT23" i="1"/>
  <c r="AM27" i="1"/>
  <c r="AT25" i="1"/>
  <c r="AK23" i="1"/>
  <c r="AM23" i="1" s="1"/>
  <c r="AI23" i="1"/>
  <c r="AJ23" i="1" s="1"/>
  <c r="AX23" i="1"/>
  <c r="AZ23" i="1" s="1"/>
  <c r="AW28" i="1"/>
  <c r="AV28" i="1"/>
  <c r="AU28" i="1"/>
  <c r="AK24" i="1"/>
  <c r="AM24" i="1" s="1"/>
  <c r="AI24" i="1"/>
  <c r="AJ24" i="1" s="1"/>
  <c r="AX24" i="1"/>
  <c r="AZ24" i="1" s="1"/>
  <c r="AM18" i="1"/>
  <c r="AM6" i="1"/>
  <c r="AK19" i="1"/>
  <c r="AM19" i="1" s="1"/>
  <c r="AI19" i="1"/>
  <c r="AJ19" i="1" s="1"/>
  <c r="AX19" i="1"/>
  <c r="AZ19" i="1" s="1"/>
  <c r="AK15" i="1"/>
  <c r="AM15" i="1" s="1"/>
  <c r="AI15" i="1"/>
  <c r="AJ15" i="1" s="1"/>
  <c r="AX15" i="1"/>
  <c r="AZ15" i="1" s="1"/>
  <c r="AV12" i="1"/>
  <c r="AS29" i="1"/>
  <c r="AQ29" i="1"/>
  <c r="AI13" i="1"/>
  <c r="AJ13" i="1" s="1"/>
  <c r="AX13" i="1"/>
  <c r="AZ13" i="1" s="1"/>
  <c r="AK13" i="1"/>
  <c r="AM13" i="1" s="1"/>
  <c r="AK26" i="1"/>
  <c r="AM26" i="1" s="1"/>
  <c r="AI26" i="1"/>
  <c r="AJ26" i="1" s="1"/>
  <c r="AX26" i="1"/>
  <c r="AZ26" i="1" s="1"/>
  <c r="AW13" i="1"/>
  <c r="AV13" i="1"/>
  <c r="AU13" i="1"/>
  <c r="AW20" i="1" l="1"/>
  <c r="AV20" i="1"/>
  <c r="AU20" i="1"/>
  <c r="AX12" i="1"/>
  <c r="AK12" i="1"/>
  <c r="AM12" i="1" s="1"/>
  <c r="AI12" i="1"/>
  <c r="AJ12" i="1" s="1"/>
  <c r="AW27" i="1"/>
  <c r="AV27" i="1"/>
  <c r="AU27" i="1"/>
  <c r="AW15" i="1"/>
  <c r="AV15" i="1"/>
  <c r="AU15" i="1"/>
  <c r="AT29" i="1"/>
  <c r="AW14" i="1"/>
  <c r="AV14" i="1"/>
  <c r="AU14" i="1"/>
  <c r="AW23" i="1"/>
  <c r="AV23" i="1"/>
  <c r="AU23" i="1"/>
  <c r="AT18" i="1"/>
  <c r="AW26" i="1"/>
  <c r="AV26" i="1"/>
  <c r="AU26" i="1"/>
  <c r="AV8" i="1"/>
  <c r="AU8" i="1"/>
  <c r="AW8" i="1"/>
  <c r="AW9" i="1"/>
  <c r="AV9" i="1"/>
  <c r="AU9" i="1"/>
  <c r="AW30" i="1"/>
  <c r="AV30" i="1"/>
  <c r="AU30" i="1"/>
  <c r="AW25" i="1"/>
  <c r="AV25" i="1"/>
  <c r="AU25" i="1"/>
  <c r="AY12" i="1"/>
  <c r="AW12" i="1"/>
  <c r="AX28" i="1"/>
  <c r="AZ28" i="1" s="1"/>
  <c r="AV24" i="1"/>
  <c r="AU24" i="1"/>
  <c r="AW24" i="1"/>
  <c r="AM28" i="1"/>
  <c r="AW29" i="1" l="1"/>
  <c r="AV29" i="1"/>
  <c r="AU29" i="1"/>
  <c r="AW18" i="1"/>
  <c r="AV18" i="1"/>
  <c r="AU18" i="1"/>
  <c r="AZ12" i="1"/>
</calcChain>
</file>

<file path=xl/sharedStrings.xml><?xml version="1.0" encoding="utf-8"?>
<sst xmlns="http://schemas.openxmlformats.org/spreadsheetml/2006/main" count="183" uniqueCount="61">
  <si>
    <t>x</t>
  </si>
  <si>
    <t>mm</t>
  </si>
  <si>
    <t>MicroPump Flowrate</t>
  </si>
  <si>
    <t>Uk</t>
  </si>
  <si>
    <t>W/mK</t>
  </si>
  <si>
    <t>Level</t>
  </si>
  <si>
    <t>ml/min</t>
  </si>
  <si>
    <t>kg/s</t>
  </si>
  <si>
    <t>Kcu</t>
  </si>
  <si>
    <t>Ux</t>
  </si>
  <si>
    <t>T1</t>
  </si>
  <si>
    <t>degC</t>
  </si>
  <si>
    <t>Experiment  Data Points</t>
  </si>
  <si>
    <t>Standard Deviation</t>
  </si>
  <si>
    <t>T2</t>
  </si>
  <si>
    <t>T3</t>
  </si>
  <si>
    <t>T4</t>
  </si>
  <si>
    <t>Liquid Temperature</t>
  </si>
  <si>
    <t>Inlet</t>
  </si>
  <si>
    <t>Outlet</t>
  </si>
  <si>
    <t>spacing</t>
  </si>
  <si>
    <t>dt/dx</t>
  </si>
  <si>
    <t>q"</t>
  </si>
  <si>
    <t>Tsurf</t>
  </si>
  <si>
    <t>Pressure</t>
  </si>
  <si>
    <t>Tsat</t>
  </si>
  <si>
    <t xml:space="preserve">subcool </t>
  </si>
  <si>
    <t>ΔTsat</t>
  </si>
  <si>
    <t>htc</t>
  </si>
  <si>
    <t>θJ-CW, ˚C</t>
  </si>
  <si>
    <t>q</t>
  </si>
  <si>
    <t>Thermal Resistance</t>
  </si>
  <si>
    <t>Del T</t>
  </si>
  <si>
    <t>Flow Rate</t>
  </si>
  <si>
    <t>mCpdT</t>
  </si>
  <si>
    <t>precision uncertainity</t>
  </si>
  <si>
    <t>a</t>
  </si>
  <si>
    <t>bias uncertainity</t>
  </si>
  <si>
    <t>total</t>
  </si>
  <si>
    <t>percentage</t>
  </si>
  <si>
    <t>whole(q")</t>
  </si>
  <si>
    <t>whole(Q)</t>
  </si>
  <si>
    <t>R_chip</t>
  </si>
  <si>
    <t xml:space="preserve">R_condenser </t>
  </si>
  <si>
    <t>R_total</t>
  </si>
  <si>
    <t>Cp</t>
  </si>
  <si>
    <t>J/kgK</t>
  </si>
  <si>
    <t>Calibrated</t>
  </si>
  <si>
    <t>X_Value</t>
  </si>
  <si>
    <t>Pool Temperature</t>
  </si>
  <si>
    <t>From Chiller 1</t>
  </si>
  <si>
    <t>To Chiller 1</t>
  </si>
  <si>
    <t>Untitled</t>
  </si>
  <si>
    <t>Untitled 1</t>
  </si>
  <si>
    <t>Untitled 2</t>
  </si>
  <si>
    <t>Untitled 3</t>
  </si>
  <si>
    <t>ml%kPaG</t>
  </si>
  <si>
    <t>Slope</t>
  </si>
  <si>
    <t xml:space="preserve">y-intercept </t>
  </si>
  <si>
    <t>°</t>
  </si>
  <si>
    <t>Uncalibrated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</si>
</sst>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2" fillId="5" borderId="1" xfId="0" applyNumberFormat="1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>
      <alignment horizontal="center" vertical="center"/>
    </xf>
    <xf numFmtId="2" fontId="2" fillId="7" borderId="1" xfId="0" applyNumberFormat="1" applyFon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>
      <alignment horizontal="center" vertical="center"/>
    </xf>
    <xf numFmtId="2" fontId="2" fillId="9" borderId="1" xfId="0" applyNumberFormat="1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>
      <alignment horizontal="center" vertical="center"/>
    </xf>
    <xf numFmtId="2" fontId="2" fillId="10" borderId="1" xfId="0" applyNumberFormat="1" applyFont="1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>
      <alignment horizontal="center" vertical="center"/>
    </xf>
    <xf numFmtId="2" fontId="2" fillId="11" borderId="1" xfId="0" applyNumberFormat="1" applyFont="1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165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2" fontId="0" fillId="5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'Novac 7000 381 um 20C 1212026'!$AE$6:$AE$11</c:f>
              <c:numCache>
                <c:formatCode>0</c:formatCode>
                <c:ptCount val="6"/>
                <c:pt idx="0">
                  <c:v>37.425000129841457</c:v>
                </c:pt>
                <c:pt idx="1">
                  <c:v>38.747852460767241</c:v>
                </c:pt>
                <c:pt idx="2">
                  <c:v>40.373073952787692</c:v>
                </c:pt>
                <c:pt idx="3">
                  <c:v>41.723045920900226</c:v>
                </c:pt>
                <c:pt idx="4">
                  <c:v>41.727655659682881</c:v>
                </c:pt>
                <c:pt idx="5">
                  <c:v>45.007266077473204</c:v>
                </c:pt>
              </c:numCache>
            </c:numRef>
          </c:xVal>
          <c:yVal>
            <c:numRef>
              <c:f>'Novac 7000 381 um 20C 1212026'!$AD$6:$AD$11</c:f>
              <c:numCache>
                <c:formatCode>0.0</c:formatCode>
                <c:ptCount val="6"/>
                <c:pt idx="0">
                  <c:v>9.2598251131997529</c:v>
                </c:pt>
                <c:pt idx="1">
                  <c:v>15.149381406000098</c:v>
                </c:pt>
                <c:pt idx="2">
                  <c:v>21.472419581000196</c:v>
                </c:pt>
                <c:pt idx="3">
                  <c:v>28.086690742800183</c:v>
                </c:pt>
                <c:pt idx="4">
                  <c:v>28.345428614399811</c:v>
                </c:pt>
                <c:pt idx="5">
                  <c:v>36.740734298799737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9D-44C3-B510-53271BDC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1056"/>
        <c:axId val="1927029616"/>
      </c:scatterChart>
      <c:valAx>
        <c:axId val="19270310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29616"/>
        <c:crosses val="autoZero"/>
        <c:crossBetween val="midCat"/>
      </c:valAx>
      <c:valAx>
        <c:axId val="19270296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3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'Novac 7000 381 um 20C 1212026'!$AE$6:$AE$11</c:f>
              <c:numCache>
                <c:formatCode>0</c:formatCode>
                <c:ptCount val="6"/>
                <c:pt idx="0">
                  <c:v>37.425000129841457</c:v>
                </c:pt>
                <c:pt idx="1">
                  <c:v>38.747852460767241</c:v>
                </c:pt>
                <c:pt idx="2">
                  <c:v>40.373073952787692</c:v>
                </c:pt>
                <c:pt idx="3">
                  <c:v>41.723045920900226</c:v>
                </c:pt>
                <c:pt idx="4">
                  <c:v>41.727655659682881</c:v>
                </c:pt>
                <c:pt idx="5">
                  <c:v>45.007266077473204</c:v>
                </c:pt>
              </c:numCache>
            </c:numRef>
          </c:xVal>
          <c:yVal>
            <c:numRef>
              <c:f>'Novac 7000 381 um 20C 1212026'!$AL$6:$AL$11</c:f>
              <c:numCache>
                <c:formatCode>General</c:formatCode>
                <c:ptCount val="6"/>
                <c:pt idx="0">
                  <c:v>102.22846924972528</c:v>
                </c:pt>
                <c:pt idx="1">
                  <c:v>167.2491707222411</c:v>
                </c:pt>
                <c:pt idx="2">
                  <c:v>237.05551217424218</c:v>
                </c:pt>
                <c:pt idx="3">
                  <c:v>310.07706580051405</c:v>
                </c:pt>
                <c:pt idx="4">
                  <c:v>312.93353190297398</c:v>
                </c:pt>
                <c:pt idx="5">
                  <c:v>405.61770665874911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2E-4E8D-BF97-DCC7A6873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64032"/>
        <c:axId val="1932863072"/>
      </c:scatterChart>
      <c:valAx>
        <c:axId val="19328640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2863072"/>
        <c:crosses val="autoZero"/>
        <c:crossBetween val="midCat"/>
      </c:valAx>
      <c:valAx>
        <c:axId val="193286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286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'Novac 7000 381 um 20C 1212026'!$AI$6:$AI$11</c:f>
              <c:numCache>
                <c:formatCode>General</c:formatCode>
                <c:ptCount val="6"/>
                <c:pt idx="0">
                  <c:v>3.4250001298414574</c:v>
                </c:pt>
                <c:pt idx="1">
                  <c:v>4.7478524607672412</c:v>
                </c:pt>
                <c:pt idx="2">
                  <c:v>6.3730739527876921</c:v>
                </c:pt>
                <c:pt idx="3">
                  <c:v>7.7230459209002262</c:v>
                </c:pt>
                <c:pt idx="4">
                  <c:v>7.7276556596828812</c:v>
                </c:pt>
                <c:pt idx="5">
                  <c:v>11.007266077473204</c:v>
                </c:pt>
              </c:numCache>
            </c:numRef>
          </c:xVal>
          <c:yVal>
            <c:numRef>
              <c:f>'Novac 7000 381 um 20C 1212026'!$AD$6:$AD$11</c:f>
              <c:numCache>
                <c:formatCode>0.0</c:formatCode>
                <c:ptCount val="6"/>
                <c:pt idx="0">
                  <c:v>9.2598251131997529</c:v>
                </c:pt>
                <c:pt idx="1">
                  <c:v>15.149381406000098</c:v>
                </c:pt>
                <c:pt idx="2">
                  <c:v>21.472419581000196</c:v>
                </c:pt>
                <c:pt idx="3">
                  <c:v>28.086690742800183</c:v>
                </c:pt>
                <c:pt idx="4">
                  <c:v>28.345428614399811</c:v>
                </c:pt>
                <c:pt idx="5">
                  <c:v>36.740734298799737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3-4239-958A-8ACD3A21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1056"/>
        <c:axId val="1927029616"/>
      </c:scatterChart>
      <c:valAx>
        <c:axId val="19270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29616"/>
        <c:crosses val="autoZero"/>
        <c:crossBetween val="midCat"/>
      </c:valAx>
      <c:valAx>
        <c:axId val="19270296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3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'Novac 7000 381 um 20C 1212026'!$AJ$6:$AJ$25</c:f>
              <c:numCache>
                <c:formatCode>General</c:formatCode>
                <c:ptCount val="20"/>
                <c:pt idx="0">
                  <c:v>27.03598470703821</c:v>
                </c:pt>
                <c:pt idx="1">
                  <c:v>31.907860514166007</c:v>
                </c:pt>
                <c:pt idx="2">
                  <c:v>33.692406113705601</c:v>
                </c:pt>
                <c:pt idx="3">
                  <c:v>36.367375036307301</c:v>
                </c:pt>
                <c:pt idx="4">
                  <c:v>36.680501645906695</c:v>
                </c:pt>
                <c:pt idx="5">
                  <c:v>33.378619214076302</c:v>
                </c:pt>
                <c:pt idx="6">
                  <c:v>7.4720393055558185</c:v>
                </c:pt>
                <c:pt idx="7">
                  <c:v>6.3787387776892039</c:v>
                </c:pt>
                <c:pt idx="8">
                  <c:v>5.6259192799585813</c:v>
                </c:pt>
                <c:pt idx="9">
                  <c:v>4.4309350816366653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'Novac 7000 381 um 20C 1212026'!$AI$6:$AI$25</c:f>
              <c:numCache>
                <c:formatCode>General</c:formatCode>
                <c:ptCount val="20"/>
                <c:pt idx="0">
                  <c:v>3.4250001298414574</c:v>
                </c:pt>
                <c:pt idx="1">
                  <c:v>4.7478524607672412</c:v>
                </c:pt>
                <c:pt idx="2">
                  <c:v>6.3730739527876921</c:v>
                </c:pt>
                <c:pt idx="3">
                  <c:v>7.7230459209002262</c:v>
                </c:pt>
                <c:pt idx="4">
                  <c:v>7.7276556596828812</c:v>
                </c:pt>
                <c:pt idx="5">
                  <c:v>11.007266077473204</c:v>
                </c:pt>
                <c:pt idx="6">
                  <c:v>40.755404510997437</c:v>
                </c:pt>
                <c:pt idx="7">
                  <c:v>37.120985371621543</c:v>
                </c:pt>
                <c:pt idx="8">
                  <c:v>31.826433613053712</c:v>
                </c:pt>
                <c:pt idx="9">
                  <c:v>28.965562618578002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2-4BE7-AB80-F51CD22F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31056"/>
        <c:axId val="1927029616"/>
      </c:scatterChart>
      <c:valAx>
        <c:axId val="1927031056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29616"/>
        <c:crosses val="autoZero"/>
        <c:crossBetween val="midCat"/>
      </c:valAx>
      <c:valAx>
        <c:axId val="192702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703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551330</xdr:colOff>
      <xdr:row>31</xdr:row>
      <xdr:rowOff>8965</xdr:rowOff>
    </xdr:from>
    <xdr:to>
      <xdr:col>37</xdr:col>
      <xdr:colOff>363071</xdr:colOff>
      <xdr:row>46</xdr:row>
      <xdr:rowOff>62754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F706C-42B0-4CE2-97E6-D226C8D78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452717</xdr:colOff>
      <xdr:row>30</xdr:row>
      <xdr:rowOff>35859</xdr:rowOff>
    </xdr:from>
    <xdr:to>
      <xdr:col>42</xdr:col>
      <xdr:colOff>1313329</xdr:colOff>
      <xdr:row>45</xdr:row>
      <xdr:rowOff>89648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548B7E-C885-4DFB-8A56-18766412F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753035</xdr:colOff>
      <xdr:row>30</xdr:row>
      <xdr:rowOff>44823</xdr:rowOff>
    </xdr:from>
    <xdr:to>
      <xdr:col>29</xdr:col>
      <xdr:colOff>233081</xdr:colOff>
      <xdr:row>45</xdr:row>
      <xdr:rowOff>98612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1771C4-EED7-4C9B-9970-DF113248B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40</xdr:col>
      <xdr:colOff>340659</xdr:colOff>
      <xdr:row>68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84742-D550-4968-8EC9-5058AE6C9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ALL/NOOR/PHD%20Work/Lab%20work/Excel%20Data%20Processing/Microchannel/Novac%20and%20Water%20with%20and%20without%20taper%20microchannel%20width%20study%20Novac%20data%20analysis%20.xlsx" TargetMode="External"/><Relationship Id="rId2" Type="http://schemas.openxmlformats.org/officeDocument/2006/relationships/externalLinkPath" Target="https://d.docs.live.net/5d1bccc8a5dd0a0f/Desktop/ALL/NOOR/PHD%20Work/Lab%20work/Excel%20Data%20Processing/Microchannel/Novac%20and%20Water%20with%20and%20without%20taper%20microchannel%20width%20study%20Novac%20data%20analysis%20.xlsx" TargetMode="External"/><Relationship Id="rId1" Type="http://schemas.openxmlformats.org/officeDocument/2006/relationships/externalLinkPath" Target="/5d1bccc8a5dd0a0f/Desktop/ALL/NOOR/PHD%20Work/Lab%20work/Excel%20Data%20Processing/Microchannel/Novac%20and%20Water%20with%20and%20without%20taper%20microchannel%20width%20study%20Novac%20data%20analysi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aude Log"/>
      <sheetName val="Novac 7000 381 um 20C 1212026"/>
      <sheetName val="Novac 7000 500 um 1_22_26"/>
      <sheetName val="Novac 7000 762 um 20C 12120 "/>
      <sheetName val="Novac 7000 100 um 20C 1_12_2026"/>
      <sheetName val="Novac 7000 500 um taper"/>
      <sheetName val="Novac 7000 381 um Taper "/>
      <sheetName val="Novac 7000 762 um 20C"/>
      <sheetName val="Novac 7000 762 um 40C"/>
      <sheetName val="Novac 7000 1 mm with taper"/>
      <sheetName val="Novac Data Analysis "/>
      <sheetName val="381 with taper enhanced 20C"/>
      <sheetName val="381 with taper enhanced 40C"/>
      <sheetName val="381 with taper enhanced 45C"/>
      <sheetName val="381 with taper enhanced 50C"/>
      <sheetName val="water 762 um 20C"/>
      <sheetName val="water 381 um 20C"/>
      <sheetName val="water 500 um 20C"/>
      <sheetName val="Sheet1"/>
      <sheetName val="1000 um with taper water"/>
      <sheetName val="500 um with taper water"/>
      <sheetName val="Water Data Analysis"/>
    </sheetNames>
    <sheetDataSet>
      <sheetData sheetId="0"/>
      <sheetData sheetId="1">
        <row r="6">
          <cell r="AD6">
            <v>9.2598251131997529</v>
          </cell>
          <cell r="AE6">
            <v>37.425000129841457</v>
          </cell>
          <cell r="AI6">
            <v>3.4250001298414574</v>
          </cell>
          <cell r="AJ6">
            <v>27.03598470703821</v>
          </cell>
          <cell r="AL6">
            <v>102.22846924972528</v>
          </cell>
        </row>
        <row r="7">
          <cell r="AD7">
            <v>15.149381406000098</v>
          </cell>
          <cell r="AE7">
            <v>38.747852460767241</v>
          </cell>
          <cell r="AI7">
            <v>4.7478524607672412</v>
          </cell>
          <cell r="AJ7">
            <v>31.907860514166007</v>
          </cell>
          <cell r="AL7">
            <v>167.2491707222411</v>
          </cell>
        </row>
        <row r="8">
          <cell r="AD8">
            <v>21.472419581000196</v>
          </cell>
          <cell r="AE8">
            <v>40.373073952787692</v>
          </cell>
          <cell r="AI8">
            <v>6.3730739527876921</v>
          </cell>
          <cell r="AJ8">
            <v>33.692406113705601</v>
          </cell>
          <cell r="AL8">
            <v>237.05551217424218</v>
          </cell>
        </row>
        <row r="9">
          <cell r="AD9">
            <v>28.086690742800183</v>
          </cell>
          <cell r="AE9">
            <v>41.723045920900226</v>
          </cell>
          <cell r="AI9">
            <v>7.7230459209002262</v>
          </cell>
          <cell r="AJ9">
            <v>36.367375036307301</v>
          </cell>
          <cell r="AL9">
            <v>310.07706580051405</v>
          </cell>
        </row>
        <row r="10">
          <cell r="AD10">
            <v>28.345428614399811</v>
          </cell>
          <cell r="AE10">
            <v>41.727655659682881</v>
          </cell>
          <cell r="AI10">
            <v>7.7276556596828812</v>
          </cell>
          <cell r="AJ10">
            <v>36.680501645906695</v>
          </cell>
          <cell r="AL10">
            <v>312.93353190297398</v>
          </cell>
        </row>
        <row r="11">
          <cell r="AD11">
            <v>36.740734298799737</v>
          </cell>
          <cell r="AE11">
            <v>45.007266077473204</v>
          </cell>
          <cell r="AI11">
            <v>11.007266077473204</v>
          </cell>
          <cell r="AJ11">
            <v>33.378619214076302</v>
          </cell>
          <cell r="AL11">
            <v>405.61770665874911</v>
          </cell>
        </row>
        <row r="12">
          <cell r="AI12">
            <v>40.755404510997437</v>
          </cell>
          <cell r="AJ12">
            <v>7.4720393055558185</v>
          </cell>
        </row>
        <row r="13">
          <cell r="AI13">
            <v>37.120985371621543</v>
          </cell>
          <cell r="AJ13">
            <v>6.3787387776892039</v>
          </cell>
        </row>
        <row r="14">
          <cell r="AI14">
            <v>31.826433613053712</v>
          </cell>
          <cell r="AJ14">
            <v>5.6259192799585813</v>
          </cell>
        </row>
        <row r="15">
          <cell r="AI15">
            <v>28.965562618578002</v>
          </cell>
          <cell r="AJ15">
            <v>4.4309350816366653</v>
          </cell>
        </row>
        <row r="16">
          <cell r="AI16" t="e">
            <v>#DIV/0!</v>
          </cell>
          <cell r="AJ16" t="e">
            <v>#DIV/0!</v>
          </cell>
        </row>
        <row r="17">
          <cell r="AI17" t="e">
            <v>#DIV/0!</v>
          </cell>
          <cell r="AJ17" t="e">
            <v>#DIV/0!</v>
          </cell>
        </row>
        <row r="18">
          <cell r="AI18" t="e">
            <v>#DIV/0!</v>
          </cell>
          <cell r="AJ18" t="e">
            <v>#DIV/0!</v>
          </cell>
        </row>
        <row r="19">
          <cell r="AI19" t="e">
            <v>#DIV/0!</v>
          </cell>
          <cell r="AJ19" t="e">
            <v>#DIV/0!</v>
          </cell>
        </row>
        <row r="20">
          <cell r="AI20" t="e">
            <v>#DIV/0!</v>
          </cell>
          <cell r="AJ20" t="e">
            <v>#DIV/0!</v>
          </cell>
        </row>
        <row r="21">
          <cell r="AI21" t="e">
            <v>#DIV/0!</v>
          </cell>
          <cell r="AJ21" t="e">
            <v>#DIV/0!</v>
          </cell>
        </row>
        <row r="22">
          <cell r="AI22" t="e">
            <v>#DIV/0!</v>
          </cell>
          <cell r="AJ22" t="e">
            <v>#DIV/0!</v>
          </cell>
        </row>
        <row r="23">
          <cell r="AI23" t="e">
            <v>#DIV/0!</v>
          </cell>
          <cell r="AJ23" t="e">
            <v>#DIV/0!</v>
          </cell>
        </row>
        <row r="24">
          <cell r="AI24" t="e">
            <v>#DIV/0!</v>
          </cell>
          <cell r="AJ24" t="e">
            <v>#DIV/0!</v>
          </cell>
        </row>
        <row r="25">
          <cell r="AI25" t="e">
            <v>#DIV/0!</v>
          </cell>
          <cell r="AJ25" t="e">
            <v>#DIV/0!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92E9-B8C5-496F-BB1F-E44B99D7DBCC}">
  <dimension ref="A1:BI1292"/>
  <sheetViews>
    <sheetView tabSelected="1" topLeftCell="W1" zoomScale="85" zoomScaleNormal="85" workbookViewId="0">
      <selection activeCell="Y23" sqref="Y23"/>
    </sheetView>
  </sheetViews>
  <sheetFormatPr defaultColWidth="8.88671875" defaultRowHeight="14.4" x14ac:dyDescent="0.3"/>
  <cols>
    <col min="1" max="1" width="14.44140625" style="1" bestFit="1" customWidth="1"/>
    <col min="2" max="5" width="8.88671875" style="1" bestFit="1" customWidth="1"/>
    <col min="6" max="6" width="16" style="1" customWidth="1"/>
    <col min="7" max="7" width="12.33203125" style="1" bestFit="1" customWidth="1"/>
    <col min="8" max="8" width="15.33203125" style="1" customWidth="1"/>
    <col min="9" max="14" width="8.88671875" style="1" bestFit="1" customWidth="1"/>
    <col min="15" max="15" width="21.5546875" style="1" bestFit="1" customWidth="1"/>
    <col min="16" max="16" width="14" style="1" customWidth="1"/>
    <col min="17" max="17" width="24.33203125" style="1" customWidth="1"/>
    <col min="18" max="18" width="15.109375" style="1" customWidth="1"/>
    <col min="19" max="19" width="21.33203125" style="1" customWidth="1"/>
    <col min="20" max="20" width="12" style="1" customWidth="1"/>
    <col min="21" max="21" width="23.21875" style="1" customWidth="1"/>
    <col min="22" max="22" width="13.44140625" style="1" customWidth="1"/>
    <col min="23" max="23" width="17.109375" style="1" customWidth="1"/>
    <col min="24" max="24" width="18.109375" style="1" customWidth="1"/>
    <col min="25" max="25" width="20.33203125" style="1" customWidth="1"/>
    <col min="26" max="31" width="8.88671875" style="1" bestFit="1" customWidth="1"/>
    <col min="32" max="32" width="15.5546875" style="1" customWidth="1"/>
    <col min="33" max="36" width="8.88671875" style="1" bestFit="1" customWidth="1"/>
    <col min="37" max="37" width="9.33203125" style="1" customWidth="1"/>
    <col min="38" max="38" width="7.109375" style="1" customWidth="1"/>
    <col min="39" max="39" width="18.5546875" style="1" customWidth="1"/>
    <col min="40" max="40" width="8.88671875" style="1" bestFit="1" customWidth="1"/>
    <col min="41" max="41" width="10.6640625" style="1" customWidth="1"/>
    <col min="42" max="42" width="8.88671875" style="1" bestFit="1" customWidth="1"/>
    <col min="43" max="43" width="19.5546875" style="1" bestFit="1" customWidth="1"/>
    <col min="44" max="44" width="8.88671875" style="1" bestFit="1" customWidth="1"/>
    <col min="45" max="45" width="14.44140625" style="1" customWidth="1"/>
    <col min="46" max="46" width="8.88671875" style="1" bestFit="1" customWidth="1"/>
    <col min="47" max="47" width="12.33203125" style="1" customWidth="1"/>
    <col min="48" max="49" width="12.33203125" style="1" bestFit="1" customWidth="1"/>
    <col min="50" max="16384" width="8.88671875" style="1"/>
  </cols>
  <sheetData>
    <row r="1" spans="1:61" x14ac:dyDescent="0.3">
      <c r="D1" s="2" t="s">
        <v>0</v>
      </c>
      <c r="E1" s="3">
        <v>5</v>
      </c>
      <c r="F1" s="3" t="s">
        <v>1</v>
      </c>
      <c r="G1" s="3"/>
      <c r="H1" s="3"/>
      <c r="I1" s="3"/>
      <c r="J1" s="3" t="s">
        <v>2</v>
      </c>
      <c r="K1" s="3"/>
      <c r="L1" s="3"/>
    </row>
    <row r="2" spans="1:61" x14ac:dyDescent="0.3">
      <c r="D2" s="2" t="s">
        <v>3</v>
      </c>
      <c r="E2" s="3">
        <v>9</v>
      </c>
      <c r="F2" s="3" t="s">
        <v>4</v>
      </c>
      <c r="G2" s="3"/>
      <c r="H2" s="3"/>
      <c r="I2" s="3"/>
      <c r="J2" s="3" t="s">
        <v>5</v>
      </c>
      <c r="K2" s="3" t="s">
        <v>6</v>
      </c>
      <c r="L2" s="3" t="s">
        <v>7</v>
      </c>
    </row>
    <row r="3" spans="1:61" x14ac:dyDescent="0.3">
      <c r="D3" s="2" t="s">
        <v>8</v>
      </c>
      <c r="E3" s="3">
        <v>401</v>
      </c>
      <c r="F3" s="3" t="s">
        <v>4</v>
      </c>
      <c r="G3" s="3"/>
      <c r="H3" s="3"/>
      <c r="I3" s="3"/>
      <c r="J3" s="3">
        <v>0</v>
      </c>
      <c r="K3" s="3">
        <v>0.56999999999999995</v>
      </c>
      <c r="L3" s="3">
        <f>K3/60</f>
        <v>9.4999999999999998E-3</v>
      </c>
    </row>
    <row r="4" spans="1:61" x14ac:dyDescent="0.3">
      <c r="D4" s="2" t="s">
        <v>9</v>
      </c>
      <c r="E4" s="3">
        <v>0.01</v>
      </c>
      <c r="F4" s="3" t="s">
        <v>1</v>
      </c>
      <c r="G4" s="3"/>
      <c r="H4" s="3"/>
      <c r="I4" s="3"/>
      <c r="J4" s="3">
        <v>2</v>
      </c>
      <c r="K4" s="3">
        <v>1.1200000000000001</v>
      </c>
      <c r="L4" s="3">
        <f>K4/60</f>
        <v>1.8666666666666668E-2</v>
      </c>
    </row>
    <row r="5" spans="1:61" x14ac:dyDescent="0.3">
      <c r="D5" s="2" t="s">
        <v>10</v>
      </c>
      <c r="E5" s="3">
        <v>4.6624582872490342E-2</v>
      </c>
      <c r="F5" s="3" t="s">
        <v>11</v>
      </c>
      <c r="G5" s="3"/>
      <c r="H5" s="3"/>
      <c r="I5" s="3"/>
      <c r="J5" s="3">
        <v>5</v>
      </c>
      <c r="K5" s="3">
        <v>3.75</v>
      </c>
      <c r="L5" s="3">
        <f>K5/60</f>
        <v>6.25E-2</v>
      </c>
      <c r="O5" s="4" t="s">
        <v>12</v>
      </c>
      <c r="P5" s="4" t="s">
        <v>10</v>
      </c>
      <c r="Q5" s="4" t="s">
        <v>13</v>
      </c>
      <c r="R5" s="4" t="s">
        <v>14</v>
      </c>
      <c r="S5" s="4" t="s">
        <v>13</v>
      </c>
      <c r="T5" s="4" t="s">
        <v>15</v>
      </c>
      <c r="U5" s="4" t="s">
        <v>13</v>
      </c>
      <c r="V5" s="4" t="s">
        <v>16</v>
      </c>
      <c r="W5" s="4" t="s">
        <v>13</v>
      </c>
      <c r="X5" s="4" t="s">
        <v>17</v>
      </c>
      <c r="Y5" s="4" t="s">
        <v>13</v>
      </c>
      <c r="Z5" s="4" t="s">
        <v>18</v>
      </c>
      <c r="AA5" s="4" t="s">
        <v>19</v>
      </c>
      <c r="AB5" s="4" t="s">
        <v>20</v>
      </c>
      <c r="AC5" s="4" t="s">
        <v>21</v>
      </c>
      <c r="AD5" s="4" t="s">
        <v>22</v>
      </c>
      <c r="AE5" s="4" t="s">
        <v>23</v>
      </c>
      <c r="AF5" s="4" t="s">
        <v>24</v>
      </c>
      <c r="AG5" s="4" t="s">
        <v>25</v>
      </c>
      <c r="AH5" s="4" t="s">
        <v>26</v>
      </c>
      <c r="AI5" s="4" t="s">
        <v>27</v>
      </c>
      <c r="AJ5" s="4" t="s">
        <v>28</v>
      </c>
      <c r="AK5" s="4" t="s">
        <v>29</v>
      </c>
      <c r="AL5" s="4" t="s">
        <v>30</v>
      </c>
      <c r="AM5" s="4" t="s">
        <v>31</v>
      </c>
      <c r="AN5" s="4" t="s">
        <v>32</v>
      </c>
      <c r="AO5" s="4" t="s">
        <v>33</v>
      </c>
      <c r="AP5" s="4" t="s">
        <v>34</v>
      </c>
      <c r="AQ5" s="4" t="s">
        <v>35</v>
      </c>
      <c r="AR5" s="4" t="s">
        <v>36</v>
      </c>
      <c r="AS5" s="4" t="s">
        <v>37</v>
      </c>
      <c r="AT5" s="4" t="s">
        <v>38</v>
      </c>
      <c r="AU5" s="4" t="s">
        <v>39</v>
      </c>
      <c r="AV5" s="4" t="s">
        <v>40</v>
      </c>
      <c r="AW5" s="5" t="s">
        <v>41</v>
      </c>
      <c r="AX5" s="5" t="s">
        <v>42</v>
      </c>
      <c r="AY5" s="5" t="s">
        <v>43</v>
      </c>
      <c r="AZ5" s="5" t="s">
        <v>44</v>
      </c>
      <c r="BB5" s="1">
        <v>25</v>
      </c>
      <c r="BC5" s="1">
        <f t="shared" ref="BC5:BC30" si="0">BB5/12.5</f>
        <v>2</v>
      </c>
      <c r="BD5" s="1">
        <v>25</v>
      </c>
      <c r="BE5" s="1">
        <f t="shared" ref="BE5:BE30" si="1">BD5/12.5</f>
        <v>2</v>
      </c>
      <c r="BF5" s="1">
        <f t="shared" ref="BF5:BF30" si="2">(BB5*BC5) + (BD5*BE5)</f>
        <v>100</v>
      </c>
      <c r="BG5" s="6">
        <f t="shared" ref="BG5:BG30" si="3">BF5/11.04</f>
        <v>9.0579710144927539</v>
      </c>
      <c r="BH5" s="6">
        <f>BG5*0.95</f>
        <v>8.6050724637681153</v>
      </c>
      <c r="BI5" s="1">
        <f t="shared" ref="BI5:BI30" si="4">BH5*11.04</f>
        <v>94.999999999999986</v>
      </c>
    </row>
    <row r="6" spans="1:61" x14ac:dyDescent="0.25">
      <c r="D6" s="2" t="s">
        <v>14</v>
      </c>
      <c r="E6" s="3">
        <v>4.555249815766059E-2</v>
      </c>
      <c r="F6" s="3" t="s">
        <v>11</v>
      </c>
      <c r="G6" s="3"/>
      <c r="H6" s="3"/>
      <c r="I6" s="3"/>
      <c r="J6" s="3"/>
      <c r="K6" s="3"/>
      <c r="L6" s="3"/>
      <c r="O6" s="7">
        <v>1</v>
      </c>
      <c r="P6" s="8">
        <f>AVERAGE(B25:B74)</f>
        <v>47.551041560000002</v>
      </c>
      <c r="Q6" s="9">
        <f>STDEV(B25:B74)</f>
        <v>1.1730530485700075E-2</v>
      </c>
      <c r="R6" s="10">
        <f>AVERAGE(C25:C74)</f>
        <v>48.709927919999991</v>
      </c>
      <c r="S6" s="11">
        <f>STDEV(C25:C74)</f>
        <v>1.1350767791777433E-2</v>
      </c>
      <c r="T6" s="12">
        <f>AVERAGE(D25:D74)</f>
        <v>49.877403680000008</v>
      </c>
      <c r="U6" s="13">
        <f>STDEV(D25:D74)</f>
        <v>1.4022244801858765E-2</v>
      </c>
      <c r="V6" s="14">
        <f>AVERAGE(E25:E74)</f>
        <v>38.845945159999985</v>
      </c>
      <c r="W6" s="15">
        <f>STDEV(E25:E74)</f>
        <v>1.2252356950032741E-2</v>
      </c>
      <c r="X6" s="16">
        <f>AVERAGE(F25:F74)</f>
        <v>23.812775399999996</v>
      </c>
      <c r="Y6" s="17">
        <f>STDEV(F25:F74)</f>
        <v>9.0684429861279642E-2</v>
      </c>
      <c r="Z6" s="18">
        <f>AVERAGE(G25:G74)</f>
        <v>19.05130844</v>
      </c>
      <c r="AA6" s="19">
        <f>AVERAGE(H25:H74)</f>
        <v>19.431544879999997</v>
      </c>
      <c r="AB6" s="20">
        <f>(T6-R6)/(R6-P6)</f>
        <v>1.007411770727914</v>
      </c>
      <c r="AC6" s="7">
        <f t="shared" ref="AC6:AC30" si="5">(3*P6- 4*R6 +T6)/(2*0.005)</f>
        <v>-230.91833199999385</v>
      </c>
      <c r="AD6" s="20">
        <f>-(E$3)*AC6*(1/10000)*1</f>
        <v>9.2598251131997529</v>
      </c>
      <c r="AE6" s="21">
        <f t="shared" ref="AE6:AE30" si="6">(V6)-((0.006*AD6)/(0.0001*391))</f>
        <v>37.425000129841457</v>
      </c>
      <c r="AF6" s="22">
        <v>100</v>
      </c>
      <c r="AG6" s="22">
        <v>34</v>
      </c>
      <c r="AH6" s="7">
        <f t="shared" ref="AH6:AH30" si="7">AG6-X6</f>
        <v>10.187224600000004</v>
      </c>
      <c r="AI6" s="7">
        <f t="shared" ref="AI6:AI30" si="8">AE6-AG6</f>
        <v>3.4250001298414574</v>
      </c>
      <c r="AJ6" s="7">
        <f>ABS(AD6*10/AI6)</f>
        <v>27.03598470703821</v>
      </c>
      <c r="AK6" s="21">
        <f>(AE6-AG6)+(AG6-Z6)</f>
        <v>18.373691689841458</v>
      </c>
      <c r="AL6" s="7">
        <f t="shared" ref="AL6:AL30" si="9">AD6*3.45*3.2</f>
        <v>102.22846924972528</v>
      </c>
      <c r="AM6" s="7">
        <f t="shared" ref="AM6:AM30" si="10">AK6/AL6</f>
        <v>0.17973165229499741</v>
      </c>
      <c r="AN6" s="7">
        <f t="shared" ref="AN6:AN30" si="11">AA6-Z6</f>
        <v>0.38023643999999734</v>
      </c>
      <c r="AO6" s="7">
        <f t="shared" ref="AO6:AO30" si="12">L$5</f>
        <v>6.25E-2</v>
      </c>
      <c r="AP6" s="7">
        <f t="shared" ref="AP6:AP30" si="13">AO6*AN6*K$8</f>
        <v>99.503123392499305</v>
      </c>
      <c r="AQ6" s="7">
        <f t="shared" ref="AQ6:AQ30" si="14">SQRT((($E$2^2)/($E$3^2))+(($E$4^2)/($E$1^2))+(9*($E$5^2)/(AR6^2))+(16*($E$6^2)/(AR6^2))+(($E$7^2)/(AR6^2)))</f>
        <v>0.10376156674561655</v>
      </c>
      <c r="AR6" s="7">
        <f t="shared" ref="AR6:AR30" si="15">3*P6- 4*R6 +T6</f>
        <v>-2.3091833199999385</v>
      </c>
      <c r="AS6" s="7">
        <f t="shared" ref="AS6:AS30" si="16">SQRT((($E$2^2)/(E$3^2))+(($E$4^2)/($E$1^2))+(9*(Q6^2)/(AR6^2))+(16*(S6^2)/(AR6^2))+((U6^2)/(AR6^2)))</f>
        <v>3.4109346946691842E-2</v>
      </c>
      <c r="AT6" s="7">
        <f t="shared" ref="AT6:AT30" si="17">SQRT(AS6^2 + AQ6^2)</f>
        <v>0.1092241286650291</v>
      </c>
      <c r="AU6" s="7">
        <f t="shared" ref="AU6:AU30" si="18">AT6*100</f>
        <v>10.92241286650291</v>
      </c>
      <c r="AV6" s="7">
        <f t="shared" ref="AV6:AV30" si="19">AT6*AD6</f>
        <v>1.0113963295797974</v>
      </c>
      <c r="AW6" s="7">
        <f t="shared" ref="AW6:AW30" si="20">AT6*AL6</f>
        <v>11.165815478560965</v>
      </c>
      <c r="AX6" s="23">
        <f t="shared" ref="AX6:AX30" si="21" xml:space="preserve"> (AE6-X6)/ AL6</f>
        <v>0.13315493061516268</v>
      </c>
      <c r="AY6" s="23">
        <f t="shared" ref="AY6:AY30" si="22">(X6-(AVERAGE(Z6:AA6)))/AL6</f>
        <v>4.4716983180419501E-2</v>
      </c>
      <c r="AZ6" s="23">
        <f t="shared" ref="AZ6:AZ30" si="23" xml:space="preserve"> SUM(AX6:AY6)</f>
        <v>0.17787191379558218</v>
      </c>
      <c r="BB6" s="1">
        <v>30</v>
      </c>
      <c r="BC6" s="1">
        <f t="shared" si="0"/>
        <v>2.4</v>
      </c>
      <c r="BD6" s="1">
        <v>30</v>
      </c>
      <c r="BE6" s="1">
        <f t="shared" si="1"/>
        <v>2.4</v>
      </c>
      <c r="BF6" s="1">
        <f t="shared" si="2"/>
        <v>144</v>
      </c>
      <c r="BG6" s="6">
        <f t="shared" si="3"/>
        <v>13.043478260869566</v>
      </c>
      <c r="BH6" s="6">
        <f t="shared" ref="BH6:BH30" si="24">BG6*0.95</f>
        <v>12.391304347826088</v>
      </c>
      <c r="BI6" s="1">
        <f t="shared" si="4"/>
        <v>136.80000000000001</v>
      </c>
    </row>
    <row r="7" spans="1:61" x14ac:dyDescent="0.25">
      <c r="D7" s="2" t="s">
        <v>15</v>
      </c>
      <c r="E7" s="3">
        <v>4.4020294474281949E-2</v>
      </c>
      <c r="F7" s="3" t="s">
        <v>11</v>
      </c>
      <c r="G7" s="3"/>
      <c r="H7" s="3"/>
      <c r="I7" s="3"/>
      <c r="J7" s="3"/>
      <c r="K7" s="3"/>
      <c r="L7" s="3"/>
      <c r="O7" s="7">
        <v>2</v>
      </c>
      <c r="P7" s="8">
        <f>AVERAGE(B75:B124)</f>
        <v>51.955592040000013</v>
      </c>
      <c r="Q7" s="9">
        <f>STDEV(B75:B124)</f>
        <v>1.0254684410829164E-2</v>
      </c>
      <c r="R7" s="10">
        <f>AVERAGE(C75:C124)</f>
        <v>53.799046160000017</v>
      </c>
      <c r="S7" s="11">
        <f>STDEV(C75:C124)</f>
        <v>6.7409839751675976E-3</v>
      </c>
      <c r="T7" s="12">
        <f>AVERAGE(D75:D124)</f>
        <v>55.551507919999992</v>
      </c>
      <c r="U7" s="13">
        <f>STDEV(D75:D124)</f>
        <v>1.3225884179139325E-2</v>
      </c>
      <c r="V7" s="14">
        <f>AVERAGE(E75:E124)</f>
        <v>41.072565719999993</v>
      </c>
      <c r="W7" s="15">
        <f>STDEV(E75:E124)</f>
        <v>1.4022703476047392E-2</v>
      </c>
      <c r="X7" s="16">
        <f>AVERAGE(F75:F124)</f>
        <v>23.787559160000001</v>
      </c>
      <c r="Y7" s="17">
        <f>STDEV(F75:F124)</f>
        <v>0.14651864276162502</v>
      </c>
      <c r="Z7" s="18">
        <f>AVERAGE(G75:G124)</f>
        <v>19.067302960000003</v>
      </c>
      <c r="AA7" s="19">
        <f>AVERAGE(H75:H124)</f>
        <v>19.73634092</v>
      </c>
      <c r="AB7" s="20">
        <f t="shared" ref="AB7:AB30" si="25">(T7-R7)/(R7-P7)</f>
        <v>0.95064029041307008</v>
      </c>
      <c r="AC7" s="7">
        <f t="shared" si="5"/>
        <v>-377.79006000000237</v>
      </c>
      <c r="AD7" s="20">
        <f t="shared" ref="AD7:AD30" si="26">-(E$3)*AC7*(1/10000)*1</f>
        <v>15.149381406000098</v>
      </c>
      <c r="AE7" s="21">
        <f>(V7)-((0.006*AD7)/(0.0001*391))</f>
        <v>38.747852460767241</v>
      </c>
      <c r="AF7" s="22">
        <v>100</v>
      </c>
      <c r="AG7" s="22">
        <v>34</v>
      </c>
      <c r="AH7" s="7">
        <f t="shared" si="7"/>
        <v>10.212440839999999</v>
      </c>
      <c r="AI7" s="7">
        <f t="shared" si="8"/>
        <v>4.7478524607672412</v>
      </c>
      <c r="AJ7" s="7">
        <f t="shared" ref="AJ7:AJ30" si="27">ABS(AD7*10/AI7)</f>
        <v>31.907860514166007</v>
      </c>
      <c r="AK7" s="21">
        <f t="shared" ref="AK7:AK30" si="28">(AE7-AG7)+(AG7-Z7)</f>
        <v>19.680549500767238</v>
      </c>
      <c r="AL7" s="7">
        <f t="shared" si="9"/>
        <v>167.2491707222411</v>
      </c>
      <c r="AM7" s="7">
        <f t="shared" si="10"/>
        <v>0.11767203039500682</v>
      </c>
      <c r="AN7" s="7">
        <f t="shared" si="11"/>
        <v>0.66903795999999716</v>
      </c>
      <c r="AO7" s="7">
        <f t="shared" si="12"/>
        <v>6.25E-2</v>
      </c>
      <c r="AP7" s="7">
        <f t="shared" si="13"/>
        <v>175.07887115749926</v>
      </c>
      <c r="AQ7" s="7">
        <f t="shared" si="14"/>
        <v>6.588224334967635E-2</v>
      </c>
      <c r="AR7" s="7">
        <f t="shared" si="15"/>
        <v>-3.7779006000000237</v>
      </c>
      <c r="AS7" s="7">
        <f t="shared" si="16"/>
        <v>2.5243534703792668E-2</v>
      </c>
      <c r="AT7" s="7">
        <f t="shared" si="17"/>
        <v>7.0552859850806601E-2</v>
      </c>
      <c r="AU7" s="7">
        <f t="shared" si="18"/>
        <v>7.0552859850806602</v>
      </c>
      <c r="AV7" s="7">
        <f t="shared" si="19"/>
        <v>1.0688321831639402</v>
      </c>
      <c r="AW7" s="7">
        <f t="shared" si="20"/>
        <v>11.799907302129903</v>
      </c>
      <c r="AX7" s="23">
        <f t="shared" si="21"/>
        <v>8.9449132908482595E-2</v>
      </c>
      <c r="AY7" s="23">
        <f t="shared" si="22"/>
        <v>2.6222774086477284E-2</v>
      </c>
      <c r="AZ7" s="23">
        <f t="shared" si="23"/>
        <v>0.11567190699495988</v>
      </c>
      <c r="BB7" s="1">
        <v>35</v>
      </c>
      <c r="BC7" s="1">
        <f t="shared" si="0"/>
        <v>2.8</v>
      </c>
      <c r="BD7" s="1">
        <v>35</v>
      </c>
      <c r="BE7" s="1">
        <f t="shared" si="1"/>
        <v>2.8</v>
      </c>
      <c r="BF7" s="1">
        <f t="shared" si="2"/>
        <v>196</v>
      </c>
      <c r="BG7" s="6">
        <f t="shared" si="3"/>
        <v>17.753623188405797</v>
      </c>
      <c r="BH7" s="6">
        <f t="shared" si="24"/>
        <v>16.865942028985508</v>
      </c>
      <c r="BI7" s="1">
        <f t="shared" si="4"/>
        <v>186.2</v>
      </c>
    </row>
    <row r="8" spans="1:61" x14ac:dyDescent="0.25">
      <c r="D8" s="3"/>
      <c r="E8" s="3"/>
      <c r="F8" s="3"/>
      <c r="G8" s="3"/>
      <c r="H8" s="3"/>
      <c r="I8" s="3"/>
      <c r="J8" s="3" t="s">
        <v>45</v>
      </c>
      <c r="K8" s="3">
        <v>4187</v>
      </c>
      <c r="L8" s="3" t="s">
        <v>46</v>
      </c>
      <c r="O8" s="7">
        <v>3</v>
      </c>
      <c r="P8" s="8">
        <f>AVERAGE(B125:B174)</f>
        <v>57.163488059999999</v>
      </c>
      <c r="Q8" s="9">
        <f>STDEV(B125:B174)</f>
        <v>1.7003510839643757E-2</v>
      </c>
      <c r="R8" s="10">
        <f>AVERAGE(C125:C174)</f>
        <v>59.763831100000019</v>
      </c>
      <c r="S8" s="11">
        <f>STDEV(C125:C174)</f>
        <v>1.416123211411343E-2</v>
      </c>
      <c r="T8" s="12">
        <f>AVERAGE(D125:D174)</f>
        <v>62.210142120000022</v>
      </c>
      <c r="U8" s="13">
        <f>STDEV(D125:D174)</f>
        <v>1.4876535138949813E-2</v>
      </c>
      <c r="V8" s="14">
        <f>AVERAGE(E125:E174)</f>
        <v>43.668074399999995</v>
      </c>
      <c r="W8" s="15">
        <f>STDEV(E125:E174)</f>
        <v>1.4369915455703911E-2</v>
      </c>
      <c r="X8" s="16">
        <f>AVERAGE(F125:F174)</f>
        <v>24.271341899999996</v>
      </c>
      <c r="Y8" s="17">
        <f>STDEV(F125:F174)</f>
        <v>8.5179242780044198E-2</v>
      </c>
      <c r="Z8" s="18">
        <f>AVERAGE(G125:G174)</f>
        <v>19.036804979999992</v>
      </c>
      <c r="AA8" s="19">
        <f>AVERAGE(H125:H174)</f>
        <v>20.039450559999999</v>
      </c>
      <c r="AB8" s="20">
        <f t="shared" si="25"/>
        <v>0.9407647307948972</v>
      </c>
      <c r="AC8" s="7">
        <f t="shared" si="5"/>
        <v>-535.47181000000489</v>
      </c>
      <c r="AD8" s="20">
        <f t="shared" si="26"/>
        <v>21.472419581000196</v>
      </c>
      <c r="AE8" s="21">
        <f t="shared" si="6"/>
        <v>40.373073952787692</v>
      </c>
      <c r="AF8" s="22">
        <v>100</v>
      </c>
      <c r="AG8" s="22">
        <v>34</v>
      </c>
      <c r="AH8" s="7">
        <f t="shared" si="7"/>
        <v>9.7286581000000041</v>
      </c>
      <c r="AI8" s="7">
        <f t="shared" si="8"/>
        <v>6.3730739527876921</v>
      </c>
      <c r="AJ8" s="7">
        <f t="shared" si="27"/>
        <v>33.692406113705601</v>
      </c>
      <c r="AK8" s="21">
        <f t="shared" si="28"/>
        <v>21.3362689727877</v>
      </c>
      <c r="AL8" s="7">
        <f t="shared" si="9"/>
        <v>237.05551217424218</v>
      </c>
      <c r="AM8" s="7">
        <f t="shared" si="10"/>
        <v>9.0005369531778567E-2</v>
      </c>
      <c r="AN8" s="7">
        <f t="shared" si="11"/>
        <v>1.0026455800000065</v>
      </c>
      <c r="AO8" s="7">
        <f t="shared" si="12"/>
        <v>6.25E-2</v>
      </c>
      <c r="AP8" s="7">
        <f t="shared" si="13"/>
        <v>262.3798152162517</v>
      </c>
      <c r="AQ8" s="7">
        <f t="shared" si="14"/>
        <v>4.9148226619973472E-2</v>
      </c>
      <c r="AR8" s="7">
        <f t="shared" si="15"/>
        <v>-5.3547181000000492</v>
      </c>
      <c r="AS8" s="7">
        <f t="shared" si="16"/>
        <v>2.6797415316423615E-2</v>
      </c>
      <c r="AT8" s="7">
        <f t="shared" si="17"/>
        <v>5.5979010776622012E-2</v>
      </c>
      <c r="AU8" s="7">
        <f t="shared" si="18"/>
        <v>5.5979010776622014</v>
      </c>
      <c r="AV8" s="7">
        <f t="shared" si="19"/>
        <v>1.2020048071249594</v>
      </c>
      <c r="AW8" s="7">
        <f t="shared" si="20"/>
        <v>13.270133070659554</v>
      </c>
      <c r="AX8" s="23">
        <f t="shared" si="21"/>
        <v>6.792388797503468E-2</v>
      </c>
      <c r="AY8" s="23">
        <f t="shared" si="22"/>
        <v>1.9966690867415732E-2</v>
      </c>
      <c r="AZ8" s="23">
        <f t="shared" si="23"/>
        <v>8.7890578842450412E-2</v>
      </c>
      <c r="BB8" s="1">
        <v>40</v>
      </c>
      <c r="BC8" s="1">
        <f t="shared" si="0"/>
        <v>3.2</v>
      </c>
      <c r="BD8" s="1">
        <v>40</v>
      </c>
      <c r="BE8" s="1">
        <f t="shared" si="1"/>
        <v>3.2</v>
      </c>
      <c r="BF8" s="1">
        <f t="shared" si="2"/>
        <v>256</v>
      </c>
      <c r="BG8" s="6">
        <f t="shared" si="3"/>
        <v>23.188405797101453</v>
      </c>
      <c r="BH8" s="6">
        <f t="shared" si="24"/>
        <v>22.028985507246379</v>
      </c>
      <c r="BI8" s="1">
        <f t="shared" si="4"/>
        <v>243.2</v>
      </c>
    </row>
    <row r="9" spans="1:61" x14ac:dyDescent="0.25">
      <c r="O9" s="7">
        <v>4</v>
      </c>
      <c r="P9" s="8">
        <f>AVERAGE(B175:B224)</f>
        <v>62.263222580000019</v>
      </c>
      <c r="Q9" s="9">
        <f>STDEV(B175:B224)</f>
        <v>1.6434882415267266E-2</v>
      </c>
      <c r="R9" s="10">
        <f>AVERAGE(C175:C224)</f>
        <v>65.655629020000035</v>
      </c>
      <c r="S9" s="11">
        <f>STDEV(C175:C224)</f>
        <v>1.9975706525770156E-2</v>
      </c>
      <c r="T9" s="12">
        <f>AVERAGE(D175:D224)</f>
        <v>68.828686060000038</v>
      </c>
      <c r="U9" s="13">
        <f>STDEV(D175:D224)</f>
        <v>2.1305066182415167E-2</v>
      </c>
      <c r="V9" s="14">
        <f>AVERAGE(E175:E224)</f>
        <v>46.033024040000001</v>
      </c>
      <c r="W9" s="15">
        <f>STDEV(E175:E224)</f>
        <v>1.7404228695582901E-2</v>
      </c>
      <c r="X9" s="16">
        <f>AVERAGE(F175:F224)</f>
        <v>24.559138000000004</v>
      </c>
      <c r="Y9" s="17">
        <f>STDEV(F175:F224)</f>
        <v>0.13287201347852262</v>
      </c>
      <c r="Z9" s="18">
        <f>AVERAGE(G175:G224)</f>
        <v>19.047628879999994</v>
      </c>
      <c r="AA9" s="19">
        <f>AVERAGE(H175:H224)</f>
        <v>20.386947239999998</v>
      </c>
      <c r="AB9" s="20">
        <f t="shared" si="25"/>
        <v>0.93534106131457173</v>
      </c>
      <c r="AC9" s="7">
        <f t="shared" si="5"/>
        <v>-700.41622800000448</v>
      </c>
      <c r="AD9" s="20">
        <f t="shared" si="26"/>
        <v>28.086690742800183</v>
      </c>
      <c r="AE9" s="21">
        <f t="shared" si="6"/>
        <v>41.723045920900226</v>
      </c>
      <c r="AF9" s="22">
        <v>100</v>
      </c>
      <c r="AG9" s="22">
        <v>34</v>
      </c>
      <c r="AH9" s="7">
        <f t="shared" si="7"/>
        <v>9.4408619999999956</v>
      </c>
      <c r="AI9" s="7">
        <f t="shared" si="8"/>
        <v>7.7230459209002262</v>
      </c>
      <c r="AJ9" s="7">
        <f t="shared" si="27"/>
        <v>36.367375036307301</v>
      </c>
      <c r="AK9" s="21">
        <f t="shared" si="28"/>
        <v>22.675417040900232</v>
      </c>
      <c r="AL9" s="7">
        <f t="shared" si="9"/>
        <v>310.07706580051405</v>
      </c>
      <c r="AM9" s="7">
        <f t="shared" si="10"/>
        <v>7.3128326928533008E-2</v>
      </c>
      <c r="AN9" s="7">
        <f t="shared" si="11"/>
        <v>1.3393183600000036</v>
      </c>
      <c r="AO9" s="7">
        <f t="shared" si="12"/>
        <v>6.25E-2</v>
      </c>
      <c r="AP9" s="7">
        <f t="shared" si="13"/>
        <v>350.48287333250096</v>
      </c>
      <c r="AQ9" s="7">
        <f t="shared" si="14"/>
        <v>4.0283844843189705E-2</v>
      </c>
      <c r="AR9" s="7">
        <f t="shared" si="15"/>
        <v>-7.0041622800000454</v>
      </c>
      <c r="AS9" s="7">
        <f t="shared" si="16"/>
        <v>2.639456675998424E-2</v>
      </c>
      <c r="AT9" s="7">
        <f t="shared" si="17"/>
        <v>4.8160786017230311E-2</v>
      </c>
      <c r="AU9" s="7">
        <f t="shared" si="18"/>
        <v>4.8160786017230315</v>
      </c>
      <c r="AV9" s="7">
        <f t="shared" si="19"/>
        <v>1.3526771027961231</v>
      </c>
      <c r="AW9" s="7">
        <f t="shared" si="20"/>
        <v>14.9335552148692</v>
      </c>
      <c r="AX9" s="23">
        <f t="shared" si="21"/>
        <v>5.5353684015903661E-2</v>
      </c>
      <c r="AY9" s="23">
        <f t="shared" si="22"/>
        <v>1.5614988898001831E-2</v>
      </c>
      <c r="AZ9" s="23">
        <f t="shared" si="23"/>
        <v>7.0968672913905489E-2</v>
      </c>
      <c r="BB9" s="1">
        <v>45</v>
      </c>
      <c r="BC9" s="1">
        <f t="shared" si="0"/>
        <v>3.6</v>
      </c>
      <c r="BD9" s="1">
        <v>45</v>
      </c>
      <c r="BE9" s="1">
        <f t="shared" si="1"/>
        <v>3.6</v>
      </c>
      <c r="BF9" s="1">
        <f t="shared" si="2"/>
        <v>324</v>
      </c>
      <c r="BG9" s="6">
        <f t="shared" si="3"/>
        <v>29.347826086956523</v>
      </c>
      <c r="BH9" s="6">
        <f t="shared" si="24"/>
        <v>27.880434782608695</v>
      </c>
      <c r="BI9" s="1">
        <f t="shared" si="4"/>
        <v>307.79999999999995</v>
      </c>
    </row>
    <row r="10" spans="1:61" x14ac:dyDescent="0.25">
      <c r="O10" s="7">
        <v>5</v>
      </c>
      <c r="P10" s="8">
        <f>AVERAGE(B225:B274)</f>
        <v>62.346616240000024</v>
      </c>
      <c r="Q10" s="9">
        <f>STDEV(B225:B274)</f>
        <v>1.7570167281746943E-2</v>
      </c>
      <c r="R10" s="10">
        <f>AVERAGE(C225:C274)</f>
        <v>65.764090200000012</v>
      </c>
      <c r="S10" s="11">
        <f>STDEV(C225:C274)</f>
        <v>1.4175597857312466E-2</v>
      </c>
      <c r="T10" s="12">
        <f>AVERAGE(D225:D274)</f>
        <v>68.947826640000031</v>
      </c>
      <c r="U10" s="13">
        <f>STDEV(D225:D274)</f>
        <v>1.5932144183252686E-2</v>
      </c>
      <c r="V10" s="14">
        <f>AVERAGE(E225:E274)</f>
        <v>46.077337799999988</v>
      </c>
      <c r="W10" s="15">
        <f>STDEV(E225:E274)</f>
        <v>1.2088853297182916E-2</v>
      </c>
      <c r="X10" s="16">
        <f>AVERAGE(F225:F274)</f>
        <v>24.484995479999998</v>
      </c>
      <c r="Y10" s="17">
        <f>STDEV(F225:F274)</f>
        <v>0.10069203519891477</v>
      </c>
      <c r="Z10" s="18">
        <f>AVERAGE(G225:G274)</f>
        <v>19.042647479999999</v>
      </c>
      <c r="AA10" s="19">
        <f>AVERAGE(H225:H274)</f>
        <v>20.398117160000002</v>
      </c>
      <c r="AB10" s="20">
        <f t="shared" si="25"/>
        <v>0.93160517893164263</v>
      </c>
      <c r="AC10" s="7">
        <f t="shared" si="5"/>
        <v>-706.86854399999527</v>
      </c>
      <c r="AD10" s="20">
        <f t="shared" si="26"/>
        <v>28.345428614399811</v>
      </c>
      <c r="AE10" s="21">
        <f t="shared" si="6"/>
        <v>41.727655659682881</v>
      </c>
      <c r="AF10" s="22">
        <v>100</v>
      </c>
      <c r="AG10" s="22">
        <v>34</v>
      </c>
      <c r="AH10" s="7">
        <f t="shared" si="7"/>
        <v>9.5150045200000015</v>
      </c>
      <c r="AI10" s="7">
        <f t="shared" si="8"/>
        <v>7.7276556596828812</v>
      </c>
      <c r="AJ10" s="7">
        <f t="shared" si="27"/>
        <v>36.680501645906695</v>
      </c>
      <c r="AK10" s="21">
        <f t="shared" si="28"/>
        <v>22.685008179682882</v>
      </c>
      <c r="AL10" s="7">
        <f t="shared" si="9"/>
        <v>312.93353190297398</v>
      </c>
      <c r="AM10" s="7">
        <f t="shared" si="10"/>
        <v>7.2491458622965466E-2</v>
      </c>
      <c r="AN10" s="7">
        <f t="shared" si="11"/>
        <v>1.3554696800000023</v>
      </c>
      <c r="AO10" s="7">
        <f t="shared" si="12"/>
        <v>6.25E-2</v>
      </c>
      <c r="AP10" s="7">
        <f t="shared" si="13"/>
        <v>354.7094718850006</v>
      </c>
      <c r="AQ10" s="7">
        <f t="shared" si="14"/>
        <v>4.0031543386653545E-2</v>
      </c>
      <c r="AR10" s="7">
        <f t="shared" si="15"/>
        <v>-7.0686854399999532</v>
      </c>
      <c r="AS10" s="7">
        <f t="shared" si="16"/>
        <v>2.5154726712119296E-2</v>
      </c>
      <c r="AT10" s="7">
        <f t="shared" si="17"/>
        <v>4.7278798016435794E-2</v>
      </c>
      <c r="AU10" s="7">
        <f t="shared" si="18"/>
        <v>4.7278798016435797</v>
      </c>
      <c r="AV10" s="7">
        <f t="shared" si="19"/>
        <v>1.3401377941495083</v>
      </c>
      <c r="AW10" s="7">
        <f t="shared" si="20"/>
        <v>14.795121247410574</v>
      </c>
      <c r="AX10" s="23">
        <f t="shared" si="21"/>
        <v>5.5100072129787049E-2</v>
      </c>
      <c r="AY10" s="23">
        <f t="shared" si="22"/>
        <v>1.5225639550437448E-2</v>
      </c>
      <c r="AZ10" s="23">
        <f t="shared" si="23"/>
        <v>7.0325711680224501E-2</v>
      </c>
      <c r="BB10" s="1">
        <v>50</v>
      </c>
      <c r="BC10" s="1">
        <f t="shared" si="0"/>
        <v>4</v>
      </c>
      <c r="BD10" s="1">
        <v>50</v>
      </c>
      <c r="BE10" s="1">
        <f t="shared" si="1"/>
        <v>4</v>
      </c>
      <c r="BF10" s="1">
        <f t="shared" si="2"/>
        <v>400</v>
      </c>
      <c r="BG10" s="6">
        <f t="shared" si="3"/>
        <v>36.231884057971016</v>
      </c>
      <c r="BH10" s="6">
        <f t="shared" si="24"/>
        <v>34.420289855072461</v>
      </c>
      <c r="BI10" s="1">
        <f t="shared" si="4"/>
        <v>379.99999999999994</v>
      </c>
    </row>
    <row r="11" spans="1:61" x14ac:dyDescent="0.25">
      <c r="O11" s="7">
        <v>6</v>
      </c>
      <c r="P11" s="8">
        <f>AVERAGE(B275:B324)</f>
        <v>70.37543586000001</v>
      </c>
      <c r="Q11" s="9">
        <f>STDEV(B275:B324)</f>
        <v>1.5250658781367188E-2</v>
      </c>
      <c r="R11" s="10">
        <f>AVERAGE(C275:C324)</f>
        <v>74.805416579999985</v>
      </c>
      <c r="S11" s="11">
        <f>STDEV(C275:C324)</f>
        <v>1.8296638861723773E-2</v>
      </c>
      <c r="T11" s="12">
        <f>AVERAGE(D275:D324)</f>
        <v>78.933080859999976</v>
      </c>
      <c r="U11" s="13">
        <f>STDEV(D275:D324)</f>
        <v>1.7675951038133426E-2</v>
      </c>
      <c r="V11" s="14">
        <f>AVERAGE(E275:E324)</f>
        <v>50.645230420000019</v>
      </c>
      <c r="W11" s="15">
        <f>STDEV(E275:E324)</f>
        <v>1.2840731929819032E-2</v>
      </c>
      <c r="X11" s="16">
        <f>AVERAGE(F275:F324)</f>
        <v>25.806326839999986</v>
      </c>
      <c r="Y11" s="17">
        <f>STDEV(F275:F324)</f>
        <v>0.15267596942349035</v>
      </c>
      <c r="Z11" s="18">
        <f>AVERAGE(G275:G324)</f>
        <v>19.140306839999997</v>
      </c>
      <c r="AA11" s="19">
        <f>AVERAGE(H275:H324)</f>
        <v>20.98714932</v>
      </c>
      <c r="AB11" s="20">
        <f t="shared" si="25"/>
        <v>0.93175671428204632</v>
      </c>
      <c r="AC11" s="7">
        <f t="shared" si="5"/>
        <v>-916.22778799999332</v>
      </c>
      <c r="AD11" s="20">
        <f t="shared" si="26"/>
        <v>36.740734298799737</v>
      </c>
      <c r="AE11" s="21">
        <f t="shared" si="6"/>
        <v>45.007266077473204</v>
      </c>
      <c r="AF11" s="22">
        <v>100</v>
      </c>
      <c r="AG11" s="22">
        <v>34</v>
      </c>
      <c r="AH11" s="7">
        <f t="shared" si="7"/>
        <v>8.1936731600000137</v>
      </c>
      <c r="AI11" s="7">
        <f t="shared" si="8"/>
        <v>11.007266077473204</v>
      </c>
      <c r="AJ11" s="7">
        <f t="shared" si="27"/>
        <v>33.378619214076302</v>
      </c>
      <c r="AK11" s="21">
        <f t="shared" si="28"/>
        <v>25.866959237473207</v>
      </c>
      <c r="AL11" s="7">
        <f t="shared" si="9"/>
        <v>405.61770665874911</v>
      </c>
      <c r="AM11" s="7">
        <f t="shared" si="10"/>
        <v>6.3771770346395112E-2</v>
      </c>
      <c r="AN11" s="7">
        <f t="shared" si="11"/>
        <v>1.846842480000003</v>
      </c>
      <c r="AO11" s="7">
        <f t="shared" si="12"/>
        <v>6.25E-2</v>
      </c>
      <c r="AP11" s="7">
        <f t="shared" si="13"/>
        <v>483.29559148500078</v>
      </c>
      <c r="AQ11" s="7">
        <f t="shared" si="14"/>
        <v>3.4049407495853765E-2</v>
      </c>
      <c r="AR11" s="7">
        <f t="shared" si="15"/>
        <v>-9.1622778799999338</v>
      </c>
      <c r="AS11" s="7">
        <f t="shared" si="16"/>
        <v>2.4498783645761087E-2</v>
      </c>
      <c r="AT11" s="7">
        <f t="shared" si="17"/>
        <v>4.1947020763583594E-2</v>
      </c>
      <c r="AU11" s="7">
        <f t="shared" si="18"/>
        <v>4.1947020763583591</v>
      </c>
      <c r="AV11" s="7">
        <f t="shared" si="19"/>
        <v>1.5411643445010605</v>
      </c>
      <c r="AW11" s="7">
        <f t="shared" si="20"/>
        <v>17.014454363291708</v>
      </c>
      <c r="AX11" s="23">
        <f t="shared" si="21"/>
        <v>4.7337527238738596E-2</v>
      </c>
      <c r="AY11" s="23">
        <f t="shared" si="22"/>
        <v>1.4157662907037006E-2</v>
      </c>
      <c r="AZ11" s="23">
        <f t="shared" si="23"/>
        <v>6.1495190145775605E-2</v>
      </c>
      <c r="BB11" s="1">
        <v>55</v>
      </c>
      <c r="BC11" s="1">
        <f t="shared" si="0"/>
        <v>4.4000000000000004</v>
      </c>
      <c r="BD11" s="1">
        <v>55</v>
      </c>
      <c r="BE11" s="1">
        <f t="shared" si="1"/>
        <v>4.4000000000000004</v>
      </c>
      <c r="BF11" s="1">
        <f t="shared" si="2"/>
        <v>484.00000000000006</v>
      </c>
      <c r="BG11" s="6">
        <f t="shared" si="3"/>
        <v>43.840579710144937</v>
      </c>
      <c r="BH11" s="6">
        <f t="shared" si="24"/>
        <v>41.648550724637687</v>
      </c>
      <c r="BI11" s="1">
        <f t="shared" si="4"/>
        <v>459.8</v>
      </c>
    </row>
    <row r="12" spans="1:61" x14ac:dyDescent="0.25">
      <c r="O12" s="7">
        <v>7</v>
      </c>
      <c r="P12" s="8">
        <f>AVERAGE(B325:B374)</f>
        <v>61.897237960000027</v>
      </c>
      <c r="Q12" s="9">
        <f>STDEV(B325:B374)</f>
        <v>1.8056671986355528E-2</v>
      </c>
      <c r="R12" s="10">
        <f>AVERAGE(C325:C374)</f>
        <v>65.547119480000021</v>
      </c>
      <c r="S12" s="11">
        <f>STDEV(C325:C374)</f>
        <v>1.819350115887431E-2</v>
      </c>
      <c r="T12" s="12">
        <f>AVERAGE(D325:D374)</f>
        <v>68.902599840000022</v>
      </c>
      <c r="U12" s="13">
        <f>STDEV(D325:D374)</f>
        <v>1.3095266631005823E-2</v>
      </c>
      <c r="V12" s="14">
        <f>AVERAGE(E325:E374)</f>
        <v>45.428437519999989</v>
      </c>
      <c r="W12" s="15">
        <f>STDEV(E325:E374)</f>
        <v>1.0822951259660237E-2</v>
      </c>
      <c r="X12" s="16">
        <f>AVERAGE(F325:F374)</f>
        <v>23.630193440000006</v>
      </c>
      <c r="Y12" s="17">
        <f>STDEV(F325:F374)</f>
        <v>7.9100834829867919E-2</v>
      </c>
      <c r="Z12" s="18">
        <f>AVERAGE(G325:G374)</f>
        <v>18.50351371999999</v>
      </c>
      <c r="AA12" s="19">
        <f>AVERAGE(H325:H374)</f>
        <v>20.023023560000009</v>
      </c>
      <c r="AB12" s="20">
        <f t="shared" si="25"/>
        <v>0.91933952968424215</v>
      </c>
      <c r="AC12" s="7">
        <f t="shared" si="5"/>
        <v>-759.41641999999945</v>
      </c>
      <c r="AD12" s="20">
        <f t="shared" si="26"/>
        <v>30.452598441999978</v>
      </c>
      <c r="AE12" s="21">
        <f t="shared" si="6"/>
        <v>40.755404510997437</v>
      </c>
      <c r="AF12" s="22"/>
      <c r="AG12" s="22"/>
      <c r="AH12" s="7">
        <f t="shared" si="7"/>
        <v>-23.630193440000006</v>
      </c>
      <c r="AI12" s="7">
        <f t="shared" si="8"/>
        <v>40.755404510997437</v>
      </c>
      <c r="AJ12" s="7">
        <f t="shared" si="27"/>
        <v>7.4720393055558185</v>
      </c>
      <c r="AK12" s="21">
        <f t="shared" si="28"/>
        <v>22.251890790997447</v>
      </c>
      <c r="AL12" s="7">
        <f t="shared" si="9"/>
        <v>336.19668679967981</v>
      </c>
      <c r="AM12" s="7">
        <f t="shared" si="10"/>
        <v>6.6187121005913022E-2</v>
      </c>
      <c r="AN12" s="7">
        <f t="shared" si="11"/>
        <v>1.5195098400000191</v>
      </c>
      <c r="AO12" s="7">
        <f t="shared" si="12"/>
        <v>6.25E-2</v>
      </c>
      <c r="AP12" s="7">
        <f t="shared" si="13"/>
        <v>397.63673125500497</v>
      </c>
      <c r="AQ12" s="7">
        <f t="shared" si="14"/>
        <v>3.8160939286567122E-2</v>
      </c>
      <c r="AR12" s="7">
        <f t="shared" si="15"/>
        <v>-7.5941641999999945</v>
      </c>
      <c r="AS12" s="7">
        <f t="shared" si="16"/>
        <v>2.5561977215612489E-2</v>
      </c>
      <c r="AT12" s="7">
        <f t="shared" si="17"/>
        <v>4.5931165524124837E-2</v>
      </c>
      <c r="AU12" s="7">
        <f t="shared" si="18"/>
        <v>4.593116552412484</v>
      </c>
      <c r="AV12" s="7">
        <f t="shared" si="19"/>
        <v>1.3987233396792071</v>
      </c>
      <c r="AW12" s="7">
        <f t="shared" si="20"/>
        <v>15.441905670058448</v>
      </c>
      <c r="AX12" s="23">
        <f t="shared" si="21"/>
        <v>5.0938072097067855E-2</v>
      </c>
      <c r="AY12" s="23">
        <f t="shared" si="22"/>
        <v>1.2989196418232417E-2</v>
      </c>
      <c r="AZ12" s="23">
        <f t="shared" si="23"/>
        <v>6.392726851530027E-2</v>
      </c>
      <c r="BB12" s="1">
        <v>60</v>
      </c>
      <c r="BC12" s="1">
        <f t="shared" si="0"/>
        <v>4.8</v>
      </c>
      <c r="BD12" s="1">
        <v>60</v>
      </c>
      <c r="BE12" s="1">
        <f t="shared" si="1"/>
        <v>4.8</v>
      </c>
      <c r="BF12" s="1">
        <f t="shared" si="2"/>
        <v>576</v>
      </c>
      <c r="BG12" s="6">
        <f t="shared" si="3"/>
        <v>52.173913043478265</v>
      </c>
      <c r="BH12" s="6">
        <f t="shared" si="24"/>
        <v>49.565217391304351</v>
      </c>
      <c r="BI12" s="1">
        <f t="shared" si="4"/>
        <v>547.20000000000005</v>
      </c>
    </row>
    <row r="13" spans="1:61" x14ac:dyDescent="0.25">
      <c r="O13" s="7">
        <v>8</v>
      </c>
      <c r="P13" s="8">
        <f>AVERAGE(B375:B424)</f>
        <v>54.167123000000011</v>
      </c>
      <c r="Q13" s="9">
        <f>STDEV(B375:B424)</f>
        <v>1.8291729976986835E-2</v>
      </c>
      <c r="R13" s="10">
        <f>AVERAGE(C375:C424)</f>
        <v>57.00496867999999</v>
      </c>
      <c r="S13" s="11">
        <f>STDEV(C375:C424)</f>
        <v>1.6198399146702694E-2</v>
      </c>
      <c r="T13" s="12">
        <f>AVERAGE(D375:D424)</f>
        <v>59.613641160000022</v>
      </c>
      <c r="U13" s="13">
        <f>STDEV(D375:D424)</f>
        <v>2.2982134887208953E-2</v>
      </c>
      <c r="V13" s="14">
        <f>AVERAGE(E375:E424)</f>
        <v>40.754515839999996</v>
      </c>
      <c r="W13" s="15">
        <f>STDEV(E375:E424)</f>
        <v>1.4450763060651768E-2</v>
      </c>
      <c r="X13" s="16">
        <f>AVERAGE(F375:F424)</f>
        <v>22.16718908</v>
      </c>
      <c r="Y13" s="17">
        <f>STDEV(F375:F424)</f>
        <v>4.6133812343889323E-2</v>
      </c>
      <c r="Z13" s="18">
        <f>AVERAGE(G375:G424)</f>
        <v>18.094594999999998</v>
      </c>
      <c r="AA13" s="19">
        <f>AVERAGE(H375:H424)</f>
        <v>19.304850120000005</v>
      </c>
      <c r="AB13" s="20">
        <f t="shared" si="25"/>
        <v>0.91924395268739556</v>
      </c>
      <c r="AC13" s="7">
        <f t="shared" si="5"/>
        <v>-590.48645599999008</v>
      </c>
      <c r="AD13" s="20">
        <f t="shared" si="26"/>
        <v>23.678506885599603</v>
      </c>
      <c r="AE13" s="21">
        <f t="shared" si="6"/>
        <v>37.120985371621543</v>
      </c>
      <c r="AF13" s="22"/>
      <c r="AG13" s="22"/>
      <c r="AH13" s="7">
        <f t="shared" si="7"/>
        <v>-22.16718908</v>
      </c>
      <c r="AI13" s="7">
        <f t="shared" si="8"/>
        <v>37.120985371621543</v>
      </c>
      <c r="AJ13" s="7">
        <f t="shared" si="27"/>
        <v>6.3787387776892039</v>
      </c>
      <c r="AK13" s="21">
        <f t="shared" si="28"/>
        <v>19.026390371621545</v>
      </c>
      <c r="AL13" s="7">
        <f t="shared" si="9"/>
        <v>261.41071601701964</v>
      </c>
      <c r="AM13" s="7">
        <f t="shared" si="10"/>
        <v>7.2783513474569253E-2</v>
      </c>
      <c r="AN13" s="7">
        <f t="shared" si="11"/>
        <v>1.2102551200000065</v>
      </c>
      <c r="AO13" s="7">
        <f t="shared" si="12"/>
        <v>6.25E-2</v>
      </c>
      <c r="AP13" s="7">
        <f t="shared" si="13"/>
        <v>316.70863671500172</v>
      </c>
      <c r="AQ13" s="7">
        <f t="shared" si="14"/>
        <v>4.5569856789243933E-2</v>
      </c>
      <c r="AR13" s="7">
        <f t="shared" si="15"/>
        <v>-5.9048645599999006</v>
      </c>
      <c r="AS13" s="7">
        <f t="shared" si="16"/>
        <v>2.7011946071195093E-2</v>
      </c>
      <c r="AT13" s="7">
        <f t="shared" si="17"/>
        <v>5.2974117060554708E-2</v>
      </c>
      <c r="AU13" s="7">
        <f t="shared" si="18"/>
        <v>5.2974117060554704</v>
      </c>
      <c r="AV13" s="7">
        <f t="shared" si="19"/>
        <v>1.2543479955769041</v>
      </c>
      <c r="AW13" s="7">
        <f t="shared" si="20"/>
        <v>13.848001871169021</v>
      </c>
      <c r="AX13" s="23">
        <f t="shared" si="21"/>
        <v>5.7204220697088595E-2</v>
      </c>
      <c r="AY13" s="23">
        <f t="shared" si="22"/>
        <v>1.3264439089689967E-2</v>
      </c>
      <c r="AZ13" s="23">
        <f t="shared" si="23"/>
        <v>7.0468659786778562E-2</v>
      </c>
      <c r="BB13" s="1">
        <v>65</v>
      </c>
      <c r="BC13" s="1">
        <f t="shared" si="0"/>
        <v>5.2</v>
      </c>
      <c r="BD13" s="1">
        <v>65</v>
      </c>
      <c r="BE13" s="1">
        <f t="shared" si="1"/>
        <v>5.2</v>
      </c>
      <c r="BF13" s="1">
        <f t="shared" si="2"/>
        <v>676</v>
      </c>
      <c r="BG13" s="6">
        <f t="shared" si="3"/>
        <v>61.231884057971023</v>
      </c>
      <c r="BH13" s="6">
        <f t="shared" si="24"/>
        <v>58.170289855072468</v>
      </c>
      <c r="BI13" s="1">
        <f t="shared" si="4"/>
        <v>642.20000000000005</v>
      </c>
    </row>
    <row r="14" spans="1:61" x14ac:dyDescent="0.25">
      <c r="O14" s="7">
        <v>9</v>
      </c>
      <c r="P14" s="8">
        <f>AVERAGE(B425:B474)</f>
        <v>44.862725879999999</v>
      </c>
      <c r="Q14" s="9">
        <f>STDEV(B425:B474)</f>
        <v>2.222653921544061E-2</v>
      </c>
      <c r="R14" s="10">
        <f>AVERAGE(C425:C474)</f>
        <v>46.98981036</v>
      </c>
      <c r="S14" s="11">
        <f>STDEV(C425:C474)</f>
        <v>2.0698400036520421E-2</v>
      </c>
      <c r="T14" s="12">
        <f>AVERAGE(D425:D474)</f>
        <v>48.905903039999984</v>
      </c>
      <c r="U14" s="13">
        <f>STDEV(D425:D474)</f>
        <v>1.6211570865179464E-2</v>
      </c>
      <c r="V14" s="14">
        <f>AVERAGE(E425:E474)</f>
        <v>34.574049160000015</v>
      </c>
      <c r="W14" s="15">
        <f>STDEV(E425:E474)</f>
        <v>2.3559812139647727E-2</v>
      </c>
      <c r="X14" s="16">
        <f>AVERAGE(F425:F474)</f>
        <v>17.018372319999997</v>
      </c>
      <c r="Y14" s="17">
        <f>STDEV(F425:F474)</f>
        <v>4.6268539270018449E-2</v>
      </c>
      <c r="Z14" s="18">
        <f>AVERAGE(G425:G474)</f>
        <v>14.117954559999998</v>
      </c>
      <c r="AA14" s="19">
        <f>AVERAGE(H425:H474)</f>
        <v>15.094542559999995</v>
      </c>
      <c r="AB14" s="20">
        <f t="shared" si="25"/>
        <v>0.90080704269911449</v>
      </c>
      <c r="AC14" s="7">
        <f t="shared" si="5"/>
        <v>-446.51607600000176</v>
      </c>
      <c r="AD14" s="20">
        <f t="shared" si="26"/>
        <v>17.905294647600073</v>
      </c>
      <c r="AE14" s="21">
        <f t="shared" si="6"/>
        <v>31.826433613053712</v>
      </c>
      <c r="AF14" s="22"/>
      <c r="AG14" s="22"/>
      <c r="AH14" s="7">
        <f t="shared" si="7"/>
        <v>-17.018372319999997</v>
      </c>
      <c r="AI14" s="7">
        <f t="shared" si="8"/>
        <v>31.826433613053712</v>
      </c>
      <c r="AJ14" s="7">
        <f t="shared" si="27"/>
        <v>5.6259192799585813</v>
      </c>
      <c r="AK14" s="21">
        <f t="shared" si="28"/>
        <v>17.708479053053715</v>
      </c>
      <c r="AL14" s="7">
        <f t="shared" si="9"/>
        <v>197.67445290950482</v>
      </c>
      <c r="AM14" s="7">
        <f t="shared" si="10"/>
        <v>8.9584054957069434E-2</v>
      </c>
      <c r="AN14" s="7">
        <f t="shared" si="11"/>
        <v>0.97658799999999779</v>
      </c>
      <c r="AO14" s="7">
        <f t="shared" si="12"/>
        <v>6.25E-2</v>
      </c>
      <c r="AP14" s="7">
        <f t="shared" si="13"/>
        <v>255.56087224999942</v>
      </c>
      <c r="AQ14" s="7">
        <f t="shared" si="14"/>
        <v>5.7021284622787966E-2</v>
      </c>
      <c r="AR14" s="7">
        <f t="shared" si="15"/>
        <v>-4.4651607600000176</v>
      </c>
      <c r="AS14" s="7">
        <f t="shared" si="16"/>
        <v>3.298066667226144E-2</v>
      </c>
      <c r="AT14" s="7">
        <f t="shared" si="17"/>
        <v>6.5872234470828545E-2</v>
      </c>
      <c r="AU14" s="7">
        <f t="shared" si="18"/>
        <v>6.5872234470828541</v>
      </c>
      <c r="AV14" s="7">
        <f t="shared" si="19"/>
        <v>1.1794617672959833</v>
      </c>
      <c r="AW14" s="7">
        <f t="shared" si="20"/>
        <v>13.021257910947657</v>
      </c>
      <c r="AX14" s="23">
        <f t="shared" si="21"/>
        <v>7.4911355893990159E-2</v>
      </c>
      <c r="AY14" s="23">
        <f t="shared" si="22"/>
        <v>1.2202506315291375E-2</v>
      </c>
      <c r="AZ14" s="23">
        <f t="shared" si="23"/>
        <v>8.7113862209281537E-2</v>
      </c>
      <c r="BB14" s="1">
        <v>70</v>
      </c>
      <c r="BC14" s="1">
        <f t="shared" si="0"/>
        <v>5.6</v>
      </c>
      <c r="BD14" s="1">
        <v>70</v>
      </c>
      <c r="BE14" s="1">
        <f t="shared" si="1"/>
        <v>5.6</v>
      </c>
      <c r="BF14" s="1">
        <f t="shared" si="2"/>
        <v>784</v>
      </c>
      <c r="BG14" s="6">
        <f t="shared" si="3"/>
        <v>71.014492753623188</v>
      </c>
      <c r="BH14" s="6">
        <f t="shared" si="24"/>
        <v>67.463768115942031</v>
      </c>
      <c r="BI14" s="1">
        <f t="shared" si="4"/>
        <v>744.8</v>
      </c>
    </row>
    <row r="15" spans="1:61" ht="21" x14ac:dyDescent="0.25">
      <c r="A15" s="24" t="s">
        <v>47</v>
      </c>
      <c r="O15" s="7">
        <v>10</v>
      </c>
      <c r="P15" s="8">
        <f>AVERAGE(B475:B524)</f>
        <v>38.812884099999998</v>
      </c>
      <c r="Q15" s="9">
        <f>STDEV(B475:B524)</f>
        <v>2.4805570066756023E-2</v>
      </c>
      <c r="R15" s="10">
        <f>AVERAGE(C475:C524)</f>
        <v>40.331099840000007</v>
      </c>
      <c r="S15" s="11">
        <f>STDEV(C475:C524)</f>
        <v>2.6360672648938679E-2</v>
      </c>
      <c r="T15" s="12">
        <f>AVERAGE(D475:D524)</f>
        <v>41.685135400000007</v>
      </c>
      <c r="U15" s="13">
        <f>STDEV(D475:D524)</f>
        <v>2.6477673756413227E-2</v>
      </c>
      <c r="V15" s="14">
        <f>AVERAGE(E475:E524)</f>
        <v>30.935043860000011</v>
      </c>
      <c r="W15" s="15">
        <f>STDEV(E475:E524)</f>
        <v>1.1739261110861153E-2</v>
      </c>
      <c r="X15" s="16">
        <f>AVERAGE(F475:F524)</f>
        <v>16.081467740000004</v>
      </c>
      <c r="Y15" s="17">
        <f>STDEV(F475:F524)</f>
        <v>0.10440070928835021</v>
      </c>
      <c r="Z15" s="18">
        <f>AVERAGE(G475:G524)</f>
        <v>14.203037319999998</v>
      </c>
      <c r="AA15" s="19">
        <f>AVERAGE(H475:H524)</f>
        <v>14.762454519999999</v>
      </c>
      <c r="AB15" s="20">
        <f t="shared" si="25"/>
        <v>0.89185978272099287</v>
      </c>
      <c r="AC15" s="7">
        <f t="shared" si="5"/>
        <v>-320.06116600000212</v>
      </c>
      <c r="AD15" s="20">
        <f t="shared" si="26"/>
        <v>12.834452756600086</v>
      </c>
      <c r="AE15" s="21">
        <f t="shared" si="6"/>
        <v>28.965562618578002</v>
      </c>
      <c r="AF15" s="22"/>
      <c r="AG15" s="22"/>
      <c r="AH15" s="7">
        <f t="shared" si="7"/>
        <v>-16.081467740000004</v>
      </c>
      <c r="AI15" s="7">
        <f t="shared" si="8"/>
        <v>28.965562618578002</v>
      </c>
      <c r="AJ15" s="7">
        <f t="shared" si="27"/>
        <v>4.4309350816366653</v>
      </c>
      <c r="AK15" s="21">
        <f t="shared" si="28"/>
        <v>14.762525298578003</v>
      </c>
      <c r="AL15" s="7">
        <f t="shared" si="9"/>
        <v>141.69235843286498</v>
      </c>
      <c r="AM15" s="7">
        <f t="shared" si="10"/>
        <v>0.10418716620891458</v>
      </c>
      <c r="AN15" s="7">
        <f t="shared" si="11"/>
        <v>0.55941720000000039</v>
      </c>
      <c r="AO15" s="7">
        <f t="shared" si="12"/>
        <v>6.25E-2</v>
      </c>
      <c r="AP15" s="7">
        <f t="shared" si="13"/>
        <v>146.39248852500009</v>
      </c>
      <c r="AQ15" s="7">
        <f t="shared" si="14"/>
        <v>7.6470712783927433E-2</v>
      </c>
      <c r="AR15" s="7">
        <f t="shared" si="15"/>
        <v>-3.2006116600000212</v>
      </c>
      <c r="AS15" s="7">
        <f t="shared" si="16"/>
        <v>4.6926615697549939E-2</v>
      </c>
      <c r="AT15" s="7">
        <f t="shared" si="17"/>
        <v>8.9721107742311471E-2</v>
      </c>
      <c r="AU15" s="7">
        <f t="shared" si="18"/>
        <v>8.9721107742311474</v>
      </c>
      <c r="AV15" s="7">
        <f t="shared" si="19"/>
        <v>1.1515213185885227</v>
      </c>
      <c r="AW15" s="7">
        <f t="shared" si="20"/>
        <v>12.712795357217294</v>
      </c>
      <c r="AX15" s="23">
        <f t="shared" si="21"/>
        <v>9.0930061586084673E-2</v>
      </c>
      <c r="AY15" s="23">
        <f t="shared" si="22"/>
        <v>1.1283048977955243E-2</v>
      </c>
      <c r="AZ15" s="23">
        <f t="shared" si="23"/>
        <v>0.10221311056403992</v>
      </c>
      <c r="BB15" s="1">
        <v>75</v>
      </c>
      <c r="BC15" s="1">
        <f t="shared" si="0"/>
        <v>6</v>
      </c>
      <c r="BD15" s="1">
        <v>75</v>
      </c>
      <c r="BE15" s="1">
        <f t="shared" si="1"/>
        <v>6</v>
      </c>
      <c r="BF15" s="1">
        <f t="shared" si="2"/>
        <v>900</v>
      </c>
      <c r="BG15" s="6">
        <f t="shared" si="3"/>
        <v>81.521739130434796</v>
      </c>
      <c r="BH15" s="6">
        <f t="shared" si="24"/>
        <v>77.445652173913047</v>
      </c>
      <c r="BI15" s="1">
        <f t="shared" si="4"/>
        <v>855</v>
      </c>
    </row>
    <row r="16" spans="1:61" x14ac:dyDescent="0.25">
      <c r="O16" s="7">
        <v>11</v>
      </c>
      <c r="P16" s="8" t="e">
        <f>AVERAGE(B525:B574)</f>
        <v>#DIV/0!</v>
      </c>
      <c r="Q16" s="9" t="e">
        <f>STDEV(B525:B574)</f>
        <v>#DIV/0!</v>
      </c>
      <c r="R16" s="10" t="e">
        <f>AVERAGE(C525:C574)</f>
        <v>#DIV/0!</v>
      </c>
      <c r="S16" s="11" t="e">
        <f>STDEV(C525:C574)</f>
        <v>#DIV/0!</v>
      </c>
      <c r="T16" s="12" t="e">
        <f>AVERAGE(D525:D574)</f>
        <v>#DIV/0!</v>
      </c>
      <c r="U16" s="13" t="e">
        <f>STDEV(D525:D574)</f>
        <v>#DIV/0!</v>
      </c>
      <c r="V16" s="14" t="e">
        <f>AVERAGE(E525:E574)</f>
        <v>#DIV/0!</v>
      </c>
      <c r="W16" s="15" t="e">
        <f>STDEV(E525:E574)</f>
        <v>#DIV/0!</v>
      </c>
      <c r="X16" s="16" t="e">
        <f>AVERAGE(F525:F574)</f>
        <v>#DIV/0!</v>
      </c>
      <c r="Y16" s="17" t="e">
        <f>STDEV(F525:F574)</f>
        <v>#DIV/0!</v>
      </c>
      <c r="Z16" s="18" t="e">
        <f>AVERAGE(G525:G574)</f>
        <v>#DIV/0!</v>
      </c>
      <c r="AA16" s="19" t="e">
        <f>AVERAGE(H525:H574)</f>
        <v>#DIV/0!</v>
      </c>
      <c r="AB16" s="20" t="e">
        <f t="shared" si="25"/>
        <v>#DIV/0!</v>
      </c>
      <c r="AC16" s="7" t="e">
        <f t="shared" si="5"/>
        <v>#DIV/0!</v>
      </c>
      <c r="AD16" s="20" t="e">
        <f t="shared" si="26"/>
        <v>#DIV/0!</v>
      </c>
      <c r="AE16" s="21" t="e">
        <f t="shared" si="6"/>
        <v>#DIV/0!</v>
      </c>
      <c r="AF16" s="22"/>
      <c r="AG16" s="22"/>
      <c r="AH16" s="7" t="e">
        <f t="shared" si="7"/>
        <v>#DIV/0!</v>
      </c>
      <c r="AI16" s="7" t="e">
        <f t="shared" si="8"/>
        <v>#DIV/0!</v>
      </c>
      <c r="AJ16" s="7" t="e">
        <f t="shared" si="27"/>
        <v>#DIV/0!</v>
      </c>
      <c r="AK16" s="21" t="e">
        <f t="shared" si="28"/>
        <v>#DIV/0!</v>
      </c>
      <c r="AL16" s="7" t="e">
        <f t="shared" si="9"/>
        <v>#DIV/0!</v>
      </c>
      <c r="AM16" s="7" t="e">
        <f t="shared" si="10"/>
        <v>#DIV/0!</v>
      </c>
      <c r="AN16" s="7" t="e">
        <f t="shared" si="11"/>
        <v>#DIV/0!</v>
      </c>
      <c r="AO16" s="7">
        <f t="shared" si="12"/>
        <v>6.25E-2</v>
      </c>
      <c r="AP16" s="7" t="e">
        <f t="shared" si="13"/>
        <v>#DIV/0!</v>
      </c>
      <c r="AQ16" s="7" t="e">
        <f t="shared" si="14"/>
        <v>#DIV/0!</v>
      </c>
      <c r="AR16" s="7" t="e">
        <f t="shared" si="15"/>
        <v>#DIV/0!</v>
      </c>
      <c r="AS16" s="7" t="e">
        <f t="shared" si="16"/>
        <v>#DIV/0!</v>
      </c>
      <c r="AT16" s="7" t="e">
        <f t="shared" si="17"/>
        <v>#DIV/0!</v>
      </c>
      <c r="AU16" s="7" t="e">
        <f t="shared" si="18"/>
        <v>#DIV/0!</v>
      </c>
      <c r="AV16" s="7" t="e">
        <f t="shared" si="19"/>
        <v>#DIV/0!</v>
      </c>
      <c r="AW16" s="7" t="e">
        <f t="shared" si="20"/>
        <v>#DIV/0!</v>
      </c>
      <c r="AX16" s="23" t="e">
        <f t="shared" si="21"/>
        <v>#DIV/0!</v>
      </c>
      <c r="AY16" s="23" t="e">
        <f t="shared" si="22"/>
        <v>#DIV/0!</v>
      </c>
      <c r="AZ16" s="23" t="e">
        <f t="shared" si="23"/>
        <v>#DIV/0!</v>
      </c>
      <c r="BB16" s="1">
        <v>80</v>
      </c>
      <c r="BC16" s="1">
        <f t="shared" si="0"/>
        <v>6.4</v>
      </c>
      <c r="BD16" s="1">
        <v>80</v>
      </c>
      <c r="BE16" s="1">
        <f t="shared" si="1"/>
        <v>6.4</v>
      </c>
      <c r="BF16" s="1">
        <f t="shared" si="2"/>
        <v>1024</v>
      </c>
      <c r="BG16" s="6">
        <f t="shared" si="3"/>
        <v>92.753623188405811</v>
      </c>
      <c r="BH16" s="6">
        <f t="shared" si="24"/>
        <v>88.115942028985515</v>
      </c>
      <c r="BI16" s="1">
        <f t="shared" si="4"/>
        <v>972.8</v>
      </c>
    </row>
    <row r="17" spans="1:61" x14ac:dyDescent="0.25">
      <c r="O17" s="7">
        <v>12</v>
      </c>
      <c r="P17" s="8" t="e">
        <f>AVERAGE(B575:B624)</f>
        <v>#DIV/0!</v>
      </c>
      <c r="Q17" s="9" t="e">
        <f>STDEV(B575:B624)</f>
        <v>#DIV/0!</v>
      </c>
      <c r="R17" s="10" t="e">
        <f>AVERAGE(C575:C624)</f>
        <v>#DIV/0!</v>
      </c>
      <c r="S17" s="11" t="e">
        <f>STDEV(C575:C624)</f>
        <v>#DIV/0!</v>
      </c>
      <c r="T17" s="12" t="e">
        <f>AVERAGE(D575:D624)</f>
        <v>#DIV/0!</v>
      </c>
      <c r="U17" s="13" t="e">
        <f>STDEV(D575:D624)</f>
        <v>#DIV/0!</v>
      </c>
      <c r="V17" s="14" t="e">
        <f>AVERAGE(E575:E624)</f>
        <v>#DIV/0!</v>
      </c>
      <c r="W17" s="15" t="e">
        <f>STDEV(E575:E624)</f>
        <v>#DIV/0!</v>
      </c>
      <c r="X17" s="16" t="e">
        <f>AVERAGE(F575:F624)</f>
        <v>#DIV/0!</v>
      </c>
      <c r="Y17" s="17" t="e">
        <f>STDEV(F575:F624)</f>
        <v>#DIV/0!</v>
      </c>
      <c r="Z17" s="18" t="e">
        <f>AVERAGE(G575:G624)</f>
        <v>#DIV/0!</v>
      </c>
      <c r="AA17" s="19" t="e">
        <f>AVERAGE(H575:H624)</f>
        <v>#DIV/0!</v>
      </c>
      <c r="AB17" s="20" t="e">
        <f t="shared" si="25"/>
        <v>#DIV/0!</v>
      </c>
      <c r="AC17" s="7" t="e">
        <f t="shared" si="5"/>
        <v>#DIV/0!</v>
      </c>
      <c r="AD17" s="20" t="e">
        <f t="shared" si="26"/>
        <v>#DIV/0!</v>
      </c>
      <c r="AE17" s="21" t="e">
        <f t="shared" si="6"/>
        <v>#DIV/0!</v>
      </c>
      <c r="AF17" s="22"/>
      <c r="AG17" s="22"/>
      <c r="AH17" s="7" t="e">
        <f t="shared" si="7"/>
        <v>#DIV/0!</v>
      </c>
      <c r="AI17" s="7" t="e">
        <f t="shared" si="8"/>
        <v>#DIV/0!</v>
      </c>
      <c r="AJ17" s="7" t="e">
        <f t="shared" si="27"/>
        <v>#DIV/0!</v>
      </c>
      <c r="AK17" s="21" t="e">
        <f t="shared" si="28"/>
        <v>#DIV/0!</v>
      </c>
      <c r="AL17" s="7" t="e">
        <f t="shared" si="9"/>
        <v>#DIV/0!</v>
      </c>
      <c r="AM17" s="7" t="e">
        <f t="shared" si="10"/>
        <v>#DIV/0!</v>
      </c>
      <c r="AN17" s="7" t="e">
        <f t="shared" si="11"/>
        <v>#DIV/0!</v>
      </c>
      <c r="AO17" s="7">
        <f t="shared" si="12"/>
        <v>6.25E-2</v>
      </c>
      <c r="AP17" s="7" t="e">
        <f t="shared" si="13"/>
        <v>#DIV/0!</v>
      </c>
      <c r="AQ17" s="7" t="e">
        <f t="shared" si="14"/>
        <v>#DIV/0!</v>
      </c>
      <c r="AR17" s="7" t="e">
        <f t="shared" si="15"/>
        <v>#DIV/0!</v>
      </c>
      <c r="AS17" s="7" t="e">
        <f t="shared" si="16"/>
        <v>#DIV/0!</v>
      </c>
      <c r="AT17" s="7" t="e">
        <f t="shared" si="17"/>
        <v>#DIV/0!</v>
      </c>
      <c r="AU17" s="7" t="e">
        <f t="shared" si="18"/>
        <v>#DIV/0!</v>
      </c>
      <c r="AV17" s="7" t="e">
        <f t="shared" si="19"/>
        <v>#DIV/0!</v>
      </c>
      <c r="AW17" s="7" t="e">
        <f t="shared" si="20"/>
        <v>#DIV/0!</v>
      </c>
      <c r="AX17" s="23" t="e">
        <f t="shared" si="21"/>
        <v>#DIV/0!</v>
      </c>
      <c r="AY17" s="23" t="e">
        <f t="shared" si="22"/>
        <v>#DIV/0!</v>
      </c>
      <c r="AZ17" s="23" t="e">
        <f t="shared" si="23"/>
        <v>#DIV/0!</v>
      </c>
      <c r="BB17" s="1">
        <v>85</v>
      </c>
      <c r="BC17" s="1">
        <f t="shared" si="0"/>
        <v>6.8</v>
      </c>
      <c r="BD17" s="1">
        <v>85</v>
      </c>
      <c r="BE17" s="1">
        <f t="shared" si="1"/>
        <v>6.8</v>
      </c>
      <c r="BF17" s="1">
        <f t="shared" si="2"/>
        <v>1156</v>
      </c>
      <c r="BG17" s="6">
        <f t="shared" si="3"/>
        <v>104.71014492753623</v>
      </c>
      <c r="BH17" s="6">
        <f t="shared" si="24"/>
        <v>99.474637681159422</v>
      </c>
      <c r="BI17" s="1">
        <f t="shared" si="4"/>
        <v>1098.1999999999998</v>
      </c>
    </row>
    <row r="18" spans="1:61" x14ac:dyDescent="0.25">
      <c r="O18" s="7">
        <v>13</v>
      </c>
      <c r="P18" s="8" t="e">
        <f>AVERAGE(B625:B674)</f>
        <v>#DIV/0!</v>
      </c>
      <c r="Q18" s="9" t="e">
        <f>STDEV(B625:B674)</f>
        <v>#DIV/0!</v>
      </c>
      <c r="R18" s="10" t="e">
        <f>AVERAGE(C625:C674)</f>
        <v>#DIV/0!</v>
      </c>
      <c r="S18" s="11" t="e">
        <f>STDEV(C625:C674)</f>
        <v>#DIV/0!</v>
      </c>
      <c r="T18" s="12" t="e">
        <f>AVERAGE(D625:D674)</f>
        <v>#DIV/0!</v>
      </c>
      <c r="U18" s="13" t="e">
        <f>STDEV(D625:D674)</f>
        <v>#DIV/0!</v>
      </c>
      <c r="V18" s="14" t="e">
        <f>AVERAGE(E625:E674)</f>
        <v>#DIV/0!</v>
      </c>
      <c r="W18" s="15" t="e">
        <f>STDEV(E625:E674)</f>
        <v>#DIV/0!</v>
      </c>
      <c r="X18" s="16" t="e">
        <f>AVERAGE(F625:F674)</f>
        <v>#DIV/0!</v>
      </c>
      <c r="Y18" s="17" t="e">
        <f>STDEV(F625:F674)</f>
        <v>#DIV/0!</v>
      </c>
      <c r="Z18" s="18" t="e">
        <f>AVERAGE(G625:G674)</f>
        <v>#DIV/0!</v>
      </c>
      <c r="AA18" s="19" t="e">
        <f>AVERAGE(H625:H674)</f>
        <v>#DIV/0!</v>
      </c>
      <c r="AB18" s="20" t="e">
        <f t="shared" si="25"/>
        <v>#DIV/0!</v>
      </c>
      <c r="AC18" s="7" t="e">
        <f t="shared" si="5"/>
        <v>#DIV/0!</v>
      </c>
      <c r="AD18" s="20" t="e">
        <f t="shared" si="26"/>
        <v>#DIV/0!</v>
      </c>
      <c r="AE18" s="21" t="e">
        <f t="shared" si="6"/>
        <v>#DIV/0!</v>
      </c>
      <c r="AF18" s="22"/>
      <c r="AG18" s="22"/>
      <c r="AH18" s="7" t="e">
        <f t="shared" si="7"/>
        <v>#DIV/0!</v>
      </c>
      <c r="AI18" s="7" t="e">
        <f t="shared" si="8"/>
        <v>#DIV/0!</v>
      </c>
      <c r="AJ18" s="7" t="e">
        <f t="shared" si="27"/>
        <v>#DIV/0!</v>
      </c>
      <c r="AK18" s="21" t="e">
        <f t="shared" si="28"/>
        <v>#DIV/0!</v>
      </c>
      <c r="AL18" s="7" t="e">
        <f t="shared" si="9"/>
        <v>#DIV/0!</v>
      </c>
      <c r="AM18" s="7" t="e">
        <f t="shared" si="10"/>
        <v>#DIV/0!</v>
      </c>
      <c r="AN18" s="7" t="e">
        <f t="shared" si="11"/>
        <v>#DIV/0!</v>
      </c>
      <c r="AO18" s="7">
        <f t="shared" si="12"/>
        <v>6.25E-2</v>
      </c>
      <c r="AP18" s="7" t="e">
        <f t="shared" si="13"/>
        <v>#DIV/0!</v>
      </c>
      <c r="AQ18" s="7" t="e">
        <f t="shared" si="14"/>
        <v>#DIV/0!</v>
      </c>
      <c r="AR18" s="7" t="e">
        <f t="shared" si="15"/>
        <v>#DIV/0!</v>
      </c>
      <c r="AS18" s="7" t="e">
        <f t="shared" si="16"/>
        <v>#DIV/0!</v>
      </c>
      <c r="AT18" s="7" t="e">
        <f t="shared" si="17"/>
        <v>#DIV/0!</v>
      </c>
      <c r="AU18" s="7" t="e">
        <f t="shared" si="18"/>
        <v>#DIV/0!</v>
      </c>
      <c r="AV18" s="7" t="e">
        <f t="shared" si="19"/>
        <v>#DIV/0!</v>
      </c>
      <c r="AW18" s="7" t="e">
        <f t="shared" si="20"/>
        <v>#DIV/0!</v>
      </c>
      <c r="AX18" s="23" t="e">
        <f t="shared" si="21"/>
        <v>#DIV/0!</v>
      </c>
      <c r="AY18" s="23" t="e">
        <f t="shared" si="22"/>
        <v>#DIV/0!</v>
      </c>
      <c r="AZ18" s="23" t="e">
        <f t="shared" si="23"/>
        <v>#DIV/0!</v>
      </c>
      <c r="BB18" s="1">
        <v>90</v>
      </c>
      <c r="BC18" s="1">
        <f t="shared" si="0"/>
        <v>7.2</v>
      </c>
      <c r="BD18" s="1">
        <v>90</v>
      </c>
      <c r="BE18" s="1">
        <f t="shared" si="1"/>
        <v>7.2</v>
      </c>
      <c r="BF18" s="1">
        <f t="shared" si="2"/>
        <v>1296</v>
      </c>
      <c r="BG18" s="6">
        <f t="shared" si="3"/>
        <v>117.39130434782609</v>
      </c>
      <c r="BH18" s="6">
        <f t="shared" si="24"/>
        <v>111.52173913043478</v>
      </c>
      <c r="BI18" s="1">
        <f t="shared" si="4"/>
        <v>1231.1999999999998</v>
      </c>
    </row>
    <row r="19" spans="1:61" x14ac:dyDescent="0.25">
      <c r="O19" s="7">
        <v>14</v>
      </c>
      <c r="P19" s="8" t="e">
        <f>AVERAGE(B675:B724)</f>
        <v>#DIV/0!</v>
      </c>
      <c r="Q19" s="9" t="e">
        <f>STDEV(B675:B724)</f>
        <v>#DIV/0!</v>
      </c>
      <c r="R19" s="10" t="e">
        <f>AVERAGE(C675:C724)</f>
        <v>#DIV/0!</v>
      </c>
      <c r="S19" s="11" t="e">
        <f>STDEV(C675:C724)</f>
        <v>#DIV/0!</v>
      </c>
      <c r="T19" s="12" t="e">
        <f>AVERAGE(D675:D724)</f>
        <v>#DIV/0!</v>
      </c>
      <c r="U19" s="13" t="e">
        <f>STDEV(D675:D724)</f>
        <v>#DIV/0!</v>
      </c>
      <c r="V19" s="14" t="e">
        <f>AVERAGE(E675:E724)</f>
        <v>#DIV/0!</v>
      </c>
      <c r="W19" s="15" t="e">
        <f>STDEV(E675:E724)</f>
        <v>#DIV/0!</v>
      </c>
      <c r="X19" s="16" t="e">
        <f>AVERAGE(F675:F724)</f>
        <v>#DIV/0!</v>
      </c>
      <c r="Y19" s="17" t="e">
        <f>STDEV(F675:F724)</f>
        <v>#DIV/0!</v>
      </c>
      <c r="Z19" s="18" t="e">
        <f>AVERAGE(G675:G724)</f>
        <v>#DIV/0!</v>
      </c>
      <c r="AA19" s="19" t="e">
        <f>AVERAGE(H675:H724)</f>
        <v>#DIV/0!</v>
      </c>
      <c r="AB19" s="20" t="e">
        <f t="shared" si="25"/>
        <v>#DIV/0!</v>
      </c>
      <c r="AC19" s="7" t="e">
        <f t="shared" si="5"/>
        <v>#DIV/0!</v>
      </c>
      <c r="AD19" s="20" t="e">
        <f t="shared" si="26"/>
        <v>#DIV/0!</v>
      </c>
      <c r="AE19" s="21" t="e">
        <f t="shared" si="6"/>
        <v>#DIV/0!</v>
      </c>
      <c r="AF19" s="22"/>
      <c r="AG19" s="22"/>
      <c r="AH19" s="7" t="e">
        <f t="shared" si="7"/>
        <v>#DIV/0!</v>
      </c>
      <c r="AI19" s="7" t="e">
        <f t="shared" si="8"/>
        <v>#DIV/0!</v>
      </c>
      <c r="AJ19" s="7" t="e">
        <f t="shared" si="27"/>
        <v>#DIV/0!</v>
      </c>
      <c r="AK19" s="21" t="e">
        <f t="shared" si="28"/>
        <v>#DIV/0!</v>
      </c>
      <c r="AL19" s="7" t="e">
        <f t="shared" si="9"/>
        <v>#DIV/0!</v>
      </c>
      <c r="AM19" s="7" t="e">
        <f t="shared" si="10"/>
        <v>#DIV/0!</v>
      </c>
      <c r="AN19" s="7" t="e">
        <f t="shared" si="11"/>
        <v>#DIV/0!</v>
      </c>
      <c r="AO19" s="7">
        <f t="shared" si="12"/>
        <v>6.25E-2</v>
      </c>
      <c r="AP19" s="7" t="e">
        <f t="shared" si="13"/>
        <v>#DIV/0!</v>
      </c>
      <c r="AQ19" s="7" t="e">
        <f t="shared" si="14"/>
        <v>#DIV/0!</v>
      </c>
      <c r="AR19" s="7" t="e">
        <f t="shared" si="15"/>
        <v>#DIV/0!</v>
      </c>
      <c r="AS19" s="7" t="e">
        <f t="shared" si="16"/>
        <v>#DIV/0!</v>
      </c>
      <c r="AT19" s="7" t="e">
        <f t="shared" si="17"/>
        <v>#DIV/0!</v>
      </c>
      <c r="AU19" s="7" t="e">
        <f t="shared" si="18"/>
        <v>#DIV/0!</v>
      </c>
      <c r="AV19" s="7" t="e">
        <f t="shared" si="19"/>
        <v>#DIV/0!</v>
      </c>
      <c r="AW19" s="7" t="e">
        <f t="shared" si="20"/>
        <v>#DIV/0!</v>
      </c>
      <c r="AX19" s="23" t="e">
        <f t="shared" si="21"/>
        <v>#DIV/0!</v>
      </c>
      <c r="AY19" s="23" t="e">
        <f t="shared" si="22"/>
        <v>#DIV/0!</v>
      </c>
      <c r="AZ19" s="23" t="e">
        <f t="shared" si="23"/>
        <v>#DIV/0!</v>
      </c>
      <c r="BB19" s="1">
        <v>95</v>
      </c>
      <c r="BC19" s="1">
        <f t="shared" si="0"/>
        <v>7.6</v>
      </c>
      <c r="BD19" s="1">
        <v>95</v>
      </c>
      <c r="BE19" s="1">
        <f t="shared" si="1"/>
        <v>7.6</v>
      </c>
      <c r="BF19" s="1">
        <f t="shared" si="2"/>
        <v>1444</v>
      </c>
      <c r="BG19" s="6">
        <f t="shared" si="3"/>
        <v>130.79710144927537</v>
      </c>
      <c r="BH19" s="6">
        <f t="shared" si="24"/>
        <v>124.25724637681159</v>
      </c>
      <c r="BI19" s="1">
        <f t="shared" si="4"/>
        <v>1371.8</v>
      </c>
    </row>
    <row r="20" spans="1:61" x14ac:dyDescent="0.25">
      <c r="O20" s="7">
        <v>15</v>
      </c>
      <c r="P20" s="8" t="e">
        <f>AVERAGE(B725:B774)</f>
        <v>#DIV/0!</v>
      </c>
      <c r="Q20" s="9" t="e">
        <f>STDEV(B725:B774)</f>
        <v>#DIV/0!</v>
      </c>
      <c r="R20" s="10" t="e">
        <f>AVERAGE(C725:C774)</f>
        <v>#DIV/0!</v>
      </c>
      <c r="S20" s="11" t="e">
        <f>STDEV(C725:C774)</f>
        <v>#DIV/0!</v>
      </c>
      <c r="T20" s="12" t="e">
        <f>AVERAGE(D725:D774)</f>
        <v>#DIV/0!</v>
      </c>
      <c r="U20" s="13" t="e">
        <f>STDEV(D725:D774)</f>
        <v>#DIV/0!</v>
      </c>
      <c r="V20" s="14" t="e">
        <f>AVERAGE(E725:E774)</f>
        <v>#DIV/0!</v>
      </c>
      <c r="W20" s="15" t="e">
        <f>STDEV(E725:E774)</f>
        <v>#DIV/0!</v>
      </c>
      <c r="X20" s="16" t="e">
        <f>AVERAGE(F725:F774)</f>
        <v>#DIV/0!</v>
      </c>
      <c r="Y20" s="17" t="e">
        <f>STDEV(F725:F774)</f>
        <v>#DIV/0!</v>
      </c>
      <c r="Z20" s="18" t="e">
        <f>AVERAGE(G725:G774)</f>
        <v>#DIV/0!</v>
      </c>
      <c r="AA20" s="19" t="e">
        <f>AVERAGE(H725:H774)</f>
        <v>#DIV/0!</v>
      </c>
      <c r="AB20" s="20" t="e">
        <f t="shared" si="25"/>
        <v>#DIV/0!</v>
      </c>
      <c r="AC20" s="7" t="e">
        <f t="shared" si="5"/>
        <v>#DIV/0!</v>
      </c>
      <c r="AD20" s="20" t="e">
        <f t="shared" si="26"/>
        <v>#DIV/0!</v>
      </c>
      <c r="AE20" s="21" t="e">
        <f t="shared" si="6"/>
        <v>#DIV/0!</v>
      </c>
      <c r="AF20" s="22"/>
      <c r="AG20" s="22"/>
      <c r="AH20" s="7" t="e">
        <f t="shared" si="7"/>
        <v>#DIV/0!</v>
      </c>
      <c r="AI20" s="7" t="e">
        <f t="shared" si="8"/>
        <v>#DIV/0!</v>
      </c>
      <c r="AJ20" s="7" t="e">
        <f t="shared" si="27"/>
        <v>#DIV/0!</v>
      </c>
      <c r="AK20" s="21" t="e">
        <f t="shared" si="28"/>
        <v>#DIV/0!</v>
      </c>
      <c r="AL20" s="7" t="e">
        <f t="shared" si="9"/>
        <v>#DIV/0!</v>
      </c>
      <c r="AM20" s="7" t="e">
        <f t="shared" si="10"/>
        <v>#DIV/0!</v>
      </c>
      <c r="AN20" s="7" t="e">
        <f t="shared" si="11"/>
        <v>#DIV/0!</v>
      </c>
      <c r="AO20" s="7">
        <f t="shared" si="12"/>
        <v>6.25E-2</v>
      </c>
      <c r="AP20" s="7" t="e">
        <f t="shared" si="13"/>
        <v>#DIV/0!</v>
      </c>
      <c r="AQ20" s="7" t="e">
        <f t="shared" si="14"/>
        <v>#DIV/0!</v>
      </c>
      <c r="AR20" s="7" t="e">
        <f t="shared" si="15"/>
        <v>#DIV/0!</v>
      </c>
      <c r="AS20" s="7" t="e">
        <f t="shared" si="16"/>
        <v>#DIV/0!</v>
      </c>
      <c r="AT20" s="7" t="e">
        <f t="shared" si="17"/>
        <v>#DIV/0!</v>
      </c>
      <c r="AU20" s="7" t="e">
        <f t="shared" si="18"/>
        <v>#DIV/0!</v>
      </c>
      <c r="AV20" s="7" t="e">
        <f t="shared" si="19"/>
        <v>#DIV/0!</v>
      </c>
      <c r="AW20" s="7" t="e">
        <f t="shared" si="20"/>
        <v>#DIV/0!</v>
      </c>
      <c r="AX20" s="23" t="e">
        <f t="shared" si="21"/>
        <v>#DIV/0!</v>
      </c>
      <c r="AY20" s="23" t="e">
        <f t="shared" si="22"/>
        <v>#DIV/0!</v>
      </c>
      <c r="AZ20" s="23" t="e">
        <f t="shared" si="23"/>
        <v>#DIV/0!</v>
      </c>
      <c r="BB20" s="1">
        <v>100</v>
      </c>
      <c r="BC20" s="1">
        <f t="shared" si="0"/>
        <v>8</v>
      </c>
      <c r="BD20" s="1">
        <v>100</v>
      </c>
      <c r="BE20" s="1">
        <f t="shared" si="1"/>
        <v>8</v>
      </c>
      <c r="BF20" s="1">
        <f t="shared" si="2"/>
        <v>1600</v>
      </c>
      <c r="BG20" s="6">
        <f t="shared" si="3"/>
        <v>144.92753623188406</v>
      </c>
      <c r="BH20" s="6">
        <f t="shared" si="24"/>
        <v>137.68115942028984</v>
      </c>
      <c r="BI20" s="1">
        <f t="shared" si="4"/>
        <v>1519.9999999999998</v>
      </c>
    </row>
    <row r="21" spans="1:61" x14ac:dyDescent="0.25">
      <c r="O21" s="7">
        <v>16</v>
      </c>
      <c r="P21" s="8" t="e">
        <f>AVERAGE(B775:B824)</f>
        <v>#DIV/0!</v>
      </c>
      <c r="Q21" s="9" t="e">
        <f>STDEV(B775:B824)</f>
        <v>#DIV/0!</v>
      </c>
      <c r="R21" s="10" t="e">
        <f>AVERAGE(C775:C824)</f>
        <v>#DIV/0!</v>
      </c>
      <c r="S21" s="11" t="e">
        <f>STDEV(C775:C824)</f>
        <v>#DIV/0!</v>
      </c>
      <c r="T21" s="12" t="e">
        <f>AVERAGE(D775:D824)</f>
        <v>#DIV/0!</v>
      </c>
      <c r="U21" s="13" t="e">
        <f>STDEV(D775:D824)</f>
        <v>#DIV/0!</v>
      </c>
      <c r="V21" s="14" t="e">
        <f>AVERAGE(E775:E824)</f>
        <v>#DIV/0!</v>
      </c>
      <c r="W21" s="15" t="e">
        <f>STDEV(E775:E824)</f>
        <v>#DIV/0!</v>
      </c>
      <c r="X21" s="16" t="e">
        <f>AVERAGE(F775:F824)</f>
        <v>#DIV/0!</v>
      </c>
      <c r="Y21" s="17" t="e">
        <f>STDEV(F775:F824)</f>
        <v>#DIV/0!</v>
      </c>
      <c r="Z21" s="18" t="e">
        <f>AVERAGE(G775:G824)</f>
        <v>#DIV/0!</v>
      </c>
      <c r="AA21" s="19" t="e">
        <f>AVERAGE(H775:H824)</f>
        <v>#DIV/0!</v>
      </c>
      <c r="AB21" s="20" t="e">
        <f t="shared" si="25"/>
        <v>#DIV/0!</v>
      </c>
      <c r="AC21" s="7" t="e">
        <f t="shared" si="5"/>
        <v>#DIV/0!</v>
      </c>
      <c r="AD21" s="20" t="e">
        <f>-(E$3)*AC21*(1/10000)*1</f>
        <v>#DIV/0!</v>
      </c>
      <c r="AE21" s="21" t="e">
        <f t="shared" si="6"/>
        <v>#DIV/0!</v>
      </c>
      <c r="AF21" s="22"/>
      <c r="AG21" s="22"/>
      <c r="AH21" s="7" t="e">
        <f t="shared" si="7"/>
        <v>#DIV/0!</v>
      </c>
      <c r="AI21" s="7" t="e">
        <f t="shared" si="8"/>
        <v>#DIV/0!</v>
      </c>
      <c r="AJ21" s="7" t="e">
        <f t="shared" si="27"/>
        <v>#DIV/0!</v>
      </c>
      <c r="AK21" s="21" t="e">
        <f t="shared" si="28"/>
        <v>#DIV/0!</v>
      </c>
      <c r="AL21" s="7" t="e">
        <f t="shared" si="9"/>
        <v>#DIV/0!</v>
      </c>
      <c r="AM21" s="7" t="e">
        <f t="shared" si="10"/>
        <v>#DIV/0!</v>
      </c>
      <c r="AN21" s="7" t="e">
        <f t="shared" si="11"/>
        <v>#DIV/0!</v>
      </c>
      <c r="AO21" s="7">
        <f t="shared" si="12"/>
        <v>6.25E-2</v>
      </c>
      <c r="AP21" s="7" t="e">
        <f t="shared" si="13"/>
        <v>#DIV/0!</v>
      </c>
      <c r="AQ21" s="7" t="e">
        <f t="shared" si="14"/>
        <v>#DIV/0!</v>
      </c>
      <c r="AR21" s="7" t="e">
        <f t="shared" si="15"/>
        <v>#DIV/0!</v>
      </c>
      <c r="AS21" s="7" t="e">
        <f t="shared" si="16"/>
        <v>#DIV/0!</v>
      </c>
      <c r="AT21" s="7" t="e">
        <f t="shared" si="17"/>
        <v>#DIV/0!</v>
      </c>
      <c r="AU21" s="7" t="e">
        <f t="shared" si="18"/>
        <v>#DIV/0!</v>
      </c>
      <c r="AV21" s="7" t="e">
        <f t="shared" si="19"/>
        <v>#DIV/0!</v>
      </c>
      <c r="AW21" s="7" t="e">
        <f t="shared" si="20"/>
        <v>#DIV/0!</v>
      </c>
      <c r="AX21" s="23" t="e">
        <f t="shared" si="21"/>
        <v>#DIV/0!</v>
      </c>
      <c r="AY21" s="23" t="e">
        <f t="shared" si="22"/>
        <v>#DIV/0!</v>
      </c>
      <c r="AZ21" s="23" t="e">
        <f t="shared" si="23"/>
        <v>#DIV/0!</v>
      </c>
      <c r="BB21" s="1">
        <v>105</v>
      </c>
      <c r="BC21" s="1">
        <f t="shared" si="0"/>
        <v>8.4</v>
      </c>
      <c r="BD21" s="1">
        <v>105</v>
      </c>
      <c r="BE21" s="1">
        <f t="shared" si="1"/>
        <v>8.4</v>
      </c>
      <c r="BF21" s="1">
        <f t="shared" si="2"/>
        <v>1764</v>
      </c>
      <c r="BG21" s="6">
        <f t="shared" si="3"/>
        <v>159.78260869565219</v>
      </c>
      <c r="BH21" s="6">
        <f t="shared" si="24"/>
        <v>151.79347826086956</v>
      </c>
      <c r="BI21" s="1">
        <f t="shared" si="4"/>
        <v>1675.8</v>
      </c>
    </row>
    <row r="22" spans="1:61" x14ac:dyDescent="0.25">
      <c r="O22" s="7">
        <v>17</v>
      </c>
      <c r="P22" s="8" t="e">
        <f>AVERAGE(B825:B874)</f>
        <v>#DIV/0!</v>
      </c>
      <c r="Q22" s="9" t="e">
        <f>STDEV(B825:B874)</f>
        <v>#DIV/0!</v>
      </c>
      <c r="R22" s="10" t="e">
        <f>AVERAGE(C825:C874)</f>
        <v>#DIV/0!</v>
      </c>
      <c r="S22" s="11" t="e">
        <f>STDEV(C825:C874)</f>
        <v>#DIV/0!</v>
      </c>
      <c r="T22" s="12" t="e">
        <f>AVERAGE(D825:D874)</f>
        <v>#DIV/0!</v>
      </c>
      <c r="U22" s="13" t="e">
        <f>STDEV(D825:D874)</f>
        <v>#DIV/0!</v>
      </c>
      <c r="V22" s="14" t="e">
        <f>AVERAGE(E825:E874)</f>
        <v>#DIV/0!</v>
      </c>
      <c r="W22" s="15" t="e">
        <f>STDEV(E825:E874)</f>
        <v>#DIV/0!</v>
      </c>
      <c r="X22" s="16" t="e">
        <f>AVERAGE(F825:F874)</f>
        <v>#DIV/0!</v>
      </c>
      <c r="Y22" s="17" t="e">
        <f>STDEV(F825:F874)</f>
        <v>#DIV/0!</v>
      </c>
      <c r="Z22" s="18" t="e">
        <f>AVERAGE(G825:G874)</f>
        <v>#DIV/0!</v>
      </c>
      <c r="AA22" s="19" t="e">
        <f>AVERAGE(H825:H874)</f>
        <v>#DIV/0!</v>
      </c>
      <c r="AB22" s="20" t="e">
        <f t="shared" si="25"/>
        <v>#DIV/0!</v>
      </c>
      <c r="AC22" s="7" t="e">
        <f t="shared" si="5"/>
        <v>#DIV/0!</v>
      </c>
      <c r="AD22" s="20" t="e">
        <f t="shared" si="26"/>
        <v>#DIV/0!</v>
      </c>
      <c r="AE22" s="21" t="e">
        <f t="shared" si="6"/>
        <v>#DIV/0!</v>
      </c>
      <c r="AF22" s="22"/>
      <c r="AG22" s="22"/>
      <c r="AH22" s="7" t="e">
        <f t="shared" si="7"/>
        <v>#DIV/0!</v>
      </c>
      <c r="AI22" s="7" t="e">
        <f t="shared" si="8"/>
        <v>#DIV/0!</v>
      </c>
      <c r="AJ22" s="7" t="e">
        <f t="shared" si="27"/>
        <v>#DIV/0!</v>
      </c>
      <c r="AK22" s="21" t="e">
        <f t="shared" si="28"/>
        <v>#DIV/0!</v>
      </c>
      <c r="AL22" s="7" t="e">
        <f t="shared" si="9"/>
        <v>#DIV/0!</v>
      </c>
      <c r="AM22" s="7" t="e">
        <f t="shared" si="10"/>
        <v>#DIV/0!</v>
      </c>
      <c r="AN22" s="7" t="e">
        <f t="shared" si="11"/>
        <v>#DIV/0!</v>
      </c>
      <c r="AO22" s="7">
        <f t="shared" si="12"/>
        <v>6.25E-2</v>
      </c>
      <c r="AP22" s="7" t="e">
        <f t="shared" si="13"/>
        <v>#DIV/0!</v>
      </c>
      <c r="AQ22" s="7" t="e">
        <f t="shared" si="14"/>
        <v>#DIV/0!</v>
      </c>
      <c r="AR22" s="7" t="e">
        <f t="shared" si="15"/>
        <v>#DIV/0!</v>
      </c>
      <c r="AS22" s="7" t="e">
        <f t="shared" si="16"/>
        <v>#DIV/0!</v>
      </c>
      <c r="AT22" s="7" t="e">
        <f t="shared" si="17"/>
        <v>#DIV/0!</v>
      </c>
      <c r="AU22" s="7" t="e">
        <f t="shared" si="18"/>
        <v>#DIV/0!</v>
      </c>
      <c r="AV22" s="7" t="e">
        <f t="shared" si="19"/>
        <v>#DIV/0!</v>
      </c>
      <c r="AW22" s="7" t="e">
        <f t="shared" si="20"/>
        <v>#DIV/0!</v>
      </c>
      <c r="AX22" s="23" t="e">
        <f t="shared" si="21"/>
        <v>#DIV/0!</v>
      </c>
      <c r="AY22" s="23" t="e">
        <f t="shared" si="22"/>
        <v>#DIV/0!</v>
      </c>
      <c r="AZ22" s="23" t="e">
        <f t="shared" si="23"/>
        <v>#DIV/0!</v>
      </c>
      <c r="BB22" s="1">
        <v>110</v>
      </c>
      <c r="BC22" s="1">
        <f t="shared" si="0"/>
        <v>8.8000000000000007</v>
      </c>
      <c r="BD22" s="1">
        <v>110</v>
      </c>
      <c r="BE22" s="1">
        <f t="shared" si="1"/>
        <v>8.8000000000000007</v>
      </c>
      <c r="BF22" s="1">
        <f t="shared" si="2"/>
        <v>1936.0000000000002</v>
      </c>
      <c r="BG22" s="6">
        <f t="shared" si="3"/>
        <v>175.36231884057975</v>
      </c>
      <c r="BH22" s="6">
        <f t="shared" si="24"/>
        <v>166.59420289855075</v>
      </c>
      <c r="BI22" s="1">
        <f t="shared" si="4"/>
        <v>1839.2</v>
      </c>
    </row>
    <row r="23" spans="1:61" x14ac:dyDescent="0.25">
      <c r="O23" s="7">
        <v>18</v>
      </c>
      <c r="P23" s="8" t="e">
        <f>AVERAGE(B875:B924)</f>
        <v>#DIV/0!</v>
      </c>
      <c r="Q23" s="9" t="e">
        <f>STDEV(B875:B924)</f>
        <v>#DIV/0!</v>
      </c>
      <c r="R23" s="10" t="e">
        <f>AVERAGE(C875:C924)</f>
        <v>#DIV/0!</v>
      </c>
      <c r="S23" s="11" t="e">
        <f>STDEV(C875:C924)</f>
        <v>#DIV/0!</v>
      </c>
      <c r="T23" s="12" t="e">
        <f>AVERAGE(D875:D924)</f>
        <v>#DIV/0!</v>
      </c>
      <c r="U23" s="13" t="e">
        <f>STDEV(D875:D924)</f>
        <v>#DIV/0!</v>
      </c>
      <c r="V23" s="14" t="e">
        <f>AVERAGE(E875:E924)</f>
        <v>#DIV/0!</v>
      </c>
      <c r="W23" s="15" t="e">
        <f>STDEV(E875:E924)</f>
        <v>#DIV/0!</v>
      </c>
      <c r="X23" s="16" t="e">
        <f>AVERAGE(F875:F924)</f>
        <v>#DIV/0!</v>
      </c>
      <c r="Y23" s="17" t="e">
        <f>STDEV(F875:F924)</f>
        <v>#DIV/0!</v>
      </c>
      <c r="Z23" s="18" t="e">
        <f>AVERAGE(G875:G924)</f>
        <v>#DIV/0!</v>
      </c>
      <c r="AA23" s="19" t="e">
        <f>AVERAGE(H875:H924)</f>
        <v>#DIV/0!</v>
      </c>
      <c r="AB23" s="20" t="e">
        <f t="shared" si="25"/>
        <v>#DIV/0!</v>
      </c>
      <c r="AC23" s="7" t="e">
        <f t="shared" si="5"/>
        <v>#DIV/0!</v>
      </c>
      <c r="AD23" s="7" t="e">
        <f t="shared" si="26"/>
        <v>#DIV/0!</v>
      </c>
      <c r="AE23" s="7" t="e">
        <f t="shared" si="6"/>
        <v>#DIV/0!</v>
      </c>
      <c r="AF23" s="22"/>
      <c r="AG23" s="22"/>
      <c r="AH23" s="7" t="e">
        <f t="shared" si="7"/>
        <v>#DIV/0!</v>
      </c>
      <c r="AI23" s="7" t="e">
        <f t="shared" si="8"/>
        <v>#DIV/0!</v>
      </c>
      <c r="AJ23" s="7" t="e">
        <f t="shared" si="27"/>
        <v>#DIV/0!</v>
      </c>
      <c r="AK23" s="21" t="e">
        <f t="shared" si="28"/>
        <v>#DIV/0!</v>
      </c>
      <c r="AL23" s="7" t="e">
        <f t="shared" si="9"/>
        <v>#DIV/0!</v>
      </c>
      <c r="AM23" s="7" t="e">
        <f t="shared" si="10"/>
        <v>#DIV/0!</v>
      </c>
      <c r="AN23" s="7" t="e">
        <f t="shared" si="11"/>
        <v>#DIV/0!</v>
      </c>
      <c r="AO23" s="7">
        <f t="shared" si="12"/>
        <v>6.25E-2</v>
      </c>
      <c r="AP23" s="7" t="e">
        <f t="shared" si="13"/>
        <v>#DIV/0!</v>
      </c>
      <c r="AQ23" s="7" t="e">
        <f t="shared" si="14"/>
        <v>#DIV/0!</v>
      </c>
      <c r="AR23" s="7" t="e">
        <f t="shared" si="15"/>
        <v>#DIV/0!</v>
      </c>
      <c r="AS23" s="7" t="e">
        <f t="shared" si="16"/>
        <v>#DIV/0!</v>
      </c>
      <c r="AT23" s="7" t="e">
        <f t="shared" si="17"/>
        <v>#DIV/0!</v>
      </c>
      <c r="AU23" s="7" t="e">
        <f t="shared" si="18"/>
        <v>#DIV/0!</v>
      </c>
      <c r="AV23" s="7" t="e">
        <f t="shared" si="19"/>
        <v>#DIV/0!</v>
      </c>
      <c r="AW23" s="7" t="e">
        <f t="shared" si="20"/>
        <v>#DIV/0!</v>
      </c>
      <c r="AX23" s="23" t="e">
        <f t="shared" si="21"/>
        <v>#DIV/0!</v>
      </c>
      <c r="AY23" s="23" t="e">
        <f t="shared" si="22"/>
        <v>#DIV/0!</v>
      </c>
      <c r="AZ23" s="23" t="e">
        <f t="shared" si="23"/>
        <v>#DIV/0!</v>
      </c>
      <c r="BB23" s="1">
        <v>115</v>
      </c>
      <c r="BC23" s="1">
        <f t="shared" si="0"/>
        <v>9.1999999999999993</v>
      </c>
      <c r="BD23" s="1">
        <v>115</v>
      </c>
      <c r="BE23" s="1">
        <f t="shared" si="1"/>
        <v>9.1999999999999993</v>
      </c>
      <c r="BF23" s="1">
        <f t="shared" si="2"/>
        <v>2116</v>
      </c>
      <c r="BG23" s="6">
        <f t="shared" si="3"/>
        <v>191.66666666666669</v>
      </c>
      <c r="BH23" s="6">
        <f t="shared" si="24"/>
        <v>182.08333333333334</v>
      </c>
      <c r="BI23" s="1">
        <f t="shared" si="4"/>
        <v>2010.2</v>
      </c>
    </row>
    <row r="24" spans="1:61" x14ac:dyDescent="0.25">
      <c r="A24" s="1" t="s">
        <v>48</v>
      </c>
      <c r="B24" s="1" t="s">
        <v>10</v>
      </c>
      <c r="C24" s="1" t="s">
        <v>14</v>
      </c>
      <c r="D24" s="1" t="s">
        <v>15</v>
      </c>
      <c r="E24" s="1" t="s">
        <v>16</v>
      </c>
      <c r="F24" s="1" t="s">
        <v>49</v>
      </c>
      <c r="G24" s="1" t="s">
        <v>50</v>
      </c>
      <c r="H24" s="1" t="s">
        <v>51</v>
      </c>
      <c r="I24" s="1" t="s">
        <v>52</v>
      </c>
      <c r="J24" s="1" t="s">
        <v>53</v>
      </c>
      <c r="K24" s="1" t="s">
        <v>54</v>
      </c>
      <c r="L24" s="1" t="s">
        <v>55</v>
      </c>
      <c r="O24" s="7">
        <v>19</v>
      </c>
      <c r="P24" s="8" t="e">
        <f>AVERAGE(B925:B974)</f>
        <v>#DIV/0!</v>
      </c>
      <c r="Q24" s="9" t="e">
        <f>STDEV(B925:B974)</f>
        <v>#DIV/0!</v>
      </c>
      <c r="R24" s="10" t="e">
        <f>AVERAGE(C925:C974)</f>
        <v>#DIV/0!</v>
      </c>
      <c r="S24" s="11" t="e">
        <f>STDEV(C925:C974)</f>
        <v>#DIV/0!</v>
      </c>
      <c r="T24" s="12" t="e">
        <f>AVERAGE(D925:D974)</f>
        <v>#DIV/0!</v>
      </c>
      <c r="U24" s="13" t="e">
        <f>STDEV(D925:D974)</f>
        <v>#DIV/0!</v>
      </c>
      <c r="V24" s="14" t="e">
        <f>AVERAGE(E925:E974)</f>
        <v>#DIV/0!</v>
      </c>
      <c r="W24" s="15" t="e">
        <f>STDEV(E925:E974)</f>
        <v>#DIV/0!</v>
      </c>
      <c r="X24" s="16" t="e">
        <f>AVERAGE(F925:F974)</f>
        <v>#DIV/0!</v>
      </c>
      <c r="Y24" s="17" t="e">
        <f>STDEV(F925:F974)</f>
        <v>#DIV/0!</v>
      </c>
      <c r="Z24" s="18" t="e">
        <f>AVERAGE(G925:G974)</f>
        <v>#DIV/0!</v>
      </c>
      <c r="AA24" s="19" t="e">
        <f>AVERAGE(H925:H974)</f>
        <v>#DIV/0!</v>
      </c>
      <c r="AB24" s="20" t="e">
        <f t="shared" si="25"/>
        <v>#DIV/0!</v>
      </c>
      <c r="AC24" s="7" t="e">
        <f t="shared" si="5"/>
        <v>#DIV/0!</v>
      </c>
      <c r="AD24" s="7" t="e">
        <f t="shared" si="26"/>
        <v>#DIV/0!</v>
      </c>
      <c r="AE24" s="7" t="e">
        <f t="shared" si="6"/>
        <v>#DIV/0!</v>
      </c>
      <c r="AF24" s="22"/>
      <c r="AG24" s="22"/>
      <c r="AH24" s="7" t="e">
        <f t="shared" si="7"/>
        <v>#DIV/0!</v>
      </c>
      <c r="AI24" s="7" t="e">
        <f t="shared" si="8"/>
        <v>#DIV/0!</v>
      </c>
      <c r="AJ24" s="7" t="e">
        <f t="shared" si="27"/>
        <v>#DIV/0!</v>
      </c>
      <c r="AK24" s="21" t="e">
        <f t="shared" si="28"/>
        <v>#DIV/0!</v>
      </c>
      <c r="AL24" s="7" t="e">
        <f t="shared" si="9"/>
        <v>#DIV/0!</v>
      </c>
      <c r="AM24" s="7" t="e">
        <f t="shared" si="10"/>
        <v>#DIV/0!</v>
      </c>
      <c r="AN24" s="7" t="e">
        <f t="shared" si="11"/>
        <v>#DIV/0!</v>
      </c>
      <c r="AO24" s="7">
        <f t="shared" si="12"/>
        <v>6.25E-2</v>
      </c>
      <c r="AP24" s="7" t="e">
        <f t="shared" si="13"/>
        <v>#DIV/0!</v>
      </c>
      <c r="AQ24" s="7" t="e">
        <f t="shared" si="14"/>
        <v>#DIV/0!</v>
      </c>
      <c r="AR24" s="7" t="e">
        <f t="shared" si="15"/>
        <v>#DIV/0!</v>
      </c>
      <c r="AS24" s="7" t="e">
        <f t="shared" si="16"/>
        <v>#DIV/0!</v>
      </c>
      <c r="AT24" s="7" t="e">
        <f t="shared" si="17"/>
        <v>#DIV/0!</v>
      </c>
      <c r="AU24" s="7" t="e">
        <f t="shared" si="18"/>
        <v>#DIV/0!</v>
      </c>
      <c r="AV24" s="7" t="e">
        <f t="shared" si="19"/>
        <v>#DIV/0!</v>
      </c>
      <c r="AW24" s="7" t="e">
        <f t="shared" si="20"/>
        <v>#DIV/0!</v>
      </c>
      <c r="AX24" s="23" t="e">
        <f t="shared" si="21"/>
        <v>#DIV/0!</v>
      </c>
      <c r="AY24" s="23" t="e">
        <f t="shared" si="22"/>
        <v>#DIV/0!</v>
      </c>
      <c r="AZ24" s="23" t="e">
        <f t="shared" si="23"/>
        <v>#DIV/0!</v>
      </c>
      <c r="BB24" s="1">
        <v>120</v>
      </c>
      <c r="BC24" s="1">
        <f t="shared" si="0"/>
        <v>9.6</v>
      </c>
      <c r="BD24" s="1">
        <v>120</v>
      </c>
      <c r="BE24" s="1">
        <f t="shared" si="1"/>
        <v>9.6</v>
      </c>
      <c r="BF24" s="1">
        <f t="shared" si="2"/>
        <v>2304</v>
      </c>
      <c r="BG24" s="6">
        <f t="shared" si="3"/>
        <v>208.69565217391306</v>
      </c>
      <c r="BH24" s="6">
        <f t="shared" si="24"/>
        <v>198.2608695652174</v>
      </c>
      <c r="BI24" s="1">
        <f t="shared" si="4"/>
        <v>2188.8000000000002</v>
      </c>
    </row>
    <row r="25" spans="1:61" x14ac:dyDescent="0.3">
      <c r="A25">
        <v>62</v>
      </c>
      <c r="B25">
        <v>47.543458000000001</v>
      </c>
      <c r="C25">
        <v>48.692511000000003</v>
      </c>
      <c r="D25">
        <v>49.867989999999999</v>
      </c>
      <c r="E25">
        <v>38.833236999999997</v>
      </c>
      <c r="F25">
        <v>23.794839</v>
      </c>
      <c r="G25">
        <v>19.043534000000001</v>
      </c>
      <c r="H25">
        <v>19.419083000000001</v>
      </c>
      <c r="I25" t="s">
        <v>56</v>
      </c>
      <c r="O25" s="7">
        <v>20</v>
      </c>
      <c r="P25" s="8" t="e">
        <f>AVERAGE(B975:B1024)</f>
        <v>#DIV/0!</v>
      </c>
      <c r="Q25" s="9" t="e">
        <f>STDEV(B975:B1024)</f>
        <v>#DIV/0!</v>
      </c>
      <c r="R25" s="10" t="e">
        <f>AVERAGE(C975:C1024)</f>
        <v>#DIV/0!</v>
      </c>
      <c r="S25" s="11" t="e">
        <f>STDEV(C975:C1024)</f>
        <v>#DIV/0!</v>
      </c>
      <c r="T25" s="12" t="e">
        <f>AVERAGE(D975:D1024)</f>
        <v>#DIV/0!</v>
      </c>
      <c r="U25" s="13" t="e">
        <f>STDEV(D975:D1024)</f>
        <v>#DIV/0!</v>
      </c>
      <c r="V25" s="14" t="e">
        <f>AVERAGE(E975:E1024)</f>
        <v>#DIV/0!</v>
      </c>
      <c r="W25" s="15" t="e">
        <f>STDEV(E975:E1024)</f>
        <v>#DIV/0!</v>
      </c>
      <c r="X25" s="16" t="e">
        <f>AVERAGE(F975:F1024)</f>
        <v>#DIV/0!</v>
      </c>
      <c r="Y25" s="17" t="e">
        <f>STDEV(F975:F1024)</f>
        <v>#DIV/0!</v>
      </c>
      <c r="Z25" s="18" t="e">
        <f>AVERAGE(G975:G1024)</f>
        <v>#DIV/0!</v>
      </c>
      <c r="AA25" s="19" t="e">
        <f>AVERAGE(H975:H1024)</f>
        <v>#DIV/0!</v>
      </c>
      <c r="AB25" s="20" t="e">
        <f t="shared" si="25"/>
        <v>#DIV/0!</v>
      </c>
      <c r="AC25" s="7" t="e">
        <f t="shared" si="5"/>
        <v>#DIV/0!</v>
      </c>
      <c r="AD25" s="7" t="e">
        <f t="shared" si="26"/>
        <v>#DIV/0!</v>
      </c>
      <c r="AE25" s="7" t="e">
        <f t="shared" si="6"/>
        <v>#DIV/0!</v>
      </c>
      <c r="AF25" s="22"/>
      <c r="AG25" s="22"/>
      <c r="AH25" s="7" t="e">
        <f t="shared" si="7"/>
        <v>#DIV/0!</v>
      </c>
      <c r="AI25" s="7" t="e">
        <f t="shared" si="8"/>
        <v>#DIV/0!</v>
      </c>
      <c r="AJ25" s="7" t="e">
        <f t="shared" si="27"/>
        <v>#DIV/0!</v>
      </c>
      <c r="AK25" s="21" t="e">
        <f t="shared" si="28"/>
        <v>#DIV/0!</v>
      </c>
      <c r="AL25" s="7" t="e">
        <f t="shared" si="9"/>
        <v>#DIV/0!</v>
      </c>
      <c r="AM25" s="7" t="e">
        <f t="shared" si="10"/>
        <v>#DIV/0!</v>
      </c>
      <c r="AN25" s="7" t="e">
        <f t="shared" si="11"/>
        <v>#DIV/0!</v>
      </c>
      <c r="AO25" s="7">
        <f t="shared" si="12"/>
        <v>6.25E-2</v>
      </c>
      <c r="AP25" s="7" t="e">
        <f t="shared" si="13"/>
        <v>#DIV/0!</v>
      </c>
      <c r="AQ25" s="7" t="e">
        <f t="shared" si="14"/>
        <v>#DIV/0!</v>
      </c>
      <c r="AR25" s="7" t="e">
        <f t="shared" si="15"/>
        <v>#DIV/0!</v>
      </c>
      <c r="AS25" s="7" t="e">
        <f t="shared" si="16"/>
        <v>#DIV/0!</v>
      </c>
      <c r="AT25" s="7" t="e">
        <f t="shared" si="17"/>
        <v>#DIV/0!</v>
      </c>
      <c r="AU25" s="7" t="e">
        <f t="shared" si="18"/>
        <v>#DIV/0!</v>
      </c>
      <c r="AV25" s="7" t="e">
        <f t="shared" si="19"/>
        <v>#DIV/0!</v>
      </c>
      <c r="AW25" s="7" t="e">
        <f t="shared" si="20"/>
        <v>#DIV/0!</v>
      </c>
      <c r="AX25" s="23" t="e">
        <f t="shared" si="21"/>
        <v>#DIV/0!</v>
      </c>
      <c r="AY25" s="23" t="e">
        <f t="shared" si="22"/>
        <v>#DIV/0!</v>
      </c>
      <c r="AZ25" s="23" t="e">
        <f t="shared" si="23"/>
        <v>#DIV/0!</v>
      </c>
      <c r="BB25" s="1">
        <v>125</v>
      </c>
      <c r="BC25" s="1">
        <f t="shared" si="0"/>
        <v>10</v>
      </c>
      <c r="BD25" s="1">
        <v>125</v>
      </c>
      <c r="BE25" s="1">
        <f t="shared" si="1"/>
        <v>10</v>
      </c>
      <c r="BF25" s="1">
        <f t="shared" si="2"/>
        <v>2500</v>
      </c>
      <c r="BG25" s="6">
        <f t="shared" si="3"/>
        <v>226.44927536231887</v>
      </c>
      <c r="BH25" s="6">
        <f t="shared" si="24"/>
        <v>215.12681159420291</v>
      </c>
      <c r="BI25" s="1">
        <f t="shared" si="4"/>
        <v>2375</v>
      </c>
    </row>
    <row r="26" spans="1:61" x14ac:dyDescent="0.3">
      <c r="A26">
        <v>62.2</v>
      </c>
      <c r="B26">
        <v>47.543458000000001</v>
      </c>
      <c r="C26">
        <v>48.692511000000003</v>
      </c>
      <c r="D26">
        <v>49.867989999999999</v>
      </c>
      <c r="E26">
        <v>38.833236999999997</v>
      </c>
      <c r="F26">
        <v>23.794839</v>
      </c>
      <c r="G26">
        <v>19.043534000000001</v>
      </c>
      <c r="H26">
        <v>19.419083000000001</v>
      </c>
      <c r="I26"/>
      <c r="O26" s="7">
        <v>21</v>
      </c>
      <c r="P26" s="8" t="e">
        <f>AVERAGE(B1025:B1074)</f>
        <v>#DIV/0!</v>
      </c>
      <c r="Q26" s="9" t="e">
        <f>STDEV(C1025:C1074)</f>
        <v>#DIV/0!</v>
      </c>
      <c r="R26" s="10" t="e">
        <f>AVERAGE(C1025:C1074)</f>
        <v>#DIV/0!</v>
      </c>
      <c r="S26" s="11" t="e">
        <f>STDEV(E1025:E1074)</f>
        <v>#DIV/0!</v>
      </c>
      <c r="T26" s="12" t="e">
        <f>AVERAGE(D1025:D1074)</f>
        <v>#DIV/0!</v>
      </c>
      <c r="U26" s="13" t="e">
        <f>STDEV(D1025:D1074)</f>
        <v>#DIV/0!</v>
      </c>
      <c r="V26" s="14" t="e">
        <f>AVERAGE(E1025:E1074)</f>
        <v>#DIV/0!</v>
      </c>
      <c r="W26" s="15" t="e">
        <f>STDEV(E1025:E1074)</f>
        <v>#DIV/0!</v>
      </c>
      <c r="X26" s="16" t="e">
        <f>AVERAGE(F1025:F1074)</f>
        <v>#DIV/0!</v>
      </c>
      <c r="Y26" s="17" t="e">
        <f>STDEV(F1025:F1074)</f>
        <v>#DIV/0!</v>
      </c>
      <c r="Z26" s="18" t="e">
        <f>AVERAGE(G1025:G1074)</f>
        <v>#DIV/0!</v>
      </c>
      <c r="AA26" s="19" t="e">
        <f>AVERAGE(H1025:H1074)</f>
        <v>#DIV/0!</v>
      </c>
      <c r="AB26" s="7" t="e">
        <f t="shared" si="25"/>
        <v>#DIV/0!</v>
      </c>
      <c r="AC26" s="7" t="e">
        <f t="shared" si="5"/>
        <v>#DIV/0!</v>
      </c>
      <c r="AD26" s="7" t="e">
        <f t="shared" si="26"/>
        <v>#DIV/0!</v>
      </c>
      <c r="AE26" s="7" t="e">
        <f t="shared" si="6"/>
        <v>#DIV/0!</v>
      </c>
      <c r="AF26" s="25"/>
      <c r="AG26" s="25"/>
      <c r="AH26" s="7" t="e">
        <f t="shared" si="7"/>
        <v>#DIV/0!</v>
      </c>
      <c r="AI26" s="7" t="e">
        <f t="shared" si="8"/>
        <v>#DIV/0!</v>
      </c>
      <c r="AJ26" s="7" t="e">
        <f t="shared" si="27"/>
        <v>#DIV/0!</v>
      </c>
      <c r="AK26" s="21" t="e">
        <f t="shared" si="28"/>
        <v>#DIV/0!</v>
      </c>
      <c r="AL26" s="7" t="e">
        <f t="shared" si="9"/>
        <v>#DIV/0!</v>
      </c>
      <c r="AM26" s="7" t="e">
        <f t="shared" si="10"/>
        <v>#DIV/0!</v>
      </c>
      <c r="AN26" s="7" t="e">
        <f t="shared" si="11"/>
        <v>#DIV/0!</v>
      </c>
      <c r="AO26" s="7">
        <f t="shared" si="12"/>
        <v>6.25E-2</v>
      </c>
      <c r="AP26" s="7" t="e">
        <f t="shared" si="13"/>
        <v>#DIV/0!</v>
      </c>
      <c r="AQ26" s="7" t="e">
        <f t="shared" si="14"/>
        <v>#DIV/0!</v>
      </c>
      <c r="AR26" s="7" t="e">
        <f t="shared" si="15"/>
        <v>#DIV/0!</v>
      </c>
      <c r="AS26" s="7" t="e">
        <f t="shared" si="16"/>
        <v>#DIV/0!</v>
      </c>
      <c r="AT26" s="7" t="e">
        <f t="shared" si="17"/>
        <v>#DIV/0!</v>
      </c>
      <c r="AU26" s="7" t="e">
        <f t="shared" si="18"/>
        <v>#DIV/0!</v>
      </c>
      <c r="AV26" s="7" t="e">
        <f t="shared" si="19"/>
        <v>#DIV/0!</v>
      </c>
      <c r="AW26" s="7" t="e">
        <f t="shared" si="20"/>
        <v>#DIV/0!</v>
      </c>
      <c r="AX26" s="23" t="e">
        <f t="shared" si="21"/>
        <v>#DIV/0!</v>
      </c>
      <c r="AY26" s="23" t="e">
        <f t="shared" si="22"/>
        <v>#DIV/0!</v>
      </c>
      <c r="AZ26" s="23" t="e">
        <f t="shared" si="23"/>
        <v>#DIV/0!</v>
      </c>
      <c r="BB26" s="1">
        <v>130</v>
      </c>
      <c r="BC26" s="1">
        <f t="shared" si="0"/>
        <v>10.4</v>
      </c>
      <c r="BD26" s="1">
        <v>130</v>
      </c>
      <c r="BE26" s="1">
        <f t="shared" si="1"/>
        <v>10.4</v>
      </c>
      <c r="BF26" s="1">
        <f t="shared" si="2"/>
        <v>2704</v>
      </c>
      <c r="BG26" s="6">
        <f t="shared" si="3"/>
        <v>244.92753623188409</v>
      </c>
      <c r="BH26" s="6">
        <f t="shared" si="24"/>
        <v>232.68115942028987</v>
      </c>
      <c r="BI26" s="1">
        <f t="shared" si="4"/>
        <v>2568.8000000000002</v>
      </c>
    </row>
    <row r="27" spans="1:61" x14ac:dyDescent="0.3">
      <c r="A27">
        <v>62.4</v>
      </c>
      <c r="B27">
        <v>47.548411999999999</v>
      </c>
      <c r="C27">
        <v>48.708928</v>
      </c>
      <c r="D27">
        <v>49.884346000000001</v>
      </c>
      <c r="E27">
        <v>38.836677999999999</v>
      </c>
      <c r="F27">
        <v>23.935533</v>
      </c>
      <c r="G27">
        <v>19.053284999999999</v>
      </c>
      <c r="H27">
        <v>19.443546999999999</v>
      </c>
      <c r="I27"/>
      <c r="O27" s="7">
        <v>22</v>
      </c>
      <c r="P27" s="8" t="e">
        <f>AVERAGE(B1075:B1124)</f>
        <v>#DIV/0!</v>
      </c>
      <c r="Q27" s="26" t="e">
        <f>STDEV(C1075:C1124)</f>
        <v>#DIV/0!</v>
      </c>
      <c r="R27" s="10" t="e">
        <f>AVERAGE(C1075:C1124)</f>
        <v>#DIV/0!</v>
      </c>
      <c r="S27" s="11" t="e">
        <f>STDEV(E1075:E1124)</f>
        <v>#DIV/0!</v>
      </c>
      <c r="T27" s="12" t="e">
        <f>AVERAGE(D1075:D1124)</f>
        <v>#DIV/0!</v>
      </c>
      <c r="U27" s="13" t="e">
        <f>STDEV(D1075:D1124)</f>
        <v>#DIV/0!</v>
      </c>
      <c r="V27" s="14" t="e">
        <f>AVERAGE(E1075:E1124)</f>
        <v>#DIV/0!</v>
      </c>
      <c r="W27" s="15" t="e">
        <f>STDEV(E1075:E1124)</f>
        <v>#DIV/0!</v>
      </c>
      <c r="X27" s="16" t="e">
        <f>AVERAGE(F1075:F1124)</f>
        <v>#DIV/0!</v>
      </c>
      <c r="Y27" s="17" t="e">
        <f>STDEV(F1075:F1124)</f>
        <v>#DIV/0!</v>
      </c>
      <c r="Z27" s="18" t="e">
        <f>AVERAGE(G1075:G1124)</f>
        <v>#DIV/0!</v>
      </c>
      <c r="AA27" s="19" t="e">
        <f>AVERAGE(H1075:H1124)</f>
        <v>#DIV/0!</v>
      </c>
      <c r="AB27" s="7" t="e">
        <f t="shared" si="25"/>
        <v>#DIV/0!</v>
      </c>
      <c r="AC27" s="7" t="e">
        <f t="shared" si="5"/>
        <v>#DIV/0!</v>
      </c>
      <c r="AD27" s="7" t="e">
        <f t="shared" si="26"/>
        <v>#DIV/0!</v>
      </c>
      <c r="AE27" s="7" t="e">
        <f t="shared" si="6"/>
        <v>#DIV/0!</v>
      </c>
      <c r="AF27" s="25"/>
      <c r="AG27" s="25"/>
      <c r="AH27" s="7" t="e">
        <f t="shared" si="7"/>
        <v>#DIV/0!</v>
      </c>
      <c r="AI27" s="7" t="e">
        <f t="shared" si="8"/>
        <v>#DIV/0!</v>
      </c>
      <c r="AJ27" s="7" t="e">
        <f t="shared" si="27"/>
        <v>#DIV/0!</v>
      </c>
      <c r="AK27" s="21" t="e">
        <f t="shared" si="28"/>
        <v>#DIV/0!</v>
      </c>
      <c r="AL27" s="7" t="e">
        <f t="shared" si="9"/>
        <v>#DIV/0!</v>
      </c>
      <c r="AM27" s="7" t="e">
        <f t="shared" si="10"/>
        <v>#DIV/0!</v>
      </c>
      <c r="AN27" s="7" t="e">
        <f t="shared" si="11"/>
        <v>#DIV/0!</v>
      </c>
      <c r="AO27" s="7">
        <f t="shared" si="12"/>
        <v>6.25E-2</v>
      </c>
      <c r="AP27" s="7" t="e">
        <f t="shared" si="13"/>
        <v>#DIV/0!</v>
      </c>
      <c r="AQ27" s="7" t="e">
        <f t="shared" si="14"/>
        <v>#DIV/0!</v>
      </c>
      <c r="AR27" s="7" t="e">
        <f t="shared" si="15"/>
        <v>#DIV/0!</v>
      </c>
      <c r="AS27" s="7" t="e">
        <f t="shared" si="16"/>
        <v>#DIV/0!</v>
      </c>
      <c r="AT27" s="7" t="e">
        <f t="shared" si="17"/>
        <v>#DIV/0!</v>
      </c>
      <c r="AU27" s="7" t="e">
        <f t="shared" si="18"/>
        <v>#DIV/0!</v>
      </c>
      <c r="AV27" s="7" t="e">
        <f t="shared" si="19"/>
        <v>#DIV/0!</v>
      </c>
      <c r="AW27" s="7" t="e">
        <f t="shared" si="20"/>
        <v>#DIV/0!</v>
      </c>
      <c r="AX27" s="23" t="e">
        <f t="shared" si="21"/>
        <v>#DIV/0!</v>
      </c>
      <c r="AY27" s="23" t="e">
        <f t="shared" si="22"/>
        <v>#DIV/0!</v>
      </c>
      <c r="AZ27" s="23" t="e">
        <f t="shared" si="23"/>
        <v>#DIV/0!</v>
      </c>
      <c r="BB27" s="1">
        <v>135</v>
      </c>
      <c r="BC27" s="1">
        <f t="shared" si="0"/>
        <v>10.8</v>
      </c>
      <c r="BD27" s="1">
        <v>135</v>
      </c>
      <c r="BE27" s="1">
        <f t="shared" si="1"/>
        <v>10.8</v>
      </c>
      <c r="BF27" s="1">
        <f t="shared" si="2"/>
        <v>2916</v>
      </c>
      <c r="BG27" s="6">
        <f t="shared" si="3"/>
        <v>264.13043478260869</v>
      </c>
      <c r="BH27" s="6">
        <f t="shared" si="24"/>
        <v>250.92391304347825</v>
      </c>
      <c r="BI27" s="1">
        <f t="shared" si="4"/>
        <v>2770.2</v>
      </c>
    </row>
    <row r="28" spans="1:61" x14ac:dyDescent="0.3">
      <c r="A28">
        <v>62.6</v>
      </c>
      <c r="B28">
        <v>47.548411999999999</v>
      </c>
      <c r="C28">
        <v>48.708928</v>
      </c>
      <c r="D28">
        <v>49.884346000000001</v>
      </c>
      <c r="E28">
        <v>38.836677999999999</v>
      </c>
      <c r="F28">
        <v>23.935533</v>
      </c>
      <c r="G28">
        <v>19.053284999999999</v>
      </c>
      <c r="H28">
        <v>19.443546999999999</v>
      </c>
      <c r="I28"/>
      <c r="O28" s="7">
        <v>23</v>
      </c>
      <c r="P28" s="8" t="e">
        <f>AVERAGE(B1125:B1174)</f>
        <v>#DIV/0!</v>
      </c>
      <c r="Q28" s="26" t="e">
        <f>STDEV(C1125:C1174)</f>
        <v>#DIV/0!</v>
      </c>
      <c r="R28" s="10" t="e">
        <f>AVERAGE(C1125:C1174)</f>
        <v>#DIV/0!</v>
      </c>
      <c r="S28" s="11" t="e">
        <f>STDEV(E1125:E1174)</f>
        <v>#DIV/0!</v>
      </c>
      <c r="T28" s="12" t="e">
        <f>AVERAGE(D1125:D1174)</f>
        <v>#DIV/0!</v>
      </c>
      <c r="U28" s="13" t="e">
        <f>STDEV(D1125:D1174)</f>
        <v>#DIV/0!</v>
      </c>
      <c r="V28" s="14" t="e">
        <f>AVERAGE(E1125:E1174)</f>
        <v>#DIV/0!</v>
      </c>
      <c r="W28" s="15" t="e">
        <f>STDEV(E1125:E1174)</f>
        <v>#DIV/0!</v>
      </c>
      <c r="X28" s="16" t="e">
        <f>AVERAGE(F1125:F1174)</f>
        <v>#DIV/0!</v>
      </c>
      <c r="Y28" s="17" t="e">
        <f>STDEV(F1125:F1174)</f>
        <v>#DIV/0!</v>
      </c>
      <c r="Z28" s="18" t="e">
        <f>AVERAGE(G1125:G1174)</f>
        <v>#DIV/0!</v>
      </c>
      <c r="AA28" s="19" t="e">
        <f>AVERAGE(H1125:H1174)</f>
        <v>#DIV/0!</v>
      </c>
      <c r="AB28" s="7" t="e">
        <f t="shared" si="25"/>
        <v>#DIV/0!</v>
      </c>
      <c r="AC28" s="7" t="e">
        <f t="shared" si="5"/>
        <v>#DIV/0!</v>
      </c>
      <c r="AD28" s="7" t="e">
        <f t="shared" si="26"/>
        <v>#DIV/0!</v>
      </c>
      <c r="AE28" s="7" t="e">
        <f t="shared" si="6"/>
        <v>#DIV/0!</v>
      </c>
      <c r="AF28" s="25"/>
      <c r="AG28" s="25"/>
      <c r="AH28" s="7" t="e">
        <f t="shared" si="7"/>
        <v>#DIV/0!</v>
      </c>
      <c r="AI28" s="7" t="e">
        <f t="shared" si="8"/>
        <v>#DIV/0!</v>
      </c>
      <c r="AJ28" s="7" t="e">
        <f t="shared" si="27"/>
        <v>#DIV/0!</v>
      </c>
      <c r="AK28" s="21" t="e">
        <f t="shared" si="28"/>
        <v>#DIV/0!</v>
      </c>
      <c r="AL28" s="7" t="e">
        <f t="shared" si="9"/>
        <v>#DIV/0!</v>
      </c>
      <c r="AM28" s="7" t="e">
        <f t="shared" si="10"/>
        <v>#DIV/0!</v>
      </c>
      <c r="AN28" s="7" t="e">
        <f t="shared" si="11"/>
        <v>#DIV/0!</v>
      </c>
      <c r="AO28" s="7">
        <f t="shared" si="12"/>
        <v>6.25E-2</v>
      </c>
      <c r="AP28" s="7" t="e">
        <f t="shared" si="13"/>
        <v>#DIV/0!</v>
      </c>
      <c r="AQ28" s="7" t="e">
        <f t="shared" si="14"/>
        <v>#DIV/0!</v>
      </c>
      <c r="AR28" s="7" t="e">
        <f t="shared" si="15"/>
        <v>#DIV/0!</v>
      </c>
      <c r="AS28" s="7" t="e">
        <f t="shared" si="16"/>
        <v>#DIV/0!</v>
      </c>
      <c r="AT28" s="7" t="e">
        <f t="shared" si="17"/>
        <v>#DIV/0!</v>
      </c>
      <c r="AU28" s="7" t="e">
        <f t="shared" si="18"/>
        <v>#DIV/0!</v>
      </c>
      <c r="AV28" s="7" t="e">
        <f t="shared" si="19"/>
        <v>#DIV/0!</v>
      </c>
      <c r="AW28" s="7" t="e">
        <f t="shared" si="20"/>
        <v>#DIV/0!</v>
      </c>
      <c r="AX28" s="23" t="e">
        <f t="shared" si="21"/>
        <v>#DIV/0!</v>
      </c>
      <c r="AY28" s="23" t="e">
        <f t="shared" si="22"/>
        <v>#DIV/0!</v>
      </c>
      <c r="AZ28" s="23" t="e">
        <f t="shared" si="23"/>
        <v>#DIV/0!</v>
      </c>
      <c r="BB28" s="1">
        <v>140</v>
      </c>
      <c r="BC28" s="1">
        <f t="shared" si="0"/>
        <v>11.2</v>
      </c>
      <c r="BD28" s="1">
        <v>140</v>
      </c>
      <c r="BE28" s="1">
        <f t="shared" si="1"/>
        <v>11.2</v>
      </c>
      <c r="BF28" s="1">
        <f t="shared" si="2"/>
        <v>3136</v>
      </c>
      <c r="BG28" s="6">
        <f t="shared" si="3"/>
        <v>284.05797101449275</v>
      </c>
      <c r="BH28" s="6">
        <f t="shared" si="24"/>
        <v>269.85507246376812</v>
      </c>
      <c r="BI28" s="1">
        <f t="shared" si="4"/>
        <v>2979.2</v>
      </c>
    </row>
    <row r="29" spans="1:61" x14ac:dyDescent="0.3">
      <c r="A29">
        <v>62.8</v>
      </c>
      <c r="B29">
        <v>47.534129999999998</v>
      </c>
      <c r="C29">
        <v>48.687823000000002</v>
      </c>
      <c r="D29">
        <v>49.882548</v>
      </c>
      <c r="E29">
        <v>38.848002000000001</v>
      </c>
      <c r="F29">
        <v>23.963746</v>
      </c>
      <c r="G29">
        <v>19.040209999999998</v>
      </c>
      <c r="H29">
        <v>19.441393999999999</v>
      </c>
      <c r="I29"/>
      <c r="O29" s="7">
        <v>24</v>
      </c>
      <c r="P29" s="8" t="e">
        <f>AVERAGE(B1175:B1224)</f>
        <v>#DIV/0!</v>
      </c>
      <c r="Q29" s="26" t="e">
        <f>STDEV(C1175:C1224)</f>
        <v>#DIV/0!</v>
      </c>
      <c r="R29" s="10" t="e">
        <f>AVERAGE(C1175:C1224)</f>
        <v>#DIV/0!</v>
      </c>
      <c r="S29" s="11" t="e">
        <f>STDEV(E1175:E1224)</f>
        <v>#DIV/0!</v>
      </c>
      <c r="T29" s="12" t="e">
        <f>AVERAGE(D1175:D1224)</f>
        <v>#DIV/0!</v>
      </c>
      <c r="U29" s="13" t="e">
        <f>STDEV(D1175:D1224)</f>
        <v>#DIV/0!</v>
      </c>
      <c r="V29" s="14" t="e">
        <f>AVERAGE(E1175:E1224)</f>
        <v>#DIV/0!</v>
      </c>
      <c r="W29" s="15" t="e">
        <f>STDEV(E1175:E1224)</f>
        <v>#DIV/0!</v>
      </c>
      <c r="X29" s="16" t="e">
        <f>AVERAGE(F1175:F1224)</f>
        <v>#DIV/0!</v>
      </c>
      <c r="Y29" s="17" t="e">
        <f>STDEV(F1175:F1224)</f>
        <v>#DIV/0!</v>
      </c>
      <c r="Z29" s="18" t="e">
        <f>AVERAGE(G1175:G1224)</f>
        <v>#DIV/0!</v>
      </c>
      <c r="AA29" s="19" t="e">
        <f>AVERAGE(H1175:H1224)</f>
        <v>#DIV/0!</v>
      </c>
      <c r="AB29" s="7" t="e">
        <f t="shared" si="25"/>
        <v>#DIV/0!</v>
      </c>
      <c r="AC29" s="7" t="e">
        <f t="shared" si="5"/>
        <v>#DIV/0!</v>
      </c>
      <c r="AD29" s="7" t="e">
        <f t="shared" si="26"/>
        <v>#DIV/0!</v>
      </c>
      <c r="AE29" s="7" t="e">
        <f t="shared" si="6"/>
        <v>#DIV/0!</v>
      </c>
      <c r="AF29" s="25"/>
      <c r="AG29" s="25"/>
      <c r="AH29" s="7" t="e">
        <f t="shared" si="7"/>
        <v>#DIV/0!</v>
      </c>
      <c r="AI29" s="7" t="e">
        <f t="shared" si="8"/>
        <v>#DIV/0!</v>
      </c>
      <c r="AJ29" s="7" t="e">
        <f t="shared" si="27"/>
        <v>#DIV/0!</v>
      </c>
      <c r="AK29" s="21" t="e">
        <f t="shared" si="28"/>
        <v>#DIV/0!</v>
      </c>
      <c r="AL29" s="7" t="e">
        <f t="shared" si="9"/>
        <v>#DIV/0!</v>
      </c>
      <c r="AM29" s="7" t="e">
        <f t="shared" si="10"/>
        <v>#DIV/0!</v>
      </c>
      <c r="AN29" s="7" t="e">
        <f t="shared" si="11"/>
        <v>#DIV/0!</v>
      </c>
      <c r="AO29" s="7">
        <f t="shared" si="12"/>
        <v>6.25E-2</v>
      </c>
      <c r="AP29" s="7" t="e">
        <f t="shared" si="13"/>
        <v>#DIV/0!</v>
      </c>
      <c r="AQ29" s="7" t="e">
        <f t="shared" si="14"/>
        <v>#DIV/0!</v>
      </c>
      <c r="AR29" s="7" t="e">
        <f t="shared" si="15"/>
        <v>#DIV/0!</v>
      </c>
      <c r="AS29" s="7" t="e">
        <f t="shared" si="16"/>
        <v>#DIV/0!</v>
      </c>
      <c r="AT29" s="7" t="e">
        <f t="shared" si="17"/>
        <v>#DIV/0!</v>
      </c>
      <c r="AU29" s="7" t="e">
        <f t="shared" si="18"/>
        <v>#DIV/0!</v>
      </c>
      <c r="AV29" s="7" t="e">
        <f t="shared" si="19"/>
        <v>#DIV/0!</v>
      </c>
      <c r="AW29" s="7" t="e">
        <f t="shared" si="20"/>
        <v>#DIV/0!</v>
      </c>
      <c r="AX29" s="23" t="e">
        <f t="shared" si="21"/>
        <v>#DIV/0!</v>
      </c>
      <c r="AY29" s="23" t="e">
        <f t="shared" si="22"/>
        <v>#DIV/0!</v>
      </c>
      <c r="AZ29" s="23" t="e">
        <f t="shared" si="23"/>
        <v>#DIV/0!</v>
      </c>
      <c r="BB29" s="1">
        <v>145</v>
      </c>
      <c r="BC29" s="1">
        <f t="shared" si="0"/>
        <v>11.6</v>
      </c>
      <c r="BD29" s="1">
        <v>145</v>
      </c>
      <c r="BE29" s="1">
        <f t="shared" si="1"/>
        <v>11.6</v>
      </c>
      <c r="BF29" s="1">
        <f t="shared" si="2"/>
        <v>3364</v>
      </c>
      <c r="BG29" s="6">
        <f t="shared" si="3"/>
        <v>304.71014492753625</v>
      </c>
      <c r="BH29" s="6">
        <f t="shared" si="24"/>
        <v>289.47463768115944</v>
      </c>
      <c r="BI29" s="1">
        <f t="shared" si="4"/>
        <v>3195.7999999999997</v>
      </c>
    </row>
    <row r="30" spans="1:61" x14ac:dyDescent="0.3">
      <c r="A30">
        <v>63</v>
      </c>
      <c r="B30">
        <v>47.534129999999998</v>
      </c>
      <c r="C30">
        <v>48.687823000000002</v>
      </c>
      <c r="D30">
        <v>49.882548</v>
      </c>
      <c r="E30">
        <v>38.848002000000001</v>
      </c>
      <c r="F30">
        <v>23.963746</v>
      </c>
      <c r="G30">
        <v>19.040209999999998</v>
      </c>
      <c r="H30">
        <v>19.441393999999999</v>
      </c>
      <c r="I30" t="s">
        <v>56</v>
      </c>
      <c r="O30" s="7">
        <v>25</v>
      </c>
      <c r="P30" s="8" t="e">
        <f>AVERAGE(B1225:B1274)</f>
        <v>#DIV/0!</v>
      </c>
      <c r="Q30" s="26" t="e">
        <f>STDEV(C1225:C1274)</f>
        <v>#DIV/0!</v>
      </c>
      <c r="R30" s="10" t="e">
        <f>AVERAGE(C1225:C1274)</f>
        <v>#DIV/0!</v>
      </c>
      <c r="S30" s="11" t="e">
        <f>STDEV(E1225:E1274)</f>
        <v>#DIV/0!</v>
      </c>
      <c r="T30" s="12" t="e">
        <f>AVERAGE(D1225:D1274)</f>
        <v>#DIV/0!</v>
      </c>
      <c r="U30" s="13" t="e">
        <f>STDEV(D1225:D1274)</f>
        <v>#DIV/0!</v>
      </c>
      <c r="V30" s="14" t="e">
        <f>AVERAGE(E1225:E1274)</f>
        <v>#DIV/0!</v>
      </c>
      <c r="W30" s="15" t="e">
        <f>STDEV(E1225:E1274)</f>
        <v>#DIV/0!</v>
      </c>
      <c r="X30" s="16" t="e">
        <f>AVERAGE(F1225:F1274)</f>
        <v>#DIV/0!</v>
      </c>
      <c r="Y30" s="17" t="e">
        <f>STDEV(F1225:F1274)</f>
        <v>#DIV/0!</v>
      </c>
      <c r="Z30" s="18" t="e">
        <f>AVERAGE(G1225:G1274)</f>
        <v>#DIV/0!</v>
      </c>
      <c r="AA30" s="19" t="e">
        <f>AVERAGE(H1225:H1274)</f>
        <v>#DIV/0!</v>
      </c>
      <c r="AB30" s="7" t="e">
        <f t="shared" si="25"/>
        <v>#DIV/0!</v>
      </c>
      <c r="AC30" s="7" t="e">
        <f t="shared" si="5"/>
        <v>#DIV/0!</v>
      </c>
      <c r="AD30" s="7" t="e">
        <f t="shared" si="26"/>
        <v>#DIV/0!</v>
      </c>
      <c r="AE30" s="7" t="e">
        <f t="shared" si="6"/>
        <v>#DIV/0!</v>
      </c>
      <c r="AF30" s="25"/>
      <c r="AG30" s="25"/>
      <c r="AH30" s="7" t="e">
        <f t="shared" si="7"/>
        <v>#DIV/0!</v>
      </c>
      <c r="AI30" s="7" t="e">
        <f t="shared" si="8"/>
        <v>#DIV/0!</v>
      </c>
      <c r="AJ30" s="7" t="e">
        <f t="shared" si="27"/>
        <v>#DIV/0!</v>
      </c>
      <c r="AK30" s="21" t="e">
        <f t="shared" si="28"/>
        <v>#DIV/0!</v>
      </c>
      <c r="AL30" s="7" t="e">
        <f t="shared" si="9"/>
        <v>#DIV/0!</v>
      </c>
      <c r="AM30" s="7" t="e">
        <f t="shared" si="10"/>
        <v>#DIV/0!</v>
      </c>
      <c r="AN30" s="7" t="e">
        <f t="shared" si="11"/>
        <v>#DIV/0!</v>
      </c>
      <c r="AO30" s="7">
        <f t="shared" si="12"/>
        <v>6.25E-2</v>
      </c>
      <c r="AP30" s="7" t="e">
        <f t="shared" si="13"/>
        <v>#DIV/0!</v>
      </c>
      <c r="AQ30" s="7" t="e">
        <f t="shared" si="14"/>
        <v>#DIV/0!</v>
      </c>
      <c r="AR30" s="7" t="e">
        <f t="shared" si="15"/>
        <v>#DIV/0!</v>
      </c>
      <c r="AS30" s="7" t="e">
        <f t="shared" si="16"/>
        <v>#DIV/0!</v>
      </c>
      <c r="AT30" s="7" t="e">
        <f t="shared" si="17"/>
        <v>#DIV/0!</v>
      </c>
      <c r="AU30" s="7" t="e">
        <f t="shared" si="18"/>
        <v>#DIV/0!</v>
      </c>
      <c r="AV30" s="7" t="e">
        <f t="shared" si="19"/>
        <v>#DIV/0!</v>
      </c>
      <c r="AW30" s="7" t="e">
        <f t="shared" si="20"/>
        <v>#DIV/0!</v>
      </c>
      <c r="AX30" s="23" t="e">
        <f t="shared" si="21"/>
        <v>#DIV/0!</v>
      </c>
      <c r="AY30" s="23" t="e">
        <f t="shared" si="22"/>
        <v>#DIV/0!</v>
      </c>
      <c r="AZ30" s="23" t="e">
        <f t="shared" si="23"/>
        <v>#DIV/0!</v>
      </c>
      <c r="BB30" s="1">
        <v>150</v>
      </c>
      <c r="BC30" s="1">
        <f t="shared" si="0"/>
        <v>12</v>
      </c>
      <c r="BD30" s="1">
        <v>150</v>
      </c>
      <c r="BE30" s="1">
        <f t="shared" si="1"/>
        <v>12</v>
      </c>
      <c r="BF30" s="1">
        <f t="shared" si="2"/>
        <v>3600</v>
      </c>
      <c r="BG30" s="6">
        <f t="shared" si="3"/>
        <v>326.08695652173918</v>
      </c>
      <c r="BH30" s="6">
        <f t="shared" si="24"/>
        <v>309.78260869565219</v>
      </c>
      <c r="BI30" s="1">
        <f t="shared" si="4"/>
        <v>3420</v>
      </c>
    </row>
    <row r="31" spans="1:61" x14ac:dyDescent="0.3">
      <c r="A31">
        <v>63.2</v>
      </c>
      <c r="B31">
        <v>47.558810999999999</v>
      </c>
      <c r="C31">
        <v>48.706870000000002</v>
      </c>
      <c r="D31">
        <v>49.853912000000001</v>
      </c>
      <c r="E31">
        <v>38.850698999999999</v>
      </c>
      <c r="F31">
        <v>23.865100999999999</v>
      </c>
      <c r="G31">
        <v>19.052835000000002</v>
      </c>
      <c r="H31">
        <v>19.42221</v>
      </c>
      <c r="I31"/>
      <c r="N31"/>
      <c r="O31"/>
    </row>
    <row r="32" spans="1:61" x14ac:dyDescent="0.3">
      <c r="A32">
        <v>63.4</v>
      </c>
      <c r="B32">
        <v>47.558810999999999</v>
      </c>
      <c r="C32">
        <v>48.706870000000002</v>
      </c>
      <c r="D32">
        <v>49.853912000000001</v>
      </c>
      <c r="E32">
        <v>38.850698999999999</v>
      </c>
      <c r="F32">
        <v>23.865100999999999</v>
      </c>
      <c r="G32">
        <v>19.052835000000002</v>
      </c>
      <c r="H32">
        <v>19.42221</v>
      </c>
      <c r="I32"/>
      <c r="N32"/>
      <c r="O32"/>
    </row>
    <row r="33" spans="1:47" x14ac:dyDescent="0.3">
      <c r="A33">
        <v>63.6</v>
      </c>
      <c r="B33">
        <v>47.537773000000001</v>
      </c>
      <c r="C33">
        <v>48.722465999999997</v>
      </c>
      <c r="D33">
        <v>49.884557000000001</v>
      </c>
      <c r="E33">
        <v>38.838962000000002</v>
      </c>
      <c r="F33">
        <v>23.853950999999999</v>
      </c>
      <c r="G33">
        <v>19.059434</v>
      </c>
      <c r="H33">
        <v>19.418362999999999</v>
      </c>
      <c r="I33"/>
      <c r="N33"/>
      <c r="O33"/>
    </row>
    <row r="34" spans="1:47" x14ac:dyDescent="0.3">
      <c r="A34">
        <v>63.8</v>
      </c>
      <c r="B34">
        <v>47.537773000000001</v>
      </c>
      <c r="C34">
        <v>48.722465999999997</v>
      </c>
      <c r="D34">
        <v>49.884557000000001</v>
      </c>
      <c r="E34">
        <v>38.838962000000002</v>
      </c>
      <c r="F34">
        <v>23.853950999999999</v>
      </c>
      <c r="G34">
        <v>19.059434</v>
      </c>
      <c r="H34">
        <v>19.418362999999999</v>
      </c>
      <c r="I34"/>
      <c r="N34"/>
      <c r="O34"/>
    </row>
    <row r="35" spans="1:47" x14ac:dyDescent="0.3">
      <c r="A35">
        <v>64</v>
      </c>
      <c r="B35">
        <v>47.561281000000001</v>
      </c>
      <c r="C35">
        <v>48.708869</v>
      </c>
      <c r="D35">
        <v>49.849037000000003</v>
      </c>
      <c r="E35">
        <v>38.835787000000003</v>
      </c>
      <c r="F35">
        <v>23.866807000000001</v>
      </c>
      <c r="G35">
        <v>19.046441000000002</v>
      </c>
      <c r="H35">
        <v>19.410122000000001</v>
      </c>
      <c r="I35" t="s">
        <v>56</v>
      </c>
      <c r="N35"/>
      <c r="P35" s="27" t="s">
        <v>57</v>
      </c>
      <c r="Q35" s="27" t="s">
        <v>58</v>
      </c>
    </row>
    <row r="36" spans="1:47" x14ac:dyDescent="0.3">
      <c r="A36">
        <v>64.2</v>
      </c>
      <c r="B36">
        <v>47.561281000000001</v>
      </c>
      <c r="C36">
        <v>48.708869</v>
      </c>
      <c r="D36">
        <v>49.849037000000003</v>
      </c>
      <c r="E36">
        <v>38.835787000000003</v>
      </c>
      <c r="F36">
        <v>23.866807000000001</v>
      </c>
      <c r="G36">
        <v>19.046441000000002</v>
      </c>
      <c r="H36">
        <v>19.410122000000001</v>
      </c>
      <c r="I36"/>
      <c r="N36"/>
      <c r="O36" s="27" t="s">
        <v>10</v>
      </c>
      <c r="P36" s="8">
        <v>0.98399999999999999</v>
      </c>
      <c r="Q36" s="8">
        <v>0.78649999999999998</v>
      </c>
      <c r="AU36" s="28" t="s">
        <v>59</v>
      </c>
    </row>
    <row r="37" spans="1:47" x14ac:dyDescent="0.3">
      <c r="A37">
        <v>64.400000000000006</v>
      </c>
      <c r="B37">
        <v>47.550615999999998</v>
      </c>
      <c r="C37">
        <v>48.722380000000001</v>
      </c>
      <c r="D37">
        <v>49.861581999999999</v>
      </c>
      <c r="E37">
        <v>38.853732999999998</v>
      </c>
      <c r="F37">
        <v>23.816759000000001</v>
      </c>
      <c r="G37">
        <v>19.044682999999999</v>
      </c>
      <c r="H37">
        <v>19.414535000000001</v>
      </c>
      <c r="I37"/>
      <c r="N37"/>
      <c r="O37" s="27" t="s">
        <v>14</v>
      </c>
      <c r="P37" s="8">
        <v>0.98629999999999995</v>
      </c>
      <c r="Q37" s="8">
        <v>0.68220000000000003</v>
      </c>
    </row>
    <row r="38" spans="1:47" x14ac:dyDescent="0.3">
      <c r="A38">
        <v>64.599999999999994</v>
      </c>
      <c r="B38">
        <v>47.550615999999998</v>
      </c>
      <c r="C38">
        <v>48.722380000000001</v>
      </c>
      <c r="D38">
        <v>49.861581999999999</v>
      </c>
      <c r="E38">
        <v>38.853732999999998</v>
      </c>
      <c r="F38">
        <v>23.816759000000001</v>
      </c>
      <c r="G38">
        <v>19.044682999999999</v>
      </c>
      <c r="H38">
        <v>19.414535000000001</v>
      </c>
      <c r="I38"/>
      <c r="N38"/>
      <c r="O38" s="27" t="s">
        <v>15</v>
      </c>
      <c r="P38" s="8">
        <v>0.98070000000000002</v>
      </c>
      <c r="Q38" s="8">
        <v>0.81030000000000002</v>
      </c>
    </row>
    <row r="39" spans="1:47" x14ac:dyDescent="0.3">
      <c r="A39">
        <v>64.8</v>
      </c>
      <c r="B39">
        <v>47.539409999999997</v>
      </c>
      <c r="C39">
        <v>48.707782999999999</v>
      </c>
      <c r="D39">
        <v>49.863061999999999</v>
      </c>
      <c r="E39">
        <v>38.849020000000003</v>
      </c>
      <c r="F39">
        <v>23.789548</v>
      </c>
      <c r="G39">
        <v>19.056373000000001</v>
      </c>
      <c r="H39">
        <v>19.421949000000001</v>
      </c>
      <c r="I39"/>
      <c r="N39"/>
      <c r="O39" s="27" t="s">
        <v>16</v>
      </c>
      <c r="P39" s="8">
        <v>0.97760000000000002</v>
      </c>
      <c r="Q39" s="8">
        <v>0.92379999999999995</v>
      </c>
    </row>
    <row r="40" spans="1:47" x14ac:dyDescent="0.3">
      <c r="A40">
        <v>65</v>
      </c>
      <c r="B40">
        <v>47.539409999999997</v>
      </c>
      <c r="C40">
        <v>48.707782999999999</v>
      </c>
      <c r="D40">
        <v>49.863061999999999</v>
      </c>
      <c r="E40">
        <v>38.849020000000003</v>
      </c>
      <c r="F40">
        <v>23.789548</v>
      </c>
      <c r="G40">
        <v>19.056373000000001</v>
      </c>
      <c r="H40">
        <v>19.421949000000001</v>
      </c>
      <c r="I40" t="s">
        <v>56</v>
      </c>
      <c r="N40"/>
      <c r="O40"/>
    </row>
    <row r="41" spans="1:47" ht="14.4" customHeight="1" x14ac:dyDescent="0.3">
      <c r="A41">
        <v>65.2</v>
      </c>
      <c r="B41">
        <v>47.56174</v>
      </c>
      <c r="C41">
        <v>48.726098</v>
      </c>
      <c r="D41">
        <v>49.863911999999999</v>
      </c>
      <c r="E41">
        <v>38.845824</v>
      </c>
      <c r="F41">
        <v>23.743656999999999</v>
      </c>
      <c r="G41">
        <v>19.048735000000001</v>
      </c>
      <c r="H41">
        <v>19.440897</v>
      </c>
      <c r="I41"/>
      <c r="N41"/>
      <c r="O41"/>
      <c r="P41" s="29" t="s">
        <v>60</v>
      </c>
      <c r="Q41" s="29"/>
      <c r="R41" s="29"/>
      <c r="S41" s="29"/>
    </row>
    <row r="42" spans="1:47" x14ac:dyDescent="0.3">
      <c r="A42">
        <v>65.400000000000006</v>
      </c>
      <c r="B42">
        <v>47.56174</v>
      </c>
      <c r="C42">
        <v>48.726098</v>
      </c>
      <c r="D42">
        <v>49.863911999999999</v>
      </c>
      <c r="E42">
        <v>38.845824</v>
      </c>
      <c r="F42">
        <v>23.743656999999999</v>
      </c>
      <c r="G42">
        <v>19.048735000000001</v>
      </c>
      <c r="H42">
        <v>19.440897</v>
      </c>
      <c r="I42"/>
      <c r="N42"/>
      <c r="O42"/>
      <c r="P42" s="7" t="s">
        <v>10</v>
      </c>
      <c r="Q42" s="7" t="s">
        <v>14</v>
      </c>
      <c r="R42" s="7" t="s">
        <v>15</v>
      </c>
      <c r="S42" s="7" t="s">
        <v>16</v>
      </c>
    </row>
    <row r="43" spans="1:47" x14ac:dyDescent="0.3">
      <c r="A43">
        <v>65.599999999999994</v>
      </c>
      <c r="B43">
        <v>47.548834999999997</v>
      </c>
      <c r="C43">
        <v>48.707510999999997</v>
      </c>
      <c r="D43">
        <v>49.863936000000002</v>
      </c>
      <c r="E43">
        <v>38.844172</v>
      </c>
      <c r="F43">
        <v>23.920259000000001</v>
      </c>
      <c r="G43">
        <v>19.04063</v>
      </c>
      <c r="H43">
        <v>19.439440000000001</v>
      </c>
      <c r="I43"/>
      <c r="N43"/>
      <c r="O43"/>
      <c r="P43" s="1">
        <f t="shared" ref="P43:P106" si="29">(B25+Q$36)/P$36</f>
        <v>49.115810975609755</v>
      </c>
      <c r="Q43" s="1">
        <f t="shared" ref="Q43:Q106" si="30">(C25+Q$36)/P$36</f>
        <v>50.283547764227642</v>
      </c>
      <c r="R43" s="1">
        <f t="shared" ref="R43:R106" si="31">(D25+Q$38)/P$38</f>
        <v>51.675629652289174</v>
      </c>
      <c r="S43" s="1">
        <f t="shared" ref="S43:S106" si="32">(E25+Q$39)/P$39</f>
        <v>40.668000204582647</v>
      </c>
    </row>
    <row r="44" spans="1:47" x14ac:dyDescent="0.3">
      <c r="A44">
        <v>65.8</v>
      </c>
      <c r="B44">
        <v>47.548834999999997</v>
      </c>
      <c r="C44">
        <v>48.707510999999997</v>
      </c>
      <c r="D44">
        <v>49.863936000000002</v>
      </c>
      <c r="E44">
        <v>38.844172</v>
      </c>
      <c r="F44">
        <v>23.920259000000001</v>
      </c>
      <c r="G44">
        <v>19.04063</v>
      </c>
      <c r="H44">
        <v>19.439440000000001</v>
      </c>
      <c r="I44"/>
      <c r="N44"/>
      <c r="O44"/>
      <c r="P44" s="1">
        <f t="shared" si="29"/>
        <v>49.115810975609755</v>
      </c>
      <c r="Q44" s="1">
        <f t="shared" si="30"/>
        <v>50.283547764227642</v>
      </c>
      <c r="R44" s="1">
        <f t="shared" si="31"/>
        <v>51.675629652289174</v>
      </c>
      <c r="S44" s="1">
        <f t="shared" si="32"/>
        <v>40.668000204582647</v>
      </c>
    </row>
    <row r="45" spans="1:47" x14ac:dyDescent="0.3">
      <c r="A45">
        <v>66</v>
      </c>
      <c r="B45">
        <v>47.535364999999999</v>
      </c>
      <c r="C45">
        <v>48.72972</v>
      </c>
      <c r="D45">
        <v>49.879423000000003</v>
      </c>
      <c r="E45">
        <v>38.855186000000003</v>
      </c>
      <c r="F45">
        <v>23.902128999999999</v>
      </c>
      <c r="G45">
        <v>19.048431999999998</v>
      </c>
      <c r="H45">
        <v>19.430624999999999</v>
      </c>
      <c r="I45" t="s">
        <v>56</v>
      </c>
      <c r="N45"/>
      <c r="O45"/>
      <c r="P45" s="1">
        <f t="shared" si="29"/>
        <v>49.120845528455284</v>
      </c>
      <c r="Q45" s="1">
        <f t="shared" si="30"/>
        <v>50.300231707317067</v>
      </c>
      <c r="R45" s="1">
        <f t="shared" si="31"/>
        <v>51.692307535433869</v>
      </c>
      <c r="S45" s="1">
        <f t="shared" si="32"/>
        <v>40.671520049099833</v>
      </c>
    </row>
    <row r="46" spans="1:47" x14ac:dyDescent="0.3">
      <c r="A46">
        <v>66.2</v>
      </c>
      <c r="B46">
        <v>47.535364999999999</v>
      </c>
      <c r="C46">
        <v>48.72972</v>
      </c>
      <c r="D46">
        <v>49.879423000000003</v>
      </c>
      <c r="E46">
        <v>38.855186000000003</v>
      </c>
      <c r="F46">
        <v>23.902128999999999</v>
      </c>
      <c r="G46">
        <v>19.048431999999998</v>
      </c>
      <c r="H46">
        <v>19.430624999999999</v>
      </c>
      <c r="I46"/>
      <c r="N46"/>
      <c r="O46"/>
      <c r="P46" s="1">
        <f t="shared" si="29"/>
        <v>49.120845528455284</v>
      </c>
      <c r="Q46" s="1">
        <f t="shared" si="30"/>
        <v>50.300231707317067</v>
      </c>
      <c r="R46" s="1">
        <f t="shared" si="31"/>
        <v>51.692307535433869</v>
      </c>
      <c r="S46" s="1">
        <f t="shared" si="32"/>
        <v>40.671520049099833</v>
      </c>
    </row>
    <row r="47" spans="1:47" x14ac:dyDescent="0.3">
      <c r="A47">
        <v>66.400000000000006</v>
      </c>
      <c r="B47">
        <v>47.565983000000003</v>
      </c>
      <c r="C47">
        <v>48.7209</v>
      </c>
      <c r="D47">
        <v>49.867890000000003</v>
      </c>
      <c r="E47">
        <v>38.864933999999998</v>
      </c>
      <c r="F47">
        <v>23.771308000000001</v>
      </c>
      <c r="G47">
        <v>19.034153</v>
      </c>
      <c r="H47">
        <v>19.413502999999999</v>
      </c>
      <c r="I47"/>
      <c r="N47"/>
      <c r="O47"/>
      <c r="P47" s="1">
        <f t="shared" si="29"/>
        <v>49.106331300813004</v>
      </c>
      <c r="Q47" s="1">
        <f t="shared" si="30"/>
        <v>50.278783536585365</v>
      </c>
      <c r="R47" s="1">
        <f t="shared" si="31"/>
        <v>51.690474151116547</v>
      </c>
      <c r="S47" s="1">
        <f t="shared" si="32"/>
        <v>40.683103518821603</v>
      </c>
    </row>
    <row r="48" spans="1:47" x14ac:dyDescent="0.3">
      <c r="A48">
        <v>66.599999999999994</v>
      </c>
      <c r="B48">
        <v>47.565983000000003</v>
      </c>
      <c r="C48">
        <v>48.7209</v>
      </c>
      <c r="D48">
        <v>49.867890000000003</v>
      </c>
      <c r="E48">
        <v>38.864933999999998</v>
      </c>
      <c r="F48">
        <v>23.771308000000001</v>
      </c>
      <c r="G48">
        <v>19.034153</v>
      </c>
      <c r="H48">
        <v>19.413502999999999</v>
      </c>
      <c r="I48"/>
      <c r="N48"/>
      <c r="O48"/>
      <c r="P48" s="1">
        <f t="shared" si="29"/>
        <v>49.106331300813004</v>
      </c>
      <c r="Q48" s="1">
        <f t="shared" si="30"/>
        <v>50.278783536585365</v>
      </c>
      <c r="R48" s="1">
        <f t="shared" si="31"/>
        <v>51.690474151116547</v>
      </c>
      <c r="S48" s="1">
        <f t="shared" si="32"/>
        <v>40.683103518821603</v>
      </c>
    </row>
    <row r="49" spans="1:32" x14ac:dyDescent="0.3">
      <c r="A49">
        <v>66.8</v>
      </c>
      <c r="B49">
        <v>47.559291000000002</v>
      </c>
      <c r="C49">
        <v>48.70505</v>
      </c>
      <c r="D49">
        <v>49.880023999999999</v>
      </c>
      <c r="E49">
        <v>38.834401999999997</v>
      </c>
      <c r="F49">
        <v>23.778582</v>
      </c>
      <c r="G49">
        <v>19.046057999999999</v>
      </c>
      <c r="H49">
        <v>19.441068999999999</v>
      </c>
      <c r="I49"/>
      <c r="N49"/>
      <c r="O49"/>
      <c r="P49" s="1">
        <f t="shared" si="29"/>
        <v>49.131413617886174</v>
      </c>
      <c r="Q49" s="1">
        <f t="shared" si="30"/>
        <v>50.298140243902438</v>
      </c>
      <c r="R49" s="1">
        <f t="shared" si="31"/>
        <v>51.661274599775666</v>
      </c>
      <c r="S49" s="1">
        <f t="shared" si="32"/>
        <v>40.68586231587561</v>
      </c>
    </row>
    <row r="50" spans="1:32" x14ac:dyDescent="0.3">
      <c r="A50">
        <v>67</v>
      </c>
      <c r="B50">
        <v>47.559291000000002</v>
      </c>
      <c r="C50">
        <v>48.70505</v>
      </c>
      <c r="D50">
        <v>49.880023999999999</v>
      </c>
      <c r="E50">
        <v>38.834401999999997</v>
      </c>
      <c r="F50">
        <v>23.778582</v>
      </c>
      <c r="G50">
        <v>19.046057999999999</v>
      </c>
      <c r="H50">
        <v>19.441068999999999</v>
      </c>
      <c r="I50" t="s">
        <v>56</v>
      </c>
      <c r="N50"/>
      <c r="O50"/>
      <c r="P50" s="1">
        <f t="shared" si="29"/>
        <v>49.131413617886174</v>
      </c>
      <c r="Q50" s="1">
        <f t="shared" si="30"/>
        <v>50.298140243902438</v>
      </c>
      <c r="R50" s="1">
        <f t="shared" si="31"/>
        <v>51.661274599775666</v>
      </c>
      <c r="S50" s="1">
        <f t="shared" si="32"/>
        <v>40.68586231587561</v>
      </c>
    </row>
    <row r="51" spans="1:32" x14ac:dyDescent="0.3">
      <c r="A51">
        <v>67.2</v>
      </c>
      <c r="B51">
        <v>47.553192000000003</v>
      </c>
      <c r="C51">
        <v>48.68956</v>
      </c>
      <c r="D51">
        <v>49.881531000000003</v>
      </c>
      <c r="E51">
        <v>38.843099000000002</v>
      </c>
      <c r="F51">
        <v>23.817917000000001</v>
      </c>
      <c r="G51">
        <v>19.049620999999998</v>
      </c>
      <c r="H51">
        <v>19.434187000000001</v>
      </c>
      <c r="I51"/>
      <c r="N51"/>
      <c r="O51"/>
      <c r="P51" s="1">
        <f t="shared" si="29"/>
        <v>49.110033536585362</v>
      </c>
      <c r="Q51" s="1">
        <f t="shared" si="30"/>
        <v>50.313989837398367</v>
      </c>
      <c r="R51" s="1">
        <f t="shared" si="31"/>
        <v>51.692522687876007</v>
      </c>
      <c r="S51" s="1">
        <f t="shared" si="32"/>
        <v>40.673856382978727</v>
      </c>
    </row>
    <row r="52" spans="1:32" x14ac:dyDescent="0.3">
      <c r="A52">
        <v>67.400000000000006</v>
      </c>
      <c r="B52">
        <v>47.553192000000003</v>
      </c>
      <c r="C52">
        <v>48.68956</v>
      </c>
      <c r="D52">
        <v>49.881531000000003</v>
      </c>
      <c r="E52">
        <v>38.843099000000002</v>
      </c>
      <c r="F52">
        <v>23.817917000000001</v>
      </c>
      <c r="G52">
        <v>19.049620999999998</v>
      </c>
      <c r="H52">
        <v>19.434187000000001</v>
      </c>
      <c r="I52"/>
      <c r="N52"/>
      <c r="O52"/>
      <c r="P52" s="1">
        <f t="shared" si="29"/>
        <v>49.110033536585362</v>
      </c>
      <c r="Q52" s="1">
        <f t="shared" si="30"/>
        <v>50.313989837398367</v>
      </c>
      <c r="R52" s="1">
        <f t="shared" si="31"/>
        <v>51.692522687876007</v>
      </c>
      <c r="S52" s="1">
        <f t="shared" si="32"/>
        <v>40.673856382978727</v>
      </c>
    </row>
    <row r="53" spans="1:32" x14ac:dyDescent="0.3">
      <c r="A53">
        <v>67.599999999999994</v>
      </c>
      <c r="B53">
        <v>47.57255</v>
      </c>
      <c r="C53">
        <v>48.726286000000002</v>
      </c>
      <c r="D53">
        <v>49.878977999999996</v>
      </c>
      <c r="E53">
        <v>38.842438999999999</v>
      </c>
      <c r="F53">
        <v>23.885805000000001</v>
      </c>
      <c r="G53">
        <v>19.041391999999998</v>
      </c>
      <c r="H53">
        <v>19.411719999999999</v>
      </c>
      <c r="I53"/>
      <c r="N53"/>
      <c r="O53"/>
      <c r="P53" s="1">
        <f t="shared" si="29"/>
        <v>49.133923780487805</v>
      </c>
      <c r="Q53" s="1">
        <f t="shared" si="30"/>
        <v>50.300171747967475</v>
      </c>
      <c r="R53" s="1">
        <f t="shared" si="31"/>
        <v>51.656303660650558</v>
      </c>
      <c r="S53" s="1">
        <f t="shared" si="32"/>
        <v>40.670608633387893</v>
      </c>
      <c r="AB53" s="1">
        <v>40.298243859999999</v>
      </c>
      <c r="AD53" s="1">
        <v>11.41232710859976</v>
      </c>
      <c r="AE53" s="1">
        <f>AD53*AB6</f>
        <v>11.496912660600659</v>
      </c>
      <c r="AF53" s="1">
        <f>(AB53)-((0.006*AE53)/(0.0001*391))</f>
        <v>38.534011738168694</v>
      </c>
    </row>
    <row r="54" spans="1:32" x14ac:dyDescent="0.3">
      <c r="A54">
        <v>67.8</v>
      </c>
      <c r="B54">
        <v>47.57255</v>
      </c>
      <c r="C54">
        <v>48.726286000000002</v>
      </c>
      <c r="D54">
        <v>49.878977999999996</v>
      </c>
      <c r="E54">
        <v>38.842438999999999</v>
      </c>
      <c r="F54">
        <v>23.885805000000001</v>
      </c>
      <c r="G54">
        <v>19.041391999999998</v>
      </c>
      <c r="H54">
        <v>19.411719999999999</v>
      </c>
      <c r="I54"/>
      <c r="N54"/>
      <c r="O54"/>
      <c r="P54" s="1">
        <f t="shared" si="29"/>
        <v>49.133923780487805</v>
      </c>
      <c r="Q54" s="1">
        <f t="shared" si="30"/>
        <v>50.300171747967475</v>
      </c>
      <c r="R54" s="1">
        <f t="shared" si="31"/>
        <v>51.656303660650558</v>
      </c>
      <c r="S54" s="1">
        <f t="shared" si="32"/>
        <v>40.670608633387893</v>
      </c>
      <c r="AB54" s="1">
        <v>41.844119720000009</v>
      </c>
      <c r="AD54" s="1">
        <v>16.590504027999977</v>
      </c>
      <c r="AE54" s="1">
        <f t="shared" ref="AE54:AE72" si="33">AD54*AB7</f>
        <v>15.771601567277107</v>
      </c>
      <c r="AF54" s="1">
        <f t="shared" ref="AF54:AF72" si="34">(AB54)-((0.006*AE54)/(0.0001*391))</f>
        <v>39.423925106095595</v>
      </c>
    </row>
    <row r="55" spans="1:32" x14ac:dyDescent="0.3">
      <c r="A55">
        <v>68</v>
      </c>
      <c r="B55">
        <v>47.563183000000002</v>
      </c>
      <c r="C55">
        <v>48.723857000000002</v>
      </c>
      <c r="D55">
        <v>49.885714</v>
      </c>
      <c r="E55">
        <v>38.841273999999999</v>
      </c>
      <c r="F55">
        <v>23.834201</v>
      </c>
      <c r="G55">
        <v>19.041426000000001</v>
      </c>
      <c r="H55">
        <v>19.432639999999999</v>
      </c>
      <c r="I55" t="s">
        <v>56</v>
      </c>
      <c r="N55"/>
      <c r="O55"/>
      <c r="P55" s="1">
        <f t="shared" si="29"/>
        <v>49.123085365853655</v>
      </c>
      <c r="Q55" s="1">
        <f t="shared" si="30"/>
        <v>50.313902439024389</v>
      </c>
      <c r="R55" s="1">
        <f t="shared" si="31"/>
        <v>51.669095543999177</v>
      </c>
      <c r="S55" s="1">
        <f t="shared" si="32"/>
        <v>40.688965834697214</v>
      </c>
      <c r="AB55" s="1">
        <v>43.314041299999992</v>
      </c>
      <c r="AD55" s="1">
        <v>22.54831364859999</v>
      </c>
      <c r="AE55" s="1">
        <f t="shared" si="33"/>
        <v>21.212658219504075</v>
      </c>
      <c r="AF55" s="1">
        <f t="shared" si="34"/>
        <v>40.058901931278143</v>
      </c>
    </row>
    <row r="56" spans="1:32" x14ac:dyDescent="0.3">
      <c r="A56">
        <v>68.2</v>
      </c>
      <c r="B56">
        <v>47.563183000000002</v>
      </c>
      <c r="C56">
        <v>48.723857000000002</v>
      </c>
      <c r="D56">
        <v>49.885714</v>
      </c>
      <c r="E56">
        <v>38.841273999999999</v>
      </c>
      <c r="F56">
        <v>23.834201</v>
      </c>
      <c r="G56">
        <v>19.041426000000001</v>
      </c>
      <c r="H56">
        <v>19.432639999999999</v>
      </c>
      <c r="I56"/>
      <c r="N56"/>
      <c r="O56"/>
      <c r="P56" s="1">
        <f t="shared" si="29"/>
        <v>49.123085365853655</v>
      </c>
      <c r="Q56" s="1">
        <f t="shared" si="30"/>
        <v>50.313902439024389</v>
      </c>
      <c r="R56" s="1">
        <f t="shared" si="31"/>
        <v>51.669095543999177</v>
      </c>
      <c r="S56" s="1">
        <f t="shared" si="32"/>
        <v>40.688965834697214</v>
      </c>
      <c r="AB56" s="1">
        <v>43.624276680000001</v>
      </c>
      <c r="AD56" s="1">
        <v>22.439733194399881</v>
      </c>
      <c r="AE56" s="1">
        <f t="shared" si="33"/>
        <v>20.988803861665811</v>
      </c>
      <c r="AF56" s="1">
        <f t="shared" si="34"/>
        <v>40.403488363631844</v>
      </c>
    </row>
    <row r="57" spans="1:32" x14ac:dyDescent="0.3">
      <c r="A57">
        <v>68.400000000000006</v>
      </c>
      <c r="B57">
        <v>47.557122999999997</v>
      </c>
      <c r="C57">
        <v>48.712083</v>
      </c>
      <c r="D57">
        <v>49.872610999999999</v>
      </c>
      <c r="E57">
        <v>38.859209</v>
      </c>
      <c r="F57">
        <v>23.799710999999999</v>
      </c>
      <c r="G57">
        <v>19.033607</v>
      </c>
      <c r="H57">
        <v>19.421026999999999</v>
      </c>
      <c r="I57"/>
      <c r="N57"/>
      <c r="O57"/>
      <c r="P57" s="1">
        <f t="shared" si="29"/>
        <v>49.111697154471535</v>
      </c>
      <c r="Q57" s="1">
        <f t="shared" si="30"/>
        <v>50.299068089430889</v>
      </c>
      <c r="R57" s="1">
        <f t="shared" si="31"/>
        <v>51.670604670133578</v>
      </c>
      <c r="S57" s="1">
        <f t="shared" si="32"/>
        <v>40.684144844517185</v>
      </c>
      <c r="AB57" s="1">
        <v>46.620115699999978</v>
      </c>
      <c r="AD57" s="1">
        <v>27.43305240199939</v>
      </c>
      <c r="AE57" s="1">
        <f t="shared" si="33"/>
        <v>25.55677369160577</v>
      </c>
      <c r="AF57" s="1">
        <f t="shared" si="34"/>
        <v>42.698360146300885</v>
      </c>
    </row>
    <row r="58" spans="1:32" x14ac:dyDescent="0.3">
      <c r="A58">
        <v>68.599999999999994</v>
      </c>
      <c r="B58">
        <v>47.557122999999997</v>
      </c>
      <c r="C58">
        <v>48.712083</v>
      </c>
      <c r="D58">
        <v>49.872610999999999</v>
      </c>
      <c r="E58">
        <v>38.859209</v>
      </c>
      <c r="F58">
        <v>23.799710999999999</v>
      </c>
      <c r="G58">
        <v>19.033607</v>
      </c>
      <c r="H58">
        <v>19.421026999999999</v>
      </c>
      <c r="I58"/>
      <c r="N58"/>
      <c r="O58"/>
      <c r="P58" s="1">
        <f t="shared" si="29"/>
        <v>49.111697154471535</v>
      </c>
      <c r="Q58" s="1">
        <f t="shared" si="30"/>
        <v>50.299068089430889</v>
      </c>
      <c r="R58" s="1">
        <f t="shared" si="31"/>
        <v>51.670604670133578</v>
      </c>
      <c r="S58" s="1">
        <f t="shared" si="32"/>
        <v>40.684144844517185</v>
      </c>
      <c r="AB58" s="1">
        <v>50.866554399999998</v>
      </c>
      <c r="AD58" s="1">
        <v>34.688004551999029</v>
      </c>
      <c r="AE58" s="1">
        <f t="shared" si="33"/>
        <v>32.320781146371282</v>
      </c>
      <c r="AF58" s="1">
        <f t="shared" si="34"/>
        <v>45.906843738152745</v>
      </c>
    </row>
    <row r="59" spans="1:32" x14ac:dyDescent="0.3">
      <c r="A59">
        <v>68.8</v>
      </c>
      <c r="B59">
        <v>47.563543000000003</v>
      </c>
      <c r="C59">
        <v>48.702159000000002</v>
      </c>
      <c r="D59">
        <v>49.883552999999999</v>
      </c>
      <c r="E59">
        <v>38.855404</v>
      </c>
      <c r="F59">
        <v>23.885107000000001</v>
      </c>
      <c r="G59">
        <v>19.064923</v>
      </c>
      <c r="H59">
        <v>19.442837999999998</v>
      </c>
      <c r="I59"/>
      <c r="N59"/>
      <c r="O59"/>
      <c r="P59" s="1">
        <f t="shared" si="29"/>
        <v>49.134390243902438</v>
      </c>
      <c r="Q59" s="1">
        <f t="shared" si="30"/>
        <v>50.317680894308943</v>
      </c>
      <c r="R59" s="1">
        <f t="shared" si="31"/>
        <v>51.67147139798103</v>
      </c>
      <c r="S59" s="1">
        <f t="shared" si="32"/>
        <v>40.680875613747951</v>
      </c>
      <c r="AB59" s="1">
        <v>55.14637050000001</v>
      </c>
      <c r="AD59" s="1">
        <v>42.300910073799855</v>
      </c>
      <c r="AE59" s="1">
        <f t="shared" si="33"/>
        <v>38.888898772462582</v>
      </c>
      <c r="AF59" s="1">
        <f t="shared" si="34"/>
        <v>49.178764550261505</v>
      </c>
    </row>
    <row r="60" spans="1:32" x14ac:dyDescent="0.3">
      <c r="A60">
        <v>69</v>
      </c>
      <c r="B60">
        <v>47.563543000000003</v>
      </c>
      <c r="C60">
        <v>48.702159000000002</v>
      </c>
      <c r="D60">
        <v>49.883552999999999</v>
      </c>
      <c r="E60">
        <v>38.855404</v>
      </c>
      <c r="F60">
        <v>23.885107000000001</v>
      </c>
      <c r="G60">
        <v>19.064923</v>
      </c>
      <c r="H60">
        <v>19.442837999999998</v>
      </c>
      <c r="I60" t="s">
        <v>56</v>
      </c>
      <c r="N60"/>
      <c r="O60"/>
      <c r="P60" s="1">
        <f t="shared" si="29"/>
        <v>49.134390243902438</v>
      </c>
      <c r="Q60" s="1">
        <f t="shared" si="30"/>
        <v>50.317680894308943</v>
      </c>
      <c r="R60" s="1">
        <f t="shared" si="31"/>
        <v>51.67147139798103</v>
      </c>
      <c r="S60" s="1">
        <f t="shared" si="32"/>
        <v>40.680875613747951</v>
      </c>
      <c r="AB60" s="1">
        <v>58.687140760000005</v>
      </c>
      <c r="AD60" s="1">
        <v>49.537045058200711</v>
      </c>
      <c r="AE60" s="1">
        <f t="shared" si="33"/>
        <v>45.536629103754038</v>
      </c>
      <c r="AF60" s="1">
        <f t="shared" si="34"/>
        <v>51.699422738963584</v>
      </c>
    </row>
    <row r="61" spans="1:32" x14ac:dyDescent="0.3">
      <c r="A61">
        <v>69.2</v>
      </c>
      <c r="B61">
        <v>47.549461999999998</v>
      </c>
      <c r="C61">
        <v>48.696877000000001</v>
      </c>
      <c r="D61">
        <v>49.905529000000001</v>
      </c>
      <c r="E61">
        <v>38.841185000000003</v>
      </c>
      <c r="F61">
        <v>23.849395000000001</v>
      </c>
      <c r="G61">
        <v>19.064923</v>
      </c>
      <c r="H61">
        <v>19.458977999999998</v>
      </c>
      <c r="I61"/>
      <c r="N61"/>
      <c r="O61"/>
      <c r="P61" s="1">
        <f t="shared" si="29"/>
        <v>49.121275406504061</v>
      </c>
      <c r="Q61" s="1">
        <f t="shared" si="30"/>
        <v>50.298791666666659</v>
      </c>
      <c r="R61" s="1">
        <f t="shared" si="31"/>
        <v>51.671495870296724</v>
      </c>
      <c r="S61" s="1">
        <f t="shared" si="32"/>
        <v>40.679185761047464</v>
      </c>
      <c r="AB61" s="1">
        <v>63.145689760000003</v>
      </c>
      <c r="AD61" s="1">
        <v>58.763317298400594</v>
      </c>
      <c r="AE61" s="1">
        <f t="shared" si="33"/>
        <v>52.934410074761956</v>
      </c>
      <c r="AF61" s="1">
        <f t="shared" si="34"/>
        <v>55.022762382798682</v>
      </c>
    </row>
    <row r="62" spans="1:32" x14ac:dyDescent="0.3">
      <c r="A62">
        <v>69.400000000000006</v>
      </c>
      <c r="B62">
        <v>47.549461999999998</v>
      </c>
      <c r="C62">
        <v>48.696877000000001</v>
      </c>
      <c r="D62">
        <v>49.905529000000001</v>
      </c>
      <c r="E62">
        <v>38.841185000000003</v>
      </c>
      <c r="F62">
        <v>23.849395000000001</v>
      </c>
      <c r="G62">
        <v>19.064923</v>
      </c>
      <c r="H62">
        <v>19.458977999999998</v>
      </c>
      <c r="I62"/>
      <c r="N62"/>
      <c r="O62"/>
      <c r="P62" s="1">
        <f t="shared" si="29"/>
        <v>49.121275406504061</v>
      </c>
      <c r="Q62" s="1">
        <f t="shared" si="30"/>
        <v>50.298791666666659</v>
      </c>
      <c r="R62" s="1">
        <f t="shared" si="31"/>
        <v>51.671495870296724</v>
      </c>
      <c r="S62" s="1">
        <f t="shared" si="32"/>
        <v>40.679185761047464</v>
      </c>
      <c r="AB62" s="1">
        <v>67.40955473999999</v>
      </c>
      <c r="AD62" s="1">
        <v>70.676017339801547</v>
      </c>
      <c r="AE62" s="1">
        <f t="shared" si="33"/>
        <v>63.033097468260529</v>
      </c>
      <c r="AF62" s="1">
        <f t="shared" si="34"/>
        <v>57.736956663029062</v>
      </c>
    </row>
    <row r="63" spans="1:32" x14ac:dyDescent="0.3">
      <c r="A63">
        <v>69.599999999999994</v>
      </c>
      <c r="B63">
        <v>47.559936</v>
      </c>
      <c r="C63">
        <v>48.70776</v>
      </c>
      <c r="D63">
        <v>49.893939000000003</v>
      </c>
      <c r="E63">
        <v>38.848581000000003</v>
      </c>
      <c r="F63">
        <v>23.789401000000002</v>
      </c>
      <c r="G63">
        <v>19.064775999999998</v>
      </c>
      <c r="H63">
        <v>19.441267</v>
      </c>
      <c r="I63"/>
      <c r="N63"/>
      <c r="O63"/>
      <c r="P63" s="1">
        <f t="shared" si="29"/>
        <v>49.107586382113816</v>
      </c>
      <c r="Q63" s="1">
        <f t="shared" si="30"/>
        <v>50.321361788617885</v>
      </c>
      <c r="R63" s="1">
        <f t="shared" si="31"/>
        <v>51.687287651677373</v>
      </c>
      <c r="S63" s="1">
        <f t="shared" si="32"/>
        <v>40.690452127659576</v>
      </c>
      <c r="AB63" s="1">
        <v>71.000565559999998</v>
      </c>
      <c r="AD63" s="1">
        <v>79.608474233400159</v>
      </c>
      <c r="AE63" s="1" t="e">
        <f t="shared" si="33"/>
        <v>#DIV/0!</v>
      </c>
      <c r="AF63" s="1" t="e">
        <f t="shared" si="34"/>
        <v>#DIV/0!</v>
      </c>
    </row>
    <row r="64" spans="1:32" x14ac:dyDescent="0.3">
      <c r="A64">
        <v>69.8</v>
      </c>
      <c r="B64">
        <v>47.559936</v>
      </c>
      <c r="C64">
        <v>48.70776</v>
      </c>
      <c r="D64">
        <v>49.893939000000003</v>
      </c>
      <c r="E64">
        <v>38.848581000000003</v>
      </c>
      <c r="F64">
        <v>23.789401000000002</v>
      </c>
      <c r="G64">
        <v>19.064775999999998</v>
      </c>
      <c r="H64">
        <v>19.441267</v>
      </c>
      <c r="I64"/>
      <c r="N64"/>
      <c r="O64"/>
      <c r="P64" s="1">
        <f t="shared" si="29"/>
        <v>49.107586382113816</v>
      </c>
      <c r="Q64" s="1">
        <f t="shared" si="30"/>
        <v>50.321361788617885</v>
      </c>
      <c r="R64" s="1">
        <f t="shared" si="31"/>
        <v>51.687287651677373</v>
      </c>
      <c r="S64" s="1">
        <f t="shared" si="32"/>
        <v>40.690452127659576</v>
      </c>
      <c r="AB64" s="1">
        <v>74.707197679999965</v>
      </c>
      <c r="AD64" s="1">
        <v>89.692949510800531</v>
      </c>
      <c r="AE64" s="1" t="e">
        <f t="shared" si="33"/>
        <v>#DIV/0!</v>
      </c>
      <c r="AF64" s="1" t="e">
        <f t="shared" si="34"/>
        <v>#DIV/0!</v>
      </c>
    </row>
    <row r="65" spans="1:32" x14ac:dyDescent="0.3">
      <c r="A65">
        <v>70</v>
      </c>
      <c r="B65">
        <v>47.547279000000003</v>
      </c>
      <c r="C65">
        <v>48.713085999999997</v>
      </c>
      <c r="D65">
        <v>49.901533999999998</v>
      </c>
      <c r="E65">
        <v>38.867232000000001</v>
      </c>
      <c r="F65">
        <v>23.822786000000001</v>
      </c>
      <c r="G65">
        <v>19.066282999999999</v>
      </c>
      <c r="H65">
        <v>19.433755000000001</v>
      </c>
      <c r="I65" t="s">
        <v>56</v>
      </c>
      <c r="N65"/>
      <c r="O65"/>
      <c r="P65" s="1">
        <f t="shared" si="29"/>
        <v>49.138702235772357</v>
      </c>
      <c r="Q65" s="1">
        <f t="shared" si="30"/>
        <v>50.31239837398374</v>
      </c>
      <c r="R65" s="1">
        <f t="shared" si="31"/>
        <v>51.675527684307127</v>
      </c>
      <c r="S65" s="1">
        <f t="shared" si="32"/>
        <v>40.700423486088376</v>
      </c>
      <c r="AB65" s="1">
        <v>79.109665800000002</v>
      </c>
      <c r="AD65" s="1">
        <v>102.15803114240067</v>
      </c>
      <c r="AE65" s="1" t="e">
        <f t="shared" si="33"/>
        <v>#DIV/0!</v>
      </c>
      <c r="AF65" s="1" t="e">
        <f t="shared" si="34"/>
        <v>#DIV/0!</v>
      </c>
    </row>
    <row r="66" spans="1:32" x14ac:dyDescent="0.3">
      <c r="A66">
        <v>70.2</v>
      </c>
      <c r="B66">
        <v>47.547279000000003</v>
      </c>
      <c r="C66">
        <v>48.713085999999997</v>
      </c>
      <c r="D66">
        <v>49.901533999999998</v>
      </c>
      <c r="E66">
        <v>38.867232000000001</v>
      </c>
      <c r="F66">
        <v>23.822786000000001</v>
      </c>
      <c r="G66">
        <v>19.066282999999999</v>
      </c>
      <c r="H66">
        <v>19.433755000000001</v>
      </c>
      <c r="I66"/>
      <c r="N66"/>
      <c r="O66"/>
      <c r="P66" s="1">
        <f t="shared" si="29"/>
        <v>49.138702235772357</v>
      </c>
      <c r="Q66" s="1">
        <f t="shared" si="30"/>
        <v>50.31239837398374</v>
      </c>
      <c r="R66" s="1">
        <f t="shared" si="31"/>
        <v>51.675527684307127</v>
      </c>
      <c r="S66" s="1">
        <f t="shared" si="32"/>
        <v>40.700423486088376</v>
      </c>
      <c r="AB66" s="1">
        <v>79.723743519999957</v>
      </c>
      <c r="AD66" s="1">
        <v>102.11052274760021</v>
      </c>
      <c r="AE66" s="1" t="e">
        <f t="shared" si="33"/>
        <v>#DIV/0!</v>
      </c>
      <c r="AF66" s="1" t="e">
        <f t="shared" si="34"/>
        <v>#DIV/0!</v>
      </c>
    </row>
    <row r="67" spans="1:32" x14ac:dyDescent="0.3">
      <c r="A67">
        <v>70.400000000000006</v>
      </c>
      <c r="B67">
        <v>47.536988000000001</v>
      </c>
      <c r="C67">
        <v>48.706521000000002</v>
      </c>
      <c r="D67">
        <v>49.881718999999997</v>
      </c>
      <c r="E67">
        <v>38.842433999999997</v>
      </c>
      <c r="F67">
        <v>23.759685999999999</v>
      </c>
      <c r="G67">
        <v>19.062607</v>
      </c>
      <c r="H67">
        <v>19.436250999999999</v>
      </c>
      <c r="I67"/>
      <c r="N67"/>
      <c r="O67"/>
      <c r="P67" s="1">
        <f t="shared" si="29"/>
        <v>49.13190142276423</v>
      </c>
      <c r="Q67" s="1">
        <f t="shared" si="30"/>
        <v>50.296290650406505</v>
      </c>
      <c r="R67" s="1">
        <f t="shared" si="31"/>
        <v>51.687900479249514</v>
      </c>
      <c r="S67" s="1">
        <f t="shared" si="32"/>
        <v>40.669191898527004</v>
      </c>
      <c r="AB67" s="1">
        <v>84.220131780000017</v>
      </c>
      <c r="AD67" s="1">
        <v>113.13197783299816</v>
      </c>
      <c r="AE67" s="1" t="e">
        <f t="shared" si="33"/>
        <v>#DIV/0!</v>
      </c>
      <c r="AF67" s="1" t="e">
        <f t="shared" si="34"/>
        <v>#DIV/0!</v>
      </c>
    </row>
    <row r="68" spans="1:32" x14ac:dyDescent="0.3">
      <c r="A68">
        <v>70.599999999999994</v>
      </c>
      <c r="B68">
        <v>47.536988000000001</v>
      </c>
      <c r="C68">
        <v>48.706521000000002</v>
      </c>
      <c r="D68">
        <v>49.881718999999997</v>
      </c>
      <c r="E68">
        <v>38.842433999999997</v>
      </c>
      <c r="F68">
        <v>23.759685999999999</v>
      </c>
      <c r="G68">
        <v>19.062607</v>
      </c>
      <c r="H68">
        <v>19.436250999999999</v>
      </c>
      <c r="I68"/>
      <c r="N68"/>
      <c r="O68"/>
      <c r="P68" s="1">
        <f t="shared" si="29"/>
        <v>49.13190142276423</v>
      </c>
      <c r="Q68" s="1">
        <f t="shared" si="30"/>
        <v>50.296290650406505</v>
      </c>
      <c r="R68" s="1">
        <f t="shared" si="31"/>
        <v>51.687900479249514</v>
      </c>
      <c r="S68" s="1">
        <f t="shared" si="32"/>
        <v>40.669191898527004</v>
      </c>
      <c r="AB68" s="1">
        <v>88.290270759999999</v>
      </c>
      <c r="AD68" s="1">
        <v>124.92462978260031</v>
      </c>
      <c r="AE68" s="1" t="e">
        <f t="shared" si="33"/>
        <v>#DIV/0!</v>
      </c>
      <c r="AF68" s="1" t="e">
        <f t="shared" si="34"/>
        <v>#DIV/0!</v>
      </c>
    </row>
    <row r="69" spans="1:32" x14ac:dyDescent="0.3">
      <c r="A69">
        <v>70.8</v>
      </c>
      <c r="B69">
        <v>47.555132</v>
      </c>
      <c r="C69">
        <v>48.714697000000001</v>
      </c>
      <c r="D69">
        <v>49.899248999999998</v>
      </c>
      <c r="E69">
        <v>38.836072999999999</v>
      </c>
      <c r="F69">
        <v>23.683226999999999</v>
      </c>
      <c r="G69">
        <v>19.051964000000002</v>
      </c>
      <c r="H69">
        <v>19.442699999999999</v>
      </c>
      <c r="I69"/>
      <c r="N69"/>
      <c r="O69"/>
      <c r="P69" s="1">
        <f t="shared" si="29"/>
        <v>49.125703252032523</v>
      </c>
      <c r="Q69" s="1">
        <f t="shared" si="30"/>
        <v>50.280548780487806</v>
      </c>
      <c r="R69" s="1">
        <f t="shared" si="31"/>
        <v>51.689437136739066</v>
      </c>
      <c r="S69" s="1">
        <f t="shared" si="32"/>
        <v>40.678088175122753</v>
      </c>
      <c r="AB69" s="1">
        <v>92.151264919999974</v>
      </c>
      <c r="AD69" s="1">
        <v>136.68714265240018</v>
      </c>
      <c r="AE69" s="1" t="e">
        <f t="shared" si="33"/>
        <v>#DIV/0!</v>
      </c>
      <c r="AF69" s="1" t="e">
        <f t="shared" si="34"/>
        <v>#DIV/0!</v>
      </c>
    </row>
    <row r="70" spans="1:32" x14ac:dyDescent="0.3">
      <c r="A70">
        <v>71</v>
      </c>
      <c r="B70">
        <v>47.555132</v>
      </c>
      <c r="C70">
        <v>48.714697000000001</v>
      </c>
      <c r="D70">
        <v>49.899248999999998</v>
      </c>
      <c r="E70">
        <v>38.836072999999999</v>
      </c>
      <c r="F70">
        <v>23.683226999999999</v>
      </c>
      <c r="G70">
        <v>19.051964000000002</v>
      </c>
      <c r="H70">
        <v>19.442699999999999</v>
      </c>
      <c r="I70" t="s">
        <v>56</v>
      </c>
      <c r="N70"/>
      <c r="O70"/>
      <c r="P70" s="1">
        <f t="shared" si="29"/>
        <v>49.125703252032523</v>
      </c>
      <c r="Q70" s="1">
        <f t="shared" si="30"/>
        <v>50.280548780487806</v>
      </c>
      <c r="R70" s="1">
        <f t="shared" si="31"/>
        <v>51.689437136739066</v>
      </c>
      <c r="S70" s="1">
        <f t="shared" si="32"/>
        <v>40.678088175122753</v>
      </c>
      <c r="AB70" s="1">
        <v>96.427660359999976</v>
      </c>
      <c r="AD70" s="1">
        <v>149.55998362019767</v>
      </c>
      <c r="AE70" s="1" t="e">
        <f t="shared" si="33"/>
        <v>#DIV/0!</v>
      </c>
      <c r="AF70" s="1" t="e">
        <f t="shared" si="34"/>
        <v>#DIV/0!</v>
      </c>
    </row>
    <row r="71" spans="1:32" x14ac:dyDescent="0.3">
      <c r="A71">
        <v>71.2</v>
      </c>
      <c r="B71">
        <v>47.549188999999998</v>
      </c>
      <c r="C71">
        <v>48.706026000000001</v>
      </c>
      <c r="D71">
        <v>49.876877</v>
      </c>
      <c r="E71">
        <v>38.869171999999999</v>
      </c>
      <c r="F71">
        <v>23.579272</v>
      </c>
      <c r="G71">
        <v>19.065087999999999</v>
      </c>
      <c r="H71">
        <v>19.452023000000001</v>
      </c>
      <c r="I71"/>
      <c r="N71"/>
      <c r="O71"/>
      <c r="P71" s="1">
        <f t="shared" si="29"/>
        <v>49.145376016260158</v>
      </c>
      <c r="Q71" s="1">
        <f t="shared" si="30"/>
        <v>50.317871951219509</v>
      </c>
      <c r="R71" s="1">
        <f t="shared" si="31"/>
        <v>51.686833894157225</v>
      </c>
      <c r="S71" s="1">
        <f t="shared" si="32"/>
        <v>40.677413052373154</v>
      </c>
      <c r="AB71" s="1">
        <v>100.97074168000003</v>
      </c>
      <c r="AD71" s="1">
        <v>163.60413339759992</v>
      </c>
      <c r="AE71" s="1" t="e">
        <f t="shared" si="33"/>
        <v>#DIV/0!</v>
      </c>
      <c r="AF71" s="1" t="e">
        <f t="shared" si="34"/>
        <v>#DIV/0!</v>
      </c>
    </row>
    <row r="72" spans="1:32" x14ac:dyDescent="0.3">
      <c r="A72">
        <v>71.400000000000006</v>
      </c>
      <c r="B72">
        <v>47.549188999999998</v>
      </c>
      <c r="C72">
        <v>48.706026000000001</v>
      </c>
      <c r="D72">
        <v>49.876877</v>
      </c>
      <c r="E72">
        <v>38.869171999999999</v>
      </c>
      <c r="F72">
        <v>23.579272</v>
      </c>
      <c r="G72">
        <v>19.065087999999999</v>
      </c>
      <c r="H72">
        <v>19.452023000000001</v>
      </c>
      <c r="I72"/>
      <c r="N72"/>
      <c r="O72"/>
      <c r="P72" s="1">
        <f t="shared" si="29"/>
        <v>49.145376016260158</v>
      </c>
      <c r="Q72" s="1">
        <f t="shared" si="30"/>
        <v>50.317871951219509</v>
      </c>
      <c r="R72" s="1">
        <f t="shared" si="31"/>
        <v>51.686833894157225</v>
      </c>
      <c r="S72" s="1">
        <f t="shared" si="32"/>
        <v>40.677413052373154</v>
      </c>
      <c r="AB72" s="1">
        <v>105.55299788000002</v>
      </c>
      <c r="AD72" s="1">
        <v>177.64595400659854</v>
      </c>
      <c r="AE72" s="1" t="e">
        <f t="shared" si="33"/>
        <v>#DIV/0!</v>
      </c>
      <c r="AF72" s="1" t="e">
        <f t="shared" si="34"/>
        <v>#DIV/0!</v>
      </c>
    </row>
    <row r="73" spans="1:32" x14ac:dyDescent="0.3">
      <c r="A73">
        <v>71.599999999999994</v>
      </c>
      <c r="B73">
        <v>47.523356999999997</v>
      </c>
      <c r="C73">
        <v>48.702376999999998</v>
      </c>
      <c r="D73">
        <v>49.871639000000002</v>
      </c>
      <c r="E73">
        <v>38.811891000000003</v>
      </c>
      <c r="F73">
        <v>23.610658000000001</v>
      </c>
      <c r="G73">
        <v>19.061298000000001</v>
      </c>
      <c r="H73">
        <v>19.424499000000001</v>
      </c>
      <c r="I73"/>
      <c r="N73"/>
      <c r="O73"/>
      <c r="P73" s="1">
        <f t="shared" si="29"/>
        <v>49.135856707317075</v>
      </c>
      <c r="Q73" s="1">
        <f t="shared" si="30"/>
        <v>50.315403455284553</v>
      </c>
      <c r="R73" s="1">
        <f t="shared" si="31"/>
        <v>51.693702457428365</v>
      </c>
      <c r="S73" s="1">
        <f t="shared" si="32"/>
        <v>40.676221358428805</v>
      </c>
    </row>
    <row r="74" spans="1:32" x14ac:dyDescent="0.3">
      <c r="A74">
        <v>71.8</v>
      </c>
      <c r="B74">
        <v>47.523356999999997</v>
      </c>
      <c r="C74">
        <v>48.702376999999998</v>
      </c>
      <c r="D74">
        <v>49.871639000000002</v>
      </c>
      <c r="E74">
        <v>38.811891000000003</v>
      </c>
      <c r="F74">
        <v>23.610658000000001</v>
      </c>
      <c r="G74">
        <v>19.061298000000001</v>
      </c>
      <c r="H74">
        <v>19.424499000000001</v>
      </c>
      <c r="I74"/>
      <c r="N74"/>
      <c r="O74"/>
      <c r="P74" s="1">
        <f t="shared" si="29"/>
        <v>49.135856707317075</v>
      </c>
      <c r="Q74" s="1">
        <f t="shared" si="30"/>
        <v>50.315403455284553</v>
      </c>
      <c r="R74" s="1">
        <f t="shared" si="31"/>
        <v>51.693702457428365</v>
      </c>
      <c r="S74" s="1">
        <f t="shared" si="32"/>
        <v>40.676221358428805</v>
      </c>
    </row>
    <row r="75" spans="1:32" x14ac:dyDescent="0.3">
      <c r="A75">
        <v>368</v>
      </c>
      <c r="B75">
        <v>51.956648999999999</v>
      </c>
      <c r="C75">
        <v>53.801296999999998</v>
      </c>
      <c r="D75">
        <v>55.525449999999999</v>
      </c>
      <c r="E75">
        <v>41.065700999999997</v>
      </c>
      <c r="F75">
        <v>23.884658999999999</v>
      </c>
      <c r="G75">
        <v>19.043113000000002</v>
      </c>
      <c r="H75">
        <v>19.735247999999999</v>
      </c>
      <c r="I75" t="s">
        <v>56</v>
      </c>
      <c r="N75"/>
      <c r="O75"/>
      <c r="P75" s="1">
        <f t="shared" si="29"/>
        <v>49.1296981707317</v>
      </c>
      <c r="Q75" s="1">
        <f t="shared" si="30"/>
        <v>50.30343800813008</v>
      </c>
      <c r="R75" s="1">
        <f t="shared" si="31"/>
        <v>51.680341592739879</v>
      </c>
      <c r="S75" s="1">
        <f t="shared" si="32"/>
        <v>40.69456730769231</v>
      </c>
    </row>
    <row r="76" spans="1:32" x14ac:dyDescent="0.3">
      <c r="A76">
        <v>368.2</v>
      </c>
      <c r="B76">
        <v>51.956648999999999</v>
      </c>
      <c r="C76">
        <v>53.801296999999998</v>
      </c>
      <c r="D76">
        <v>55.525449999999999</v>
      </c>
      <c r="E76">
        <v>41.065700999999997</v>
      </c>
      <c r="F76">
        <v>23.884658999999999</v>
      </c>
      <c r="G76">
        <v>19.043113000000002</v>
      </c>
      <c r="H76">
        <v>19.735247999999999</v>
      </c>
      <c r="I76"/>
      <c r="N76"/>
      <c r="O76"/>
      <c r="P76" s="1">
        <f t="shared" si="29"/>
        <v>49.1296981707317</v>
      </c>
      <c r="Q76" s="1">
        <f t="shared" si="30"/>
        <v>50.30343800813008</v>
      </c>
      <c r="R76" s="1">
        <f t="shared" si="31"/>
        <v>51.680341592739879</v>
      </c>
      <c r="S76" s="1">
        <f t="shared" si="32"/>
        <v>40.69456730769231</v>
      </c>
    </row>
    <row r="77" spans="1:32" x14ac:dyDescent="0.3">
      <c r="A77">
        <v>368.4</v>
      </c>
      <c r="B77">
        <v>51.932428000000002</v>
      </c>
      <c r="C77">
        <v>53.795293000000001</v>
      </c>
      <c r="D77">
        <v>55.567822</v>
      </c>
      <c r="E77">
        <v>41.074838</v>
      </c>
      <c r="F77">
        <v>23.979216999999998</v>
      </c>
      <c r="G77">
        <v>19.067305999999999</v>
      </c>
      <c r="H77">
        <v>19.721461000000001</v>
      </c>
      <c r="I77"/>
      <c r="N77"/>
      <c r="O77"/>
      <c r="P77" s="1">
        <f t="shared" si="29"/>
        <v>49.136222560975611</v>
      </c>
      <c r="Q77" s="1">
        <f t="shared" si="30"/>
        <v>50.293352642276425</v>
      </c>
      <c r="R77" s="1">
        <f t="shared" si="31"/>
        <v>51.691498929336184</v>
      </c>
      <c r="S77" s="1">
        <f t="shared" si="32"/>
        <v>40.690675122749589</v>
      </c>
    </row>
    <row r="78" spans="1:32" x14ac:dyDescent="0.3">
      <c r="A78">
        <v>368.6</v>
      </c>
      <c r="B78">
        <v>51.932428000000002</v>
      </c>
      <c r="C78">
        <v>53.795293000000001</v>
      </c>
      <c r="D78">
        <v>55.567822</v>
      </c>
      <c r="E78">
        <v>41.074838</v>
      </c>
      <c r="F78">
        <v>23.979216999999998</v>
      </c>
      <c r="G78">
        <v>19.067305999999999</v>
      </c>
      <c r="H78">
        <v>19.721461000000001</v>
      </c>
      <c r="I78"/>
      <c r="N78"/>
      <c r="O78"/>
      <c r="P78" s="1">
        <f t="shared" si="29"/>
        <v>49.136222560975611</v>
      </c>
      <c r="Q78" s="1">
        <f t="shared" si="30"/>
        <v>50.293352642276425</v>
      </c>
      <c r="R78" s="1">
        <f t="shared" si="31"/>
        <v>51.691498929336184</v>
      </c>
      <c r="S78" s="1">
        <f t="shared" si="32"/>
        <v>40.690675122749589</v>
      </c>
    </row>
    <row r="79" spans="1:32" x14ac:dyDescent="0.3">
      <c r="A79">
        <v>368.8</v>
      </c>
      <c r="B79">
        <v>51.950699999999998</v>
      </c>
      <c r="C79">
        <v>53.784159000000002</v>
      </c>
      <c r="D79">
        <v>55.543047000000001</v>
      </c>
      <c r="E79">
        <v>41.056758000000002</v>
      </c>
      <c r="F79">
        <v>23.906832999999999</v>
      </c>
      <c r="G79">
        <v>19.035491</v>
      </c>
      <c r="H79">
        <v>19.756105000000002</v>
      </c>
      <c r="I79"/>
      <c r="N79"/>
      <c r="O79"/>
      <c r="P79" s="1">
        <f t="shared" si="29"/>
        <v>49.121912601626015</v>
      </c>
      <c r="Q79" s="1">
        <f t="shared" si="30"/>
        <v>50.287984756097558</v>
      </c>
      <c r="R79" s="1">
        <f t="shared" si="31"/>
        <v>51.713907413072292</v>
      </c>
      <c r="S79" s="1">
        <f t="shared" si="32"/>
        <v>40.676130319148939</v>
      </c>
    </row>
    <row r="80" spans="1:32" x14ac:dyDescent="0.3">
      <c r="A80">
        <v>369</v>
      </c>
      <c r="B80">
        <v>51.950699999999998</v>
      </c>
      <c r="C80">
        <v>53.784159000000002</v>
      </c>
      <c r="D80">
        <v>55.543047000000001</v>
      </c>
      <c r="E80">
        <v>41.056758000000002</v>
      </c>
      <c r="F80">
        <v>23.906832999999999</v>
      </c>
      <c r="G80">
        <v>19.035491</v>
      </c>
      <c r="H80">
        <v>19.756105000000002</v>
      </c>
      <c r="I80" t="s">
        <v>56</v>
      </c>
      <c r="N80"/>
      <c r="O80"/>
      <c r="P80" s="1">
        <f t="shared" si="29"/>
        <v>49.121912601626015</v>
      </c>
      <c r="Q80" s="1">
        <f t="shared" si="30"/>
        <v>50.287984756097558</v>
      </c>
      <c r="R80" s="1">
        <f t="shared" si="31"/>
        <v>51.713907413072292</v>
      </c>
      <c r="S80" s="1">
        <f t="shared" si="32"/>
        <v>40.676130319148939</v>
      </c>
    </row>
    <row r="81" spans="1:19" x14ac:dyDescent="0.3">
      <c r="A81">
        <v>369.2</v>
      </c>
      <c r="B81">
        <v>51.955058000000001</v>
      </c>
      <c r="C81">
        <v>53.798112000000003</v>
      </c>
      <c r="D81">
        <v>55.539383000000001</v>
      </c>
      <c r="E81">
        <v>41.074486</v>
      </c>
      <c r="F81">
        <v>23.791972999999999</v>
      </c>
      <c r="G81">
        <v>19.058284</v>
      </c>
      <c r="H81">
        <v>19.749461</v>
      </c>
      <c r="I81"/>
      <c r="N81"/>
      <c r="O81"/>
      <c r="P81" s="1">
        <f t="shared" si="29"/>
        <v>49.1325569105691</v>
      </c>
      <c r="Q81" s="1">
        <f t="shared" si="30"/>
        <v>50.299044715447152</v>
      </c>
      <c r="R81" s="1">
        <f t="shared" si="31"/>
        <v>51.702089323952279</v>
      </c>
      <c r="S81" s="1">
        <f t="shared" si="32"/>
        <v>40.683695785597386</v>
      </c>
    </row>
    <row r="82" spans="1:19" x14ac:dyDescent="0.3">
      <c r="A82">
        <v>369.4</v>
      </c>
      <c r="B82">
        <v>51.955058000000001</v>
      </c>
      <c r="C82">
        <v>53.798112000000003</v>
      </c>
      <c r="D82">
        <v>55.539383000000001</v>
      </c>
      <c r="E82">
        <v>41.074486</v>
      </c>
      <c r="F82">
        <v>23.791972999999999</v>
      </c>
      <c r="G82">
        <v>19.058284</v>
      </c>
      <c r="H82">
        <v>19.749461</v>
      </c>
      <c r="I82"/>
      <c r="N82"/>
      <c r="O82"/>
      <c r="P82" s="1">
        <f t="shared" si="29"/>
        <v>49.1325569105691</v>
      </c>
      <c r="Q82" s="1">
        <f t="shared" si="30"/>
        <v>50.299044715447152</v>
      </c>
      <c r="R82" s="1">
        <f t="shared" si="31"/>
        <v>51.702089323952279</v>
      </c>
      <c r="S82" s="1">
        <f t="shared" si="32"/>
        <v>40.683695785597386</v>
      </c>
    </row>
    <row r="83" spans="1:19" x14ac:dyDescent="0.3">
      <c r="A83">
        <v>369.6</v>
      </c>
      <c r="B83">
        <v>51.971117</v>
      </c>
      <c r="C83">
        <v>53.798746000000001</v>
      </c>
      <c r="D83">
        <v>55.54298</v>
      </c>
      <c r="E83">
        <v>41.088839999999998</v>
      </c>
      <c r="F83">
        <v>23.717929000000002</v>
      </c>
      <c r="G83">
        <v>19.089427000000001</v>
      </c>
      <c r="H83">
        <v>19.733604</v>
      </c>
      <c r="I83"/>
      <c r="N83"/>
      <c r="O83"/>
      <c r="P83" s="1">
        <f t="shared" si="29"/>
        <v>49.11969410569106</v>
      </c>
      <c r="Q83" s="1">
        <f t="shared" si="30"/>
        <v>50.304457317073165</v>
      </c>
      <c r="R83" s="1">
        <f t="shared" si="31"/>
        <v>51.709833792189251</v>
      </c>
      <c r="S83" s="1">
        <f t="shared" si="32"/>
        <v>40.702774140752865</v>
      </c>
    </row>
    <row r="84" spans="1:19" x14ac:dyDescent="0.3">
      <c r="A84">
        <v>369.8</v>
      </c>
      <c r="B84">
        <v>51.971117</v>
      </c>
      <c r="C84">
        <v>53.798746000000001</v>
      </c>
      <c r="D84">
        <v>55.54298</v>
      </c>
      <c r="E84">
        <v>41.088839999999998</v>
      </c>
      <c r="F84">
        <v>23.717929000000002</v>
      </c>
      <c r="G84">
        <v>19.089427000000001</v>
      </c>
      <c r="H84">
        <v>19.733604</v>
      </c>
      <c r="I84"/>
      <c r="N84"/>
      <c r="O84"/>
      <c r="P84" s="1">
        <f t="shared" si="29"/>
        <v>49.11969410569106</v>
      </c>
      <c r="Q84" s="1">
        <f t="shared" si="30"/>
        <v>50.304457317073165</v>
      </c>
      <c r="R84" s="1">
        <f t="shared" si="31"/>
        <v>51.709833792189251</v>
      </c>
      <c r="S84" s="1">
        <f t="shared" si="32"/>
        <v>40.702774140752865</v>
      </c>
    </row>
    <row r="85" spans="1:19" x14ac:dyDescent="0.3">
      <c r="A85">
        <v>370</v>
      </c>
      <c r="B85">
        <v>51.953453000000003</v>
      </c>
      <c r="C85">
        <v>53.798118000000002</v>
      </c>
      <c r="D85">
        <v>55.542811</v>
      </c>
      <c r="E85">
        <v>41.069274</v>
      </c>
      <c r="F85">
        <v>23.664228000000001</v>
      </c>
      <c r="G85">
        <v>19.067937000000001</v>
      </c>
      <c r="H85">
        <v>19.728261</v>
      </c>
      <c r="I85" t="s">
        <v>56</v>
      </c>
      <c r="N85"/>
      <c r="O85"/>
      <c r="P85" s="1">
        <f t="shared" si="29"/>
        <v>49.109235772357721</v>
      </c>
      <c r="Q85" s="1">
        <f t="shared" si="30"/>
        <v>50.297785569105692</v>
      </c>
      <c r="R85" s="1">
        <f t="shared" si="31"/>
        <v>51.689628836545317</v>
      </c>
      <c r="S85" s="1">
        <f t="shared" si="32"/>
        <v>40.677407937806869</v>
      </c>
    </row>
    <row r="86" spans="1:19" x14ac:dyDescent="0.3">
      <c r="A86">
        <v>370.2</v>
      </c>
      <c r="B86">
        <v>51.953453000000003</v>
      </c>
      <c r="C86">
        <v>53.798118000000002</v>
      </c>
      <c r="D86">
        <v>55.542811</v>
      </c>
      <c r="E86">
        <v>41.069274</v>
      </c>
      <c r="F86">
        <v>23.664228000000001</v>
      </c>
      <c r="G86">
        <v>19.067937000000001</v>
      </c>
      <c r="H86">
        <v>19.728261</v>
      </c>
      <c r="I86"/>
      <c r="N86"/>
      <c r="O86"/>
      <c r="P86" s="1">
        <f t="shared" si="29"/>
        <v>49.109235772357721</v>
      </c>
      <c r="Q86" s="1">
        <f t="shared" si="30"/>
        <v>50.297785569105692</v>
      </c>
      <c r="R86" s="1">
        <f t="shared" si="31"/>
        <v>51.689628836545317</v>
      </c>
      <c r="S86" s="1">
        <f t="shared" si="32"/>
        <v>40.677407937806869</v>
      </c>
    </row>
    <row r="87" spans="1:19" x14ac:dyDescent="0.3">
      <c r="A87">
        <v>370.4</v>
      </c>
      <c r="B87">
        <v>51.949390000000001</v>
      </c>
      <c r="C87">
        <v>53.808501999999997</v>
      </c>
      <c r="D87">
        <v>55.548363999999999</v>
      </c>
      <c r="E87">
        <v>41.064337000000002</v>
      </c>
      <c r="F87">
        <v>23.571573999999998</v>
      </c>
      <c r="G87">
        <v>19.086480000000002</v>
      </c>
      <c r="H87">
        <v>19.732082999999999</v>
      </c>
      <c r="I87"/>
      <c r="N87"/>
      <c r="O87"/>
      <c r="P87" s="1">
        <f t="shared" si="29"/>
        <v>49.127674796747968</v>
      </c>
      <c r="Q87" s="1">
        <f t="shared" si="30"/>
        <v>50.306094512195124</v>
      </c>
      <c r="R87" s="1">
        <f t="shared" si="31"/>
        <v>51.707503823799321</v>
      </c>
      <c r="S87" s="1">
        <f t="shared" si="32"/>
        <v>40.670901186579378</v>
      </c>
    </row>
    <row r="88" spans="1:19" x14ac:dyDescent="0.3">
      <c r="A88">
        <v>370.6</v>
      </c>
      <c r="B88">
        <v>51.949390000000001</v>
      </c>
      <c r="C88">
        <v>53.808501999999997</v>
      </c>
      <c r="D88">
        <v>55.548363999999999</v>
      </c>
      <c r="E88">
        <v>41.064337000000002</v>
      </c>
      <c r="F88">
        <v>23.571573999999998</v>
      </c>
      <c r="G88">
        <v>19.086480000000002</v>
      </c>
      <c r="H88">
        <v>19.732082999999999</v>
      </c>
      <c r="I88"/>
      <c r="N88"/>
      <c r="O88"/>
      <c r="P88" s="1">
        <f t="shared" si="29"/>
        <v>49.127674796747968</v>
      </c>
      <c r="Q88" s="1">
        <f t="shared" si="30"/>
        <v>50.306094512195124</v>
      </c>
      <c r="R88" s="1">
        <f t="shared" si="31"/>
        <v>51.707503823799321</v>
      </c>
      <c r="S88" s="1">
        <f t="shared" si="32"/>
        <v>40.670901186579378</v>
      </c>
    </row>
    <row r="89" spans="1:19" x14ac:dyDescent="0.3">
      <c r="A89">
        <v>370.8</v>
      </c>
      <c r="B89">
        <v>51.960687999999998</v>
      </c>
      <c r="C89">
        <v>53.810124000000002</v>
      </c>
      <c r="D89">
        <v>55.558190000000003</v>
      </c>
      <c r="E89">
        <v>41.084183000000003</v>
      </c>
      <c r="F89">
        <v>23.623432999999999</v>
      </c>
      <c r="G89">
        <v>19.081938000000001</v>
      </c>
      <c r="H89">
        <v>19.754593</v>
      </c>
      <c r="I89"/>
      <c r="N89"/>
      <c r="O89"/>
      <c r="P89" s="1">
        <f t="shared" si="29"/>
        <v>49.121635162601621</v>
      </c>
      <c r="Q89" s="1">
        <f t="shared" si="30"/>
        <v>50.297282520325204</v>
      </c>
      <c r="R89" s="1">
        <f t="shared" si="31"/>
        <v>51.684691546854282</v>
      </c>
      <c r="S89" s="1">
        <f t="shared" si="32"/>
        <v>40.704758592471357</v>
      </c>
    </row>
    <row r="90" spans="1:19" x14ac:dyDescent="0.3">
      <c r="A90">
        <v>371</v>
      </c>
      <c r="B90">
        <v>51.960687999999998</v>
      </c>
      <c r="C90">
        <v>53.810124000000002</v>
      </c>
      <c r="D90">
        <v>55.558190000000003</v>
      </c>
      <c r="E90">
        <v>41.084183000000003</v>
      </c>
      <c r="F90">
        <v>23.623432999999999</v>
      </c>
      <c r="G90">
        <v>19.081938000000001</v>
      </c>
      <c r="H90">
        <v>19.754593</v>
      </c>
      <c r="I90" t="s">
        <v>56</v>
      </c>
      <c r="N90"/>
      <c r="O90"/>
      <c r="P90" s="1">
        <f t="shared" si="29"/>
        <v>49.121635162601621</v>
      </c>
      <c r="Q90" s="1">
        <f t="shared" si="30"/>
        <v>50.297282520325204</v>
      </c>
      <c r="R90" s="1">
        <f t="shared" si="31"/>
        <v>51.684691546854282</v>
      </c>
      <c r="S90" s="1">
        <f t="shared" si="32"/>
        <v>40.704758592471357</v>
      </c>
    </row>
    <row r="91" spans="1:19" x14ac:dyDescent="0.3">
      <c r="A91">
        <v>371.2</v>
      </c>
      <c r="B91">
        <v>51.937586000000003</v>
      </c>
      <c r="C91">
        <v>53.800423000000002</v>
      </c>
      <c r="D91">
        <v>55.567230000000002</v>
      </c>
      <c r="E91">
        <v>41.056555000000003</v>
      </c>
      <c r="F91">
        <v>23.594137</v>
      </c>
      <c r="G91">
        <v>19.091581000000001</v>
      </c>
      <c r="H91">
        <v>19.749044999999999</v>
      </c>
      <c r="I91"/>
      <c r="N91"/>
      <c r="O91"/>
      <c r="P91" s="1">
        <f t="shared" si="29"/>
        <v>49.095383130081295</v>
      </c>
      <c r="Q91" s="1">
        <f t="shared" si="30"/>
        <v>50.293574186991869</v>
      </c>
      <c r="R91" s="1">
        <f t="shared" si="31"/>
        <v>51.679350463954314</v>
      </c>
      <c r="S91" s="1">
        <f t="shared" si="32"/>
        <v>40.646165098199674</v>
      </c>
    </row>
    <row r="92" spans="1:19" x14ac:dyDescent="0.3">
      <c r="A92">
        <v>371.4</v>
      </c>
      <c r="B92">
        <v>51.937586000000003</v>
      </c>
      <c r="C92">
        <v>53.800423000000002</v>
      </c>
      <c r="D92">
        <v>55.567230000000002</v>
      </c>
      <c r="E92">
        <v>41.056555000000003</v>
      </c>
      <c r="F92">
        <v>23.594137</v>
      </c>
      <c r="G92">
        <v>19.091581000000001</v>
      </c>
      <c r="H92">
        <v>19.749044999999999</v>
      </c>
      <c r="I92"/>
      <c r="N92"/>
      <c r="O92"/>
      <c r="P92" s="1">
        <f t="shared" si="29"/>
        <v>49.095383130081295</v>
      </c>
      <c r="Q92" s="1">
        <f t="shared" si="30"/>
        <v>50.293574186991869</v>
      </c>
      <c r="R92" s="1">
        <f t="shared" si="31"/>
        <v>51.679350463954314</v>
      </c>
      <c r="S92" s="1">
        <f t="shared" si="32"/>
        <v>40.646165098199674</v>
      </c>
    </row>
    <row r="93" spans="1:19" x14ac:dyDescent="0.3">
      <c r="A93">
        <v>371.6</v>
      </c>
      <c r="B93">
        <v>51.969366000000001</v>
      </c>
      <c r="C93">
        <v>53.793568999999998</v>
      </c>
      <c r="D93">
        <v>55.542157000000003</v>
      </c>
      <c r="E93">
        <v>41.068883999999997</v>
      </c>
      <c r="F93">
        <v>23.614868999999999</v>
      </c>
      <c r="G93">
        <v>19.089182999999998</v>
      </c>
      <c r="H93">
        <v>19.7438</v>
      </c>
      <c r="I93"/>
      <c r="N93"/>
      <c r="O93"/>
      <c r="P93" s="1">
        <f t="shared" si="29"/>
        <v>53.600761178861788</v>
      </c>
      <c r="Q93" s="1">
        <f t="shared" si="30"/>
        <v>55.47540345528455</v>
      </c>
      <c r="R93" s="1">
        <f t="shared" si="31"/>
        <v>57.444427449780768</v>
      </c>
      <c r="S93" s="1">
        <f t="shared" si="32"/>
        <v>42.951617225859245</v>
      </c>
    </row>
    <row r="94" spans="1:19" x14ac:dyDescent="0.3">
      <c r="A94">
        <v>371.8</v>
      </c>
      <c r="B94">
        <v>51.969366000000001</v>
      </c>
      <c r="C94">
        <v>53.793568999999998</v>
      </c>
      <c r="D94">
        <v>55.542157000000003</v>
      </c>
      <c r="E94">
        <v>41.068883999999997</v>
      </c>
      <c r="F94">
        <v>23.614868999999999</v>
      </c>
      <c r="G94">
        <v>19.089182999999998</v>
      </c>
      <c r="H94">
        <v>19.7438</v>
      </c>
      <c r="I94"/>
      <c r="N94"/>
      <c r="O94"/>
      <c r="P94" s="1">
        <f t="shared" si="29"/>
        <v>53.600761178861788</v>
      </c>
      <c r="Q94" s="1">
        <f t="shared" si="30"/>
        <v>55.47540345528455</v>
      </c>
      <c r="R94" s="1">
        <f t="shared" si="31"/>
        <v>57.444427449780768</v>
      </c>
      <c r="S94" s="1">
        <f t="shared" si="32"/>
        <v>42.951617225859245</v>
      </c>
    </row>
    <row r="95" spans="1:19" x14ac:dyDescent="0.3">
      <c r="A95">
        <v>372</v>
      </c>
      <c r="B95">
        <v>51.965246999999998</v>
      </c>
      <c r="C95">
        <v>53.808247999999999</v>
      </c>
      <c r="D95">
        <v>55.580725999999999</v>
      </c>
      <c r="E95">
        <v>41.105640999999999</v>
      </c>
      <c r="F95">
        <v>23.583825999999998</v>
      </c>
      <c r="G95">
        <v>19.079063999999999</v>
      </c>
      <c r="H95">
        <v>19.733212999999999</v>
      </c>
      <c r="I95" t="s">
        <v>56</v>
      </c>
      <c r="N95"/>
      <c r="O95"/>
      <c r="P95" s="1">
        <f t="shared" si="29"/>
        <v>53.576146341463414</v>
      </c>
      <c r="Q95" s="1">
        <f t="shared" si="30"/>
        <v>55.469301829268289</v>
      </c>
      <c r="R95" s="1">
        <f t="shared" si="31"/>
        <v>57.487633323136535</v>
      </c>
      <c r="S95" s="1">
        <f t="shared" si="32"/>
        <v>42.960963584288052</v>
      </c>
    </row>
    <row r="96" spans="1:19" x14ac:dyDescent="0.3">
      <c r="A96">
        <v>372.2</v>
      </c>
      <c r="B96">
        <v>51.965246999999998</v>
      </c>
      <c r="C96">
        <v>53.808247999999999</v>
      </c>
      <c r="D96">
        <v>55.580725999999999</v>
      </c>
      <c r="E96">
        <v>41.105640999999999</v>
      </c>
      <c r="F96">
        <v>23.583825999999998</v>
      </c>
      <c r="G96">
        <v>19.079063999999999</v>
      </c>
      <c r="H96">
        <v>19.733212999999999</v>
      </c>
      <c r="I96"/>
      <c r="N96"/>
      <c r="O96"/>
      <c r="P96" s="1">
        <f t="shared" si="29"/>
        <v>53.576146341463414</v>
      </c>
      <c r="Q96" s="1">
        <f t="shared" si="30"/>
        <v>55.469301829268289</v>
      </c>
      <c r="R96" s="1">
        <f t="shared" si="31"/>
        <v>57.487633323136535</v>
      </c>
      <c r="S96" s="1">
        <f t="shared" si="32"/>
        <v>42.960963584288052</v>
      </c>
    </row>
    <row r="97" spans="1:19" x14ac:dyDescent="0.3">
      <c r="A97">
        <v>372.4</v>
      </c>
      <c r="B97">
        <v>51.957472000000003</v>
      </c>
      <c r="C97">
        <v>53.803947999999998</v>
      </c>
      <c r="D97">
        <v>55.558425</v>
      </c>
      <c r="E97">
        <v>41.094208000000002</v>
      </c>
      <c r="F97">
        <v>23.619014</v>
      </c>
      <c r="G97">
        <v>19.074742000000001</v>
      </c>
      <c r="H97">
        <v>19.748349999999999</v>
      </c>
      <c r="I97"/>
      <c r="N97"/>
      <c r="O97"/>
      <c r="P97" s="1">
        <f t="shared" si="29"/>
        <v>53.594715447154464</v>
      </c>
      <c r="Q97" s="1">
        <f t="shared" si="30"/>
        <v>55.457986788617887</v>
      </c>
      <c r="R97" s="1">
        <f t="shared" si="31"/>
        <v>57.462370755582747</v>
      </c>
      <c r="S97" s="1">
        <f t="shared" si="32"/>
        <v>42.942469312602292</v>
      </c>
    </row>
    <row r="98" spans="1:19" x14ac:dyDescent="0.3">
      <c r="A98">
        <v>372.6</v>
      </c>
      <c r="B98">
        <v>51.957472000000003</v>
      </c>
      <c r="C98">
        <v>53.803947999999998</v>
      </c>
      <c r="D98">
        <v>55.558425</v>
      </c>
      <c r="E98">
        <v>41.094208000000002</v>
      </c>
      <c r="F98">
        <v>23.619014</v>
      </c>
      <c r="G98">
        <v>19.074742000000001</v>
      </c>
      <c r="H98">
        <v>19.748349999999999</v>
      </c>
      <c r="I98"/>
      <c r="N98"/>
      <c r="O98"/>
      <c r="P98" s="1">
        <f t="shared" si="29"/>
        <v>53.594715447154464</v>
      </c>
      <c r="Q98" s="1">
        <f t="shared" si="30"/>
        <v>55.457986788617887</v>
      </c>
      <c r="R98" s="1">
        <f t="shared" si="31"/>
        <v>57.462370755582747</v>
      </c>
      <c r="S98" s="1">
        <f t="shared" si="32"/>
        <v>42.942469312602292</v>
      </c>
    </row>
    <row r="99" spans="1:19" x14ac:dyDescent="0.3">
      <c r="A99">
        <v>372.8</v>
      </c>
      <c r="B99">
        <v>51.961148000000001</v>
      </c>
      <c r="C99">
        <v>53.799819999999997</v>
      </c>
      <c r="D99">
        <v>55.551119999999997</v>
      </c>
      <c r="E99">
        <v>41.079174000000002</v>
      </c>
      <c r="F99">
        <v>23.676304999999999</v>
      </c>
      <c r="G99">
        <v>19.081717000000001</v>
      </c>
      <c r="H99">
        <v>19.756746</v>
      </c>
      <c r="I99"/>
      <c r="N99"/>
      <c r="O99"/>
      <c r="P99" s="1">
        <f t="shared" si="29"/>
        <v>53.599144308943089</v>
      </c>
      <c r="Q99" s="1">
        <f t="shared" si="30"/>
        <v>55.472166666666666</v>
      </c>
      <c r="R99" s="1">
        <f t="shared" si="31"/>
        <v>57.458634648720299</v>
      </c>
      <c r="S99" s="1">
        <f t="shared" si="32"/>
        <v>42.9606035188216</v>
      </c>
    </row>
    <row r="100" spans="1:19" x14ac:dyDescent="0.3">
      <c r="A100">
        <v>373</v>
      </c>
      <c r="B100">
        <v>51.961148000000001</v>
      </c>
      <c r="C100">
        <v>53.799819999999997</v>
      </c>
      <c r="D100">
        <v>55.551119999999997</v>
      </c>
      <c r="E100">
        <v>41.079174000000002</v>
      </c>
      <c r="F100">
        <v>23.676304999999999</v>
      </c>
      <c r="G100">
        <v>19.081717000000001</v>
      </c>
      <c r="H100">
        <v>19.756746</v>
      </c>
      <c r="I100" t="s">
        <v>56</v>
      </c>
      <c r="N100"/>
      <c r="O100"/>
      <c r="P100" s="1">
        <f t="shared" si="29"/>
        <v>53.599144308943089</v>
      </c>
      <c r="Q100" s="1">
        <f t="shared" si="30"/>
        <v>55.472166666666666</v>
      </c>
      <c r="R100" s="1">
        <f t="shared" si="31"/>
        <v>57.458634648720299</v>
      </c>
      <c r="S100" s="1">
        <f t="shared" si="32"/>
        <v>42.9606035188216</v>
      </c>
    </row>
    <row r="101" spans="1:19" x14ac:dyDescent="0.3">
      <c r="A101">
        <v>373.2</v>
      </c>
      <c r="B101">
        <v>51.958171</v>
      </c>
      <c r="C101">
        <v>53.794339000000001</v>
      </c>
      <c r="D101">
        <v>55.558433000000001</v>
      </c>
      <c r="E101">
        <v>41.063741999999998</v>
      </c>
      <c r="F101">
        <v>23.713854000000001</v>
      </c>
      <c r="G101">
        <v>19.057402</v>
      </c>
      <c r="H101">
        <v>19.738613999999998</v>
      </c>
      <c r="I101"/>
      <c r="N101"/>
      <c r="O101"/>
      <c r="P101" s="1">
        <f t="shared" si="29"/>
        <v>53.615464430894306</v>
      </c>
      <c r="Q101" s="1">
        <f t="shared" si="30"/>
        <v>55.472810975609754</v>
      </c>
      <c r="R101" s="1">
        <f t="shared" si="31"/>
        <v>57.462302437034765</v>
      </c>
      <c r="S101" s="1">
        <f t="shared" si="32"/>
        <v>42.975286415711942</v>
      </c>
    </row>
    <row r="102" spans="1:19" x14ac:dyDescent="0.3">
      <c r="A102">
        <v>373.4</v>
      </c>
      <c r="B102">
        <v>51.958171</v>
      </c>
      <c r="C102">
        <v>53.794339000000001</v>
      </c>
      <c r="D102">
        <v>55.558433000000001</v>
      </c>
      <c r="E102">
        <v>41.063741999999998</v>
      </c>
      <c r="F102">
        <v>23.713854000000001</v>
      </c>
      <c r="G102">
        <v>19.057402</v>
      </c>
      <c r="H102">
        <v>19.738613999999998</v>
      </c>
      <c r="I102"/>
      <c r="N102"/>
      <c r="O102"/>
      <c r="P102" s="1">
        <f t="shared" si="29"/>
        <v>53.615464430894306</v>
      </c>
      <c r="Q102" s="1">
        <f t="shared" si="30"/>
        <v>55.472810975609754</v>
      </c>
      <c r="R102" s="1">
        <f t="shared" si="31"/>
        <v>57.462302437034765</v>
      </c>
      <c r="S102" s="1">
        <f t="shared" si="32"/>
        <v>42.975286415711942</v>
      </c>
    </row>
    <row r="103" spans="1:19" x14ac:dyDescent="0.3">
      <c r="A103">
        <v>373.6</v>
      </c>
      <c r="B103">
        <v>51.958302000000003</v>
      </c>
      <c r="C103">
        <v>53.790118999999997</v>
      </c>
      <c r="D103">
        <v>55.551493000000001</v>
      </c>
      <c r="E103">
        <v>41.077010999999999</v>
      </c>
      <c r="F103">
        <v>23.784777999999999</v>
      </c>
      <c r="G103">
        <v>19.073523000000002</v>
      </c>
      <c r="H103">
        <v>19.742861000000001</v>
      </c>
      <c r="I103"/>
      <c r="N103"/>
      <c r="O103"/>
      <c r="P103" s="1">
        <f t="shared" si="29"/>
        <v>53.597513211382115</v>
      </c>
      <c r="Q103" s="1">
        <f t="shared" si="30"/>
        <v>55.472172764227643</v>
      </c>
      <c r="R103" s="1">
        <f t="shared" si="31"/>
        <v>57.4621301111451</v>
      </c>
      <c r="S103" s="1">
        <f t="shared" si="32"/>
        <v>42.95527209492635</v>
      </c>
    </row>
    <row r="104" spans="1:19" x14ac:dyDescent="0.3">
      <c r="A104">
        <v>373.8</v>
      </c>
      <c r="B104">
        <v>51.958302000000003</v>
      </c>
      <c r="C104">
        <v>53.790118999999997</v>
      </c>
      <c r="D104">
        <v>55.551493000000001</v>
      </c>
      <c r="E104">
        <v>41.077010999999999</v>
      </c>
      <c r="F104">
        <v>23.784777999999999</v>
      </c>
      <c r="G104">
        <v>19.073523000000002</v>
      </c>
      <c r="H104">
        <v>19.742861000000001</v>
      </c>
      <c r="I104"/>
      <c r="N104"/>
      <c r="O104"/>
      <c r="P104" s="1">
        <f t="shared" si="29"/>
        <v>53.597513211382115</v>
      </c>
      <c r="Q104" s="1">
        <f t="shared" si="30"/>
        <v>55.472172764227643</v>
      </c>
      <c r="R104" s="1">
        <f t="shared" si="31"/>
        <v>57.4621301111451</v>
      </c>
      <c r="S104" s="1">
        <f t="shared" si="32"/>
        <v>42.95527209492635</v>
      </c>
    </row>
    <row r="105" spans="1:19" x14ac:dyDescent="0.3">
      <c r="A105">
        <v>374</v>
      </c>
      <c r="B105">
        <v>51.950825999999999</v>
      </c>
      <c r="C105">
        <v>53.789093000000001</v>
      </c>
      <c r="D105">
        <v>55.537469999999999</v>
      </c>
      <c r="E105">
        <v>41.044348999999997</v>
      </c>
      <c r="F105">
        <v>23.791768999999999</v>
      </c>
      <c r="G105">
        <v>19.052385000000001</v>
      </c>
      <c r="H105">
        <v>19.743091</v>
      </c>
      <c r="I105" t="s">
        <v>56</v>
      </c>
      <c r="N105"/>
      <c r="O105"/>
      <c r="P105" s="1">
        <f t="shared" si="29"/>
        <v>53.593384146341464</v>
      </c>
      <c r="Q105" s="1">
        <f t="shared" si="30"/>
        <v>55.482725609756095</v>
      </c>
      <c r="R105" s="1">
        <f t="shared" si="31"/>
        <v>57.467792393188532</v>
      </c>
      <c r="S105" s="1">
        <f t="shared" si="32"/>
        <v>42.950221972176763</v>
      </c>
    </row>
    <row r="106" spans="1:19" x14ac:dyDescent="0.3">
      <c r="A106">
        <v>374.2</v>
      </c>
      <c r="B106">
        <v>51.950825999999999</v>
      </c>
      <c r="C106">
        <v>53.789093000000001</v>
      </c>
      <c r="D106">
        <v>55.537469999999999</v>
      </c>
      <c r="E106">
        <v>41.044348999999997</v>
      </c>
      <c r="F106">
        <v>23.791768999999999</v>
      </c>
      <c r="G106">
        <v>19.052385000000001</v>
      </c>
      <c r="H106">
        <v>19.743091</v>
      </c>
      <c r="I106"/>
      <c r="N106"/>
      <c r="O106"/>
      <c r="P106" s="1">
        <f t="shared" si="29"/>
        <v>53.593384146341464</v>
      </c>
      <c r="Q106" s="1">
        <f t="shared" si="30"/>
        <v>55.482725609756095</v>
      </c>
      <c r="R106" s="1">
        <f t="shared" si="31"/>
        <v>57.467792393188532</v>
      </c>
      <c r="S106" s="1">
        <f t="shared" si="32"/>
        <v>42.950221972176763</v>
      </c>
    </row>
    <row r="107" spans="1:19" x14ac:dyDescent="0.3">
      <c r="A107">
        <v>374.4</v>
      </c>
      <c r="B107">
        <v>51.975386999999998</v>
      </c>
      <c r="C107">
        <v>53.806657000000001</v>
      </c>
      <c r="D107">
        <v>55.557929999999999</v>
      </c>
      <c r="E107">
        <v>41.068289999999998</v>
      </c>
      <c r="F107">
        <v>23.806605999999999</v>
      </c>
      <c r="G107">
        <v>19.049887999999999</v>
      </c>
      <c r="H107">
        <v>19.733477000000001</v>
      </c>
      <c r="I107"/>
      <c r="N107"/>
      <c r="O107"/>
      <c r="P107" s="1">
        <f t="shared" ref="P107:P170" si="35">(B89+Q$36)/P$36</f>
        <v>53.604865853658531</v>
      </c>
      <c r="Q107" s="1">
        <f t="shared" ref="Q107:Q170" si="36">(C89+Q$36)/P$36</f>
        <v>55.484373983739836</v>
      </c>
      <c r="R107" s="1">
        <f t="shared" ref="R107:R170" si="37">(D89+Q$38)/P$38</f>
        <v>57.477811767105131</v>
      </c>
      <c r="S107" s="1">
        <f t="shared" ref="S107:S170" si="38">(E89+Q$39)/P$39</f>
        <v>42.970522708674309</v>
      </c>
    </row>
    <row r="108" spans="1:19" x14ac:dyDescent="0.3">
      <c r="A108">
        <v>374.6</v>
      </c>
      <c r="B108">
        <v>51.975386999999998</v>
      </c>
      <c r="C108">
        <v>53.806657000000001</v>
      </c>
      <c r="D108">
        <v>55.557929999999999</v>
      </c>
      <c r="E108">
        <v>41.068289999999998</v>
      </c>
      <c r="F108">
        <v>23.806605999999999</v>
      </c>
      <c r="G108">
        <v>19.049887999999999</v>
      </c>
      <c r="H108">
        <v>19.733477000000001</v>
      </c>
      <c r="I108"/>
      <c r="N108"/>
      <c r="O108"/>
      <c r="P108" s="1">
        <f t="shared" si="35"/>
        <v>53.604865853658531</v>
      </c>
      <c r="Q108" s="1">
        <f t="shared" si="36"/>
        <v>55.484373983739836</v>
      </c>
      <c r="R108" s="1">
        <f t="shared" si="37"/>
        <v>57.477811767105131</v>
      </c>
      <c r="S108" s="1">
        <f t="shared" si="38"/>
        <v>42.970522708674309</v>
      </c>
    </row>
    <row r="109" spans="1:19" x14ac:dyDescent="0.3">
      <c r="A109">
        <v>374.8</v>
      </c>
      <c r="B109">
        <v>51.970726999999997</v>
      </c>
      <c r="C109">
        <v>53.796067999999998</v>
      </c>
      <c r="D109">
        <v>55.531416999999998</v>
      </c>
      <c r="E109">
        <v>41.095165000000001</v>
      </c>
      <c r="F109">
        <v>23.889438999999999</v>
      </c>
      <c r="G109">
        <v>19.069185000000001</v>
      </c>
      <c r="H109">
        <v>19.73995</v>
      </c>
      <c r="I109"/>
      <c r="N109"/>
      <c r="O109"/>
      <c r="P109" s="1">
        <f t="shared" si="35"/>
        <v>53.581388211382112</v>
      </c>
      <c r="Q109" s="1">
        <f t="shared" si="36"/>
        <v>55.474515243902438</v>
      </c>
      <c r="R109" s="1">
        <f t="shared" si="37"/>
        <v>57.48702967268278</v>
      </c>
      <c r="S109" s="1">
        <f t="shared" si="38"/>
        <v>42.942261661211134</v>
      </c>
    </row>
    <row r="110" spans="1:19" x14ac:dyDescent="0.3">
      <c r="A110">
        <v>375</v>
      </c>
      <c r="B110">
        <v>51.970726999999997</v>
      </c>
      <c r="C110">
        <v>53.796067999999998</v>
      </c>
      <c r="D110">
        <v>55.531416999999998</v>
      </c>
      <c r="E110">
        <v>41.095165000000001</v>
      </c>
      <c r="F110">
        <v>23.889438999999999</v>
      </c>
      <c r="G110">
        <v>19.069185000000001</v>
      </c>
      <c r="H110">
        <v>19.73995</v>
      </c>
      <c r="I110" t="s">
        <v>56</v>
      </c>
      <c r="N110"/>
      <c r="O110"/>
      <c r="P110" s="1">
        <f t="shared" si="35"/>
        <v>53.581388211382112</v>
      </c>
      <c r="Q110" s="1">
        <f t="shared" si="36"/>
        <v>55.474515243902438</v>
      </c>
      <c r="R110" s="1">
        <f t="shared" si="37"/>
        <v>57.48702967268278</v>
      </c>
      <c r="S110" s="1">
        <f t="shared" si="38"/>
        <v>42.942261661211134</v>
      </c>
    </row>
    <row r="111" spans="1:19" x14ac:dyDescent="0.3">
      <c r="A111">
        <v>375.2</v>
      </c>
      <c r="B111">
        <v>51.938845999999998</v>
      </c>
      <c r="C111">
        <v>53.803280000000001</v>
      </c>
      <c r="D111">
        <v>55.560268000000001</v>
      </c>
      <c r="E111">
        <v>41.066256000000003</v>
      </c>
      <c r="F111">
        <v>23.873180999999999</v>
      </c>
      <c r="G111">
        <v>19.068857000000001</v>
      </c>
      <c r="H111">
        <v>19.704502999999999</v>
      </c>
      <c r="I111"/>
      <c r="N111"/>
      <c r="O111"/>
      <c r="P111" s="1">
        <f t="shared" si="35"/>
        <v>53.613684959349591</v>
      </c>
      <c r="Q111" s="1">
        <f t="shared" si="36"/>
        <v>55.46754979674796</v>
      </c>
      <c r="R111" s="1">
        <f t="shared" si="37"/>
        <v>57.461463240542471</v>
      </c>
      <c r="S111" s="1">
        <f t="shared" si="38"/>
        <v>42.954873158756136</v>
      </c>
    </row>
    <row r="112" spans="1:19" x14ac:dyDescent="0.3">
      <c r="A112">
        <v>375.4</v>
      </c>
      <c r="B112">
        <v>51.938845999999998</v>
      </c>
      <c r="C112">
        <v>53.803280000000001</v>
      </c>
      <c r="D112">
        <v>55.560268000000001</v>
      </c>
      <c r="E112">
        <v>41.066256000000003</v>
      </c>
      <c r="F112">
        <v>23.873180999999999</v>
      </c>
      <c r="G112">
        <v>19.068857000000001</v>
      </c>
      <c r="H112">
        <v>19.704502999999999</v>
      </c>
      <c r="I112"/>
      <c r="N112"/>
      <c r="O112"/>
      <c r="P112" s="1">
        <f t="shared" si="35"/>
        <v>53.613684959349591</v>
      </c>
      <c r="Q112" s="1">
        <f t="shared" si="36"/>
        <v>55.46754979674796</v>
      </c>
      <c r="R112" s="1">
        <f t="shared" si="37"/>
        <v>57.461463240542471</v>
      </c>
      <c r="S112" s="1">
        <f t="shared" si="38"/>
        <v>42.954873158756136</v>
      </c>
    </row>
    <row r="113" spans="1:19" x14ac:dyDescent="0.3">
      <c r="A113">
        <v>375.6</v>
      </c>
      <c r="B113">
        <v>51.949021999999999</v>
      </c>
      <c r="C113">
        <v>53.792794000000001</v>
      </c>
      <c r="D113">
        <v>55.555070000000001</v>
      </c>
      <c r="E113">
        <v>41.081952999999999</v>
      </c>
      <c r="F113">
        <v>23.946000000000002</v>
      </c>
      <c r="G113">
        <v>19.081629</v>
      </c>
      <c r="H113">
        <v>19.750962999999999</v>
      </c>
      <c r="I113"/>
      <c r="N113"/>
      <c r="O113"/>
      <c r="P113" s="1">
        <f t="shared" si="35"/>
        <v>53.609498983739833</v>
      </c>
      <c r="Q113" s="1">
        <f t="shared" si="36"/>
        <v>55.482467479674796</v>
      </c>
      <c r="R113" s="1">
        <f t="shared" si="37"/>
        <v>57.500791271540734</v>
      </c>
      <c r="S113" s="1">
        <f t="shared" si="38"/>
        <v>42.992472381342061</v>
      </c>
    </row>
    <row r="114" spans="1:19" x14ac:dyDescent="0.3">
      <c r="A114">
        <v>375.8</v>
      </c>
      <c r="B114">
        <v>51.949021999999999</v>
      </c>
      <c r="C114">
        <v>53.792794000000001</v>
      </c>
      <c r="D114">
        <v>55.555070000000001</v>
      </c>
      <c r="E114">
        <v>41.081952999999999</v>
      </c>
      <c r="F114">
        <v>23.946000000000002</v>
      </c>
      <c r="G114">
        <v>19.081629</v>
      </c>
      <c r="H114">
        <v>19.750962999999999</v>
      </c>
      <c r="I114"/>
      <c r="N114"/>
      <c r="O114"/>
      <c r="P114" s="1">
        <f t="shared" si="35"/>
        <v>53.609498983739833</v>
      </c>
      <c r="Q114" s="1">
        <f t="shared" si="36"/>
        <v>55.482467479674796</v>
      </c>
      <c r="R114" s="1">
        <f t="shared" si="37"/>
        <v>57.500791271540734</v>
      </c>
      <c r="S114" s="1">
        <f t="shared" si="38"/>
        <v>42.992472381342061</v>
      </c>
    </row>
    <row r="115" spans="1:19" x14ac:dyDescent="0.3">
      <c r="A115">
        <v>376</v>
      </c>
      <c r="B115">
        <v>51.958171</v>
      </c>
      <c r="C115">
        <v>53.795484000000002</v>
      </c>
      <c r="D115">
        <v>55.550223000000003</v>
      </c>
      <c r="E115">
        <v>41.052678999999998</v>
      </c>
      <c r="F115">
        <v>23.940891000000001</v>
      </c>
      <c r="G115">
        <v>19.05096</v>
      </c>
      <c r="H115">
        <v>19.705124000000001</v>
      </c>
      <c r="I115" t="s">
        <v>56</v>
      </c>
      <c r="N115"/>
      <c r="O115"/>
      <c r="P115" s="1">
        <f t="shared" si="35"/>
        <v>53.601597560975613</v>
      </c>
      <c r="Q115" s="1">
        <f t="shared" si="36"/>
        <v>55.478097560975606</v>
      </c>
      <c r="R115" s="1">
        <f t="shared" si="37"/>
        <v>57.478051391862955</v>
      </c>
      <c r="S115" s="1">
        <f t="shared" si="38"/>
        <v>42.980777414075284</v>
      </c>
    </row>
    <row r="116" spans="1:19" x14ac:dyDescent="0.3">
      <c r="A116">
        <v>376.2</v>
      </c>
      <c r="B116">
        <v>51.958171</v>
      </c>
      <c r="C116">
        <v>53.795484000000002</v>
      </c>
      <c r="D116">
        <v>55.550223000000003</v>
      </c>
      <c r="E116">
        <v>41.052678999999998</v>
      </c>
      <c r="F116">
        <v>23.940891000000001</v>
      </c>
      <c r="G116">
        <v>19.05096</v>
      </c>
      <c r="H116">
        <v>19.705124000000001</v>
      </c>
      <c r="I116"/>
      <c r="N116"/>
      <c r="O116"/>
      <c r="P116" s="1">
        <f t="shared" si="35"/>
        <v>53.601597560975613</v>
      </c>
      <c r="Q116" s="1">
        <f t="shared" si="36"/>
        <v>55.478097560975606</v>
      </c>
      <c r="R116" s="1">
        <f t="shared" si="37"/>
        <v>57.478051391862955</v>
      </c>
      <c r="S116" s="1">
        <f t="shared" si="38"/>
        <v>42.980777414075284</v>
      </c>
    </row>
    <row r="117" spans="1:19" x14ac:dyDescent="0.3">
      <c r="A117">
        <v>376.4</v>
      </c>
      <c r="B117">
        <v>51.949427999999997</v>
      </c>
      <c r="C117">
        <v>53.808311000000003</v>
      </c>
      <c r="D117">
        <v>55.552050999999999</v>
      </c>
      <c r="E117">
        <v>41.065832</v>
      </c>
      <c r="F117">
        <v>24.059854000000001</v>
      </c>
      <c r="G117">
        <v>19.057862</v>
      </c>
      <c r="H117">
        <v>19.730530999999999</v>
      </c>
      <c r="I117"/>
      <c r="N117"/>
      <c r="O117"/>
      <c r="P117" s="1">
        <f t="shared" si="35"/>
        <v>53.605333333333334</v>
      </c>
      <c r="Q117" s="1">
        <f t="shared" si="36"/>
        <v>55.473902439024386</v>
      </c>
      <c r="R117" s="1">
        <f t="shared" si="37"/>
        <v>57.470602630773932</v>
      </c>
      <c r="S117" s="1">
        <f t="shared" si="38"/>
        <v>42.96539893617021</v>
      </c>
    </row>
    <row r="118" spans="1:19" x14ac:dyDescent="0.3">
      <c r="A118">
        <v>376.6</v>
      </c>
      <c r="B118">
        <v>51.949427999999997</v>
      </c>
      <c r="C118">
        <v>53.808311000000003</v>
      </c>
      <c r="D118">
        <v>55.552050999999999</v>
      </c>
      <c r="E118">
        <v>41.065832</v>
      </c>
      <c r="F118">
        <v>24.059854000000001</v>
      </c>
      <c r="G118">
        <v>19.057862</v>
      </c>
      <c r="H118">
        <v>19.730530999999999</v>
      </c>
      <c r="I118"/>
      <c r="N118"/>
      <c r="O118"/>
      <c r="P118" s="1">
        <f t="shared" si="35"/>
        <v>53.605333333333334</v>
      </c>
      <c r="Q118" s="1">
        <f t="shared" si="36"/>
        <v>55.473902439024386</v>
      </c>
      <c r="R118" s="1">
        <f t="shared" si="37"/>
        <v>57.470602630773932</v>
      </c>
      <c r="S118" s="1">
        <f t="shared" si="38"/>
        <v>42.96539893617021</v>
      </c>
    </row>
    <row r="119" spans="1:19" x14ac:dyDescent="0.3">
      <c r="A119">
        <v>376.8</v>
      </c>
      <c r="B119">
        <v>51.954811999999997</v>
      </c>
      <c r="C119">
        <v>53.797409000000002</v>
      </c>
      <c r="D119">
        <v>55.569701999999999</v>
      </c>
      <c r="E119">
        <v>41.078020000000002</v>
      </c>
      <c r="F119">
        <v>24.051328000000002</v>
      </c>
      <c r="G119">
        <v>19.059918</v>
      </c>
      <c r="H119">
        <v>19.724518</v>
      </c>
      <c r="I119"/>
      <c r="N119"/>
      <c r="O119"/>
      <c r="P119" s="1">
        <f t="shared" si="35"/>
        <v>53.602307926829269</v>
      </c>
      <c r="Q119" s="1">
        <f t="shared" si="36"/>
        <v>55.46833231707317</v>
      </c>
      <c r="R119" s="1">
        <f t="shared" si="37"/>
        <v>57.47805954930152</v>
      </c>
      <c r="S119" s="1">
        <f t="shared" si="38"/>
        <v>42.949613338788865</v>
      </c>
    </row>
    <row r="120" spans="1:19" x14ac:dyDescent="0.3">
      <c r="A120">
        <v>377</v>
      </c>
      <c r="B120">
        <v>51.954811999999997</v>
      </c>
      <c r="C120">
        <v>53.797409000000002</v>
      </c>
      <c r="D120">
        <v>55.569701999999999</v>
      </c>
      <c r="E120">
        <v>41.078020000000002</v>
      </c>
      <c r="F120">
        <v>24.051328000000002</v>
      </c>
      <c r="G120">
        <v>19.059918</v>
      </c>
      <c r="H120">
        <v>19.724518</v>
      </c>
      <c r="I120" t="s">
        <v>56</v>
      </c>
      <c r="N120"/>
      <c r="O120"/>
      <c r="P120" s="1">
        <f t="shared" si="35"/>
        <v>53.602307926829269</v>
      </c>
      <c r="Q120" s="1">
        <f t="shared" si="36"/>
        <v>55.46833231707317</v>
      </c>
      <c r="R120" s="1">
        <f t="shared" si="37"/>
        <v>57.47805954930152</v>
      </c>
      <c r="S120" s="1">
        <f t="shared" si="38"/>
        <v>42.949613338788865</v>
      </c>
    </row>
    <row r="121" spans="1:19" x14ac:dyDescent="0.3">
      <c r="A121">
        <v>377.2</v>
      </c>
      <c r="B121">
        <v>51.956217000000002</v>
      </c>
      <c r="C121">
        <v>53.794685000000001</v>
      </c>
      <c r="D121">
        <v>55.564480000000003</v>
      </c>
      <c r="E121">
        <v>41.061551999999999</v>
      </c>
      <c r="F121">
        <v>23.856956</v>
      </c>
      <c r="G121">
        <v>19.043872</v>
      </c>
      <c r="H121">
        <v>19.735057000000001</v>
      </c>
      <c r="I121"/>
      <c r="N121"/>
      <c r="O121"/>
      <c r="P121" s="1">
        <f t="shared" si="35"/>
        <v>53.602441056910571</v>
      </c>
      <c r="Q121" s="1">
        <f t="shared" si="36"/>
        <v>55.464043699186988</v>
      </c>
      <c r="R121" s="1">
        <f t="shared" si="37"/>
        <v>57.470982971346992</v>
      </c>
      <c r="S121" s="1">
        <f t="shared" si="38"/>
        <v>42.963186374795413</v>
      </c>
    </row>
    <row r="122" spans="1:19" x14ac:dyDescent="0.3">
      <c r="A122">
        <v>377.4</v>
      </c>
      <c r="B122">
        <v>51.956217000000002</v>
      </c>
      <c r="C122">
        <v>53.794685000000001</v>
      </c>
      <c r="D122">
        <v>55.564480000000003</v>
      </c>
      <c r="E122">
        <v>41.061551999999999</v>
      </c>
      <c r="F122">
        <v>23.856956</v>
      </c>
      <c r="G122">
        <v>19.043872</v>
      </c>
      <c r="H122">
        <v>19.735057000000001</v>
      </c>
      <c r="I122"/>
      <c r="N122"/>
      <c r="O122"/>
      <c r="P122" s="1">
        <f t="shared" si="35"/>
        <v>53.602441056910571</v>
      </c>
      <c r="Q122" s="1">
        <f t="shared" si="36"/>
        <v>55.464043699186988</v>
      </c>
      <c r="R122" s="1">
        <f t="shared" si="37"/>
        <v>57.470982971346992</v>
      </c>
      <c r="S122" s="1">
        <f t="shared" si="38"/>
        <v>42.963186374795413</v>
      </c>
    </row>
    <row r="123" spans="1:19" x14ac:dyDescent="0.3">
      <c r="A123">
        <v>377.6</v>
      </c>
      <c r="B123">
        <v>51.949590000000001</v>
      </c>
      <c r="C123">
        <v>53.807555999999998</v>
      </c>
      <c r="D123">
        <v>55.531455999999999</v>
      </c>
      <c r="E123">
        <v>41.076414999999997</v>
      </c>
      <c r="F123">
        <v>23.746326</v>
      </c>
      <c r="G123">
        <v>19.070830000000001</v>
      </c>
      <c r="H123">
        <v>19.717863999999999</v>
      </c>
      <c r="I123"/>
      <c r="N123"/>
      <c r="O123"/>
      <c r="P123" s="1">
        <f t="shared" si="35"/>
        <v>53.594843495934953</v>
      </c>
      <c r="Q123" s="1">
        <f t="shared" si="36"/>
        <v>55.463001016260158</v>
      </c>
      <c r="R123" s="1">
        <f t="shared" si="37"/>
        <v>57.456684001223614</v>
      </c>
      <c r="S123" s="1">
        <f t="shared" si="38"/>
        <v>42.92977598199672</v>
      </c>
    </row>
    <row r="124" spans="1:19" x14ac:dyDescent="0.3">
      <c r="A124">
        <v>377.8</v>
      </c>
      <c r="B124">
        <v>51.949590000000001</v>
      </c>
      <c r="C124">
        <v>53.807555999999998</v>
      </c>
      <c r="D124">
        <v>55.531455999999999</v>
      </c>
      <c r="E124">
        <v>41.076414999999997</v>
      </c>
      <c r="F124">
        <v>23.746326</v>
      </c>
      <c r="G124">
        <v>19.070830000000001</v>
      </c>
      <c r="H124">
        <v>19.717863999999999</v>
      </c>
      <c r="I124"/>
      <c r="N124"/>
      <c r="O124"/>
      <c r="P124" s="1">
        <f t="shared" si="35"/>
        <v>53.594843495934953</v>
      </c>
      <c r="Q124" s="1">
        <f t="shared" si="36"/>
        <v>55.463001016260158</v>
      </c>
      <c r="R124" s="1">
        <f t="shared" si="37"/>
        <v>57.456684001223614</v>
      </c>
      <c r="S124" s="1">
        <f t="shared" si="38"/>
        <v>42.92977598199672</v>
      </c>
    </row>
    <row r="125" spans="1:19" x14ac:dyDescent="0.3">
      <c r="A125">
        <v>681</v>
      </c>
      <c r="B125">
        <v>57.148760000000003</v>
      </c>
      <c r="C125">
        <v>59.741027000000003</v>
      </c>
      <c r="D125">
        <v>62.180143000000001</v>
      </c>
      <c r="E125">
        <v>43.664335000000001</v>
      </c>
      <c r="F125">
        <v>24.349150000000002</v>
      </c>
      <c r="G125">
        <v>19.043921000000001</v>
      </c>
      <c r="H125">
        <v>20.057777000000002</v>
      </c>
      <c r="I125" t="s">
        <v>56</v>
      </c>
      <c r="N125"/>
      <c r="O125"/>
      <c r="P125" s="1">
        <f t="shared" si="35"/>
        <v>53.619803861788611</v>
      </c>
      <c r="Q125" s="1">
        <f t="shared" si="36"/>
        <v>55.480850609756097</v>
      </c>
      <c r="R125" s="1">
        <f t="shared" si="37"/>
        <v>57.477546650351783</v>
      </c>
      <c r="S125" s="1">
        <f t="shared" si="38"/>
        <v>42.954265548281505</v>
      </c>
    </row>
    <row r="126" spans="1:19" x14ac:dyDescent="0.3">
      <c r="A126">
        <v>681.2</v>
      </c>
      <c r="B126">
        <v>57.134529999999998</v>
      </c>
      <c r="C126">
        <v>59.747646000000003</v>
      </c>
      <c r="D126">
        <v>62.199696000000003</v>
      </c>
      <c r="E126">
        <v>43.646838000000002</v>
      </c>
      <c r="F126">
        <v>24.302989</v>
      </c>
      <c r="G126">
        <v>19.017475999999998</v>
      </c>
      <c r="H126">
        <v>20.048435000000001</v>
      </c>
      <c r="I126"/>
      <c r="N126"/>
      <c r="O126"/>
      <c r="P126" s="1">
        <f t="shared" si="35"/>
        <v>53.619803861788611</v>
      </c>
      <c r="Q126" s="1">
        <f t="shared" si="36"/>
        <v>55.480850609756097</v>
      </c>
      <c r="R126" s="1">
        <f t="shared" si="37"/>
        <v>57.477546650351783</v>
      </c>
      <c r="S126" s="1">
        <f t="shared" si="38"/>
        <v>42.954265548281505</v>
      </c>
    </row>
    <row r="127" spans="1:19" x14ac:dyDescent="0.3">
      <c r="A127">
        <v>681.4</v>
      </c>
      <c r="B127">
        <v>57.134529999999998</v>
      </c>
      <c r="C127">
        <v>59.747646000000003</v>
      </c>
      <c r="D127">
        <v>62.199696000000003</v>
      </c>
      <c r="E127">
        <v>43.646838000000002</v>
      </c>
      <c r="F127">
        <v>24.302989</v>
      </c>
      <c r="G127">
        <v>19.017475999999998</v>
      </c>
      <c r="H127">
        <v>20.048435000000001</v>
      </c>
      <c r="I127"/>
      <c r="N127"/>
      <c r="O127"/>
      <c r="P127" s="1">
        <f t="shared" si="35"/>
        <v>53.615068089430885</v>
      </c>
      <c r="Q127" s="1">
        <f t="shared" si="36"/>
        <v>55.470089430894305</v>
      </c>
      <c r="R127" s="1">
        <f t="shared" si="37"/>
        <v>57.450511879269904</v>
      </c>
      <c r="S127" s="1">
        <f t="shared" si="38"/>
        <v>42.981756342062191</v>
      </c>
    </row>
    <row r="128" spans="1:19" x14ac:dyDescent="0.3">
      <c r="A128">
        <v>681.6</v>
      </c>
      <c r="B128">
        <v>57.125864999999997</v>
      </c>
      <c r="C128">
        <v>59.745646999999998</v>
      </c>
      <c r="D128">
        <v>62.188609999999997</v>
      </c>
      <c r="E128">
        <v>43.644598000000002</v>
      </c>
      <c r="F128">
        <v>24.331302000000001</v>
      </c>
      <c r="G128">
        <v>19.058167000000001</v>
      </c>
      <c r="H128">
        <v>20.030258</v>
      </c>
      <c r="I128"/>
      <c r="N128"/>
      <c r="O128"/>
      <c r="P128" s="1">
        <f t="shared" si="35"/>
        <v>53.615068089430885</v>
      </c>
      <c r="Q128" s="1">
        <f t="shared" si="36"/>
        <v>55.470089430894305</v>
      </c>
      <c r="R128" s="1">
        <f t="shared" si="37"/>
        <v>57.450511879269904</v>
      </c>
      <c r="S128" s="1">
        <f t="shared" si="38"/>
        <v>42.981756342062191</v>
      </c>
    </row>
    <row r="129" spans="1:19" x14ac:dyDescent="0.3">
      <c r="A129">
        <v>681.8</v>
      </c>
      <c r="B129">
        <v>57.125864999999997</v>
      </c>
      <c r="C129">
        <v>59.745646999999998</v>
      </c>
      <c r="D129">
        <v>62.188609999999997</v>
      </c>
      <c r="E129">
        <v>43.644598000000002</v>
      </c>
      <c r="F129">
        <v>24.331302000000001</v>
      </c>
      <c r="G129">
        <v>19.058167000000001</v>
      </c>
      <c r="H129">
        <v>20.030258</v>
      </c>
      <c r="I129"/>
      <c r="N129"/>
      <c r="O129"/>
      <c r="P129" s="1">
        <f t="shared" si="35"/>
        <v>53.582668699186989</v>
      </c>
      <c r="Q129" s="1">
        <f t="shared" si="36"/>
        <v>55.477418699186991</v>
      </c>
      <c r="R129" s="1">
        <f t="shared" si="37"/>
        <v>57.479930661772201</v>
      </c>
      <c r="S129" s="1">
        <f t="shared" si="38"/>
        <v>42.952184942716862</v>
      </c>
    </row>
    <row r="130" spans="1:19" x14ac:dyDescent="0.3">
      <c r="A130">
        <v>682</v>
      </c>
      <c r="B130">
        <v>57.148138000000003</v>
      </c>
      <c r="C130">
        <v>59.742691000000001</v>
      </c>
      <c r="D130">
        <v>62.197488999999997</v>
      </c>
      <c r="E130">
        <v>43.659396999999998</v>
      </c>
      <c r="F130">
        <v>24.380495</v>
      </c>
      <c r="G130">
        <v>19.043436</v>
      </c>
      <c r="H130">
        <v>20.033570000000001</v>
      </c>
      <c r="I130" t="s">
        <v>56</v>
      </c>
      <c r="N130"/>
      <c r="O130"/>
      <c r="P130" s="1">
        <f t="shared" si="35"/>
        <v>53.582668699186989</v>
      </c>
      <c r="Q130" s="1">
        <f t="shared" si="36"/>
        <v>55.477418699186991</v>
      </c>
      <c r="R130" s="1">
        <f t="shared" si="37"/>
        <v>57.479930661772201</v>
      </c>
      <c r="S130" s="1">
        <f t="shared" si="38"/>
        <v>42.952184942716862</v>
      </c>
    </row>
    <row r="131" spans="1:19" x14ac:dyDescent="0.3">
      <c r="A131">
        <v>682.2</v>
      </c>
      <c r="B131">
        <v>57.148138000000003</v>
      </c>
      <c r="C131">
        <v>59.742691000000001</v>
      </c>
      <c r="D131">
        <v>62.197488999999997</v>
      </c>
      <c r="E131">
        <v>43.659396999999998</v>
      </c>
      <c r="F131">
        <v>24.380495</v>
      </c>
      <c r="G131">
        <v>19.043436</v>
      </c>
      <c r="H131">
        <v>20.033570000000001</v>
      </c>
      <c r="I131"/>
      <c r="N131"/>
      <c r="O131"/>
      <c r="P131" s="1">
        <f t="shared" si="35"/>
        <v>53.593010162601622</v>
      </c>
      <c r="Q131" s="1">
        <f t="shared" si="36"/>
        <v>55.466762195121952</v>
      </c>
      <c r="R131" s="1">
        <f t="shared" si="37"/>
        <v>57.47463036606505</v>
      </c>
      <c r="S131" s="1">
        <f t="shared" si="38"/>
        <v>42.968241612111292</v>
      </c>
    </row>
    <row r="132" spans="1:19" x14ac:dyDescent="0.3">
      <c r="A132">
        <v>682.4</v>
      </c>
      <c r="B132">
        <v>57.160530999999999</v>
      </c>
      <c r="C132">
        <v>59.747484999999998</v>
      </c>
      <c r="D132">
        <v>62.185893</v>
      </c>
      <c r="E132">
        <v>43.655231000000001</v>
      </c>
      <c r="F132">
        <v>24.344957999999998</v>
      </c>
      <c r="G132">
        <v>19.049766000000002</v>
      </c>
      <c r="H132">
        <v>20.041318</v>
      </c>
      <c r="I132"/>
      <c r="N132"/>
      <c r="O132"/>
      <c r="P132" s="1">
        <f t="shared" si="35"/>
        <v>53.593010162601622</v>
      </c>
      <c r="Q132" s="1">
        <f t="shared" si="36"/>
        <v>55.466762195121952</v>
      </c>
      <c r="R132" s="1">
        <f t="shared" si="37"/>
        <v>57.47463036606505</v>
      </c>
      <c r="S132" s="1">
        <f t="shared" si="38"/>
        <v>42.968241612111292</v>
      </c>
    </row>
    <row r="133" spans="1:19" x14ac:dyDescent="0.3">
      <c r="A133">
        <v>682.6</v>
      </c>
      <c r="B133">
        <v>57.160530999999999</v>
      </c>
      <c r="C133">
        <v>59.747484999999998</v>
      </c>
      <c r="D133">
        <v>62.185893</v>
      </c>
      <c r="E133">
        <v>43.655231000000001</v>
      </c>
      <c r="F133">
        <v>24.344957999999998</v>
      </c>
      <c r="G133">
        <v>19.049766000000002</v>
      </c>
      <c r="H133">
        <v>20.041318</v>
      </c>
      <c r="I133"/>
      <c r="N133"/>
      <c r="O133"/>
      <c r="P133" s="1">
        <f t="shared" si="35"/>
        <v>53.602307926829269</v>
      </c>
      <c r="Q133" s="1">
        <f t="shared" si="36"/>
        <v>55.469495934959347</v>
      </c>
      <c r="R133" s="1">
        <f t="shared" si="37"/>
        <v>57.469687977974914</v>
      </c>
      <c r="S133" s="1">
        <f t="shared" si="38"/>
        <v>42.938296849427168</v>
      </c>
    </row>
    <row r="134" spans="1:19" x14ac:dyDescent="0.3">
      <c r="A134">
        <v>682.8</v>
      </c>
      <c r="B134">
        <v>57.173279999999998</v>
      </c>
      <c r="C134">
        <v>59.739165999999997</v>
      </c>
      <c r="D134">
        <v>62.202162999999999</v>
      </c>
      <c r="E134">
        <v>43.657429</v>
      </c>
      <c r="F134">
        <v>24.311871</v>
      </c>
      <c r="G134">
        <v>19.021470999999998</v>
      </c>
      <c r="H134">
        <v>20.050528</v>
      </c>
      <c r="I134"/>
      <c r="N134"/>
      <c r="O134"/>
      <c r="P134" s="1">
        <f t="shared" si="35"/>
        <v>53.602307926829269</v>
      </c>
      <c r="Q134" s="1">
        <f t="shared" si="36"/>
        <v>55.469495934959347</v>
      </c>
      <c r="R134" s="1">
        <f t="shared" si="37"/>
        <v>57.469687977974914</v>
      </c>
      <c r="S134" s="1">
        <f t="shared" si="38"/>
        <v>42.938296849427168</v>
      </c>
    </row>
    <row r="135" spans="1:19" x14ac:dyDescent="0.3">
      <c r="A135">
        <v>683</v>
      </c>
      <c r="B135">
        <v>57.173279999999998</v>
      </c>
      <c r="C135">
        <v>59.739165999999997</v>
      </c>
      <c r="D135">
        <v>62.202162999999999</v>
      </c>
      <c r="E135">
        <v>43.657429</v>
      </c>
      <c r="F135">
        <v>24.311871</v>
      </c>
      <c r="G135">
        <v>19.021470999999998</v>
      </c>
      <c r="H135">
        <v>20.050528</v>
      </c>
      <c r="I135" t="s">
        <v>56</v>
      </c>
      <c r="N135"/>
      <c r="O135"/>
      <c r="P135" s="1">
        <f t="shared" si="35"/>
        <v>53.59342276422764</v>
      </c>
      <c r="Q135" s="1">
        <f t="shared" si="36"/>
        <v>55.482531504065044</v>
      </c>
      <c r="R135" s="1">
        <f t="shared" si="37"/>
        <v>57.471551952686852</v>
      </c>
      <c r="S135" s="1">
        <f t="shared" si="38"/>
        <v>42.951751227495905</v>
      </c>
    </row>
    <row r="136" spans="1:19" x14ac:dyDescent="0.3">
      <c r="A136">
        <v>683.2</v>
      </c>
      <c r="B136">
        <v>57.171585999999998</v>
      </c>
      <c r="C136">
        <v>59.757339999999999</v>
      </c>
      <c r="D136">
        <v>62.208669999999998</v>
      </c>
      <c r="E136">
        <v>43.661307000000001</v>
      </c>
      <c r="F136">
        <v>24.306947999999998</v>
      </c>
      <c r="G136">
        <v>19.040842000000001</v>
      </c>
      <c r="H136">
        <v>20.039518000000001</v>
      </c>
      <c r="I136"/>
      <c r="N136"/>
      <c r="O136"/>
      <c r="P136" s="1">
        <f t="shared" si="35"/>
        <v>53.59342276422764</v>
      </c>
      <c r="Q136" s="1">
        <f t="shared" si="36"/>
        <v>55.482531504065044</v>
      </c>
      <c r="R136" s="1">
        <f t="shared" si="37"/>
        <v>57.471551952686852</v>
      </c>
      <c r="S136" s="1">
        <f t="shared" si="38"/>
        <v>42.951751227495905</v>
      </c>
    </row>
    <row r="137" spans="1:19" x14ac:dyDescent="0.3">
      <c r="A137">
        <v>683.4</v>
      </c>
      <c r="B137">
        <v>57.171585999999998</v>
      </c>
      <c r="C137">
        <v>59.757339999999999</v>
      </c>
      <c r="D137">
        <v>62.208669999999998</v>
      </c>
      <c r="E137">
        <v>43.661307000000001</v>
      </c>
      <c r="F137">
        <v>24.306947999999998</v>
      </c>
      <c r="G137">
        <v>19.040842000000001</v>
      </c>
      <c r="H137">
        <v>20.039518000000001</v>
      </c>
      <c r="I137"/>
      <c r="N137"/>
      <c r="O137"/>
      <c r="P137" s="1">
        <f t="shared" si="35"/>
        <v>53.59889430894308</v>
      </c>
      <c r="Q137" s="1">
        <f t="shared" si="36"/>
        <v>55.471452235772354</v>
      </c>
      <c r="R137" s="1">
        <f t="shared" si="37"/>
        <v>57.48955032119914</v>
      </c>
      <c r="S137" s="1">
        <f t="shared" si="38"/>
        <v>42.964218494271684</v>
      </c>
    </row>
    <row r="138" spans="1:19" x14ac:dyDescent="0.3">
      <c r="A138">
        <v>683.6</v>
      </c>
      <c r="B138">
        <v>57.152332000000001</v>
      </c>
      <c r="C138">
        <v>59.746178</v>
      </c>
      <c r="D138">
        <v>62.186864999999997</v>
      </c>
      <c r="E138">
        <v>43.651539</v>
      </c>
      <c r="F138">
        <v>24.171741999999998</v>
      </c>
      <c r="G138">
        <v>19.034071999999998</v>
      </c>
      <c r="H138">
        <v>20.047460999999998</v>
      </c>
      <c r="I138"/>
      <c r="N138"/>
      <c r="O138"/>
      <c r="P138" s="1">
        <f t="shared" si="35"/>
        <v>53.59889430894308</v>
      </c>
      <c r="Q138" s="1">
        <f t="shared" si="36"/>
        <v>55.471452235772354</v>
      </c>
      <c r="R138" s="1">
        <f t="shared" si="37"/>
        <v>57.48955032119914</v>
      </c>
      <c r="S138" s="1">
        <f t="shared" si="38"/>
        <v>42.964218494271684</v>
      </c>
    </row>
    <row r="139" spans="1:19" x14ac:dyDescent="0.3">
      <c r="A139">
        <v>683.8</v>
      </c>
      <c r="B139">
        <v>57.152332000000001</v>
      </c>
      <c r="C139">
        <v>59.746178</v>
      </c>
      <c r="D139">
        <v>62.186864999999997</v>
      </c>
      <c r="E139">
        <v>43.651539</v>
      </c>
      <c r="F139">
        <v>24.171741999999998</v>
      </c>
      <c r="G139">
        <v>19.034071999999998</v>
      </c>
      <c r="H139">
        <v>20.047460999999998</v>
      </c>
      <c r="I139"/>
      <c r="N139"/>
      <c r="O139"/>
      <c r="P139" s="1">
        <f t="shared" si="35"/>
        <v>53.600322154471542</v>
      </c>
      <c r="Q139" s="1">
        <f t="shared" si="36"/>
        <v>55.468683943089431</v>
      </c>
      <c r="R139" s="1">
        <f t="shared" si="37"/>
        <v>57.484225553176302</v>
      </c>
      <c r="S139" s="1">
        <f t="shared" si="38"/>
        <v>42.947373158756136</v>
      </c>
    </row>
    <row r="140" spans="1:19" x14ac:dyDescent="0.3">
      <c r="A140">
        <v>684</v>
      </c>
      <c r="B140">
        <v>57.167144</v>
      </c>
      <c r="C140">
        <v>59.777346999999999</v>
      </c>
      <c r="D140">
        <v>62.222003999999998</v>
      </c>
      <c r="E140">
        <v>43.654983999999999</v>
      </c>
      <c r="F140">
        <v>24.142285999999999</v>
      </c>
      <c r="G140">
        <v>19.028824</v>
      </c>
      <c r="H140">
        <v>20.044589999999999</v>
      </c>
      <c r="I140" t="s">
        <v>56</v>
      </c>
      <c r="N140"/>
      <c r="O140"/>
      <c r="P140" s="1">
        <f t="shared" si="35"/>
        <v>53.600322154471542</v>
      </c>
      <c r="Q140" s="1">
        <f t="shared" si="36"/>
        <v>55.468683943089431</v>
      </c>
      <c r="R140" s="1">
        <f t="shared" si="37"/>
        <v>57.484225553176302</v>
      </c>
      <c r="S140" s="1">
        <f t="shared" si="38"/>
        <v>42.947373158756136</v>
      </c>
    </row>
    <row r="141" spans="1:19" x14ac:dyDescent="0.3">
      <c r="A141">
        <v>684.2</v>
      </c>
      <c r="B141">
        <v>57.167144</v>
      </c>
      <c r="C141">
        <v>59.777346999999999</v>
      </c>
      <c r="D141">
        <v>62.222003999999998</v>
      </c>
      <c r="E141">
        <v>43.654983999999999</v>
      </c>
      <c r="F141">
        <v>24.142285999999999</v>
      </c>
      <c r="G141">
        <v>19.028824</v>
      </c>
      <c r="H141">
        <v>20.044589999999999</v>
      </c>
      <c r="I141"/>
      <c r="N141"/>
      <c r="O141"/>
      <c r="P141" s="1">
        <f t="shared" si="35"/>
        <v>53.593587398373984</v>
      </c>
      <c r="Q141" s="1">
        <f t="shared" si="36"/>
        <v>55.481764227642273</v>
      </c>
      <c r="R141" s="1">
        <f t="shared" si="37"/>
        <v>57.450551646782905</v>
      </c>
      <c r="S141" s="1">
        <f t="shared" si="38"/>
        <v>42.962576718494269</v>
      </c>
    </row>
    <row r="142" spans="1:19" x14ac:dyDescent="0.3">
      <c r="A142">
        <v>684.4</v>
      </c>
      <c r="B142">
        <v>57.159700000000001</v>
      </c>
      <c r="C142">
        <v>59.757843999999999</v>
      </c>
      <c r="D142">
        <v>62.20326</v>
      </c>
      <c r="E142">
        <v>43.667597999999998</v>
      </c>
      <c r="F142">
        <v>24.155287999999999</v>
      </c>
      <c r="G142">
        <v>19.032122999999999</v>
      </c>
      <c r="H142">
        <v>20.044091000000002</v>
      </c>
      <c r="I142"/>
      <c r="N142"/>
      <c r="O142"/>
      <c r="P142" s="1">
        <f t="shared" si="35"/>
        <v>53.593587398373984</v>
      </c>
      <c r="Q142" s="1">
        <f t="shared" si="36"/>
        <v>55.481764227642273</v>
      </c>
      <c r="R142" s="1">
        <f t="shared" si="37"/>
        <v>57.450551646782905</v>
      </c>
      <c r="S142" s="1">
        <f t="shared" si="38"/>
        <v>42.962576718494269</v>
      </c>
    </row>
    <row r="143" spans="1:19" x14ac:dyDescent="0.3">
      <c r="A143">
        <v>684.6</v>
      </c>
      <c r="B143">
        <v>57.159700000000001</v>
      </c>
      <c r="C143">
        <v>59.757843999999999</v>
      </c>
      <c r="D143">
        <v>62.20326</v>
      </c>
      <c r="E143">
        <v>43.667597999999998</v>
      </c>
      <c r="F143">
        <v>24.155287999999999</v>
      </c>
      <c r="G143">
        <v>19.032122999999999</v>
      </c>
      <c r="H143">
        <v>20.044091000000002</v>
      </c>
      <c r="I143"/>
      <c r="N143"/>
      <c r="O143"/>
      <c r="P143" s="1">
        <f t="shared" si="35"/>
        <v>58.877296747967478</v>
      </c>
      <c r="Q143" s="1">
        <f t="shared" si="36"/>
        <v>61.511714430894308</v>
      </c>
      <c r="R143" s="1">
        <f t="shared" si="37"/>
        <v>64.230083613745279</v>
      </c>
      <c r="S143" s="1">
        <f t="shared" si="38"/>
        <v>45.609794394435355</v>
      </c>
    </row>
    <row r="144" spans="1:19" x14ac:dyDescent="0.3">
      <c r="A144">
        <v>684.8</v>
      </c>
      <c r="B144">
        <v>57.148010999999997</v>
      </c>
      <c r="C144">
        <v>59.757631000000003</v>
      </c>
      <c r="D144">
        <v>62.189632000000003</v>
      </c>
      <c r="E144">
        <v>43.678234000000003</v>
      </c>
      <c r="F144">
        <v>24.143325999999998</v>
      </c>
      <c r="G144">
        <v>19.027947000000001</v>
      </c>
      <c r="H144">
        <v>20.047985000000001</v>
      </c>
      <c r="I144"/>
      <c r="N144"/>
      <c r="O144"/>
      <c r="P144" s="1">
        <f t="shared" si="35"/>
        <v>58.862835365853655</v>
      </c>
      <c r="Q144" s="1">
        <f t="shared" si="36"/>
        <v>61.518441056910568</v>
      </c>
      <c r="R144" s="1">
        <f t="shared" si="37"/>
        <v>64.25002141327623</v>
      </c>
      <c r="S144" s="1">
        <f t="shared" si="38"/>
        <v>45.591896481178395</v>
      </c>
    </row>
    <row r="145" spans="1:19" x14ac:dyDescent="0.3">
      <c r="A145">
        <v>685</v>
      </c>
      <c r="B145">
        <v>57.148010999999997</v>
      </c>
      <c r="C145">
        <v>59.757631000000003</v>
      </c>
      <c r="D145">
        <v>62.189632000000003</v>
      </c>
      <c r="E145">
        <v>43.678234000000003</v>
      </c>
      <c r="F145">
        <v>24.143325999999998</v>
      </c>
      <c r="G145">
        <v>19.027947000000001</v>
      </c>
      <c r="H145">
        <v>20.047985000000001</v>
      </c>
      <c r="I145" t="s">
        <v>56</v>
      </c>
      <c r="N145"/>
      <c r="O145"/>
      <c r="P145" s="1">
        <f t="shared" si="35"/>
        <v>58.862835365853655</v>
      </c>
      <c r="Q145" s="1">
        <f t="shared" si="36"/>
        <v>61.518441056910568</v>
      </c>
      <c r="R145" s="1">
        <f t="shared" si="37"/>
        <v>64.25002141327623</v>
      </c>
      <c r="S145" s="1">
        <f t="shared" si="38"/>
        <v>45.591896481178395</v>
      </c>
    </row>
    <row r="146" spans="1:19" x14ac:dyDescent="0.3">
      <c r="A146">
        <v>685.2</v>
      </c>
      <c r="B146">
        <v>57.196874000000001</v>
      </c>
      <c r="C146">
        <v>59.764688999999997</v>
      </c>
      <c r="D146">
        <v>62.216898999999998</v>
      </c>
      <c r="E146">
        <v>43.661555</v>
      </c>
      <c r="F146">
        <v>24.319749000000002</v>
      </c>
      <c r="G146">
        <v>19.044895</v>
      </c>
      <c r="H146">
        <v>20.029807999999999</v>
      </c>
      <c r="I146"/>
      <c r="N146"/>
      <c r="O146"/>
      <c r="P146" s="1">
        <f t="shared" si="35"/>
        <v>58.854029471544713</v>
      </c>
      <c r="Q146" s="1">
        <f t="shared" si="36"/>
        <v>61.516409552845523</v>
      </c>
      <c r="R146" s="1">
        <f t="shared" si="37"/>
        <v>64.238717242785754</v>
      </c>
      <c r="S146" s="1">
        <f t="shared" si="38"/>
        <v>45.589605155482815</v>
      </c>
    </row>
    <row r="147" spans="1:19" x14ac:dyDescent="0.3">
      <c r="A147">
        <v>685.4</v>
      </c>
      <c r="B147">
        <v>57.196874000000001</v>
      </c>
      <c r="C147">
        <v>59.764688999999997</v>
      </c>
      <c r="D147">
        <v>62.216898999999998</v>
      </c>
      <c r="E147">
        <v>43.661555</v>
      </c>
      <c r="F147">
        <v>24.319749000000002</v>
      </c>
      <c r="G147">
        <v>19.044895</v>
      </c>
      <c r="H147">
        <v>20.029807999999999</v>
      </c>
      <c r="I147"/>
      <c r="N147"/>
      <c r="O147"/>
      <c r="P147" s="1">
        <f t="shared" si="35"/>
        <v>58.854029471544713</v>
      </c>
      <c r="Q147" s="1">
        <f t="shared" si="36"/>
        <v>61.516409552845523</v>
      </c>
      <c r="R147" s="1">
        <f t="shared" si="37"/>
        <v>64.238717242785754</v>
      </c>
      <c r="S147" s="1">
        <f t="shared" si="38"/>
        <v>45.589605155482815</v>
      </c>
    </row>
    <row r="148" spans="1:19" x14ac:dyDescent="0.3">
      <c r="A148">
        <v>685.6</v>
      </c>
      <c r="B148">
        <v>57.159846000000002</v>
      </c>
      <c r="C148">
        <v>59.766891999999999</v>
      </c>
      <c r="D148">
        <v>62.211136000000003</v>
      </c>
      <c r="E148">
        <v>43.680227000000002</v>
      </c>
      <c r="F148">
        <v>24.285139999999998</v>
      </c>
      <c r="G148">
        <v>19.043593000000001</v>
      </c>
      <c r="H148">
        <v>20.042740999999999</v>
      </c>
      <c r="I148"/>
      <c r="N148"/>
      <c r="O148"/>
      <c r="P148" s="1">
        <f t="shared" si="35"/>
        <v>58.876664634146344</v>
      </c>
      <c r="Q148" s="1">
        <f t="shared" si="36"/>
        <v>61.513405487804874</v>
      </c>
      <c r="R148" s="1">
        <f t="shared" si="37"/>
        <v>64.247770979912303</v>
      </c>
      <c r="S148" s="1">
        <f t="shared" si="38"/>
        <v>45.6047432487725</v>
      </c>
    </row>
    <row r="149" spans="1:19" x14ac:dyDescent="0.3">
      <c r="A149">
        <v>685.8</v>
      </c>
      <c r="B149">
        <v>57.159846000000002</v>
      </c>
      <c r="C149">
        <v>59.766891999999999</v>
      </c>
      <c r="D149">
        <v>62.211136000000003</v>
      </c>
      <c r="E149">
        <v>43.680227000000002</v>
      </c>
      <c r="F149">
        <v>24.285139999999998</v>
      </c>
      <c r="G149">
        <v>19.043593000000001</v>
      </c>
      <c r="H149">
        <v>20.042740999999999</v>
      </c>
      <c r="I149"/>
      <c r="N149"/>
      <c r="O149"/>
      <c r="P149" s="1">
        <f t="shared" si="35"/>
        <v>58.876664634146344</v>
      </c>
      <c r="Q149" s="1">
        <f t="shared" si="36"/>
        <v>61.513405487804874</v>
      </c>
      <c r="R149" s="1">
        <f t="shared" si="37"/>
        <v>64.247770979912303</v>
      </c>
      <c r="S149" s="1">
        <f t="shared" si="38"/>
        <v>45.6047432487725</v>
      </c>
    </row>
    <row r="150" spans="1:19" x14ac:dyDescent="0.3">
      <c r="A150">
        <v>686</v>
      </c>
      <c r="B150">
        <v>57.171871000000003</v>
      </c>
      <c r="C150">
        <v>59.785017000000003</v>
      </c>
      <c r="D150">
        <v>62.215319000000001</v>
      </c>
      <c r="E150">
        <v>43.641362999999998</v>
      </c>
      <c r="F150">
        <v>24.281355000000001</v>
      </c>
      <c r="G150">
        <v>19.017074999999998</v>
      </c>
      <c r="H150">
        <v>20.02431</v>
      </c>
      <c r="I150" t="s">
        <v>56</v>
      </c>
      <c r="N150"/>
      <c r="O150"/>
      <c r="P150" s="1">
        <f t="shared" si="35"/>
        <v>58.889259146341459</v>
      </c>
      <c r="Q150" s="1">
        <f t="shared" si="36"/>
        <v>61.518277439024388</v>
      </c>
      <c r="R150" s="1">
        <f t="shared" si="37"/>
        <v>64.235946772713362</v>
      </c>
      <c r="S150" s="1">
        <f t="shared" si="38"/>
        <v>45.600481792144024</v>
      </c>
    </row>
    <row r="151" spans="1:19" x14ac:dyDescent="0.3">
      <c r="A151">
        <v>686.2</v>
      </c>
      <c r="B151">
        <v>57.171871000000003</v>
      </c>
      <c r="C151">
        <v>59.785017000000003</v>
      </c>
      <c r="D151">
        <v>62.215319000000001</v>
      </c>
      <c r="E151">
        <v>43.641362999999998</v>
      </c>
      <c r="F151">
        <v>24.281355000000001</v>
      </c>
      <c r="G151">
        <v>19.017074999999998</v>
      </c>
      <c r="H151">
        <v>20.02431</v>
      </c>
      <c r="I151"/>
      <c r="N151"/>
      <c r="O151"/>
      <c r="P151" s="1">
        <f t="shared" si="35"/>
        <v>58.889259146341459</v>
      </c>
      <c r="Q151" s="1">
        <f t="shared" si="36"/>
        <v>61.518277439024388</v>
      </c>
      <c r="R151" s="1">
        <f t="shared" si="37"/>
        <v>64.235946772713362</v>
      </c>
      <c r="S151" s="1">
        <f t="shared" si="38"/>
        <v>45.600481792144024</v>
      </c>
    </row>
    <row r="152" spans="1:19" x14ac:dyDescent="0.3">
      <c r="A152">
        <v>686.4</v>
      </c>
      <c r="B152">
        <v>57.150758000000003</v>
      </c>
      <c r="C152">
        <v>59.761505</v>
      </c>
      <c r="D152">
        <v>62.217820000000003</v>
      </c>
      <c r="E152">
        <v>43.674686999999999</v>
      </c>
      <c r="F152">
        <v>24.336991000000001</v>
      </c>
      <c r="G152">
        <v>19.029578000000001</v>
      </c>
      <c r="H152">
        <v>20.041547999999999</v>
      </c>
      <c r="I152"/>
      <c r="N152"/>
      <c r="O152"/>
      <c r="P152" s="1">
        <f t="shared" si="35"/>
        <v>58.902215447154468</v>
      </c>
      <c r="Q152" s="1">
        <f t="shared" si="36"/>
        <v>61.5098231707317</v>
      </c>
      <c r="R152" s="1">
        <f t="shared" si="37"/>
        <v>64.252536963393496</v>
      </c>
      <c r="S152" s="1">
        <f t="shared" si="38"/>
        <v>45.602730155482817</v>
      </c>
    </row>
    <row r="153" spans="1:19" x14ac:dyDescent="0.3">
      <c r="A153">
        <v>686.6</v>
      </c>
      <c r="B153">
        <v>57.150758000000003</v>
      </c>
      <c r="C153">
        <v>59.761505</v>
      </c>
      <c r="D153">
        <v>62.217820000000003</v>
      </c>
      <c r="E153">
        <v>43.674686999999999</v>
      </c>
      <c r="F153">
        <v>24.336991000000001</v>
      </c>
      <c r="G153">
        <v>19.029578000000001</v>
      </c>
      <c r="H153">
        <v>20.041547999999999</v>
      </c>
      <c r="I153"/>
      <c r="N153"/>
      <c r="O153"/>
      <c r="P153" s="1">
        <f t="shared" si="35"/>
        <v>58.902215447154468</v>
      </c>
      <c r="Q153" s="1">
        <f t="shared" si="36"/>
        <v>61.5098231707317</v>
      </c>
      <c r="R153" s="1">
        <f t="shared" si="37"/>
        <v>64.252536963393496</v>
      </c>
      <c r="S153" s="1">
        <f t="shared" si="38"/>
        <v>45.602730155482817</v>
      </c>
    </row>
    <row r="154" spans="1:19" x14ac:dyDescent="0.3">
      <c r="A154">
        <v>686.8</v>
      </c>
      <c r="B154">
        <v>57.143903999999999</v>
      </c>
      <c r="C154">
        <v>59.767927</v>
      </c>
      <c r="D154">
        <v>62.226945999999998</v>
      </c>
      <c r="E154">
        <v>43.693250999999997</v>
      </c>
      <c r="F154">
        <v>24.382508999999999</v>
      </c>
      <c r="G154">
        <v>19.031648000000001</v>
      </c>
      <c r="H154">
        <v>20.038872000000001</v>
      </c>
      <c r="I154"/>
      <c r="N154"/>
      <c r="O154"/>
      <c r="P154" s="1">
        <f t="shared" si="35"/>
        <v>58.900493902439017</v>
      </c>
      <c r="Q154" s="1">
        <f t="shared" si="36"/>
        <v>61.528292682926825</v>
      </c>
      <c r="R154" s="1">
        <f t="shared" si="37"/>
        <v>64.259172019985726</v>
      </c>
      <c r="S154" s="1">
        <f t="shared" si="38"/>
        <v>45.606697013093289</v>
      </c>
    </row>
    <row r="155" spans="1:19" x14ac:dyDescent="0.3">
      <c r="A155">
        <v>687</v>
      </c>
      <c r="B155">
        <v>57.143903999999999</v>
      </c>
      <c r="C155">
        <v>59.767927</v>
      </c>
      <c r="D155">
        <v>62.226945999999998</v>
      </c>
      <c r="E155">
        <v>43.693250999999997</v>
      </c>
      <c r="F155">
        <v>24.382508999999999</v>
      </c>
      <c r="G155">
        <v>19.031648000000001</v>
      </c>
      <c r="H155">
        <v>20.038872000000001</v>
      </c>
      <c r="I155" t="s">
        <v>56</v>
      </c>
      <c r="N155"/>
      <c r="O155"/>
      <c r="P155" s="1">
        <f t="shared" si="35"/>
        <v>58.900493902439017</v>
      </c>
      <c r="Q155" s="1">
        <f t="shared" si="36"/>
        <v>61.528292682926825</v>
      </c>
      <c r="R155" s="1">
        <f t="shared" si="37"/>
        <v>64.259172019985726</v>
      </c>
      <c r="S155" s="1">
        <f t="shared" si="38"/>
        <v>45.606697013093289</v>
      </c>
    </row>
    <row r="156" spans="1:19" x14ac:dyDescent="0.3">
      <c r="A156">
        <v>687.2</v>
      </c>
      <c r="B156">
        <v>57.157437000000002</v>
      </c>
      <c r="C156">
        <v>59.773626999999998</v>
      </c>
      <c r="D156">
        <v>62.233533000000001</v>
      </c>
      <c r="E156">
        <v>43.669918000000003</v>
      </c>
      <c r="F156">
        <v>24.292967999999998</v>
      </c>
      <c r="G156">
        <v>19.034679000000001</v>
      </c>
      <c r="H156">
        <v>20.038104000000001</v>
      </c>
      <c r="I156"/>
      <c r="N156"/>
      <c r="O156"/>
      <c r="P156" s="1">
        <f t="shared" si="35"/>
        <v>58.88092682926829</v>
      </c>
      <c r="Q156" s="1">
        <f t="shared" si="36"/>
        <v>61.516949186991866</v>
      </c>
      <c r="R156" s="1">
        <f t="shared" si="37"/>
        <v>64.236937901498919</v>
      </c>
      <c r="S156" s="1">
        <f t="shared" si="38"/>
        <v>45.596705196399341</v>
      </c>
    </row>
    <row r="157" spans="1:19" x14ac:dyDescent="0.3">
      <c r="A157">
        <v>687.4</v>
      </c>
      <c r="B157">
        <v>57.157437000000002</v>
      </c>
      <c r="C157">
        <v>59.773626999999998</v>
      </c>
      <c r="D157">
        <v>62.233533000000001</v>
      </c>
      <c r="E157">
        <v>43.669918000000003</v>
      </c>
      <c r="F157">
        <v>24.292967999999998</v>
      </c>
      <c r="G157">
        <v>19.034679000000001</v>
      </c>
      <c r="H157">
        <v>20.038104000000001</v>
      </c>
      <c r="I157"/>
      <c r="N157"/>
      <c r="O157"/>
      <c r="P157" s="1">
        <f t="shared" si="35"/>
        <v>58.88092682926829</v>
      </c>
      <c r="Q157" s="1">
        <f t="shared" si="36"/>
        <v>61.516949186991866</v>
      </c>
      <c r="R157" s="1">
        <f t="shared" si="37"/>
        <v>64.236937901498919</v>
      </c>
      <c r="S157" s="1">
        <f t="shared" si="38"/>
        <v>45.596705196399341</v>
      </c>
    </row>
    <row r="158" spans="1:19" x14ac:dyDescent="0.3">
      <c r="A158">
        <v>687.6</v>
      </c>
      <c r="B158">
        <v>57.188761999999997</v>
      </c>
      <c r="C158">
        <v>59.764381</v>
      </c>
      <c r="D158">
        <v>62.207498000000001</v>
      </c>
      <c r="E158">
        <v>43.688141000000002</v>
      </c>
      <c r="F158">
        <v>24.185434999999998</v>
      </c>
      <c r="G158">
        <v>19.030453999999999</v>
      </c>
      <c r="H158">
        <v>20.051912000000002</v>
      </c>
      <c r="I158"/>
      <c r="N158"/>
      <c r="O158"/>
      <c r="P158" s="1">
        <f t="shared" si="35"/>
        <v>58.895979674796749</v>
      </c>
      <c r="Q158" s="1">
        <f t="shared" si="36"/>
        <v>61.548624999999994</v>
      </c>
      <c r="R158" s="1">
        <f t="shared" si="37"/>
        <v>64.272768430712745</v>
      </c>
      <c r="S158" s="1">
        <f t="shared" si="38"/>
        <v>45.600229132569552</v>
      </c>
    </row>
    <row r="159" spans="1:19" x14ac:dyDescent="0.3">
      <c r="A159">
        <v>687.8</v>
      </c>
      <c r="B159">
        <v>57.188761999999997</v>
      </c>
      <c r="C159">
        <v>59.764381</v>
      </c>
      <c r="D159">
        <v>62.207498000000001</v>
      </c>
      <c r="E159">
        <v>43.688141000000002</v>
      </c>
      <c r="F159">
        <v>24.185434999999998</v>
      </c>
      <c r="G159">
        <v>19.030453999999999</v>
      </c>
      <c r="H159">
        <v>20.051912000000002</v>
      </c>
      <c r="I159"/>
      <c r="N159"/>
      <c r="O159"/>
      <c r="P159" s="1">
        <f t="shared" si="35"/>
        <v>58.895979674796749</v>
      </c>
      <c r="Q159" s="1">
        <f t="shared" si="36"/>
        <v>61.548624999999994</v>
      </c>
      <c r="R159" s="1">
        <f t="shared" si="37"/>
        <v>64.272768430712745</v>
      </c>
      <c r="S159" s="1">
        <f t="shared" si="38"/>
        <v>45.600229132569552</v>
      </c>
    </row>
    <row r="160" spans="1:19" x14ac:dyDescent="0.3">
      <c r="A160">
        <v>688</v>
      </c>
      <c r="B160">
        <v>57.185513</v>
      </c>
      <c r="C160">
        <v>59.762748000000002</v>
      </c>
      <c r="D160">
        <v>62.217011999999997</v>
      </c>
      <c r="E160">
        <v>43.677070999999998</v>
      </c>
      <c r="F160">
        <v>24.291819</v>
      </c>
      <c r="G160">
        <v>19.046844</v>
      </c>
      <c r="H160">
        <v>20.037922999999999</v>
      </c>
      <c r="I160" t="s">
        <v>56</v>
      </c>
      <c r="N160"/>
      <c r="O160"/>
      <c r="P160" s="1">
        <f t="shared" si="35"/>
        <v>58.888414634146336</v>
      </c>
      <c r="Q160" s="1">
        <f t="shared" si="36"/>
        <v>61.528804878048774</v>
      </c>
      <c r="R160" s="1">
        <f t="shared" si="37"/>
        <v>64.253655552156616</v>
      </c>
      <c r="S160" s="1">
        <f t="shared" si="38"/>
        <v>45.613132160392794</v>
      </c>
    </row>
    <row r="161" spans="1:19" x14ac:dyDescent="0.3">
      <c r="A161">
        <v>688.2</v>
      </c>
      <c r="B161">
        <v>57.185513</v>
      </c>
      <c r="C161">
        <v>59.762748000000002</v>
      </c>
      <c r="D161">
        <v>62.217011999999997</v>
      </c>
      <c r="E161">
        <v>43.677070999999998</v>
      </c>
      <c r="F161">
        <v>24.291819</v>
      </c>
      <c r="G161">
        <v>19.046844</v>
      </c>
      <c r="H161">
        <v>20.037922999999999</v>
      </c>
      <c r="I161"/>
      <c r="N161"/>
      <c r="O161"/>
      <c r="P161" s="1">
        <f t="shared" si="35"/>
        <v>58.888414634146336</v>
      </c>
      <c r="Q161" s="1">
        <f t="shared" si="36"/>
        <v>61.528804878048774</v>
      </c>
      <c r="R161" s="1">
        <f t="shared" si="37"/>
        <v>64.253655552156616</v>
      </c>
      <c r="S161" s="1">
        <f t="shared" si="38"/>
        <v>45.613132160392794</v>
      </c>
    </row>
    <row r="162" spans="1:19" x14ac:dyDescent="0.3">
      <c r="A162">
        <v>688.4</v>
      </c>
      <c r="B162">
        <v>57.182791999999999</v>
      </c>
      <c r="C162">
        <v>59.778301999999996</v>
      </c>
      <c r="D162">
        <v>62.221364000000001</v>
      </c>
      <c r="E162">
        <v>43.673350999999997</v>
      </c>
      <c r="F162">
        <v>24.430695</v>
      </c>
      <c r="G162">
        <v>19.038246999999998</v>
      </c>
      <c r="H162">
        <v>20.035976000000002</v>
      </c>
      <c r="I162"/>
      <c r="N162"/>
      <c r="O162"/>
      <c r="P162" s="1">
        <f t="shared" si="35"/>
        <v>58.876535569105684</v>
      </c>
      <c r="Q162" s="1">
        <f t="shared" si="36"/>
        <v>61.52858841463415</v>
      </c>
      <c r="R162" s="1">
        <f t="shared" si="37"/>
        <v>64.239759355562356</v>
      </c>
      <c r="S162" s="1">
        <f t="shared" si="38"/>
        <v>45.624011865793783</v>
      </c>
    </row>
    <row r="163" spans="1:19" x14ac:dyDescent="0.3">
      <c r="A163">
        <v>688.6</v>
      </c>
      <c r="B163">
        <v>57.182791999999999</v>
      </c>
      <c r="C163">
        <v>59.778301999999996</v>
      </c>
      <c r="D163">
        <v>62.221364000000001</v>
      </c>
      <c r="E163">
        <v>43.673350999999997</v>
      </c>
      <c r="F163">
        <v>24.430695</v>
      </c>
      <c r="G163">
        <v>19.038246999999998</v>
      </c>
      <c r="H163">
        <v>20.035976000000002</v>
      </c>
      <c r="I163"/>
      <c r="N163"/>
      <c r="O163"/>
      <c r="P163" s="1">
        <f t="shared" si="35"/>
        <v>58.876535569105684</v>
      </c>
      <c r="Q163" s="1">
        <f t="shared" si="36"/>
        <v>61.52858841463415</v>
      </c>
      <c r="R163" s="1">
        <f t="shared" si="37"/>
        <v>64.239759355562356</v>
      </c>
      <c r="S163" s="1">
        <f t="shared" si="38"/>
        <v>45.624011865793783</v>
      </c>
    </row>
    <row r="164" spans="1:19" x14ac:dyDescent="0.3">
      <c r="A164">
        <v>688.8</v>
      </c>
      <c r="B164">
        <v>57.170557000000002</v>
      </c>
      <c r="C164">
        <v>59.770242000000003</v>
      </c>
      <c r="D164">
        <v>62.237209999999997</v>
      </c>
      <c r="E164">
        <v>43.682450000000003</v>
      </c>
      <c r="F164">
        <v>24.362915000000001</v>
      </c>
      <c r="G164">
        <v>19.053197999999998</v>
      </c>
      <c r="H164">
        <v>20.050915</v>
      </c>
      <c r="I164"/>
      <c r="N164"/>
      <c r="O164"/>
      <c r="P164" s="1">
        <f t="shared" si="35"/>
        <v>58.926193089430896</v>
      </c>
      <c r="Q164" s="1">
        <f t="shared" si="36"/>
        <v>61.535761178861783</v>
      </c>
      <c r="R164" s="1">
        <f t="shared" si="37"/>
        <v>64.267562965228919</v>
      </c>
      <c r="S164" s="1">
        <f t="shared" si="38"/>
        <v>45.606950695581013</v>
      </c>
    </row>
    <row r="165" spans="1:19" x14ac:dyDescent="0.3">
      <c r="A165">
        <v>689</v>
      </c>
      <c r="B165">
        <v>57.170557000000002</v>
      </c>
      <c r="C165">
        <v>59.770242000000003</v>
      </c>
      <c r="D165">
        <v>62.237209999999997</v>
      </c>
      <c r="E165">
        <v>43.682450000000003</v>
      </c>
      <c r="F165">
        <v>24.362915000000001</v>
      </c>
      <c r="G165">
        <v>19.053197999999998</v>
      </c>
      <c r="H165">
        <v>20.050915</v>
      </c>
      <c r="I165" t="s">
        <v>56</v>
      </c>
      <c r="N165"/>
      <c r="O165"/>
      <c r="P165" s="1">
        <f t="shared" si="35"/>
        <v>58.926193089430896</v>
      </c>
      <c r="Q165" s="1">
        <f t="shared" si="36"/>
        <v>61.535761178861783</v>
      </c>
      <c r="R165" s="1">
        <f t="shared" si="37"/>
        <v>64.267562965228919</v>
      </c>
      <c r="S165" s="1">
        <f t="shared" si="38"/>
        <v>45.606950695581013</v>
      </c>
    </row>
    <row r="166" spans="1:19" x14ac:dyDescent="0.3">
      <c r="A166">
        <v>689.2</v>
      </c>
      <c r="B166">
        <v>57.169105000000002</v>
      </c>
      <c r="C166">
        <v>59.782950999999997</v>
      </c>
      <c r="D166">
        <v>62.208258999999998</v>
      </c>
      <c r="E166">
        <v>43.683007000000003</v>
      </c>
      <c r="F166">
        <v>24.212243000000001</v>
      </c>
      <c r="G166">
        <v>19.038796000000001</v>
      </c>
      <c r="H166">
        <v>20.028458000000001</v>
      </c>
      <c r="I166"/>
      <c r="N166"/>
      <c r="O166"/>
      <c r="P166" s="1">
        <f t="shared" si="35"/>
        <v>58.888563008130077</v>
      </c>
      <c r="Q166" s="1">
        <f t="shared" si="36"/>
        <v>61.537999999999997</v>
      </c>
      <c r="R166" s="1">
        <f t="shared" si="37"/>
        <v>64.261686550423164</v>
      </c>
      <c r="S166" s="1">
        <f t="shared" si="38"/>
        <v>45.626050531914892</v>
      </c>
    </row>
    <row r="167" spans="1:19" x14ac:dyDescent="0.3">
      <c r="A167">
        <v>689.4</v>
      </c>
      <c r="B167">
        <v>57.169105000000002</v>
      </c>
      <c r="C167">
        <v>59.782950999999997</v>
      </c>
      <c r="D167">
        <v>62.208258999999998</v>
      </c>
      <c r="E167">
        <v>43.683007000000003</v>
      </c>
      <c r="F167">
        <v>24.212243000000001</v>
      </c>
      <c r="G167">
        <v>19.038796000000001</v>
      </c>
      <c r="H167">
        <v>20.028458000000001</v>
      </c>
      <c r="I167"/>
      <c r="N167"/>
      <c r="O167"/>
      <c r="P167" s="1">
        <f t="shared" si="35"/>
        <v>58.888563008130077</v>
      </c>
      <c r="Q167" s="1">
        <f t="shared" si="36"/>
        <v>61.537999999999997</v>
      </c>
      <c r="R167" s="1">
        <f t="shared" si="37"/>
        <v>64.261686550423164</v>
      </c>
      <c r="S167" s="1">
        <f t="shared" si="38"/>
        <v>45.626050531914892</v>
      </c>
    </row>
    <row r="168" spans="1:19" x14ac:dyDescent="0.3">
      <c r="A168">
        <v>689.6</v>
      </c>
      <c r="B168">
        <v>57.170997</v>
      </c>
      <c r="C168">
        <v>59.784604000000002</v>
      </c>
      <c r="D168">
        <v>62.221046999999999</v>
      </c>
      <c r="E168">
        <v>43.686597999999996</v>
      </c>
      <c r="F168">
        <v>24.176776</v>
      </c>
      <c r="G168">
        <v>19.047097999999998</v>
      </c>
      <c r="H168">
        <v>20.041499000000002</v>
      </c>
      <c r="I168"/>
      <c r="N168"/>
      <c r="O168"/>
      <c r="P168" s="1">
        <f t="shared" si="35"/>
        <v>58.900783536585365</v>
      </c>
      <c r="Q168" s="1">
        <f t="shared" si="36"/>
        <v>61.556419715447156</v>
      </c>
      <c r="R168" s="1">
        <f t="shared" si="37"/>
        <v>64.265951871112463</v>
      </c>
      <c r="S168" s="1">
        <f t="shared" si="38"/>
        <v>45.586296031096559</v>
      </c>
    </row>
    <row r="169" spans="1:19" x14ac:dyDescent="0.3">
      <c r="A169">
        <v>689.8</v>
      </c>
      <c r="B169">
        <v>57.170997</v>
      </c>
      <c r="C169">
        <v>59.784604000000002</v>
      </c>
      <c r="D169">
        <v>62.221046999999999</v>
      </c>
      <c r="E169">
        <v>43.686597999999996</v>
      </c>
      <c r="F169">
        <v>24.176776</v>
      </c>
      <c r="G169">
        <v>19.047097999999998</v>
      </c>
      <c r="H169">
        <v>20.041499000000002</v>
      </c>
      <c r="I169"/>
      <c r="N169"/>
      <c r="O169"/>
      <c r="P169" s="1">
        <f t="shared" si="35"/>
        <v>58.900783536585365</v>
      </c>
      <c r="Q169" s="1">
        <f t="shared" si="36"/>
        <v>61.556419715447156</v>
      </c>
      <c r="R169" s="1">
        <f t="shared" si="37"/>
        <v>64.265951871112463</v>
      </c>
      <c r="S169" s="1">
        <f t="shared" si="38"/>
        <v>45.586296031096559</v>
      </c>
    </row>
    <row r="170" spans="1:19" x14ac:dyDescent="0.3">
      <c r="A170">
        <v>690</v>
      </c>
      <c r="B170">
        <v>57.182625000000002</v>
      </c>
      <c r="C170">
        <v>59.782474000000001</v>
      </c>
      <c r="D170">
        <v>62.208238999999999</v>
      </c>
      <c r="E170">
        <v>43.677990000000001</v>
      </c>
      <c r="F170">
        <v>24.191880999999999</v>
      </c>
      <c r="G170">
        <v>19.033473999999998</v>
      </c>
      <c r="H170">
        <v>20.032156000000001</v>
      </c>
      <c r="I170" t="s">
        <v>56</v>
      </c>
      <c r="N170"/>
      <c r="O170"/>
      <c r="P170" s="1">
        <f t="shared" si="35"/>
        <v>58.879327235772358</v>
      </c>
      <c r="Q170" s="1">
        <f t="shared" si="36"/>
        <v>61.532525406504064</v>
      </c>
      <c r="R170" s="1">
        <f t="shared" si="37"/>
        <v>64.268502090343631</v>
      </c>
      <c r="S170" s="1">
        <f t="shared" si="38"/>
        <v>45.620383592471356</v>
      </c>
    </row>
    <row r="171" spans="1:19" x14ac:dyDescent="0.3">
      <c r="A171">
        <v>690.2</v>
      </c>
      <c r="B171">
        <v>57.182625000000002</v>
      </c>
      <c r="C171">
        <v>59.782474000000001</v>
      </c>
      <c r="D171">
        <v>62.208238999999999</v>
      </c>
      <c r="E171">
        <v>43.677990000000001</v>
      </c>
      <c r="F171">
        <v>24.191880999999999</v>
      </c>
      <c r="G171">
        <v>19.033473999999998</v>
      </c>
      <c r="H171">
        <v>20.032156000000001</v>
      </c>
      <c r="I171"/>
      <c r="N171"/>
      <c r="O171"/>
      <c r="P171" s="1">
        <f t="shared" ref="P171:P234" si="39">(B153+Q$36)/P$36</f>
        <v>58.879327235772358</v>
      </c>
      <c r="Q171" s="1">
        <f t="shared" ref="Q171:Q234" si="40">(C153+Q$36)/P$36</f>
        <v>61.532525406504064</v>
      </c>
      <c r="R171" s="1">
        <f t="shared" ref="R171:R234" si="41">(D153+Q$38)/P$38</f>
        <v>64.268502090343631</v>
      </c>
      <c r="S171" s="1">
        <f t="shared" ref="S171:S234" si="42">(E153+Q$39)/P$39</f>
        <v>45.620383592471356</v>
      </c>
    </row>
    <row r="172" spans="1:19" x14ac:dyDescent="0.3">
      <c r="A172">
        <v>690.4</v>
      </c>
      <c r="B172">
        <v>57.153899000000003</v>
      </c>
      <c r="C172">
        <v>59.773989</v>
      </c>
      <c r="D172">
        <v>62.230938000000002</v>
      </c>
      <c r="E172">
        <v>43.661917000000003</v>
      </c>
      <c r="F172">
        <v>24.188960999999999</v>
      </c>
      <c r="G172">
        <v>19.027277000000002</v>
      </c>
      <c r="H172">
        <v>20.025015</v>
      </c>
      <c r="I172"/>
      <c r="N172"/>
      <c r="O172"/>
      <c r="P172" s="1">
        <f t="shared" si="39"/>
        <v>58.87236178861788</v>
      </c>
      <c r="Q172" s="1">
        <f t="shared" si="40"/>
        <v>61.539051829268288</v>
      </c>
      <c r="R172" s="1">
        <f t="shared" si="41"/>
        <v>64.277807688385849</v>
      </c>
      <c r="S172" s="1">
        <f t="shared" si="42"/>
        <v>45.639372954173481</v>
      </c>
    </row>
    <row r="173" spans="1:19" x14ac:dyDescent="0.3">
      <c r="A173">
        <v>690.6</v>
      </c>
      <c r="B173">
        <v>57.153899000000003</v>
      </c>
      <c r="C173">
        <v>59.773989</v>
      </c>
      <c r="D173">
        <v>62.230938000000002</v>
      </c>
      <c r="E173">
        <v>43.661917000000003</v>
      </c>
      <c r="F173">
        <v>24.188960999999999</v>
      </c>
      <c r="G173">
        <v>19.027277000000002</v>
      </c>
      <c r="H173">
        <v>20.025015</v>
      </c>
      <c r="I173"/>
      <c r="N173"/>
      <c r="O173"/>
      <c r="P173" s="1">
        <f t="shared" si="39"/>
        <v>58.87236178861788</v>
      </c>
      <c r="Q173" s="1">
        <f t="shared" si="40"/>
        <v>61.539051829268288</v>
      </c>
      <c r="R173" s="1">
        <f t="shared" si="41"/>
        <v>64.277807688385849</v>
      </c>
      <c r="S173" s="1">
        <f t="shared" si="42"/>
        <v>45.639372954173481</v>
      </c>
    </row>
    <row r="174" spans="1:19" x14ac:dyDescent="0.3">
      <c r="A174">
        <v>690.8</v>
      </c>
      <c r="B174">
        <v>57.173529000000002</v>
      </c>
      <c r="C174">
        <v>59.773882</v>
      </c>
      <c r="D174">
        <v>62.211959</v>
      </c>
      <c r="E174">
        <v>43.682023000000001</v>
      </c>
      <c r="F174">
        <v>24.156661</v>
      </c>
      <c r="G174">
        <v>19.054368</v>
      </c>
      <c r="H174">
        <v>20.020769000000001</v>
      </c>
      <c r="I174"/>
      <c r="N174"/>
      <c r="O174"/>
      <c r="P174" s="1">
        <f t="shared" si="39"/>
        <v>58.886114837398374</v>
      </c>
      <c r="Q174" s="1">
        <f t="shared" si="40"/>
        <v>61.54484451219512</v>
      </c>
      <c r="R174" s="1">
        <f t="shared" si="41"/>
        <v>64.284524319363712</v>
      </c>
      <c r="S174" s="1">
        <f t="shared" si="42"/>
        <v>45.615505319148937</v>
      </c>
    </row>
    <row r="175" spans="1:19" x14ac:dyDescent="0.3">
      <c r="A175">
        <v>881</v>
      </c>
      <c r="B175">
        <v>62.245004999999999</v>
      </c>
      <c r="C175">
        <v>65.632007000000002</v>
      </c>
      <c r="D175">
        <v>68.801646000000005</v>
      </c>
      <c r="E175">
        <v>46.014929000000002</v>
      </c>
      <c r="F175">
        <v>24.664805000000001</v>
      </c>
      <c r="G175">
        <v>19.04936</v>
      </c>
      <c r="H175">
        <v>20.390536000000001</v>
      </c>
      <c r="I175" t="s">
        <v>56</v>
      </c>
      <c r="N175"/>
      <c r="O175"/>
      <c r="P175" s="1">
        <f t="shared" si="39"/>
        <v>58.886114837398374</v>
      </c>
      <c r="Q175" s="1">
        <f t="shared" si="40"/>
        <v>61.54484451219512</v>
      </c>
      <c r="R175" s="1">
        <f t="shared" si="41"/>
        <v>64.284524319363712</v>
      </c>
      <c r="S175" s="1">
        <f t="shared" si="42"/>
        <v>45.615505319148937</v>
      </c>
    </row>
    <row r="176" spans="1:19" x14ac:dyDescent="0.3">
      <c r="A176">
        <v>881.2</v>
      </c>
      <c r="B176">
        <v>62.262247000000002</v>
      </c>
      <c r="C176">
        <v>65.620683999999997</v>
      </c>
      <c r="D176">
        <v>68.810111000000006</v>
      </c>
      <c r="E176">
        <v>46.057400999999999</v>
      </c>
      <c r="F176">
        <v>24.567421</v>
      </c>
      <c r="G176">
        <v>19.047969999999999</v>
      </c>
      <c r="H176">
        <v>20.39057</v>
      </c>
      <c r="I176"/>
      <c r="N176"/>
      <c r="O176"/>
      <c r="P176" s="1">
        <f t="shared" si="39"/>
        <v>58.917949186991862</v>
      </c>
      <c r="Q176" s="1">
        <f t="shared" si="40"/>
        <v>61.535448170731705</v>
      </c>
      <c r="R176" s="1">
        <f t="shared" si="41"/>
        <v>64.25797695523606</v>
      </c>
      <c r="S176" s="1">
        <f t="shared" si="42"/>
        <v>45.634145867430441</v>
      </c>
    </row>
    <row r="177" spans="1:19" x14ac:dyDescent="0.3">
      <c r="A177">
        <v>881.4</v>
      </c>
      <c r="B177">
        <v>62.262247000000002</v>
      </c>
      <c r="C177">
        <v>65.620683999999997</v>
      </c>
      <c r="D177">
        <v>68.810111000000006</v>
      </c>
      <c r="E177">
        <v>46.057400999999999</v>
      </c>
      <c r="F177">
        <v>24.567421</v>
      </c>
      <c r="G177">
        <v>19.047969999999999</v>
      </c>
      <c r="H177">
        <v>20.39057</v>
      </c>
      <c r="I177"/>
      <c r="N177"/>
      <c r="O177"/>
      <c r="P177" s="1">
        <f t="shared" si="39"/>
        <v>58.917949186991862</v>
      </c>
      <c r="Q177" s="1">
        <f t="shared" si="40"/>
        <v>61.535448170731705</v>
      </c>
      <c r="R177" s="1">
        <f t="shared" si="41"/>
        <v>64.25797695523606</v>
      </c>
      <c r="S177" s="1">
        <f t="shared" si="42"/>
        <v>45.634145867430441</v>
      </c>
    </row>
    <row r="178" spans="1:19" x14ac:dyDescent="0.3">
      <c r="A178">
        <v>881.6</v>
      </c>
      <c r="B178">
        <v>62.242254000000003</v>
      </c>
      <c r="C178">
        <v>65.639065000000002</v>
      </c>
      <c r="D178">
        <v>68.807316999999998</v>
      </c>
      <c r="E178">
        <v>46.024281999999999</v>
      </c>
      <c r="F178">
        <v>24.591252000000001</v>
      </c>
      <c r="G178">
        <v>19.070958000000001</v>
      </c>
      <c r="H178">
        <v>20.387446000000001</v>
      </c>
      <c r="I178"/>
      <c r="N178"/>
      <c r="O178"/>
      <c r="P178" s="1">
        <f t="shared" si="39"/>
        <v>58.914647357723574</v>
      </c>
      <c r="Q178" s="1">
        <f t="shared" si="40"/>
        <v>61.533788617886181</v>
      </c>
      <c r="R178" s="1">
        <f t="shared" si="41"/>
        <v>64.267678189048638</v>
      </c>
      <c r="S178" s="1">
        <f t="shared" si="42"/>
        <v>45.622822217675939</v>
      </c>
    </row>
    <row r="179" spans="1:19" x14ac:dyDescent="0.3">
      <c r="A179">
        <v>881.8</v>
      </c>
      <c r="B179">
        <v>62.242254000000003</v>
      </c>
      <c r="C179">
        <v>65.639065000000002</v>
      </c>
      <c r="D179">
        <v>68.807316999999998</v>
      </c>
      <c r="E179">
        <v>46.024281999999999</v>
      </c>
      <c r="F179">
        <v>24.591252000000001</v>
      </c>
      <c r="G179">
        <v>19.070958000000001</v>
      </c>
      <c r="H179">
        <v>20.387446000000001</v>
      </c>
      <c r="I179"/>
      <c r="N179"/>
      <c r="O179"/>
      <c r="P179" s="1">
        <f t="shared" si="39"/>
        <v>58.914647357723574</v>
      </c>
      <c r="Q179" s="1">
        <f t="shared" si="40"/>
        <v>61.533788617886181</v>
      </c>
      <c r="R179" s="1">
        <f t="shared" si="41"/>
        <v>64.267678189048638</v>
      </c>
      <c r="S179" s="1">
        <f t="shared" si="42"/>
        <v>45.622822217675939</v>
      </c>
    </row>
    <row r="180" spans="1:19" x14ac:dyDescent="0.3">
      <c r="A180">
        <v>882</v>
      </c>
      <c r="B180">
        <v>62.248325999999999</v>
      </c>
      <c r="C180">
        <v>65.647611999999995</v>
      </c>
      <c r="D180">
        <v>68.810612000000006</v>
      </c>
      <c r="E180">
        <v>46.016072999999999</v>
      </c>
      <c r="F180">
        <v>24.564716000000001</v>
      </c>
      <c r="G180">
        <v>19.051480000000002</v>
      </c>
      <c r="H180">
        <v>20.387436000000001</v>
      </c>
      <c r="I180" t="s">
        <v>56</v>
      </c>
      <c r="N180"/>
      <c r="O180"/>
      <c r="P180" s="1">
        <f t="shared" si="39"/>
        <v>58.911882113821136</v>
      </c>
      <c r="Q180" s="1">
        <f t="shared" si="40"/>
        <v>61.549595528455278</v>
      </c>
      <c r="R180" s="1">
        <f t="shared" si="41"/>
        <v>64.272115835627616</v>
      </c>
      <c r="S180" s="1">
        <f t="shared" si="42"/>
        <v>45.619016980360058</v>
      </c>
    </row>
    <row r="181" spans="1:19" x14ac:dyDescent="0.3">
      <c r="A181">
        <v>882.2</v>
      </c>
      <c r="B181">
        <v>62.248325999999999</v>
      </c>
      <c r="C181">
        <v>65.647611999999995</v>
      </c>
      <c r="D181">
        <v>68.810612000000006</v>
      </c>
      <c r="E181">
        <v>46.016072999999999</v>
      </c>
      <c r="F181">
        <v>24.564716000000001</v>
      </c>
      <c r="G181">
        <v>19.051480000000002</v>
      </c>
      <c r="H181">
        <v>20.387436000000001</v>
      </c>
      <c r="I181"/>
      <c r="N181"/>
      <c r="O181"/>
      <c r="P181" s="1">
        <f t="shared" si="39"/>
        <v>58.911882113821136</v>
      </c>
      <c r="Q181" s="1">
        <f t="shared" si="40"/>
        <v>61.549595528455278</v>
      </c>
      <c r="R181" s="1">
        <f t="shared" si="41"/>
        <v>64.272115835627616</v>
      </c>
      <c r="S181" s="1">
        <f t="shared" si="42"/>
        <v>45.619016980360058</v>
      </c>
    </row>
    <row r="182" spans="1:19" x14ac:dyDescent="0.3">
      <c r="A182">
        <v>882.4</v>
      </c>
      <c r="B182">
        <v>62.249921000000001</v>
      </c>
      <c r="C182">
        <v>65.634390999999994</v>
      </c>
      <c r="D182">
        <v>68.792900000000003</v>
      </c>
      <c r="E182">
        <v>46.016274000000003</v>
      </c>
      <c r="F182">
        <v>24.557739999999999</v>
      </c>
      <c r="G182">
        <v>19.060282000000001</v>
      </c>
      <c r="H182">
        <v>20.390062</v>
      </c>
      <c r="I182"/>
      <c r="N182"/>
      <c r="O182"/>
      <c r="P182" s="1">
        <f t="shared" si="39"/>
        <v>58.899448170731709</v>
      </c>
      <c r="Q182" s="1">
        <f t="shared" si="40"/>
        <v>61.541404471544716</v>
      </c>
      <c r="R182" s="1">
        <f t="shared" si="41"/>
        <v>64.288273682063831</v>
      </c>
      <c r="S182" s="1">
        <f t="shared" si="42"/>
        <v>45.628324468085111</v>
      </c>
    </row>
    <row r="183" spans="1:19" x14ac:dyDescent="0.3">
      <c r="A183">
        <v>882.6</v>
      </c>
      <c r="B183">
        <v>62.249921000000001</v>
      </c>
      <c r="C183">
        <v>65.634390999999994</v>
      </c>
      <c r="D183">
        <v>68.792900000000003</v>
      </c>
      <c r="E183">
        <v>46.016274000000003</v>
      </c>
      <c r="F183">
        <v>24.557739999999999</v>
      </c>
      <c r="G183">
        <v>19.060282000000001</v>
      </c>
      <c r="H183">
        <v>20.390062</v>
      </c>
      <c r="I183"/>
      <c r="N183"/>
      <c r="O183"/>
      <c r="P183" s="1">
        <f t="shared" si="39"/>
        <v>58.899448170731709</v>
      </c>
      <c r="Q183" s="1">
        <f t="shared" si="40"/>
        <v>61.541404471544716</v>
      </c>
      <c r="R183" s="1">
        <f t="shared" si="41"/>
        <v>64.288273682063831</v>
      </c>
      <c r="S183" s="1">
        <f t="shared" si="42"/>
        <v>45.628324468085111</v>
      </c>
    </row>
    <row r="184" spans="1:19" x14ac:dyDescent="0.3">
      <c r="A184">
        <v>882.8</v>
      </c>
      <c r="B184">
        <v>62.251725</v>
      </c>
      <c r="C184">
        <v>65.624112999999994</v>
      </c>
      <c r="D184">
        <v>68.796504999999996</v>
      </c>
      <c r="E184">
        <v>46.027059999999999</v>
      </c>
      <c r="F184">
        <v>24.490043</v>
      </c>
      <c r="G184">
        <v>19.061534999999999</v>
      </c>
      <c r="H184">
        <v>20.364277000000001</v>
      </c>
      <c r="I184"/>
      <c r="N184"/>
      <c r="O184"/>
      <c r="P184" s="1">
        <f t="shared" si="39"/>
        <v>58.89797256097561</v>
      </c>
      <c r="Q184" s="1">
        <f t="shared" si="40"/>
        <v>61.554320121951214</v>
      </c>
      <c r="R184" s="1">
        <f t="shared" si="41"/>
        <v>64.25875293157948</v>
      </c>
      <c r="S184" s="1">
        <f t="shared" si="42"/>
        <v>45.628894230769234</v>
      </c>
    </row>
    <row r="185" spans="1:19" x14ac:dyDescent="0.3">
      <c r="A185">
        <v>883</v>
      </c>
      <c r="B185">
        <v>62.251725</v>
      </c>
      <c r="C185">
        <v>65.624112999999994</v>
      </c>
      <c r="D185">
        <v>68.796504999999996</v>
      </c>
      <c r="E185">
        <v>46.027059999999999</v>
      </c>
      <c r="F185">
        <v>24.490043</v>
      </c>
      <c r="G185">
        <v>19.061534999999999</v>
      </c>
      <c r="H185">
        <v>20.364277000000001</v>
      </c>
      <c r="I185" t="s">
        <v>56</v>
      </c>
      <c r="N185"/>
      <c r="O185"/>
      <c r="P185" s="1">
        <f t="shared" si="39"/>
        <v>58.89797256097561</v>
      </c>
      <c r="Q185" s="1">
        <f t="shared" si="40"/>
        <v>61.554320121951214</v>
      </c>
      <c r="R185" s="1">
        <f t="shared" si="41"/>
        <v>64.25875293157948</v>
      </c>
      <c r="S185" s="1">
        <f t="shared" si="42"/>
        <v>45.628894230769234</v>
      </c>
    </row>
    <row r="186" spans="1:19" x14ac:dyDescent="0.3">
      <c r="A186">
        <v>883.2</v>
      </c>
      <c r="B186">
        <v>62.260573000000001</v>
      </c>
      <c r="C186">
        <v>65.624257999999998</v>
      </c>
      <c r="D186">
        <v>68.814352999999997</v>
      </c>
      <c r="E186">
        <v>46.033012999999997</v>
      </c>
      <c r="F186">
        <v>24.473137000000001</v>
      </c>
      <c r="G186">
        <v>19.050588999999999</v>
      </c>
      <c r="H186">
        <v>20.372789999999998</v>
      </c>
      <c r="I186"/>
      <c r="N186"/>
      <c r="O186"/>
      <c r="P186" s="1">
        <f t="shared" si="39"/>
        <v>58.899895325203246</v>
      </c>
      <c r="Q186" s="1">
        <f t="shared" si="40"/>
        <v>61.555999999999997</v>
      </c>
      <c r="R186" s="1">
        <f t="shared" si="41"/>
        <v>64.271792597124502</v>
      </c>
      <c r="S186" s="1">
        <f t="shared" si="42"/>
        <v>45.632567512274953</v>
      </c>
    </row>
    <row r="187" spans="1:19" x14ac:dyDescent="0.3">
      <c r="A187">
        <v>883.4</v>
      </c>
      <c r="B187">
        <v>62.260573000000001</v>
      </c>
      <c r="C187">
        <v>65.624257999999998</v>
      </c>
      <c r="D187">
        <v>68.814352999999997</v>
      </c>
      <c r="E187">
        <v>46.033012999999997</v>
      </c>
      <c r="F187">
        <v>24.473137000000001</v>
      </c>
      <c r="G187">
        <v>19.050588999999999</v>
      </c>
      <c r="H187">
        <v>20.372789999999998</v>
      </c>
      <c r="I187"/>
      <c r="N187"/>
      <c r="O187"/>
      <c r="P187" s="1">
        <f t="shared" si="39"/>
        <v>58.899895325203246</v>
      </c>
      <c r="Q187" s="1">
        <f t="shared" si="40"/>
        <v>61.555999999999997</v>
      </c>
      <c r="R187" s="1">
        <f t="shared" si="41"/>
        <v>64.271792597124502</v>
      </c>
      <c r="S187" s="1">
        <f t="shared" si="42"/>
        <v>45.632567512274953</v>
      </c>
    </row>
    <row r="188" spans="1:19" x14ac:dyDescent="0.3">
      <c r="A188">
        <v>883.6</v>
      </c>
      <c r="B188">
        <v>62.241129000000001</v>
      </c>
      <c r="C188">
        <v>65.629745999999997</v>
      </c>
      <c r="D188">
        <v>68.815280999999999</v>
      </c>
      <c r="E188">
        <v>46.023676000000002</v>
      </c>
      <c r="F188">
        <v>24.449825000000001</v>
      </c>
      <c r="G188">
        <v>19.038561000000001</v>
      </c>
      <c r="H188">
        <v>20.388760999999999</v>
      </c>
      <c r="I188"/>
      <c r="N188"/>
      <c r="O188"/>
      <c r="P188" s="1">
        <f t="shared" si="39"/>
        <v>58.911712398373986</v>
      </c>
      <c r="Q188" s="1">
        <f t="shared" si="40"/>
        <v>61.553835365853658</v>
      </c>
      <c r="R188" s="1">
        <f t="shared" si="41"/>
        <v>64.258732537983065</v>
      </c>
      <c r="S188" s="1">
        <f t="shared" si="42"/>
        <v>45.623762274959084</v>
      </c>
    </row>
    <row r="189" spans="1:19" x14ac:dyDescent="0.3">
      <c r="A189">
        <v>883.8</v>
      </c>
      <c r="B189">
        <v>62.241129000000001</v>
      </c>
      <c r="C189">
        <v>65.629745999999997</v>
      </c>
      <c r="D189">
        <v>68.815280999999999</v>
      </c>
      <c r="E189">
        <v>46.023676000000002</v>
      </c>
      <c r="F189">
        <v>24.449825000000001</v>
      </c>
      <c r="G189">
        <v>19.038561000000001</v>
      </c>
      <c r="H189">
        <v>20.388760999999999</v>
      </c>
      <c r="I189"/>
      <c r="N189"/>
      <c r="O189"/>
      <c r="P189" s="1">
        <f t="shared" si="39"/>
        <v>58.911712398373986</v>
      </c>
      <c r="Q189" s="1">
        <f t="shared" si="40"/>
        <v>61.553835365853658</v>
      </c>
      <c r="R189" s="1">
        <f t="shared" si="41"/>
        <v>64.258732537983065</v>
      </c>
      <c r="S189" s="1">
        <f t="shared" si="42"/>
        <v>45.623762274959084</v>
      </c>
    </row>
    <row r="190" spans="1:19" x14ac:dyDescent="0.3">
      <c r="A190">
        <v>884</v>
      </c>
      <c r="B190">
        <v>62.248409000000002</v>
      </c>
      <c r="C190">
        <v>65.644278</v>
      </c>
      <c r="D190">
        <v>68.814098999999999</v>
      </c>
      <c r="E190">
        <v>46.003259</v>
      </c>
      <c r="F190">
        <v>24.446373999999999</v>
      </c>
      <c r="G190">
        <v>19.059380999999998</v>
      </c>
      <c r="H190">
        <v>20.406711000000001</v>
      </c>
      <c r="I190" t="s">
        <v>56</v>
      </c>
      <c r="N190"/>
      <c r="O190"/>
      <c r="P190" s="1">
        <f t="shared" si="39"/>
        <v>58.882519308943088</v>
      </c>
      <c r="Q190" s="1">
        <f t="shared" si="40"/>
        <v>61.545212398373984</v>
      </c>
      <c r="R190" s="1">
        <f t="shared" si="41"/>
        <v>64.281878250229425</v>
      </c>
      <c r="S190" s="1">
        <f t="shared" si="42"/>
        <v>45.607320990180035</v>
      </c>
    </row>
    <row r="191" spans="1:19" x14ac:dyDescent="0.3">
      <c r="A191">
        <v>884.2</v>
      </c>
      <c r="B191">
        <v>62.248409000000002</v>
      </c>
      <c r="C191">
        <v>65.644278</v>
      </c>
      <c r="D191">
        <v>68.814098999999999</v>
      </c>
      <c r="E191">
        <v>46.003259</v>
      </c>
      <c r="F191">
        <v>24.446373999999999</v>
      </c>
      <c r="G191">
        <v>19.059380999999998</v>
      </c>
      <c r="H191">
        <v>20.406711000000001</v>
      </c>
      <c r="I191"/>
      <c r="N191"/>
      <c r="O191"/>
      <c r="P191" s="1">
        <f t="shared" si="39"/>
        <v>58.882519308943088</v>
      </c>
      <c r="Q191" s="1">
        <f t="shared" si="40"/>
        <v>61.545212398373984</v>
      </c>
      <c r="R191" s="1">
        <f t="shared" si="41"/>
        <v>64.281878250229425</v>
      </c>
      <c r="S191" s="1">
        <f t="shared" si="42"/>
        <v>45.607320990180035</v>
      </c>
    </row>
    <row r="192" spans="1:19" x14ac:dyDescent="0.3">
      <c r="A192">
        <v>884.4</v>
      </c>
      <c r="B192">
        <v>62.253756000000003</v>
      </c>
      <c r="C192">
        <v>65.664175</v>
      </c>
      <c r="D192">
        <v>68.837327999999999</v>
      </c>
      <c r="E192">
        <v>46.005409999999998</v>
      </c>
      <c r="F192">
        <v>24.489511</v>
      </c>
      <c r="G192">
        <v>19.069082999999999</v>
      </c>
      <c r="H192">
        <v>20.378457999999998</v>
      </c>
      <c r="I192"/>
      <c r="N192"/>
      <c r="O192"/>
      <c r="P192" s="1">
        <f t="shared" si="39"/>
        <v>58.902468495934961</v>
      </c>
      <c r="Q192" s="1">
        <f t="shared" si="40"/>
        <v>61.545103658536583</v>
      </c>
      <c r="R192" s="1">
        <f t="shared" si="41"/>
        <v>64.262525746915472</v>
      </c>
      <c r="S192" s="1">
        <f t="shared" si="42"/>
        <v>45.627887684124389</v>
      </c>
    </row>
    <row r="193" spans="1:19" x14ac:dyDescent="0.3">
      <c r="A193">
        <v>884.6</v>
      </c>
      <c r="B193">
        <v>62.253756000000003</v>
      </c>
      <c r="C193">
        <v>65.664175</v>
      </c>
      <c r="D193">
        <v>68.837327999999999</v>
      </c>
      <c r="E193">
        <v>46.005409999999998</v>
      </c>
      <c r="F193">
        <v>24.489511</v>
      </c>
      <c r="G193">
        <v>19.069082999999999</v>
      </c>
      <c r="H193">
        <v>20.378457999999998</v>
      </c>
      <c r="I193"/>
      <c r="N193"/>
      <c r="O193"/>
      <c r="P193" s="1">
        <f t="shared" si="39"/>
        <v>64.056407520325195</v>
      </c>
      <c r="Q193" s="1">
        <f t="shared" si="40"/>
        <v>67.49848272357724</v>
      </c>
      <c r="R193" s="1">
        <f t="shared" si="41"/>
        <v>70.981896604466201</v>
      </c>
      <c r="S193" s="1">
        <f t="shared" si="42"/>
        <v>48.014248158756139</v>
      </c>
    </row>
    <row r="194" spans="1:19" x14ac:dyDescent="0.3">
      <c r="A194">
        <v>884.8</v>
      </c>
      <c r="B194">
        <v>62.234113999999998</v>
      </c>
      <c r="C194">
        <v>65.651925000000006</v>
      </c>
      <c r="D194">
        <v>68.824214999999995</v>
      </c>
      <c r="E194">
        <v>46.010862000000003</v>
      </c>
      <c r="F194">
        <v>24.552942000000002</v>
      </c>
      <c r="G194">
        <v>19.051283999999999</v>
      </c>
      <c r="H194">
        <v>20.407636</v>
      </c>
      <c r="I194"/>
      <c r="N194"/>
      <c r="O194"/>
      <c r="P194" s="1">
        <f t="shared" si="39"/>
        <v>64.073929878048787</v>
      </c>
      <c r="Q194" s="1">
        <f t="shared" si="40"/>
        <v>67.486975609756101</v>
      </c>
      <c r="R194" s="1">
        <f t="shared" si="41"/>
        <v>70.990528194147046</v>
      </c>
      <c r="S194" s="1">
        <f t="shared" si="42"/>
        <v>48.057693330605559</v>
      </c>
    </row>
    <row r="195" spans="1:19" x14ac:dyDescent="0.3">
      <c r="A195">
        <v>885</v>
      </c>
      <c r="B195">
        <v>62.234113999999998</v>
      </c>
      <c r="C195">
        <v>65.651925000000006</v>
      </c>
      <c r="D195">
        <v>68.824214999999995</v>
      </c>
      <c r="E195">
        <v>46.010862000000003</v>
      </c>
      <c r="F195">
        <v>24.552942000000002</v>
      </c>
      <c r="G195">
        <v>19.051283999999999</v>
      </c>
      <c r="H195">
        <v>20.407636</v>
      </c>
      <c r="I195" t="s">
        <v>56</v>
      </c>
      <c r="N195"/>
      <c r="O195"/>
      <c r="P195" s="1">
        <f t="shared" si="39"/>
        <v>64.073929878048787</v>
      </c>
      <c r="Q195" s="1">
        <f t="shared" si="40"/>
        <v>67.486975609756101</v>
      </c>
      <c r="R195" s="1">
        <f t="shared" si="41"/>
        <v>70.990528194147046</v>
      </c>
      <c r="S195" s="1">
        <f t="shared" si="42"/>
        <v>48.057693330605559</v>
      </c>
    </row>
    <row r="196" spans="1:19" x14ac:dyDescent="0.3">
      <c r="A196">
        <v>885.2</v>
      </c>
      <c r="B196">
        <v>62.252274999999997</v>
      </c>
      <c r="C196">
        <v>65.646984000000003</v>
      </c>
      <c r="D196">
        <v>68.829504999999997</v>
      </c>
      <c r="E196">
        <v>46.027558999999997</v>
      </c>
      <c r="F196">
        <v>24.513493</v>
      </c>
      <c r="G196">
        <v>19.035712</v>
      </c>
      <c r="H196">
        <v>20.379273999999999</v>
      </c>
      <c r="I196"/>
      <c r="N196"/>
      <c r="O196"/>
      <c r="P196" s="1">
        <f t="shared" si="39"/>
        <v>64.053611788617886</v>
      </c>
      <c r="Q196" s="1">
        <f t="shared" si="40"/>
        <v>67.505655487804887</v>
      </c>
      <c r="R196" s="1">
        <f t="shared" si="41"/>
        <v>70.987679208728451</v>
      </c>
      <c r="S196" s="1">
        <f t="shared" si="42"/>
        <v>48.023815466448447</v>
      </c>
    </row>
    <row r="197" spans="1:19" x14ac:dyDescent="0.3">
      <c r="A197">
        <v>885.4</v>
      </c>
      <c r="B197">
        <v>62.252274999999997</v>
      </c>
      <c r="C197">
        <v>65.646984000000003</v>
      </c>
      <c r="D197">
        <v>68.829504999999997</v>
      </c>
      <c r="E197">
        <v>46.027558999999997</v>
      </c>
      <c r="F197">
        <v>24.513493</v>
      </c>
      <c r="G197">
        <v>19.035712</v>
      </c>
      <c r="H197">
        <v>20.379273999999999</v>
      </c>
      <c r="I197"/>
      <c r="N197"/>
      <c r="O197"/>
      <c r="P197" s="1">
        <f t="shared" si="39"/>
        <v>64.053611788617886</v>
      </c>
      <c r="Q197" s="1">
        <f t="shared" si="40"/>
        <v>67.505655487804887</v>
      </c>
      <c r="R197" s="1">
        <f t="shared" si="41"/>
        <v>70.987679208728451</v>
      </c>
      <c r="S197" s="1">
        <f t="shared" si="42"/>
        <v>48.023815466448447</v>
      </c>
    </row>
    <row r="198" spans="1:19" x14ac:dyDescent="0.3">
      <c r="A198">
        <v>885.6</v>
      </c>
      <c r="B198">
        <v>62.276476000000002</v>
      </c>
      <c r="C198">
        <v>65.665364999999994</v>
      </c>
      <c r="D198">
        <v>68.829435000000004</v>
      </c>
      <c r="E198">
        <v>46.031444</v>
      </c>
      <c r="F198">
        <v>24.493693</v>
      </c>
      <c r="G198">
        <v>19.052306999999999</v>
      </c>
      <c r="H198">
        <v>20.384467999999998</v>
      </c>
      <c r="I198"/>
      <c r="N198"/>
      <c r="O198"/>
      <c r="P198" s="1">
        <f t="shared" si="39"/>
        <v>64.0597825203252</v>
      </c>
      <c r="Q198" s="1">
        <f t="shared" si="40"/>
        <v>67.514341463414638</v>
      </c>
      <c r="R198" s="1">
        <f t="shared" si="41"/>
        <v>70.991039053737126</v>
      </c>
      <c r="S198" s="1">
        <f t="shared" si="42"/>
        <v>48.015418371522095</v>
      </c>
    </row>
    <row r="199" spans="1:19" x14ac:dyDescent="0.3">
      <c r="A199">
        <v>885.8</v>
      </c>
      <c r="B199">
        <v>62.276476000000002</v>
      </c>
      <c r="C199">
        <v>65.665364999999994</v>
      </c>
      <c r="D199">
        <v>68.829435000000004</v>
      </c>
      <c r="E199">
        <v>46.031444</v>
      </c>
      <c r="F199">
        <v>24.493693</v>
      </c>
      <c r="G199">
        <v>19.052306999999999</v>
      </c>
      <c r="H199">
        <v>20.384467999999998</v>
      </c>
      <c r="I199"/>
      <c r="N199"/>
      <c r="O199"/>
      <c r="P199" s="1">
        <f t="shared" si="39"/>
        <v>64.0597825203252</v>
      </c>
      <c r="Q199" s="1">
        <f t="shared" si="40"/>
        <v>67.514341463414638</v>
      </c>
      <c r="R199" s="1">
        <f t="shared" si="41"/>
        <v>70.991039053737126</v>
      </c>
      <c r="S199" s="1">
        <f t="shared" si="42"/>
        <v>48.015418371522095</v>
      </c>
    </row>
    <row r="200" spans="1:19" x14ac:dyDescent="0.3">
      <c r="A200">
        <v>886</v>
      </c>
      <c r="B200">
        <v>62.282611000000003</v>
      </c>
      <c r="C200">
        <v>65.675341000000003</v>
      </c>
      <c r="D200">
        <v>68.814408</v>
      </c>
      <c r="E200">
        <v>46.054268999999998</v>
      </c>
      <c r="F200">
        <v>24.435972</v>
      </c>
      <c r="G200">
        <v>19.032520000000002</v>
      </c>
      <c r="H200">
        <v>20.352370000000001</v>
      </c>
      <c r="I200" t="s">
        <v>56</v>
      </c>
      <c r="N200"/>
      <c r="O200"/>
      <c r="P200" s="1">
        <f t="shared" si="39"/>
        <v>64.061403455284548</v>
      </c>
      <c r="Q200" s="1">
        <f t="shared" si="40"/>
        <v>67.500905487804872</v>
      </c>
      <c r="R200" s="1">
        <f t="shared" si="41"/>
        <v>70.972978484755785</v>
      </c>
      <c r="S200" s="1">
        <f t="shared" si="42"/>
        <v>48.015623977086747</v>
      </c>
    </row>
    <row r="201" spans="1:19" x14ac:dyDescent="0.3">
      <c r="A201">
        <v>886.2</v>
      </c>
      <c r="B201">
        <v>62.282611000000003</v>
      </c>
      <c r="C201">
        <v>65.675341000000003</v>
      </c>
      <c r="D201">
        <v>68.814408</v>
      </c>
      <c r="E201">
        <v>46.054268999999998</v>
      </c>
      <c r="F201">
        <v>24.435972</v>
      </c>
      <c r="G201">
        <v>19.032520000000002</v>
      </c>
      <c r="H201">
        <v>20.352370000000001</v>
      </c>
      <c r="I201"/>
      <c r="N201"/>
      <c r="O201"/>
      <c r="P201" s="1">
        <f t="shared" si="39"/>
        <v>64.061403455284548</v>
      </c>
      <c r="Q201" s="1">
        <f t="shared" si="40"/>
        <v>67.500905487804872</v>
      </c>
      <c r="R201" s="1">
        <f t="shared" si="41"/>
        <v>70.972978484755785</v>
      </c>
      <c r="S201" s="1">
        <f t="shared" si="42"/>
        <v>48.015623977086747</v>
      </c>
    </row>
    <row r="202" spans="1:19" x14ac:dyDescent="0.3">
      <c r="A202">
        <v>886.4</v>
      </c>
      <c r="B202">
        <v>62.258372999999999</v>
      </c>
      <c r="C202">
        <v>65.665807000000001</v>
      </c>
      <c r="D202">
        <v>68.828059999999994</v>
      </c>
      <c r="E202">
        <v>46.025402999999997</v>
      </c>
      <c r="F202">
        <v>24.380663999999999</v>
      </c>
      <c r="G202">
        <v>19.026983000000001</v>
      </c>
      <c r="H202">
        <v>20.358696999999999</v>
      </c>
      <c r="I202"/>
      <c r="N202"/>
      <c r="O202"/>
      <c r="P202" s="1">
        <f t="shared" si="39"/>
        <v>64.063236788617886</v>
      </c>
      <c r="Q202" s="1">
        <f t="shared" si="40"/>
        <v>67.490460365853664</v>
      </c>
      <c r="R202" s="1">
        <f t="shared" si="41"/>
        <v>70.976654430508816</v>
      </c>
      <c r="S202" s="1">
        <f t="shared" si="42"/>
        <v>48.026657119476269</v>
      </c>
    </row>
    <row r="203" spans="1:19" x14ac:dyDescent="0.3">
      <c r="A203">
        <v>886.6</v>
      </c>
      <c r="B203">
        <v>62.258372999999999</v>
      </c>
      <c r="C203">
        <v>65.665807000000001</v>
      </c>
      <c r="D203">
        <v>68.828059999999994</v>
      </c>
      <c r="E203">
        <v>46.025402999999997</v>
      </c>
      <c r="F203">
        <v>24.380663999999999</v>
      </c>
      <c r="G203">
        <v>19.026983000000001</v>
      </c>
      <c r="H203">
        <v>20.358696999999999</v>
      </c>
      <c r="I203"/>
      <c r="N203"/>
      <c r="O203"/>
      <c r="P203" s="1">
        <f t="shared" si="39"/>
        <v>64.063236788617886</v>
      </c>
      <c r="Q203" s="1">
        <f t="shared" si="40"/>
        <v>67.490460365853664</v>
      </c>
      <c r="R203" s="1">
        <f t="shared" si="41"/>
        <v>70.976654430508816</v>
      </c>
      <c r="S203" s="1">
        <f t="shared" si="42"/>
        <v>48.026657119476269</v>
      </c>
    </row>
    <row r="204" spans="1:19" x14ac:dyDescent="0.3">
      <c r="A204">
        <v>886.8</v>
      </c>
      <c r="B204">
        <v>62.267702999999997</v>
      </c>
      <c r="C204">
        <v>65.660966000000002</v>
      </c>
      <c r="D204">
        <v>68.826414</v>
      </c>
      <c r="E204">
        <v>46.015579000000002</v>
      </c>
      <c r="F204">
        <v>24.415171000000001</v>
      </c>
      <c r="G204">
        <v>19.039109</v>
      </c>
      <c r="H204">
        <v>20.417293000000001</v>
      </c>
      <c r="I204"/>
      <c r="N204"/>
      <c r="O204"/>
      <c r="P204" s="1">
        <f t="shared" si="39"/>
        <v>64.072228658536588</v>
      </c>
      <c r="Q204" s="1">
        <f t="shared" si="40"/>
        <v>67.490607723577241</v>
      </c>
      <c r="R204" s="1">
        <f t="shared" si="41"/>
        <v>70.994853675945748</v>
      </c>
      <c r="S204" s="1">
        <f t="shared" si="42"/>
        <v>48.032746522094925</v>
      </c>
    </row>
    <row r="205" spans="1:19" x14ac:dyDescent="0.3">
      <c r="A205">
        <v>887</v>
      </c>
      <c r="B205">
        <v>62.267702999999997</v>
      </c>
      <c r="C205">
        <v>65.660966000000002</v>
      </c>
      <c r="D205">
        <v>68.826414</v>
      </c>
      <c r="E205">
        <v>46.015579000000002</v>
      </c>
      <c r="F205">
        <v>24.415171000000001</v>
      </c>
      <c r="G205">
        <v>19.039109</v>
      </c>
      <c r="H205">
        <v>20.417293000000001</v>
      </c>
      <c r="I205" t="s">
        <v>56</v>
      </c>
      <c r="N205"/>
      <c r="O205"/>
      <c r="P205" s="1">
        <f t="shared" si="39"/>
        <v>64.072228658536588</v>
      </c>
      <c r="Q205" s="1">
        <f t="shared" si="40"/>
        <v>67.490607723577241</v>
      </c>
      <c r="R205" s="1">
        <f t="shared" si="41"/>
        <v>70.994853675945748</v>
      </c>
      <c r="S205" s="1">
        <f t="shared" si="42"/>
        <v>48.032746522094925</v>
      </c>
    </row>
    <row r="206" spans="1:19" x14ac:dyDescent="0.3">
      <c r="A206">
        <v>887.2</v>
      </c>
      <c r="B206">
        <v>62.258639000000002</v>
      </c>
      <c r="C206">
        <v>65.669717000000006</v>
      </c>
      <c r="D206">
        <v>68.818110000000004</v>
      </c>
      <c r="E206">
        <v>46.024813000000002</v>
      </c>
      <c r="F206">
        <v>24.436319000000001</v>
      </c>
      <c r="G206">
        <v>19.042359999999999</v>
      </c>
      <c r="H206">
        <v>20.386389000000001</v>
      </c>
      <c r="I206"/>
      <c r="N206"/>
      <c r="O206"/>
      <c r="P206" s="1">
        <f t="shared" si="39"/>
        <v>64.05246849593496</v>
      </c>
      <c r="Q206" s="1">
        <f t="shared" si="40"/>
        <v>67.496184959349591</v>
      </c>
      <c r="R206" s="1">
        <f t="shared" si="41"/>
        <v>70.995799938819204</v>
      </c>
      <c r="S206" s="1">
        <f t="shared" si="42"/>
        <v>48.023195581014733</v>
      </c>
    </row>
    <row r="207" spans="1:19" x14ac:dyDescent="0.3">
      <c r="A207">
        <v>887.4</v>
      </c>
      <c r="B207">
        <v>62.258639000000002</v>
      </c>
      <c r="C207">
        <v>65.669717000000006</v>
      </c>
      <c r="D207">
        <v>68.818110000000004</v>
      </c>
      <c r="E207">
        <v>46.024813000000002</v>
      </c>
      <c r="F207">
        <v>24.436319000000001</v>
      </c>
      <c r="G207">
        <v>19.042359999999999</v>
      </c>
      <c r="H207">
        <v>20.386389000000001</v>
      </c>
      <c r="I207"/>
      <c r="N207"/>
      <c r="O207"/>
      <c r="P207" s="1">
        <f t="shared" si="39"/>
        <v>64.05246849593496</v>
      </c>
      <c r="Q207" s="1">
        <f t="shared" si="40"/>
        <v>67.496184959349591</v>
      </c>
      <c r="R207" s="1">
        <f t="shared" si="41"/>
        <v>70.995799938819204</v>
      </c>
      <c r="S207" s="1">
        <f t="shared" si="42"/>
        <v>48.023195581014733</v>
      </c>
    </row>
    <row r="208" spans="1:19" x14ac:dyDescent="0.3">
      <c r="A208">
        <v>887.6</v>
      </c>
      <c r="B208">
        <v>62.304592999999997</v>
      </c>
      <c r="C208">
        <v>65.661216999999994</v>
      </c>
      <c r="D208">
        <v>68.837784999999997</v>
      </c>
      <c r="E208">
        <v>46.052397999999997</v>
      </c>
      <c r="F208">
        <v>24.44265</v>
      </c>
      <c r="G208">
        <v>19.058088999999999</v>
      </c>
      <c r="H208">
        <v>20.376961999999999</v>
      </c>
      <c r="I208"/>
      <c r="N208"/>
      <c r="O208"/>
      <c r="P208" s="1">
        <f t="shared" si="39"/>
        <v>64.059866869918693</v>
      </c>
      <c r="Q208" s="1">
        <f t="shared" si="40"/>
        <v>67.510953252032522</v>
      </c>
      <c r="R208" s="1">
        <f t="shared" si="41"/>
        <v>70.994594677271337</v>
      </c>
      <c r="S208" s="1">
        <f t="shared" si="42"/>
        <v>48.002310761047461</v>
      </c>
    </row>
    <row r="209" spans="1:19" x14ac:dyDescent="0.3">
      <c r="A209">
        <v>887.8</v>
      </c>
      <c r="B209">
        <v>62.304592999999997</v>
      </c>
      <c r="C209">
        <v>65.661216999999994</v>
      </c>
      <c r="D209">
        <v>68.837784999999997</v>
      </c>
      <c r="E209">
        <v>46.052397999999997</v>
      </c>
      <c r="F209">
        <v>24.44265</v>
      </c>
      <c r="G209">
        <v>19.058088999999999</v>
      </c>
      <c r="H209">
        <v>20.376961999999999</v>
      </c>
      <c r="I209"/>
      <c r="N209"/>
      <c r="O209"/>
      <c r="P209" s="1">
        <f t="shared" si="39"/>
        <v>64.059866869918693</v>
      </c>
      <c r="Q209" s="1">
        <f t="shared" si="40"/>
        <v>67.510953252032522</v>
      </c>
      <c r="R209" s="1">
        <f t="shared" si="41"/>
        <v>70.994594677271337</v>
      </c>
      <c r="S209" s="1">
        <f t="shared" si="42"/>
        <v>48.002310761047461</v>
      </c>
    </row>
    <row r="210" spans="1:19" x14ac:dyDescent="0.3">
      <c r="A210">
        <v>888</v>
      </c>
      <c r="B210">
        <v>62.270218999999997</v>
      </c>
      <c r="C210">
        <v>65.651167000000001</v>
      </c>
      <c r="D210">
        <v>68.836169999999996</v>
      </c>
      <c r="E210">
        <v>46.060065000000002</v>
      </c>
      <c r="F210">
        <v>24.500271000000001</v>
      </c>
      <c r="G210">
        <v>19.045487999999999</v>
      </c>
      <c r="H210">
        <v>20.390937000000001</v>
      </c>
      <c r="I210" t="s">
        <v>56</v>
      </c>
      <c r="N210"/>
      <c r="O210"/>
      <c r="P210" s="1">
        <f t="shared" si="39"/>
        <v>64.065300813008136</v>
      </c>
      <c r="Q210" s="1">
        <f t="shared" si="40"/>
        <v>67.531173780487805</v>
      </c>
      <c r="R210" s="1">
        <f t="shared" si="41"/>
        <v>71.018280819822579</v>
      </c>
      <c r="S210" s="1">
        <f t="shared" si="42"/>
        <v>48.004511047463168</v>
      </c>
    </row>
    <row r="211" spans="1:19" x14ac:dyDescent="0.3">
      <c r="A211">
        <v>888.2</v>
      </c>
      <c r="B211">
        <v>62.270218999999997</v>
      </c>
      <c r="C211">
        <v>65.651167000000001</v>
      </c>
      <c r="D211">
        <v>68.836169999999996</v>
      </c>
      <c r="E211">
        <v>46.060065000000002</v>
      </c>
      <c r="F211">
        <v>24.500271000000001</v>
      </c>
      <c r="G211">
        <v>19.045487999999999</v>
      </c>
      <c r="H211">
        <v>20.390937000000001</v>
      </c>
      <c r="I211"/>
      <c r="N211"/>
      <c r="O211"/>
      <c r="P211" s="1">
        <f t="shared" si="39"/>
        <v>64.065300813008136</v>
      </c>
      <c r="Q211" s="1">
        <f t="shared" si="40"/>
        <v>67.531173780487805</v>
      </c>
      <c r="R211" s="1">
        <f t="shared" si="41"/>
        <v>71.018280819822579</v>
      </c>
      <c r="S211" s="1">
        <f t="shared" si="42"/>
        <v>48.004511047463168</v>
      </c>
    </row>
    <row r="212" spans="1:19" x14ac:dyDescent="0.3">
      <c r="A212">
        <v>888.4</v>
      </c>
      <c r="B212">
        <v>62.272880000000001</v>
      </c>
      <c r="C212">
        <v>65.666798999999997</v>
      </c>
      <c r="D212">
        <v>68.853105999999997</v>
      </c>
      <c r="E212">
        <v>46.057284000000003</v>
      </c>
      <c r="F212">
        <v>24.567709000000001</v>
      </c>
      <c r="G212">
        <v>19.034958</v>
      </c>
      <c r="H212">
        <v>20.394648</v>
      </c>
      <c r="I212"/>
      <c r="N212"/>
      <c r="O212"/>
      <c r="P212" s="1">
        <f t="shared" si="39"/>
        <v>64.045339430894302</v>
      </c>
      <c r="Q212" s="1">
        <f t="shared" si="40"/>
        <v>67.518724593495946</v>
      </c>
      <c r="R212" s="1">
        <f t="shared" si="41"/>
        <v>71.00490975833587</v>
      </c>
      <c r="S212" s="1">
        <f t="shared" si="42"/>
        <v>48.010087970540098</v>
      </c>
    </row>
    <row r="213" spans="1:19" x14ac:dyDescent="0.3">
      <c r="A213">
        <v>888.6</v>
      </c>
      <c r="B213">
        <v>62.272880000000001</v>
      </c>
      <c r="C213">
        <v>65.666798999999997</v>
      </c>
      <c r="D213">
        <v>68.853105999999997</v>
      </c>
      <c r="E213">
        <v>46.057284000000003</v>
      </c>
      <c r="F213">
        <v>24.567709000000001</v>
      </c>
      <c r="G213">
        <v>19.034958</v>
      </c>
      <c r="H213">
        <v>20.394648</v>
      </c>
      <c r="I213"/>
      <c r="N213"/>
      <c r="O213"/>
      <c r="P213" s="1">
        <f t="shared" si="39"/>
        <v>64.045339430894302</v>
      </c>
      <c r="Q213" s="1">
        <f t="shared" si="40"/>
        <v>67.518724593495946</v>
      </c>
      <c r="R213" s="1">
        <f t="shared" si="41"/>
        <v>71.00490975833587</v>
      </c>
      <c r="S213" s="1">
        <f t="shared" si="42"/>
        <v>48.010087970540098</v>
      </c>
    </row>
    <row r="214" spans="1:19" x14ac:dyDescent="0.3">
      <c r="A214">
        <v>888.8</v>
      </c>
      <c r="B214">
        <v>62.275844999999997</v>
      </c>
      <c r="C214">
        <v>65.662687000000005</v>
      </c>
      <c r="D214">
        <v>68.867620000000002</v>
      </c>
      <c r="E214">
        <v>46.035237000000002</v>
      </c>
      <c r="F214">
        <v>24.693048000000001</v>
      </c>
      <c r="G214">
        <v>19.039183000000001</v>
      </c>
      <c r="H214">
        <v>20.399816999999999</v>
      </c>
      <c r="I214"/>
      <c r="N214"/>
      <c r="O214"/>
      <c r="P214" s="1">
        <f t="shared" si="39"/>
        <v>64.063795731707316</v>
      </c>
      <c r="Q214" s="1">
        <f t="shared" si="40"/>
        <v>67.513703252032528</v>
      </c>
      <c r="R214" s="1">
        <f t="shared" si="41"/>
        <v>71.010303864586518</v>
      </c>
      <c r="S214" s="1">
        <f t="shared" si="42"/>
        <v>48.027167553191482</v>
      </c>
    </row>
    <row r="215" spans="1:19" x14ac:dyDescent="0.3">
      <c r="A215">
        <v>889</v>
      </c>
      <c r="B215">
        <v>62.275844999999997</v>
      </c>
      <c r="C215">
        <v>65.662687000000005</v>
      </c>
      <c r="D215">
        <v>68.867620000000002</v>
      </c>
      <c r="E215">
        <v>46.035237000000002</v>
      </c>
      <c r="F215">
        <v>24.693048000000001</v>
      </c>
      <c r="G215">
        <v>19.039183000000001</v>
      </c>
      <c r="H215">
        <v>20.399816999999999</v>
      </c>
      <c r="I215" t="s">
        <v>56</v>
      </c>
      <c r="N215"/>
      <c r="O215"/>
      <c r="P215" s="1">
        <f t="shared" si="39"/>
        <v>64.063795731707316</v>
      </c>
      <c r="Q215" s="1">
        <f t="shared" si="40"/>
        <v>67.513703252032528</v>
      </c>
      <c r="R215" s="1">
        <f t="shared" si="41"/>
        <v>71.010303864586518</v>
      </c>
      <c r="S215" s="1">
        <f t="shared" si="42"/>
        <v>48.027167553191482</v>
      </c>
    </row>
    <row r="216" spans="1:19" x14ac:dyDescent="0.3">
      <c r="A216">
        <v>889.2</v>
      </c>
      <c r="B216">
        <v>62.274171000000003</v>
      </c>
      <c r="C216">
        <v>65.678561999999999</v>
      </c>
      <c r="D216">
        <v>68.836681999999996</v>
      </c>
      <c r="E216">
        <v>46.03933</v>
      </c>
      <c r="F216">
        <v>24.800373</v>
      </c>
      <c r="G216">
        <v>19.037077</v>
      </c>
      <c r="H216">
        <v>20.387753</v>
      </c>
      <c r="I216"/>
      <c r="N216"/>
      <c r="O216"/>
      <c r="P216" s="1">
        <f t="shared" si="39"/>
        <v>64.088390243902438</v>
      </c>
      <c r="Q216" s="1">
        <f t="shared" si="40"/>
        <v>67.5323831300813</v>
      </c>
      <c r="R216" s="1">
        <f t="shared" si="41"/>
        <v>71.010232486999087</v>
      </c>
      <c r="S216" s="1">
        <f t="shared" si="42"/>
        <v>48.031141571194759</v>
      </c>
    </row>
    <row r="217" spans="1:19" x14ac:dyDescent="0.3">
      <c r="A217">
        <v>889.4</v>
      </c>
      <c r="B217">
        <v>62.274171000000003</v>
      </c>
      <c r="C217">
        <v>65.678561999999999</v>
      </c>
      <c r="D217">
        <v>68.836681999999996</v>
      </c>
      <c r="E217">
        <v>46.03933</v>
      </c>
      <c r="F217">
        <v>24.800373</v>
      </c>
      <c r="G217">
        <v>19.037077</v>
      </c>
      <c r="H217">
        <v>20.387753</v>
      </c>
      <c r="I217"/>
      <c r="N217"/>
      <c r="O217"/>
      <c r="P217" s="1">
        <f t="shared" si="39"/>
        <v>64.088390243902438</v>
      </c>
      <c r="Q217" s="1">
        <f t="shared" si="40"/>
        <v>67.5323831300813</v>
      </c>
      <c r="R217" s="1">
        <f t="shared" si="41"/>
        <v>71.010232486999087</v>
      </c>
      <c r="S217" s="1">
        <f t="shared" si="42"/>
        <v>48.031141571194759</v>
      </c>
    </row>
    <row r="218" spans="1:19" x14ac:dyDescent="0.3">
      <c r="A218">
        <v>889.6</v>
      </c>
      <c r="B218">
        <v>62.287900999999998</v>
      </c>
      <c r="C218">
        <v>65.696776999999997</v>
      </c>
      <c r="D218">
        <v>68.866632999999993</v>
      </c>
      <c r="E218">
        <v>46.048262000000001</v>
      </c>
      <c r="F218">
        <v>24.829014999999998</v>
      </c>
      <c r="G218">
        <v>19.037742999999999</v>
      </c>
      <c r="H218">
        <v>20.392213000000002</v>
      </c>
      <c r="I218"/>
      <c r="N218"/>
      <c r="O218"/>
      <c r="P218" s="1">
        <f t="shared" si="39"/>
        <v>64.094624999999994</v>
      </c>
      <c r="Q218" s="1">
        <f t="shared" si="40"/>
        <v>67.542521341463427</v>
      </c>
      <c r="R218" s="1">
        <f t="shared" si="41"/>
        <v>70.994909758335879</v>
      </c>
      <c r="S218" s="1">
        <f t="shared" si="42"/>
        <v>48.054489566284772</v>
      </c>
    </row>
    <row r="219" spans="1:19" x14ac:dyDescent="0.3">
      <c r="A219">
        <v>889.8</v>
      </c>
      <c r="B219">
        <v>62.287900999999998</v>
      </c>
      <c r="C219">
        <v>65.696776999999997</v>
      </c>
      <c r="D219">
        <v>68.866632999999993</v>
      </c>
      <c r="E219">
        <v>46.048262000000001</v>
      </c>
      <c r="F219">
        <v>24.829014999999998</v>
      </c>
      <c r="G219">
        <v>19.037742999999999</v>
      </c>
      <c r="H219">
        <v>20.392213000000002</v>
      </c>
      <c r="I219"/>
      <c r="N219"/>
      <c r="O219"/>
      <c r="P219" s="1">
        <f t="shared" si="39"/>
        <v>64.094624999999994</v>
      </c>
      <c r="Q219" s="1">
        <f t="shared" si="40"/>
        <v>67.542521341463427</v>
      </c>
      <c r="R219" s="1">
        <f t="shared" si="41"/>
        <v>70.994909758335879</v>
      </c>
      <c r="S219" s="1">
        <f t="shared" si="42"/>
        <v>48.054489566284772</v>
      </c>
    </row>
    <row r="220" spans="1:19" x14ac:dyDescent="0.3">
      <c r="A220">
        <v>890</v>
      </c>
      <c r="B220">
        <v>62.267937000000003</v>
      </c>
      <c r="C220">
        <v>65.672360999999995</v>
      </c>
      <c r="D220">
        <v>68.857286000000002</v>
      </c>
      <c r="E220">
        <v>46.051549999999999</v>
      </c>
      <c r="F220">
        <v>24.768508000000001</v>
      </c>
      <c r="G220">
        <v>19.056507</v>
      </c>
      <c r="H220">
        <v>20.408110000000001</v>
      </c>
      <c r="I220" t="s">
        <v>56</v>
      </c>
      <c r="N220"/>
      <c r="O220"/>
      <c r="P220" s="1">
        <f t="shared" si="39"/>
        <v>64.069992886178852</v>
      </c>
      <c r="Q220" s="1">
        <f t="shared" si="40"/>
        <v>67.532832317073172</v>
      </c>
      <c r="R220" s="1">
        <f t="shared" si="41"/>
        <v>71.00883042724584</v>
      </c>
      <c r="S220" s="1">
        <f t="shared" si="42"/>
        <v>48.02496215220949</v>
      </c>
    </row>
    <row r="221" spans="1:19" x14ac:dyDescent="0.3">
      <c r="A221">
        <v>890.2</v>
      </c>
      <c r="B221">
        <v>62.267937000000003</v>
      </c>
      <c r="C221">
        <v>65.672360999999995</v>
      </c>
      <c r="D221">
        <v>68.857286000000002</v>
      </c>
      <c r="E221">
        <v>46.051549999999999</v>
      </c>
      <c r="F221">
        <v>24.768508000000001</v>
      </c>
      <c r="G221">
        <v>19.056507</v>
      </c>
      <c r="H221">
        <v>20.408110000000001</v>
      </c>
      <c r="I221"/>
      <c r="N221"/>
      <c r="O221"/>
      <c r="P221" s="1">
        <f t="shared" si="39"/>
        <v>64.069992886178852</v>
      </c>
      <c r="Q221" s="1">
        <f t="shared" si="40"/>
        <v>67.532832317073172</v>
      </c>
      <c r="R221" s="1">
        <f t="shared" si="41"/>
        <v>71.00883042724584</v>
      </c>
      <c r="S221" s="1">
        <f t="shared" si="42"/>
        <v>48.02496215220949</v>
      </c>
    </row>
    <row r="222" spans="1:19" x14ac:dyDescent="0.3">
      <c r="A222">
        <v>890.4</v>
      </c>
      <c r="B222">
        <v>62.280487000000001</v>
      </c>
      <c r="C222">
        <v>65.685756999999995</v>
      </c>
      <c r="D222">
        <v>68.855879999999999</v>
      </c>
      <c r="E222">
        <v>46.051093999999999</v>
      </c>
      <c r="F222">
        <v>24.752053</v>
      </c>
      <c r="G222">
        <v>19.044577</v>
      </c>
      <c r="H222">
        <v>20.389078999999999</v>
      </c>
      <c r="I222"/>
      <c r="N222"/>
      <c r="O222"/>
      <c r="P222" s="1">
        <f t="shared" si="39"/>
        <v>64.079474593495931</v>
      </c>
      <c r="Q222" s="1">
        <f t="shared" si="40"/>
        <v>67.527912601626028</v>
      </c>
      <c r="R222" s="1">
        <f t="shared" si="41"/>
        <v>71.007152034261239</v>
      </c>
      <c r="S222" s="1">
        <f t="shared" si="42"/>
        <v>48.01491305237316</v>
      </c>
    </row>
    <row r="223" spans="1:19" x14ac:dyDescent="0.3">
      <c r="A223">
        <v>890.6</v>
      </c>
      <c r="B223">
        <v>62.280487000000001</v>
      </c>
      <c r="C223">
        <v>65.685756999999995</v>
      </c>
      <c r="D223">
        <v>68.855879999999999</v>
      </c>
      <c r="E223">
        <v>46.051093999999999</v>
      </c>
      <c r="F223">
        <v>24.752053</v>
      </c>
      <c r="G223">
        <v>19.044577</v>
      </c>
      <c r="H223">
        <v>20.389078999999999</v>
      </c>
      <c r="I223"/>
      <c r="N223"/>
      <c r="O223"/>
      <c r="P223" s="1">
        <f t="shared" si="39"/>
        <v>64.079474593495931</v>
      </c>
      <c r="Q223" s="1">
        <f t="shared" si="40"/>
        <v>67.527912601626028</v>
      </c>
      <c r="R223" s="1">
        <f t="shared" si="41"/>
        <v>71.007152034261239</v>
      </c>
      <c r="S223" s="1">
        <f t="shared" si="42"/>
        <v>48.01491305237316</v>
      </c>
    </row>
    <row r="224" spans="1:19" x14ac:dyDescent="0.3">
      <c r="A224">
        <v>890.8</v>
      </c>
      <c r="B224">
        <v>62.270995999999997</v>
      </c>
      <c r="C224">
        <v>65.669936000000007</v>
      </c>
      <c r="D224">
        <v>68.873026999999993</v>
      </c>
      <c r="E224">
        <v>46.053078999999997</v>
      </c>
      <c r="F224">
        <v>24.868295</v>
      </c>
      <c r="G224">
        <v>19.044612000000001</v>
      </c>
      <c r="H224">
        <v>20.372512</v>
      </c>
      <c r="I224"/>
      <c r="N224"/>
      <c r="O224"/>
      <c r="P224" s="1">
        <f t="shared" si="39"/>
        <v>64.070263211382112</v>
      </c>
      <c r="Q224" s="1">
        <f t="shared" si="40"/>
        <v>67.536805894308955</v>
      </c>
      <c r="R224" s="1">
        <f t="shared" si="41"/>
        <v>70.998684613031514</v>
      </c>
      <c r="S224" s="1">
        <f t="shared" si="42"/>
        <v>48.024358633387891</v>
      </c>
    </row>
    <row r="225" spans="1:19" x14ac:dyDescent="0.3">
      <c r="A225">
        <v>900</v>
      </c>
      <c r="B225">
        <v>62.319907000000001</v>
      </c>
      <c r="C225">
        <v>65.755724999999998</v>
      </c>
      <c r="D225">
        <v>68.929905000000005</v>
      </c>
      <c r="E225">
        <v>46.080438999999998</v>
      </c>
      <c r="F225">
        <v>24.446946000000001</v>
      </c>
      <c r="G225">
        <v>19.059469</v>
      </c>
      <c r="H225">
        <v>20.398261999999999</v>
      </c>
      <c r="I225" t="s">
        <v>56</v>
      </c>
      <c r="N225"/>
      <c r="O225"/>
      <c r="P225" s="1">
        <f t="shared" si="39"/>
        <v>64.070263211382112</v>
      </c>
      <c r="Q225" s="1">
        <f t="shared" si="40"/>
        <v>67.536805894308955</v>
      </c>
      <c r="R225" s="1">
        <f t="shared" si="41"/>
        <v>70.998684613031514</v>
      </c>
      <c r="S225" s="1">
        <f t="shared" si="42"/>
        <v>48.024358633387891</v>
      </c>
    </row>
    <row r="226" spans="1:19" x14ac:dyDescent="0.3">
      <c r="A226">
        <v>900.2</v>
      </c>
      <c r="B226">
        <v>62.319907000000001</v>
      </c>
      <c r="C226">
        <v>65.755724999999998</v>
      </c>
      <c r="D226">
        <v>68.929905000000005</v>
      </c>
      <c r="E226">
        <v>46.080438999999998</v>
      </c>
      <c r="F226">
        <v>24.446946000000001</v>
      </c>
      <c r="G226">
        <v>19.059469</v>
      </c>
      <c r="H226">
        <v>20.398261999999999</v>
      </c>
      <c r="I226"/>
      <c r="N226"/>
      <c r="O226"/>
      <c r="P226" s="1">
        <f t="shared" si="39"/>
        <v>64.116964430894299</v>
      </c>
      <c r="Q226" s="1">
        <f t="shared" si="40"/>
        <v>67.528167682926821</v>
      </c>
      <c r="R226" s="1">
        <f t="shared" si="41"/>
        <v>71.018746813500556</v>
      </c>
      <c r="S226" s="1">
        <f t="shared" si="42"/>
        <v>48.052575695581012</v>
      </c>
    </row>
    <row r="227" spans="1:19" x14ac:dyDescent="0.3">
      <c r="A227">
        <v>900.4</v>
      </c>
      <c r="B227">
        <v>62.318497999999998</v>
      </c>
      <c r="C227">
        <v>65.750221999999994</v>
      </c>
      <c r="D227">
        <v>68.926237999999998</v>
      </c>
      <c r="E227">
        <v>46.066062000000002</v>
      </c>
      <c r="F227">
        <v>24.349260000000001</v>
      </c>
      <c r="G227">
        <v>19.060174</v>
      </c>
      <c r="H227">
        <v>20.403234999999999</v>
      </c>
      <c r="I227"/>
      <c r="N227"/>
      <c r="O227"/>
      <c r="P227" s="1">
        <f t="shared" si="39"/>
        <v>64.116964430894299</v>
      </c>
      <c r="Q227" s="1">
        <f t="shared" si="40"/>
        <v>67.528167682926821</v>
      </c>
      <c r="R227" s="1">
        <f t="shared" si="41"/>
        <v>71.018746813500556</v>
      </c>
      <c r="S227" s="1">
        <f t="shared" si="42"/>
        <v>48.052575695581012</v>
      </c>
    </row>
    <row r="228" spans="1:19" x14ac:dyDescent="0.3">
      <c r="A228">
        <v>900.6</v>
      </c>
      <c r="B228">
        <v>62.318497999999998</v>
      </c>
      <c r="C228">
        <v>65.750221999999994</v>
      </c>
      <c r="D228">
        <v>68.926237999999998</v>
      </c>
      <c r="E228">
        <v>46.066062000000002</v>
      </c>
      <c r="F228">
        <v>24.349260000000001</v>
      </c>
      <c r="G228">
        <v>19.060174</v>
      </c>
      <c r="H228">
        <v>20.403234999999999</v>
      </c>
      <c r="I228"/>
      <c r="N228"/>
      <c r="O228"/>
      <c r="P228" s="1">
        <f t="shared" si="39"/>
        <v>64.082031504065029</v>
      </c>
      <c r="Q228" s="1">
        <f t="shared" si="40"/>
        <v>67.517954268292684</v>
      </c>
      <c r="R228" s="1">
        <f t="shared" si="41"/>
        <v>71.017100030590385</v>
      </c>
      <c r="S228" s="1">
        <f t="shared" si="42"/>
        <v>48.060418371522097</v>
      </c>
    </row>
    <row r="229" spans="1:19" x14ac:dyDescent="0.3">
      <c r="A229">
        <v>900.8</v>
      </c>
      <c r="B229">
        <v>62.346099000000002</v>
      </c>
      <c r="C229">
        <v>65.733260999999999</v>
      </c>
      <c r="D229">
        <v>68.936801000000003</v>
      </c>
      <c r="E229">
        <v>46.061393000000002</v>
      </c>
      <c r="F229">
        <v>24.323509000000001</v>
      </c>
      <c r="G229">
        <v>19.031502</v>
      </c>
      <c r="H229">
        <v>20.418232</v>
      </c>
      <c r="I229"/>
      <c r="N229"/>
      <c r="O229"/>
      <c r="P229" s="1">
        <f t="shared" si="39"/>
        <v>64.082031504065029</v>
      </c>
      <c r="Q229" s="1">
        <f t="shared" si="40"/>
        <v>67.517954268292684</v>
      </c>
      <c r="R229" s="1">
        <f t="shared" si="41"/>
        <v>71.017100030590385</v>
      </c>
      <c r="S229" s="1">
        <f t="shared" si="42"/>
        <v>48.060418371522097</v>
      </c>
    </row>
    <row r="230" spans="1:19" x14ac:dyDescent="0.3">
      <c r="A230">
        <v>901</v>
      </c>
      <c r="B230">
        <v>62.346099000000002</v>
      </c>
      <c r="C230">
        <v>65.733260999999999</v>
      </c>
      <c r="D230">
        <v>68.936801000000003</v>
      </c>
      <c r="E230">
        <v>46.061393000000002</v>
      </c>
      <c r="F230">
        <v>24.323509000000001</v>
      </c>
      <c r="G230">
        <v>19.031502</v>
      </c>
      <c r="H230">
        <v>20.418232</v>
      </c>
      <c r="I230" t="s">
        <v>56</v>
      </c>
      <c r="N230"/>
      <c r="O230"/>
      <c r="P230" s="1">
        <f t="shared" si="39"/>
        <v>64.084735772357718</v>
      </c>
      <c r="Q230" s="1">
        <f t="shared" si="40"/>
        <v>67.533840447154475</v>
      </c>
      <c r="R230" s="1">
        <f t="shared" si="41"/>
        <v>71.034369328030991</v>
      </c>
      <c r="S230" s="1">
        <f t="shared" si="42"/>
        <v>48.057573649754502</v>
      </c>
    </row>
    <row r="231" spans="1:19" x14ac:dyDescent="0.3">
      <c r="A231">
        <v>901.2</v>
      </c>
      <c r="B231">
        <v>62.328985000000003</v>
      </c>
      <c r="C231">
        <v>65.750860000000003</v>
      </c>
      <c r="D231">
        <v>68.929142999999996</v>
      </c>
      <c r="E231">
        <v>46.064357000000001</v>
      </c>
      <c r="F231">
        <v>24.338761000000002</v>
      </c>
      <c r="G231">
        <v>19.039867999999998</v>
      </c>
      <c r="H231">
        <v>20.402873</v>
      </c>
      <c r="I231"/>
      <c r="N231"/>
      <c r="O231"/>
      <c r="P231" s="1">
        <f t="shared" si="39"/>
        <v>64.084735772357718</v>
      </c>
      <c r="Q231" s="1">
        <f t="shared" si="40"/>
        <v>67.533840447154475</v>
      </c>
      <c r="R231" s="1">
        <f t="shared" si="41"/>
        <v>71.034369328030991</v>
      </c>
      <c r="S231" s="1">
        <f t="shared" si="42"/>
        <v>48.057573649754502</v>
      </c>
    </row>
    <row r="232" spans="1:19" x14ac:dyDescent="0.3">
      <c r="A232">
        <v>901.4</v>
      </c>
      <c r="B232">
        <v>62.328985000000003</v>
      </c>
      <c r="C232">
        <v>65.750860000000003</v>
      </c>
      <c r="D232">
        <v>68.929142999999996</v>
      </c>
      <c r="E232">
        <v>46.064357000000001</v>
      </c>
      <c r="F232">
        <v>24.338761000000002</v>
      </c>
      <c r="G232">
        <v>19.039867999999998</v>
      </c>
      <c r="H232">
        <v>20.402873</v>
      </c>
      <c r="I232"/>
      <c r="N232"/>
      <c r="O232"/>
      <c r="P232" s="1">
        <f t="shared" si="39"/>
        <v>64.087748983739829</v>
      </c>
      <c r="Q232" s="1">
        <f t="shared" si="40"/>
        <v>67.529661585365858</v>
      </c>
      <c r="R232" s="1">
        <f t="shared" si="41"/>
        <v>71.049168960946261</v>
      </c>
      <c r="S232" s="1">
        <f t="shared" si="42"/>
        <v>48.035021481178397</v>
      </c>
    </row>
    <row r="233" spans="1:19" x14ac:dyDescent="0.3">
      <c r="A233">
        <v>901.6</v>
      </c>
      <c r="B233">
        <v>62.319285000000001</v>
      </c>
      <c r="C233">
        <v>65.756472000000002</v>
      </c>
      <c r="D233">
        <v>68.926563999999999</v>
      </c>
      <c r="E233">
        <v>46.081952000000001</v>
      </c>
      <c r="F233">
        <v>24.404250000000001</v>
      </c>
      <c r="G233">
        <v>19.033581999999999</v>
      </c>
      <c r="H233">
        <v>20.377147000000001</v>
      </c>
      <c r="I233"/>
      <c r="N233"/>
      <c r="O233"/>
      <c r="P233" s="1">
        <f t="shared" si="39"/>
        <v>64.087748983739829</v>
      </c>
      <c r="Q233" s="1">
        <f t="shared" si="40"/>
        <v>67.529661585365858</v>
      </c>
      <c r="R233" s="1">
        <f t="shared" si="41"/>
        <v>71.049168960946261</v>
      </c>
      <c r="S233" s="1">
        <f t="shared" si="42"/>
        <v>48.035021481178397</v>
      </c>
    </row>
    <row r="234" spans="1:19" x14ac:dyDescent="0.3">
      <c r="A234">
        <v>901.8</v>
      </c>
      <c r="B234">
        <v>62.319285000000001</v>
      </c>
      <c r="C234">
        <v>65.756472000000002</v>
      </c>
      <c r="D234">
        <v>68.926563999999999</v>
      </c>
      <c r="E234">
        <v>46.081952000000001</v>
      </c>
      <c r="F234">
        <v>24.404250000000001</v>
      </c>
      <c r="G234">
        <v>19.033581999999999</v>
      </c>
      <c r="H234">
        <v>20.377147000000001</v>
      </c>
      <c r="I234"/>
      <c r="N234"/>
      <c r="O234"/>
      <c r="P234" s="1">
        <f t="shared" si="39"/>
        <v>64.086047764227644</v>
      </c>
      <c r="Q234" s="1">
        <f t="shared" si="40"/>
        <v>67.545794715447158</v>
      </c>
      <c r="R234" s="1">
        <f t="shared" si="41"/>
        <v>71.017622106658507</v>
      </c>
      <c r="S234" s="1">
        <f t="shared" si="42"/>
        <v>48.039208265139116</v>
      </c>
    </row>
    <row r="235" spans="1:19" x14ac:dyDescent="0.3">
      <c r="A235">
        <v>902</v>
      </c>
      <c r="B235">
        <v>62.326135000000001</v>
      </c>
      <c r="C235">
        <v>65.735040999999995</v>
      </c>
      <c r="D235">
        <v>68.931765999999996</v>
      </c>
      <c r="E235">
        <v>46.084637999999998</v>
      </c>
      <c r="F235">
        <v>24.374234000000001</v>
      </c>
      <c r="G235">
        <v>19.041072</v>
      </c>
      <c r="H235">
        <v>20.389845999999999</v>
      </c>
      <c r="I235" t="s">
        <v>56</v>
      </c>
      <c r="N235"/>
      <c r="O235"/>
      <c r="P235" s="1">
        <f t="shared" ref="P235:P298" si="43">(B217+Q$36)/P$36</f>
        <v>64.086047764227644</v>
      </c>
      <c r="Q235" s="1">
        <f t="shared" ref="Q235:Q298" si="44">(C217+Q$36)/P$36</f>
        <v>67.545794715447158</v>
      </c>
      <c r="R235" s="1">
        <f t="shared" ref="R235:R298" si="45">(D217+Q$38)/P$38</f>
        <v>71.017622106658507</v>
      </c>
      <c r="S235" s="1">
        <f t="shared" ref="S235:S298" si="46">(E217+Q$39)/P$39</f>
        <v>48.039208265139116</v>
      </c>
    </row>
    <row r="236" spans="1:19" x14ac:dyDescent="0.3">
      <c r="A236">
        <v>902.2</v>
      </c>
      <c r="B236">
        <v>62.326135000000001</v>
      </c>
      <c r="C236">
        <v>65.735040999999995</v>
      </c>
      <c r="D236">
        <v>68.931765999999996</v>
      </c>
      <c r="E236">
        <v>46.084637999999998</v>
      </c>
      <c r="F236">
        <v>24.374234000000001</v>
      </c>
      <c r="G236">
        <v>19.041072</v>
      </c>
      <c r="H236">
        <v>20.389845999999999</v>
      </c>
      <c r="I236"/>
      <c r="N236"/>
      <c r="O236"/>
      <c r="P236" s="1">
        <f t="shared" si="43"/>
        <v>64.100001016260151</v>
      </c>
      <c r="Q236" s="1">
        <f t="shared" si="44"/>
        <v>67.564305894308944</v>
      </c>
      <c r="R236" s="1">
        <f t="shared" si="45"/>
        <v>71.048162536963389</v>
      </c>
      <c r="S236" s="1">
        <f t="shared" si="46"/>
        <v>48.048344926350246</v>
      </c>
    </row>
    <row r="237" spans="1:19" x14ac:dyDescent="0.3">
      <c r="A237">
        <v>902.4</v>
      </c>
      <c r="B237">
        <v>62.338889999999999</v>
      </c>
      <c r="C237">
        <v>65.787137999999999</v>
      </c>
      <c r="D237">
        <v>68.935783999999998</v>
      </c>
      <c r="E237">
        <v>46.078755000000001</v>
      </c>
      <c r="F237">
        <v>24.347221000000001</v>
      </c>
      <c r="G237">
        <v>19.039646999999999</v>
      </c>
      <c r="H237">
        <v>20.406447</v>
      </c>
      <c r="I237"/>
      <c r="N237"/>
      <c r="O237"/>
      <c r="P237" s="1">
        <f t="shared" si="43"/>
        <v>64.100001016260151</v>
      </c>
      <c r="Q237" s="1">
        <f t="shared" si="44"/>
        <v>67.564305894308944</v>
      </c>
      <c r="R237" s="1">
        <f t="shared" si="45"/>
        <v>71.048162536963389</v>
      </c>
      <c r="S237" s="1">
        <f t="shared" si="46"/>
        <v>48.048344926350246</v>
      </c>
    </row>
    <row r="238" spans="1:19" x14ac:dyDescent="0.3">
      <c r="A238">
        <v>902.6</v>
      </c>
      <c r="B238">
        <v>62.338889999999999</v>
      </c>
      <c r="C238">
        <v>65.787137999999999</v>
      </c>
      <c r="D238">
        <v>68.935783999999998</v>
      </c>
      <c r="E238">
        <v>46.078755000000001</v>
      </c>
      <c r="F238">
        <v>24.347221000000001</v>
      </c>
      <c r="G238">
        <v>19.039646999999999</v>
      </c>
      <c r="H238">
        <v>20.406447</v>
      </c>
      <c r="I238"/>
      <c r="N238"/>
      <c r="O238"/>
      <c r="P238" s="1">
        <f t="shared" si="43"/>
        <v>64.079712398373985</v>
      </c>
      <c r="Q238" s="1">
        <f t="shared" si="44"/>
        <v>67.539492886178863</v>
      </c>
      <c r="R238" s="1">
        <f t="shared" si="45"/>
        <v>71.038631589680833</v>
      </c>
      <c r="S238" s="1">
        <f t="shared" si="46"/>
        <v>48.051708265139112</v>
      </c>
    </row>
    <row r="239" spans="1:19" x14ac:dyDescent="0.3">
      <c r="A239">
        <v>902.8</v>
      </c>
      <c r="B239">
        <v>62.341894000000003</v>
      </c>
      <c r="C239">
        <v>65.768941999999996</v>
      </c>
      <c r="D239">
        <v>68.961003000000005</v>
      </c>
      <c r="E239">
        <v>46.057575</v>
      </c>
      <c r="F239">
        <v>24.380182000000001</v>
      </c>
      <c r="G239">
        <v>19.060223000000001</v>
      </c>
      <c r="H239">
        <v>20.383837</v>
      </c>
      <c r="I239"/>
      <c r="N239"/>
      <c r="O239"/>
      <c r="P239" s="1">
        <f t="shared" si="43"/>
        <v>64.079712398373985</v>
      </c>
      <c r="Q239" s="1">
        <f t="shared" si="44"/>
        <v>67.539492886178863</v>
      </c>
      <c r="R239" s="1">
        <f t="shared" si="45"/>
        <v>71.038631589680833</v>
      </c>
      <c r="S239" s="1">
        <f t="shared" si="46"/>
        <v>48.051708265139112</v>
      </c>
    </row>
    <row r="240" spans="1:19" x14ac:dyDescent="0.3">
      <c r="A240">
        <v>903</v>
      </c>
      <c r="B240">
        <v>62.341894000000003</v>
      </c>
      <c r="C240">
        <v>65.768941999999996</v>
      </c>
      <c r="D240">
        <v>68.961003000000005</v>
      </c>
      <c r="E240">
        <v>46.057575</v>
      </c>
      <c r="F240">
        <v>24.380182000000001</v>
      </c>
      <c r="G240">
        <v>19.060223000000001</v>
      </c>
      <c r="H240">
        <v>20.383837</v>
      </c>
      <c r="I240" t="s">
        <v>56</v>
      </c>
      <c r="N240"/>
      <c r="O240"/>
      <c r="P240" s="1">
        <f t="shared" si="43"/>
        <v>64.092466463414638</v>
      </c>
      <c r="Q240" s="1">
        <f t="shared" si="44"/>
        <v>67.55310670731707</v>
      </c>
      <c r="R240" s="1">
        <f t="shared" si="45"/>
        <v>71.037197919853156</v>
      </c>
      <c r="S240" s="1">
        <f t="shared" si="46"/>
        <v>48.051241816693945</v>
      </c>
    </row>
    <row r="241" spans="1:19" x14ac:dyDescent="0.3">
      <c r="A241">
        <v>903.2</v>
      </c>
      <c r="B241">
        <v>62.342542000000002</v>
      </c>
      <c r="C241">
        <v>65.750679000000005</v>
      </c>
      <c r="D241">
        <v>68.939177000000001</v>
      </c>
      <c r="E241">
        <v>46.05359</v>
      </c>
      <c r="F241">
        <v>24.517689000000001</v>
      </c>
      <c r="G241">
        <v>19.030821</v>
      </c>
      <c r="H241">
        <v>20.390042000000001</v>
      </c>
      <c r="I241"/>
      <c r="N241"/>
      <c r="O241"/>
      <c r="P241" s="1">
        <f t="shared" si="43"/>
        <v>64.092466463414638</v>
      </c>
      <c r="Q241" s="1">
        <f t="shared" si="44"/>
        <v>67.55310670731707</v>
      </c>
      <c r="R241" s="1">
        <f t="shared" si="45"/>
        <v>71.037197919853156</v>
      </c>
      <c r="S241" s="1">
        <f t="shared" si="46"/>
        <v>48.051241816693945</v>
      </c>
    </row>
    <row r="242" spans="1:19" x14ac:dyDescent="0.3">
      <c r="A242">
        <v>903.4</v>
      </c>
      <c r="B242">
        <v>62.342542000000002</v>
      </c>
      <c r="C242">
        <v>65.750679000000005</v>
      </c>
      <c r="D242">
        <v>68.939177000000001</v>
      </c>
      <c r="E242">
        <v>46.05359</v>
      </c>
      <c r="F242">
        <v>24.517689000000001</v>
      </c>
      <c r="G242">
        <v>19.030821</v>
      </c>
      <c r="H242">
        <v>20.390042000000001</v>
      </c>
      <c r="I242"/>
      <c r="N242"/>
      <c r="O242"/>
      <c r="P242" s="1">
        <f t="shared" si="43"/>
        <v>64.082821138211372</v>
      </c>
      <c r="Q242" s="1">
        <f t="shared" si="44"/>
        <v>67.53702845528457</v>
      </c>
      <c r="R242" s="1">
        <f t="shared" si="45"/>
        <v>71.054682369735886</v>
      </c>
      <c r="S242" s="1">
        <f t="shared" si="46"/>
        <v>48.053272299508997</v>
      </c>
    </row>
    <row r="243" spans="1:19" x14ac:dyDescent="0.3">
      <c r="A243">
        <v>903.6</v>
      </c>
      <c r="B243">
        <v>62.345526999999997</v>
      </c>
      <c r="C243">
        <v>65.748638</v>
      </c>
      <c r="D243">
        <v>68.937141999999994</v>
      </c>
      <c r="E243">
        <v>46.084572999999999</v>
      </c>
      <c r="F243">
        <v>24.463186</v>
      </c>
      <c r="G243">
        <v>19.038419000000001</v>
      </c>
      <c r="H243">
        <v>20.416602999999999</v>
      </c>
      <c r="I243"/>
      <c r="N243"/>
      <c r="O243"/>
      <c r="P243" s="1">
        <f t="shared" si="43"/>
        <v>64.132527439024386</v>
      </c>
      <c r="Q243" s="1">
        <f t="shared" si="44"/>
        <v>67.624212398373984</v>
      </c>
      <c r="R243" s="1">
        <f t="shared" si="45"/>
        <v>71.112679718568373</v>
      </c>
      <c r="S243" s="1">
        <f t="shared" si="46"/>
        <v>48.081259206219308</v>
      </c>
    </row>
    <row r="244" spans="1:19" x14ac:dyDescent="0.3">
      <c r="A244">
        <v>903.8</v>
      </c>
      <c r="B244">
        <v>62.345526999999997</v>
      </c>
      <c r="C244">
        <v>65.748638</v>
      </c>
      <c r="D244">
        <v>68.937141999999994</v>
      </c>
      <c r="E244">
        <v>46.084572999999999</v>
      </c>
      <c r="F244">
        <v>24.463186</v>
      </c>
      <c r="G244">
        <v>19.038419000000001</v>
      </c>
      <c r="H244">
        <v>20.416602999999999</v>
      </c>
      <c r="I244"/>
      <c r="N244"/>
      <c r="O244"/>
      <c r="P244" s="1">
        <f t="shared" si="43"/>
        <v>64.132527439024386</v>
      </c>
      <c r="Q244" s="1">
        <f t="shared" si="44"/>
        <v>67.624212398373984</v>
      </c>
      <c r="R244" s="1">
        <f t="shared" si="45"/>
        <v>71.112679718568373</v>
      </c>
      <c r="S244" s="1">
        <f t="shared" si="46"/>
        <v>48.081259206219308</v>
      </c>
    </row>
    <row r="245" spans="1:19" x14ac:dyDescent="0.3">
      <c r="A245">
        <v>904</v>
      </c>
      <c r="B245">
        <v>62.348593999999999</v>
      </c>
      <c r="C245">
        <v>65.764217000000002</v>
      </c>
      <c r="D245">
        <v>68.940181999999993</v>
      </c>
      <c r="E245">
        <v>46.074260000000002</v>
      </c>
      <c r="F245">
        <v>24.520434000000002</v>
      </c>
      <c r="G245">
        <v>19.039695999999999</v>
      </c>
      <c r="H245">
        <v>20.372344999999999</v>
      </c>
      <c r="I245" t="s">
        <v>56</v>
      </c>
      <c r="N245"/>
      <c r="O245"/>
      <c r="P245" s="1">
        <f t="shared" si="43"/>
        <v>64.131095528455276</v>
      </c>
      <c r="Q245" s="1">
        <f t="shared" si="44"/>
        <v>67.618619918699181</v>
      </c>
      <c r="R245" s="1">
        <f t="shared" si="45"/>
        <v>71.108940552666454</v>
      </c>
      <c r="S245" s="1">
        <f t="shared" si="46"/>
        <v>48.066552782324059</v>
      </c>
    </row>
    <row r="246" spans="1:19" x14ac:dyDescent="0.3">
      <c r="A246">
        <v>904.2</v>
      </c>
      <c r="B246">
        <v>62.348593999999999</v>
      </c>
      <c r="C246">
        <v>65.764217000000002</v>
      </c>
      <c r="D246">
        <v>68.940181999999993</v>
      </c>
      <c r="E246">
        <v>46.074260000000002</v>
      </c>
      <c r="F246">
        <v>24.520434000000002</v>
      </c>
      <c r="G246">
        <v>19.039695999999999</v>
      </c>
      <c r="H246">
        <v>20.372344999999999</v>
      </c>
      <c r="I246"/>
      <c r="N246"/>
      <c r="O246"/>
      <c r="P246" s="1">
        <f t="shared" si="43"/>
        <v>64.131095528455276</v>
      </c>
      <c r="Q246" s="1">
        <f t="shared" si="44"/>
        <v>67.618619918699181</v>
      </c>
      <c r="R246" s="1">
        <f t="shared" si="45"/>
        <v>71.108940552666454</v>
      </c>
      <c r="S246" s="1">
        <f t="shared" si="46"/>
        <v>48.066552782324059</v>
      </c>
    </row>
    <row r="247" spans="1:19" x14ac:dyDescent="0.3">
      <c r="A247">
        <v>904.4</v>
      </c>
      <c r="B247">
        <v>62.353479</v>
      </c>
      <c r="C247">
        <v>65.776820999999998</v>
      </c>
      <c r="D247">
        <v>68.947293000000002</v>
      </c>
      <c r="E247">
        <v>46.059569000000003</v>
      </c>
      <c r="F247">
        <v>24.657699999999998</v>
      </c>
      <c r="G247">
        <v>19.041889000000001</v>
      </c>
      <c r="H247">
        <v>20.359832000000001</v>
      </c>
      <c r="I247"/>
      <c r="N247"/>
      <c r="O247"/>
      <c r="P247" s="1">
        <f t="shared" si="43"/>
        <v>64.159145325203255</v>
      </c>
      <c r="Q247" s="1">
        <f t="shared" si="44"/>
        <v>67.601383130081302</v>
      </c>
      <c r="R247" s="1">
        <f t="shared" si="45"/>
        <v>71.119711430610792</v>
      </c>
      <c r="S247" s="1">
        <f t="shared" si="46"/>
        <v>48.061776800327337</v>
      </c>
    </row>
    <row r="248" spans="1:19" x14ac:dyDescent="0.3">
      <c r="A248">
        <v>904.6</v>
      </c>
      <c r="B248">
        <v>62.353479</v>
      </c>
      <c r="C248">
        <v>65.776820999999998</v>
      </c>
      <c r="D248">
        <v>68.947293000000002</v>
      </c>
      <c r="E248">
        <v>46.059569000000003</v>
      </c>
      <c r="F248">
        <v>24.657699999999998</v>
      </c>
      <c r="G248">
        <v>19.041889000000001</v>
      </c>
      <c r="H248">
        <v>20.359832000000001</v>
      </c>
      <c r="I248"/>
      <c r="N248"/>
      <c r="O248"/>
      <c r="P248" s="1">
        <f t="shared" si="43"/>
        <v>64.159145325203255</v>
      </c>
      <c r="Q248" s="1">
        <f t="shared" si="44"/>
        <v>67.601383130081302</v>
      </c>
      <c r="R248" s="1">
        <f t="shared" si="45"/>
        <v>71.119711430610792</v>
      </c>
      <c r="S248" s="1">
        <f t="shared" si="46"/>
        <v>48.061776800327337</v>
      </c>
    </row>
    <row r="249" spans="1:19" x14ac:dyDescent="0.3">
      <c r="A249">
        <v>904.8</v>
      </c>
      <c r="B249">
        <v>62.334121000000003</v>
      </c>
      <c r="C249">
        <v>65.766447999999997</v>
      </c>
      <c r="D249">
        <v>68.937184000000002</v>
      </c>
      <c r="E249">
        <v>46.071722999999999</v>
      </c>
      <c r="F249">
        <v>24.586573000000001</v>
      </c>
      <c r="G249">
        <v>19.058754</v>
      </c>
      <c r="H249">
        <v>20.3781</v>
      </c>
      <c r="I249"/>
      <c r="N249"/>
      <c r="O249"/>
      <c r="P249" s="1">
        <f t="shared" si="43"/>
        <v>64.141753048780487</v>
      </c>
      <c r="Q249" s="1">
        <f t="shared" si="44"/>
        <v>67.619268292682932</v>
      </c>
      <c r="R249" s="1">
        <f t="shared" si="45"/>
        <v>71.111902722545111</v>
      </c>
      <c r="S249" s="1">
        <f t="shared" si="46"/>
        <v>48.064808715220948</v>
      </c>
    </row>
    <row r="250" spans="1:19" x14ac:dyDescent="0.3">
      <c r="A250">
        <v>905</v>
      </c>
      <c r="B250">
        <v>62.334121000000003</v>
      </c>
      <c r="C250">
        <v>65.766447999999997</v>
      </c>
      <c r="D250">
        <v>68.937184000000002</v>
      </c>
      <c r="E250">
        <v>46.071722999999999</v>
      </c>
      <c r="F250">
        <v>24.586573000000001</v>
      </c>
      <c r="G250">
        <v>19.058754</v>
      </c>
      <c r="H250">
        <v>20.3781</v>
      </c>
      <c r="I250" t="s">
        <v>56</v>
      </c>
      <c r="N250"/>
      <c r="O250"/>
      <c r="P250" s="1">
        <f t="shared" si="43"/>
        <v>64.141753048780487</v>
      </c>
      <c r="Q250" s="1">
        <f t="shared" si="44"/>
        <v>67.619268292682932</v>
      </c>
      <c r="R250" s="1">
        <f t="shared" si="45"/>
        <v>71.111902722545111</v>
      </c>
      <c r="S250" s="1">
        <f t="shared" si="46"/>
        <v>48.064808715220948</v>
      </c>
    </row>
    <row r="251" spans="1:19" x14ac:dyDescent="0.3">
      <c r="A251">
        <v>905.2</v>
      </c>
      <c r="B251">
        <v>62.340994000000002</v>
      </c>
      <c r="C251">
        <v>65.769412000000003</v>
      </c>
      <c r="D251">
        <v>68.937188000000006</v>
      </c>
      <c r="E251">
        <v>46.080041000000001</v>
      </c>
      <c r="F251">
        <v>24.566461</v>
      </c>
      <c r="G251">
        <v>19.061744999999998</v>
      </c>
      <c r="H251">
        <v>20.386306000000001</v>
      </c>
      <c r="I251"/>
      <c r="N251"/>
      <c r="O251"/>
      <c r="P251" s="1">
        <f t="shared" si="43"/>
        <v>64.131895325203246</v>
      </c>
      <c r="Q251" s="1">
        <f t="shared" si="44"/>
        <v>67.62497154471545</v>
      </c>
      <c r="R251" s="1">
        <f t="shared" si="45"/>
        <v>71.109272968287954</v>
      </c>
      <c r="S251" s="1">
        <f t="shared" si="46"/>
        <v>48.082806873977084</v>
      </c>
    </row>
    <row r="252" spans="1:19" x14ac:dyDescent="0.3">
      <c r="A252">
        <v>905.4</v>
      </c>
      <c r="B252">
        <v>62.340994000000002</v>
      </c>
      <c r="C252">
        <v>65.769412000000003</v>
      </c>
      <c r="D252">
        <v>68.937188000000006</v>
      </c>
      <c r="E252">
        <v>46.080041000000001</v>
      </c>
      <c r="F252">
        <v>24.566461</v>
      </c>
      <c r="G252">
        <v>19.061744999999998</v>
      </c>
      <c r="H252">
        <v>20.386306000000001</v>
      </c>
      <c r="I252"/>
      <c r="N252"/>
      <c r="O252"/>
      <c r="P252" s="1">
        <f t="shared" si="43"/>
        <v>64.131895325203246</v>
      </c>
      <c r="Q252" s="1">
        <f t="shared" si="44"/>
        <v>67.62497154471545</v>
      </c>
      <c r="R252" s="1">
        <f t="shared" si="45"/>
        <v>71.109272968287954</v>
      </c>
      <c r="S252" s="1">
        <f t="shared" si="46"/>
        <v>48.082806873977084</v>
      </c>
    </row>
    <row r="253" spans="1:19" x14ac:dyDescent="0.3">
      <c r="A253">
        <v>905.6</v>
      </c>
      <c r="B253">
        <v>62.355645000000003</v>
      </c>
      <c r="C253">
        <v>65.777382000000003</v>
      </c>
      <c r="D253">
        <v>68.979625999999996</v>
      </c>
      <c r="E253">
        <v>46.070891000000003</v>
      </c>
      <c r="F253">
        <v>24.518778000000001</v>
      </c>
      <c r="G253">
        <v>19.029993999999999</v>
      </c>
      <c r="H253">
        <v>20.394432999999999</v>
      </c>
      <c r="I253"/>
      <c r="N253"/>
      <c r="O253"/>
      <c r="P253" s="1">
        <f t="shared" si="43"/>
        <v>64.138856707317075</v>
      </c>
      <c r="Q253" s="1">
        <f t="shared" si="44"/>
        <v>67.603192073170732</v>
      </c>
      <c r="R253" s="1">
        <f t="shared" si="45"/>
        <v>71.114577342714384</v>
      </c>
      <c r="S253" s="1">
        <f t="shared" si="46"/>
        <v>48.085554418985268</v>
      </c>
    </row>
    <row r="254" spans="1:19" x14ac:dyDescent="0.3">
      <c r="A254">
        <v>905.8</v>
      </c>
      <c r="B254">
        <v>62.355645000000003</v>
      </c>
      <c r="C254">
        <v>65.777382000000003</v>
      </c>
      <c r="D254">
        <v>68.979625999999996</v>
      </c>
      <c r="E254">
        <v>46.070891000000003</v>
      </c>
      <c r="F254">
        <v>24.518778000000001</v>
      </c>
      <c r="G254">
        <v>19.029993999999999</v>
      </c>
      <c r="H254">
        <v>20.394432999999999</v>
      </c>
      <c r="I254"/>
      <c r="N254"/>
      <c r="O254"/>
      <c r="P254" s="1">
        <f t="shared" si="43"/>
        <v>64.138856707317075</v>
      </c>
      <c r="Q254" s="1">
        <f t="shared" si="44"/>
        <v>67.603192073170732</v>
      </c>
      <c r="R254" s="1">
        <f t="shared" si="45"/>
        <v>71.114577342714384</v>
      </c>
      <c r="S254" s="1">
        <f t="shared" si="46"/>
        <v>48.085554418985268</v>
      </c>
    </row>
    <row r="255" spans="1:19" x14ac:dyDescent="0.3">
      <c r="A255">
        <v>906</v>
      </c>
      <c r="B255">
        <v>62.344144999999997</v>
      </c>
      <c r="C255">
        <v>65.768219000000002</v>
      </c>
      <c r="D255">
        <v>68.960738000000006</v>
      </c>
      <c r="E255">
        <v>46.076042000000001</v>
      </c>
      <c r="F255">
        <v>24.474588000000001</v>
      </c>
      <c r="G255">
        <v>19.044419999999999</v>
      </c>
      <c r="H255">
        <v>20.410266</v>
      </c>
      <c r="I255" t="s">
        <v>56</v>
      </c>
      <c r="N255"/>
      <c r="O255"/>
      <c r="P255" s="1">
        <f t="shared" si="43"/>
        <v>64.151819105691047</v>
      </c>
      <c r="Q255" s="1">
        <f t="shared" si="44"/>
        <v>67.656136178861786</v>
      </c>
      <c r="R255" s="1">
        <f t="shared" si="45"/>
        <v>71.118674416233304</v>
      </c>
      <c r="S255" s="1">
        <f t="shared" si="46"/>
        <v>48.079536620294597</v>
      </c>
    </row>
    <row r="256" spans="1:19" x14ac:dyDescent="0.3">
      <c r="A256">
        <v>906.2</v>
      </c>
      <c r="B256">
        <v>62.344144999999997</v>
      </c>
      <c r="C256">
        <v>65.768219000000002</v>
      </c>
      <c r="D256">
        <v>68.960738000000006</v>
      </c>
      <c r="E256">
        <v>46.076042000000001</v>
      </c>
      <c r="F256">
        <v>24.474588000000001</v>
      </c>
      <c r="G256">
        <v>19.044419999999999</v>
      </c>
      <c r="H256">
        <v>20.410266</v>
      </c>
      <c r="I256"/>
      <c r="N256"/>
      <c r="O256"/>
      <c r="P256" s="1">
        <f t="shared" si="43"/>
        <v>64.151819105691047</v>
      </c>
      <c r="Q256" s="1">
        <f t="shared" si="44"/>
        <v>67.656136178861786</v>
      </c>
      <c r="R256" s="1">
        <f t="shared" si="45"/>
        <v>71.118674416233304</v>
      </c>
      <c r="S256" s="1">
        <f t="shared" si="46"/>
        <v>48.079536620294597</v>
      </c>
    </row>
    <row r="257" spans="1:19" x14ac:dyDescent="0.3">
      <c r="A257">
        <v>906.4</v>
      </c>
      <c r="B257">
        <v>62.367871999999998</v>
      </c>
      <c r="C257">
        <v>65.761300000000006</v>
      </c>
      <c r="D257">
        <v>68.937956</v>
      </c>
      <c r="E257">
        <v>46.096544000000002</v>
      </c>
      <c r="F257">
        <v>24.531119</v>
      </c>
      <c r="G257">
        <v>19.022675</v>
      </c>
      <c r="H257">
        <v>20.379532999999999</v>
      </c>
      <c r="I257"/>
      <c r="N257"/>
      <c r="O257"/>
      <c r="P257" s="1">
        <f t="shared" si="43"/>
        <v>64.154871951219519</v>
      </c>
      <c r="Q257" s="1">
        <f t="shared" si="44"/>
        <v>67.637644308943095</v>
      </c>
      <c r="R257" s="1">
        <f t="shared" si="45"/>
        <v>71.144389721627405</v>
      </c>
      <c r="S257" s="1">
        <f t="shared" si="46"/>
        <v>48.057871317512273</v>
      </c>
    </row>
    <row r="258" spans="1:19" x14ac:dyDescent="0.3">
      <c r="A258">
        <v>906.6</v>
      </c>
      <c r="B258">
        <v>62.367871999999998</v>
      </c>
      <c r="C258">
        <v>65.761300000000006</v>
      </c>
      <c r="D258">
        <v>68.937956</v>
      </c>
      <c r="E258">
        <v>46.096544000000002</v>
      </c>
      <c r="F258">
        <v>24.531119</v>
      </c>
      <c r="G258">
        <v>19.022675</v>
      </c>
      <c r="H258">
        <v>20.379532999999999</v>
      </c>
      <c r="I258"/>
      <c r="N258"/>
      <c r="O258"/>
      <c r="P258" s="1">
        <f t="shared" si="43"/>
        <v>64.154871951219519</v>
      </c>
      <c r="Q258" s="1">
        <f t="shared" si="44"/>
        <v>67.637644308943095</v>
      </c>
      <c r="R258" s="1">
        <f t="shared" si="45"/>
        <v>71.144389721627405</v>
      </c>
      <c r="S258" s="1">
        <f t="shared" si="46"/>
        <v>48.057871317512273</v>
      </c>
    </row>
    <row r="259" spans="1:19" x14ac:dyDescent="0.3">
      <c r="A259">
        <v>906.8</v>
      </c>
      <c r="B259">
        <v>62.357165999999999</v>
      </c>
      <c r="C259">
        <v>65.769783000000004</v>
      </c>
      <c r="D259">
        <v>68.967516000000003</v>
      </c>
      <c r="E259">
        <v>46.092230000000001</v>
      </c>
      <c r="F259">
        <v>24.565128000000001</v>
      </c>
      <c r="G259">
        <v>19.044288000000002</v>
      </c>
      <c r="H259">
        <v>20.386893000000001</v>
      </c>
      <c r="I259"/>
      <c r="N259"/>
      <c r="O259"/>
      <c r="P259" s="1">
        <f t="shared" si="43"/>
        <v>64.155530487804882</v>
      </c>
      <c r="Q259" s="1">
        <f t="shared" si="44"/>
        <v>67.619084349593507</v>
      </c>
      <c r="R259" s="1">
        <f t="shared" si="45"/>
        <v>71.122134189864383</v>
      </c>
      <c r="S259" s="1">
        <f t="shared" si="46"/>
        <v>48.053795008183307</v>
      </c>
    </row>
    <row r="260" spans="1:19" x14ac:dyDescent="0.3">
      <c r="A260">
        <v>907</v>
      </c>
      <c r="B260">
        <v>62.357165999999999</v>
      </c>
      <c r="C260">
        <v>65.769783000000004</v>
      </c>
      <c r="D260">
        <v>68.967516000000003</v>
      </c>
      <c r="E260">
        <v>46.092230000000001</v>
      </c>
      <c r="F260">
        <v>24.565128000000001</v>
      </c>
      <c r="G260">
        <v>19.044288000000002</v>
      </c>
      <c r="H260">
        <v>20.386893000000001</v>
      </c>
      <c r="I260" t="s">
        <v>56</v>
      </c>
      <c r="N260"/>
      <c r="O260"/>
      <c r="P260" s="1">
        <f t="shared" si="43"/>
        <v>64.155530487804882</v>
      </c>
      <c r="Q260" s="1">
        <f t="shared" si="44"/>
        <v>67.619084349593507</v>
      </c>
      <c r="R260" s="1">
        <f t="shared" si="45"/>
        <v>71.122134189864383</v>
      </c>
      <c r="S260" s="1">
        <f t="shared" si="46"/>
        <v>48.053795008183307</v>
      </c>
    </row>
    <row r="261" spans="1:19" x14ac:dyDescent="0.3">
      <c r="A261">
        <v>907.2</v>
      </c>
      <c r="B261">
        <v>62.361972999999999</v>
      </c>
      <c r="C261">
        <v>65.766364999999993</v>
      </c>
      <c r="D261">
        <v>68.962749000000002</v>
      </c>
      <c r="E261">
        <v>46.075389000000001</v>
      </c>
      <c r="F261">
        <v>24.459119000000001</v>
      </c>
      <c r="G261">
        <v>19.048660000000002</v>
      </c>
      <c r="H261">
        <v>20.428730000000002</v>
      </c>
      <c r="I261"/>
      <c r="N261"/>
      <c r="O261"/>
      <c r="P261" s="1">
        <f t="shared" si="43"/>
        <v>64.158564024390245</v>
      </c>
      <c r="Q261" s="1">
        <f t="shared" si="44"/>
        <v>67.61701016260163</v>
      </c>
      <c r="R261" s="1">
        <f t="shared" si="45"/>
        <v>71.120059141429579</v>
      </c>
      <c r="S261" s="1">
        <f t="shared" si="46"/>
        <v>48.085487929623568</v>
      </c>
    </row>
    <row r="262" spans="1:19" x14ac:dyDescent="0.3">
      <c r="A262">
        <v>907.4</v>
      </c>
      <c r="B262">
        <v>62.361972999999999</v>
      </c>
      <c r="C262">
        <v>65.766364999999993</v>
      </c>
      <c r="D262">
        <v>68.962749000000002</v>
      </c>
      <c r="E262">
        <v>46.075389000000001</v>
      </c>
      <c r="F262">
        <v>24.459119000000001</v>
      </c>
      <c r="G262">
        <v>19.048660000000002</v>
      </c>
      <c r="H262">
        <v>20.428730000000002</v>
      </c>
      <c r="I262"/>
      <c r="N262"/>
      <c r="O262"/>
      <c r="P262" s="1">
        <f t="shared" si="43"/>
        <v>64.158564024390245</v>
      </c>
      <c r="Q262" s="1">
        <f t="shared" si="44"/>
        <v>67.61701016260163</v>
      </c>
      <c r="R262" s="1">
        <f t="shared" si="45"/>
        <v>71.120059141429579</v>
      </c>
      <c r="S262" s="1">
        <f t="shared" si="46"/>
        <v>48.085487929623568</v>
      </c>
    </row>
    <row r="263" spans="1:19" x14ac:dyDescent="0.3">
      <c r="A263">
        <v>907.6</v>
      </c>
      <c r="B263">
        <v>62.385693000000003</v>
      </c>
      <c r="C263">
        <v>65.779256000000004</v>
      </c>
      <c r="D263">
        <v>68.951081000000002</v>
      </c>
      <c r="E263">
        <v>46.076552</v>
      </c>
      <c r="F263">
        <v>24.403438999999999</v>
      </c>
      <c r="G263">
        <v>19.045604999999998</v>
      </c>
      <c r="H263">
        <v>20.439433000000001</v>
      </c>
      <c r="I263"/>
      <c r="N263"/>
      <c r="O263"/>
      <c r="P263" s="1">
        <f t="shared" si="43"/>
        <v>64.161680894308944</v>
      </c>
      <c r="Q263" s="1">
        <f t="shared" si="44"/>
        <v>67.632842479674807</v>
      </c>
      <c r="R263" s="1">
        <f t="shared" si="45"/>
        <v>71.123158968084013</v>
      </c>
      <c r="S263" s="1">
        <f t="shared" si="46"/>
        <v>48.074938625204581</v>
      </c>
    </row>
    <row r="264" spans="1:19" x14ac:dyDescent="0.3">
      <c r="A264">
        <v>907.8</v>
      </c>
      <c r="B264">
        <v>62.385693000000003</v>
      </c>
      <c r="C264">
        <v>65.779256000000004</v>
      </c>
      <c r="D264">
        <v>68.951081000000002</v>
      </c>
      <c r="E264">
        <v>46.076552</v>
      </c>
      <c r="F264">
        <v>24.403438999999999</v>
      </c>
      <c r="G264">
        <v>19.045604999999998</v>
      </c>
      <c r="H264">
        <v>20.439433000000001</v>
      </c>
      <c r="I264"/>
      <c r="N264"/>
      <c r="O264"/>
      <c r="P264" s="1">
        <f t="shared" si="43"/>
        <v>64.161680894308944</v>
      </c>
      <c r="Q264" s="1">
        <f t="shared" si="44"/>
        <v>67.632842479674807</v>
      </c>
      <c r="R264" s="1">
        <f t="shared" si="45"/>
        <v>71.123158968084013</v>
      </c>
      <c r="S264" s="1">
        <f t="shared" si="46"/>
        <v>48.074938625204581</v>
      </c>
    </row>
    <row r="265" spans="1:19" x14ac:dyDescent="0.3">
      <c r="A265">
        <v>908</v>
      </c>
      <c r="B265">
        <v>62.339464999999997</v>
      </c>
      <c r="C265">
        <v>65.772447999999997</v>
      </c>
      <c r="D265">
        <v>68.964950999999999</v>
      </c>
      <c r="E265">
        <v>46.081980000000001</v>
      </c>
      <c r="F265">
        <v>24.495293</v>
      </c>
      <c r="G265">
        <v>19.025867000000002</v>
      </c>
      <c r="H265">
        <v>20.414974999999998</v>
      </c>
      <c r="I265" t="s">
        <v>56</v>
      </c>
      <c r="N265"/>
      <c r="O265"/>
      <c r="P265" s="1">
        <f t="shared" si="43"/>
        <v>64.166645325203248</v>
      </c>
      <c r="Q265" s="1">
        <f t="shared" si="44"/>
        <v>67.645651422764232</v>
      </c>
      <c r="R265" s="1">
        <f t="shared" si="45"/>
        <v>71.130409911287856</v>
      </c>
      <c r="S265" s="1">
        <f t="shared" si="46"/>
        <v>48.059911006546649</v>
      </c>
    </row>
    <row r="266" spans="1:19" x14ac:dyDescent="0.3">
      <c r="A266">
        <v>908.2</v>
      </c>
      <c r="B266">
        <v>62.339464999999997</v>
      </c>
      <c r="C266">
        <v>65.772447999999997</v>
      </c>
      <c r="D266">
        <v>68.964950999999999</v>
      </c>
      <c r="E266">
        <v>46.081980000000001</v>
      </c>
      <c r="F266">
        <v>24.495293</v>
      </c>
      <c r="G266">
        <v>19.025867000000002</v>
      </c>
      <c r="H266">
        <v>20.414974999999998</v>
      </c>
      <c r="I266"/>
      <c r="N266"/>
      <c r="O266"/>
      <c r="P266" s="1">
        <f t="shared" si="43"/>
        <v>64.166645325203248</v>
      </c>
      <c r="Q266" s="1">
        <f t="shared" si="44"/>
        <v>67.645651422764232</v>
      </c>
      <c r="R266" s="1">
        <f t="shared" si="45"/>
        <v>71.130409911287856</v>
      </c>
      <c r="S266" s="1">
        <f t="shared" si="46"/>
        <v>48.059911006546649</v>
      </c>
    </row>
    <row r="267" spans="1:19" x14ac:dyDescent="0.3">
      <c r="A267">
        <v>908.4</v>
      </c>
      <c r="B267">
        <v>62.361317999999997</v>
      </c>
      <c r="C267">
        <v>65.772774999999996</v>
      </c>
      <c r="D267">
        <v>68.962326000000004</v>
      </c>
      <c r="E267">
        <v>46.084772999999998</v>
      </c>
      <c r="F267">
        <v>24.516331000000001</v>
      </c>
      <c r="G267">
        <v>19.039456000000001</v>
      </c>
      <c r="H267">
        <v>20.418113999999999</v>
      </c>
      <c r="I267"/>
      <c r="N267"/>
      <c r="O267"/>
      <c r="P267" s="1">
        <f t="shared" si="43"/>
        <v>64.146972560975613</v>
      </c>
      <c r="Q267" s="1">
        <f t="shared" si="44"/>
        <v>67.635109756097563</v>
      </c>
      <c r="R267" s="1">
        <f t="shared" si="45"/>
        <v>71.120101967982052</v>
      </c>
      <c r="S267" s="1">
        <f t="shared" si="46"/>
        <v>48.072343494271685</v>
      </c>
    </row>
    <row r="268" spans="1:19" x14ac:dyDescent="0.3">
      <c r="A268">
        <v>908.6</v>
      </c>
      <c r="B268">
        <v>62.361317999999997</v>
      </c>
      <c r="C268">
        <v>65.772774999999996</v>
      </c>
      <c r="D268">
        <v>68.962326000000004</v>
      </c>
      <c r="E268">
        <v>46.084772999999998</v>
      </c>
      <c r="F268">
        <v>24.516331000000001</v>
      </c>
      <c r="G268">
        <v>19.039456000000001</v>
      </c>
      <c r="H268">
        <v>20.418113999999999</v>
      </c>
      <c r="I268"/>
      <c r="N268"/>
      <c r="O268"/>
      <c r="P268" s="1">
        <f t="shared" si="43"/>
        <v>64.146972560975613</v>
      </c>
      <c r="Q268" s="1">
        <f t="shared" si="44"/>
        <v>67.635109756097563</v>
      </c>
      <c r="R268" s="1">
        <f t="shared" si="45"/>
        <v>71.120101967982052</v>
      </c>
      <c r="S268" s="1">
        <f t="shared" si="46"/>
        <v>48.072343494271685</v>
      </c>
    </row>
    <row r="269" spans="1:19" x14ac:dyDescent="0.3">
      <c r="A269">
        <v>908.8</v>
      </c>
      <c r="B269">
        <v>62.339435999999999</v>
      </c>
      <c r="C269">
        <v>65.756017999999997</v>
      </c>
      <c r="D269">
        <v>68.969234</v>
      </c>
      <c r="E269">
        <v>46.087775000000001</v>
      </c>
      <c r="F269">
        <v>24.61186</v>
      </c>
      <c r="G269">
        <v>19.044239000000001</v>
      </c>
      <c r="H269">
        <v>20.405342000000001</v>
      </c>
      <c r="I269"/>
      <c r="N269"/>
      <c r="O269"/>
      <c r="P269" s="1">
        <f t="shared" si="43"/>
        <v>64.153957317073164</v>
      </c>
      <c r="Q269" s="1">
        <f t="shared" si="44"/>
        <v>67.638121951219517</v>
      </c>
      <c r="R269" s="1">
        <f t="shared" si="45"/>
        <v>71.120106046701338</v>
      </c>
      <c r="S269" s="1">
        <f t="shared" si="46"/>
        <v>48.080852086743043</v>
      </c>
    </row>
    <row r="270" spans="1:19" x14ac:dyDescent="0.3">
      <c r="A270">
        <v>909</v>
      </c>
      <c r="B270">
        <v>62.339435999999999</v>
      </c>
      <c r="C270">
        <v>65.756017999999997</v>
      </c>
      <c r="D270">
        <v>68.969234</v>
      </c>
      <c r="E270">
        <v>46.087775000000001</v>
      </c>
      <c r="F270">
        <v>24.61186</v>
      </c>
      <c r="G270">
        <v>19.044239000000001</v>
      </c>
      <c r="H270">
        <v>20.405342000000001</v>
      </c>
      <c r="I270" t="s">
        <v>56</v>
      </c>
      <c r="N270"/>
      <c r="O270"/>
      <c r="P270" s="1">
        <f t="shared" si="43"/>
        <v>64.153957317073164</v>
      </c>
      <c r="Q270" s="1">
        <f t="shared" si="44"/>
        <v>67.638121951219517</v>
      </c>
      <c r="R270" s="1">
        <f t="shared" si="45"/>
        <v>71.120106046701338</v>
      </c>
      <c r="S270" s="1">
        <f t="shared" si="46"/>
        <v>48.080852086743043</v>
      </c>
    </row>
    <row r="271" spans="1:19" x14ac:dyDescent="0.3">
      <c r="A271">
        <v>909.2</v>
      </c>
      <c r="B271">
        <v>62.370323999999997</v>
      </c>
      <c r="C271">
        <v>65.774901</v>
      </c>
      <c r="D271">
        <v>68.971934000000005</v>
      </c>
      <c r="E271">
        <v>46.100642000000001</v>
      </c>
      <c r="F271">
        <v>24.672291999999999</v>
      </c>
      <c r="G271">
        <v>19.042012</v>
      </c>
      <c r="H271">
        <v>20.399797</v>
      </c>
      <c r="I271"/>
      <c r="N271"/>
      <c r="O271"/>
      <c r="P271" s="1">
        <f t="shared" si="43"/>
        <v>64.16884654471545</v>
      </c>
      <c r="Q271" s="1">
        <f t="shared" si="44"/>
        <v>67.646221544715459</v>
      </c>
      <c r="R271" s="1">
        <f t="shared" si="45"/>
        <v>71.163379218925257</v>
      </c>
      <c r="S271" s="1">
        <f t="shared" si="46"/>
        <v>48.0714924304419</v>
      </c>
    </row>
    <row r="272" spans="1:19" x14ac:dyDescent="0.3">
      <c r="A272">
        <v>909.4</v>
      </c>
      <c r="B272">
        <v>62.370323999999997</v>
      </c>
      <c r="C272">
        <v>65.774901</v>
      </c>
      <c r="D272">
        <v>68.971934000000005</v>
      </c>
      <c r="E272">
        <v>46.100642000000001</v>
      </c>
      <c r="F272">
        <v>24.672291999999999</v>
      </c>
      <c r="G272">
        <v>19.042012</v>
      </c>
      <c r="H272">
        <v>20.399797</v>
      </c>
      <c r="I272"/>
      <c r="N272"/>
      <c r="O272"/>
      <c r="P272" s="1">
        <f t="shared" si="43"/>
        <v>64.16884654471545</v>
      </c>
      <c r="Q272" s="1">
        <f t="shared" si="44"/>
        <v>67.646221544715459</v>
      </c>
      <c r="R272" s="1">
        <f t="shared" si="45"/>
        <v>71.163379218925257</v>
      </c>
      <c r="S272" s="1">
        <f t="shared" si="46"/>
        <v>48.0714924304419</v>
      </c>
    </row>
    <row r="273" spans="1:19" x14ac:dyDescent="0.3">
      <c r="A273">
        <v>909.6</v>
      </c>
      <c r="B273">
        <v>62.377419000000003</v>
      </c>
      <c r="C273">
        <v>65.789931999999993</v>
      </c>
      <c r="D273">
        <v>68.952185</v>
      </c>
      <c r="E273">
        <v>46.091700000000003</v>
      </c>
      <c r="F273">
        <v>24.600534</v>
      </c>
      <c r="G273">
        <v>19.042110000000001</v>
      </c>
      <c r="H273">
        <v>20.392306000000001</v>
      </c>
      <c r="I273"/>
      <c r="N273"/>
      <c r="O273"/>
      <c r="P273" s="1">
        <f t="shared" si="43"/>
        <v>64.157159552845528</v>
      </c>
      <c r="Q273" s="1">
        <f t="shared" si="44"/>
        <v>67.636909552845538</v>
      </c>
      <c r="R273" s="1">
        <f t="shared" si="45"/>
        <v>71.144119506474965</v>
      </c>
      <c r="S273" s="1">
        <f t="shared" si="46"/>
        <v>48.076761456628475</v>
      </c>
    </row>
    <row r="274" spans="1:19" x14ac:dyDescent="0.3">
      <c r="A274">
        <v>909.8</v>
      </c>
      <c r="B274">
        <v>62.377419000000003</v>
      </c>
      <c r="C274">
        <v>65.789931999999993</v>
      </c>
      <c r="D274">
        <v>68.952185</v>
      </c>
      <c r="E274">
        <v>46.091700000000003</v>
      </c>
      <c r="F274">
        <v>24.600534</v>
      </c>
      <c r="G274">
        <v>19.042110000000001</v>
      </c>
      <c r="H274">
        <v>20.392306000000001</v>
      </c>
      <c r="I274"/>
      <c r="N274"/>
      <c r="O274"/>
      <c r="P274" s="1">
        <f t="shared" si="43"/>
        <v>64.157159552845528</v>
      </c>
      <c r="Q274" s="1">
        <f t="shared" si="44"/>
        <v>67.636909552845538</v>
      </c>
      <c r="R274" s="1">
        <f t="shared" si="45"/>
        <v>71.144119506474965</v>
      </c>
      <c r="S274" s="1">
        <f t="shared" si="46"/>
        <v>48.076761456628475</v>
      </c>
    </row>
    <row r="275" spans="1:19" x14ac:dyDescent="0.3">
      <c r="A275">
        <v>1339</v>
      </c>
      <c r="B275">
        <v>70.361326000000005</v>
      </c>
      <c r="C275">
        <v>74.77337</v>
      </c>
      <c r="D275">
        <v>78.896227999999994</v>
      </c>
      <c r="E275">
        <v>50.605082000000003</v>
      </c>
      <c r="F275">
        <v>25.723279000000002</v>
      </c>
      <c r="G275">
        <v>19.138121000000002</v>
      </c>
      <c r="H275">
        <v>20.964288</v>
      </c>
      <c r="I275" t="s">
        <v>56</v>
      </c>
      <c r="J275" s="1">
        <f>E275+2</f>
        <v>52.605082000000003</v>
      </c>
      <c r="N275"/>
      <c r="O275"/>
      <c r="P275" s="1">
        <f t="shared" si="43"/>
        <v>64.181272357723572</v>
      </c>
      <c r="Q275" s="1">
        <f t="shared" si="44"/>
        <v>67.629878048780498</v>
      </c>
      <c r="R275" s="1">
        <f t="shared" si="45"/>
        <v>71.1208891608035</v>
      </c>
      <c r="S275" s="1">
        <f t="shared" si="46"/>
        <v>48.097733224222587</v>
      </c>
    </row>
    <row r="276" spans="1:19" x14ac:dyDescent="0.3">
      <c r="A276">
        <v>1339.2</v>
      </c>
      <c r="B276">
        <v>70.361183999999994</v>
      </c>
      <c r="C276">
        <v>74.781191000000007</v>
      </c>
      <c r="D276">
        <v>78.898809</v>
      </c>
      <c r="E276">
        <v>50.638530000000003</v>
      </c>
      <c r="F276">
        <v>25.658609999999999</v>
      </c>
      <c r="G276">
        <v>19.152258</v>
      </c>
      <c r="H276">
        <v>20.969396</v>
      </c>
      <c r="I276"/>
      <c r="J276" s="1">
        <f t="shared" ref="J276:J339" si="47">E276+2</f>
        <v>52.638530000000003</v>
      </c>
      <c r="N276"/>
      <c r="O276"/>
      <c r="P276" s="1">
        <f t="shared" si="43"/>
        <v>64.181272357723572</v>
      </c>
      <c r="Q276" s="1">
        <f t="shared" si="44"/>
        <v>67.629878048780498</v>
      </c>
      <c r="R276" s="1">
        <f t="shared" si="45"/>
        <v>71.1208891608035</v>
      </c>
      <c r="S276" s="1">
        <f t="shared" si="46"/>
        <v>48.097733224222587</v>
      </c>
    </row>
    <row r="277" spans="1:19" x14ac:dyDescent="0.3">
      <c r="A277">
        <v>1339.4</v>
      </c>
      <c r="B277">
        <v>70.361183999999994</v>
      </c>
      <c r="C277">
        <v>74.781191000000007</v>
      </c>
      <c r="D277">
        <v>78.898809</v>
      </c>
      <c r="E277">
        <v>50.638530000000003</v>
      </c>
      <c r="F277">
        <v>25.658609999999999</v>
      </c>
      <c r="G277">
        <v>19.152258</v>
      </c>
      <c r="H277">
        <v>20.969396</v>
      </c>
      <c r="I277"/>
      <c r="J277" s="1">
        <f t="shared" si="47"/>
        <v>52.638530000000003</v>
      </c>
      <c r="N277"/>
      <c r="O277"/>
      <c r="P277" s="1">
        <f t="shared" si="43"/>
        <v>64.17039227642276</v>
      </c>
      <c r="Q277" s="1">
        <f t="shared" si="44"/>
        <v>67.638498983739851</v>
      </c>
      <c r="R277" s="1">
        <f t="shared" si="45"/>
        <v>71.151030896298565</v>
      </c>
      <c r="S277" s="1">
        <f t="shared" si="46"/>
        <v>48.093320376432075</v>
      </c>
    </row>
    <row r="278" spans="1:19" x14ac:dyDescent="0.3">
      <c r="A278">
        <v>1339.6</v>
      </c>
      <c r="B278">
        <v>70.352446</v>
      </c>
      <c r="C278">
        <v>74.784094999999994</v>
      </c>
      <c r="D278">
        <v>78.935961000000006</v>
      </c>
      <c r="E278">
        <v>50.629154</v>
      </c>
      <c r="F278">
        <v>25.601987999999999</v>
      </c>
      <c r="G278">
        <v>19.146315000000001</v>
      </c>
      <c r="H278">
        <v>20.979106999999999</v>
      </c>
      <c r="I278"/>
      <c r="J278" s="1">
        <f t="shared" si="47"/>
        <v>52.629154</v>
      </c>
      <c r="N278"/>
      <c r="O278"/>
      <c r="P278" s="1">
        <f t="shared" si="43"/>
        <v>64.17039227642276</v>
      </c>
      <c r="Q278" s="1">
        <f t="shared" si="44"/>
        <v>67.638498983739851</v>
      </c>
      <c r="R278" s="1">
        <f t="shared" si="45"/>
        <v>71.151030896298565</v>
      </c>
      <c r="S278" s="1">
        <f t="shared" si="46"/>
        <v>48.093320376432075</v>
      </c>
    </row>
    <row r="279" spans="1:19" x14ac:dyDescent="0.3">
      <c r="A279">
        <v>1339.8</v>
      </c>
      <c r="B279">
        <v>70.352446</v>
      </c>
      <c r="C279">
        <v>74.784094999999994</v>
      </c>
      <c r="D279">
        <v>78.935961000000006</v>
      </c>
      <c r="E279">
        <v>50.629154</v>
      </c>
      <c r="F279">
        <v>25.601987999999999</v>
      </c>
      <c r="G279">
        <v>19.146315000000001</v>
      </c>
      <c r="H279">
        <v>20.979106999999999</v>
      </c>
      <c r="I279"/>
      <c r="J279" s="1">
        <f t="shared" si="47"/>
        <v>52.629154</v>
      </c>
      <c r="N279"/>
      <c r="O279"/>
      <c r="P279" s="1">
        <f t="shared" si="43"/>
        <v>64.175277439024384</v>
      </c>
      <c r="Q279" s="1">
        <f t="shared" si="44"/>
        <v>67.635025406504056</v>
      </c>
      <c r="R279" s="1">
        <f t="shared" si="45"/>
        <v>71.146170082594068</v>
      </c>
      <c r="S279" s="1">
        <f t="shared" si="46"/>
        <v>48.076093494271689</v>
      </c>
    </row>
    <row r="280" spans="1:19" x14ac:dyDescent="0.3">
      <c r="A280">
        <v>1340</v>
      </c>
      <c r="B280">
        <v>70.360877000000002</v>
      </c>
      <c r="C280">
        <v>74.786118999999999</v>
      </c>
      <c r="D280">
        <v>78.931173000000001</v>
      </c>
      <c r="E280">
        <v>50.640118000000001</v>
      </c>
      <c r="F280">
        <v>25.804614000000001</v>
      </c>
      <c r="G280">
        <v>19.124744</v>
      </c>
      <c r="H280">
        <v>20.961835000000001</v>
      </c>
      <c r="I280" t="s">
        <v>56</v>
      </c>
      <c r="J280" s="1">
        <f t="shared" si="47"/>
        <v>52.640118000000001</v>
      </c>
      <c r="N280"/>
      <c r="O280"/>
      <c r="P280" s="1">
        <f t="shared" si="43"/>
        <v>64.175277439024384</v>
      </c>
      <c r="Q280" s="1">
        <f t="shared" si="44"/>
        <v>67.635025406504056</v>
      </c>
      <c r="R280" s="1">
        <f t="shared" si="45"/>
        <v>71.146170082594068</v>
      </c>
      <c r="S280" s="1">
        <f t="shared" si="46"/>
        <v>48.076093494271689</v>
      </c>
    </row>
    <row r="281" spans="1:19" x14ac:dyDescent="0.3">
      <c r="A281">
        <v>1340.2</v>
      </c>
      <c r="B281">
        <v>70.360877000000002</v>
      </c>
      <c r="C281">
        <v>74.786118999999999</v>
      </c>
      <c r="D281">
        <v>78.931173000000001</v>
      </c>
      <c r="E281">
        <v>50.640118000000001</v>
      </c>
      <c r="F281">
        <v>25.804614000000001</v>
      </c>
      <c r="G281">
        <v>19.124744</v>
      </c>
      <c r="H281">
        <v>20.961835000000001</v>
      </c>
      <c r="I281"/>
      <c r="J281" s="1">
        <f t="shared" si="47"/>
        <v>52.640118000000001</v>
      </c>
      <c r="N281"/>
      <c r="O281"/>
      <c r="P281" s="1">
        <f t="shared" si="43"/>
        <v>64.199383130081301</v>
      </c>
      <c r="Q281" s="1">
        <f t="shared" si="44"/>
        <v>67.648126016260164</v>
      </c>
      <c r="R281" s="1">
        <f t="shared" si="45"/>
        <v>71.134272458448052</v>
      </c>
      <c r="S281" s="1">
        <f t="shared" si="46"/>
        <v>48.077283142389525</v>
      </c>
    </row>
    <row r="282" spans="1:19" x14ac:dyDescent="0.3">
      <c r="A282">
        <v>1340.4</v>
      </c>
      <c r="B282">
        <v>70.370986000000002</v>
      </c>
      <c r="C282">
        <v>74.798683999999994</v>
      </c>
      <c r="D282">
        <v>78.918749000000005</v>
      </c>
      <c r="E282">
        <v>50.659855999999998</v>
      </c>
      <c r="F282">
        <v>25.96274</v>
      </c>
      <c r="G282">
        <v>19.147182000000001</v>
      </c>
      <c r="H282">
        <v>20.952000999999999</v>
      </c>
      <c r="I282"/>
      <c r="J282" s="1">
        <f t="shared" si="47"/>
        <v>52.659855999999998</v>
      </c>
      <c r="N282"/>
      <c r="O282"/>
      <c r="P282" s="1">
        <f t="shared" si="43"/>
        <v>64.199383130081301</v>
      </c>
      <c r="Q282" s="1">
        <f t="shared" si="44"/>
        <v>67.648126016260164</v>
      </c>
      <c r="R282" s="1">
        <f t="shared" si="45"/>
        <v>71.134272458448052</v>
      </c>
      <c r="S282" s="1">
        <f t="shared" si="46"/>
        <v>48.077283142389525</v>
      </c>
    </row>
    <row r="283" spans="1:19" x14ac:dyDescent="0.3">
      <c r="A283">
        <v>1340.6</v>
      </c>
      <c r="B283">
        <v>70.370986000000002</v>
      </c>
      <c r="C283">
        <v>74.798683999999994</v>
      </c>
      <c r="D283">
        <v>78.918749000000005</v>
      </c>
      <c r="E283">
        <v>50.659855999999998</v>
      </c>
      <c r="F283">
        <v>25.96274</v>
      </c>
      <c r="G283">
        <v>19.147182000000001</v>
      </c>
      <c r="H283">
        <v>20.952000999999999</v>
      </c>
      <c r="I283"/>
      <c r="J283" s="1">
        <f t="shared" si="47"/>
        <v>52.659855999999998</v>
      </c>
      <c r="N283"/>
      <c r="O283"/>
      <c r="P283" s="1">
        <f t="shared" si="43"/>
        <v>64.152403455284542</v>
      </c>
      <c r="Q283" s="1">
        <f t="shared" si="44"/>
        <v>67.641207317073167</v>
      </c>
      <c r="R283" s="1">
        <f t="shared" si="45"/>
        <v>71.14841541755888</v>
      </c>
      <c r="S283" s="1">
        <f t="shared" si="46"/>
        <v>48.082835515548283</v>
      </c>
    </row>
    <row r="284" spans="1:19" x14ac:dyDescent="0.3">
      <c r="A284">
        <v>1340.8</v>
      </c>
      <c r="B284">
        <v>70.364987999999997</v>
      </c>
      <c r="C284">
        <v>74.790437999999995</v>
      </c>
      <c r="D284">
        <v>78.892376999999996</v>
      </c>
      <c r="E284">
        <v>50.640321999999998</v>
      </c>
      <c r="F284">
        <v>25.959690999999999</v>
      </c>
      <c r="G284">
        <v>19.118061999999998</v>
      </c>
      <c r="H284">
        <v>20.974601</v>
      </c>
      <c r="I284"/>
      <c r="J284" s="1">
        <f t="shared" si="47"/>
        <v>52.640321999999998</v>
      </c>
      <c r="N284"/>
      <c r="O284"/>
      <c r="P284" s="1">
        <f t="shared" si="43"/>
        <v>64.152403455284542</v>
      </c>
      <c r="Q284" s="1">
        <f t="shared" si="44"/>
        <v>67.641207317073167</v>
      </c>
      <c r="R284" s="1">
        <f t="shared" si="45"/>
        <v>71.14841541755888</v>
      </c>
      <c r="S284" s="1">
        <f t="shared" si="46"/>
        <v>48.082835515548283</v>
      </c>
    </row>
    <row r="285" spans="1:19" x14ac:dyDescent="0.3">
      <c r="A285">
        <v>1341</v>
      </c>
      <c r="B285">
        <v>70.364987999999997</v>
      </c>
      <c r="C285">
        <v>74.790437999999995</v>
      </c>
      <c r="D285">
        <v>78.892376999999996</v>
      </c>
      <c r="E285">
        <v>50.640321999999998</v>
      </c>
      <c r="F285">
        <v>25.959690999999999</v>
      </c>
      <c r="G285">
        <v>19.118061999999998</v>
      </c>
      <c r="H285">
        <v>20.974601</v>
      </c>
      <c r="I285" t="s">
        <v>56</v>
      </c>
      <c r="J285" s="1">
        <f t="shared" si="47"/>
        <v>52.640321999999998</v>
      </c>
      <c r="N285"/>
      <c r="O285"/>
      <c r="P285" s="1">
        <f t="shared" si="43"/>
        <v>64.174611788617881</v>
      </c>
      <c r="Q285" s="1">
        <f t="shared" si="44"/>
        <v>67.641539634146341</v>
      </c>
      <c r="R285" s="1">
        <f t="shared" si="45"/>
        <v>71.145738758029978</v>
      </c>
      <c r="S285" s="1">
        <f t="shared" si="46"/>
        <v>48.085692512274953</v>
      </c>
    </row>
    <row r="286" spans="1:19" x14ac:dyDescent="0.3">
      <c r="A286">
        <v>1341.2</v>
      </c>
      <c r="B286">
        <v>70.373624000000007</v>
      </c>
      <c r="C286">
        <v>74.776059000000004</v>
      </c>
      <c r="D286">
        <v>78.931122999999999</v>
      </c>
      <c r="E286">
        <v>50.653958000000003</v>
      </c>
      <c r="F286">
        <v>25.864871000000001</v>
      </c>
      <c r="G286">
        <v>19.135704</v>
      </c>
      <c r="H286">
        <v>20.987949</v>
      </c>
      <c r="I286"/>
      <c r="J286" s="1">
        <f t="shared" si="47"/>
        <v>52.653958000000003</v>
      </c>
      <c r="N286"/>
      <c r="O286"/>
      <c r="P286" s="1">
        <f t="shared" si="43"/>
        <v>64.174611788617881</v>
      </c>
      <c r="Q286" s="1">
        <f t="shared" si="44"/>
        <v>67.641539634146341</v>
      </c>
      <c r="R286" s="1">
        <f t="shared" si="45"/>
        <v>71.145738758029978</v>
      </c>
      <c r="S286" s="1">
        <f t="shared" si="46"/>
        <v>48.085692512274953</v>
      </c>
    </row>
    <row r="287" spans="1:19" x14ac:dyDescent="0.3">
      <c r="A287">
        <v>1341.4</v>
      </c>
      <c r="B287">
        <v>70.373624000000007</v>
      </c>
      <c r="C287">
        <v>74.776059000000004</v>
      </c>
      <c r="D287">
        <v>78.931122999999999</v>
      </c>
      <c r="E287">
        <v>50.653958000000003</v>
      </c>
      <c r="F287">
        <v>25.864871000000001</v>
      </c>
      <c r="G287">
        <v>19.135704</v>
      </c>
      <c r="H287">
        <v>20.987949</v>
      </c>
      <c r="I287"/>
      <c r="J287" s="1">
        <f t="shared" si="47"/>
        <v>52.653958000000003</v>
      </c>
      <c r="N287"/>
      <c r="O287"/>
      <c r="P287" s="1">
        <f t="shared" si="43"/>
        <v>64.152373983739835</v>
      </c>
      <c r="Q287" s="1">
        <f t="shared" si="44"/>
        <v>67.624510162601624</v>
      </c>
      <c r="R287" s="1">
        <f t="shared" si="45"/>
        <v>71.152782706230241</v>
      </c>
      <c r="S287" s="1">
        <f t="shared" si="46"/>
        <v>48.08876329787234</v>
      </c>
    </row>
    <row r="288" spans="1:19" x14ac:dyDescent="0.3">
      <c r="A288">
        <v>1341.6</v>
      </c>
      <c r="B288">
        <v>70.362972999999997</v>
      </c>
      <c r="C288">
        <v>74.785475000000005</v>
      </c>
      <c r="D288">
        <v>78.939379000000002</v>
      </c>
      <c r="E288">
        <v>50.627302</v>
      </c>
      <c r="F288">
        <v>25.831963999999999</v>
      </c>
      <c r="G288">
        <v>19.126536000000002</v>
      </c>
      <c r="H288">
        <v>20.987801999999999</v>
      </c>
      <c r="I288"/>
      <c r="J288" s="1">
        <f t="shared" si="47"/>
        <v>52.627302</v>
      </c>
      <c r="N288"/>
      <c r="O288"/>
      <c r="P288" s="1">
        <f t="shared" si="43"/>
        <v>64.152373983739835</v>
      </c>
      <c r="Q288" s="1">
        <f t="shared" si="44"/>
        <v>67.624510162601624</v>
      </c>
      <c r="R288" s="1">
        <f t="shared" si="45"/>
        <v>71.152782706230241</v>
      </c>
      <c r="S288" s="1">
        <f t="shared" si="46"/>
        <v>48.08876329787234</v>
      </c>
    </row>
    <row r="289" spans="1:19" x14ac:dyDescent="0.3">
      <c r="A289">
        <v>1341.8</v>
      </c>
      <c r="B289">
        <v>70.362972999999997</v>
      </c>
      <c r="C289">
        <v>74.785475000000005</v>
      </c>
      <c r="D289">
        <v>78.939379000000002</v>
      </c>
      <c r="E289">
        <v>50.627302</v>
      </c>
      <c r="F289">
        <v>25.831963999999999</v>
      </c>
      <c r="G289">
        <v>19.126536000000002</v>
      </c>
      <c r="H289">
        <v>20.987801999999999</v>
      </c>
      <c r="I289"/>
      <c r="J289" s="1">
        <f t="shared" si="47"/>
        <v>52.627302</v>
      </c>
      <c r="N289"/>
      <c r="O289"/>
      <c r="P289" s="1">
        <f t="shared" si="43"/>
        <v>64.183764227642271</v>
      </c>
      <c r="Q289" s="1">
        <f t="shared" si="44"/>
        <v>67.643700203252038</v>
      </c>
      <c r="R289" s="1">
        <f t="shared" si="45"/>
        <v>71.155535841745689</v>
      </c>
      <c r="S289" s="1">
        <f t="shared" si="46"/>
        <v>48.101925122749591</v>
      </c>
    </row>
    <row r="290" spans="1:19" x14ac:dyDescent="0.3">
      <c r="A290">
        <v>1342</v>
      </c>
      <c r="B290">
        <v>70.372636</v>
      </c>
      <c r="C290">
        <v>74.788269</v>
      </c>
      <c r="D290">
        <v>78.925832</v>
      </c>
      <c r="E290">
        <v>50.644772000000003</v>
      </c>
      <c r="F290">
        <v>25.786655</v>
      </c>
      <c r="G290">
        <v>19.148827000000001</v>
      </c>
      <c r="H290">
        <v>21.005792</v>
      </c>
      <c r="I290" t="s">
        <v>56</v>
      </c>
      <c r="J290" s="1">
        <f t="shared" si="47"/>
        <v>52.644772000000003</v>
      </c>
      <c r="N290"/>
      <c r="O290"/>
      <c r="P290" s="1">
        <f t="shared" si="43"/>
        <v>64.183764227642271</v>
      </c>
      <c r="Q290" s="1">
        <f t="shared" si="44"/>
        <v>67.643700203252038</v>
      </c>
      <c r="R290" s="1">
        <f t="shared" si="45"/>
        <v>71.155535841745689</v>
      </c>
      <c r="S290" s="1">
        <f t="shared" si="46"/>
        <v>48.101925122749591</v>
      </c>
    </row>
    <row r="291" spans="1:19" x14ac:dyDescent="0.3">
      <c r="A291">
        <v>1342.2</v>
      </c>
      <c r="B291">
        <v>70.372636</v>
      </c>
      <c r="C291">
        <v>74.788269</v>
      </c>
      <c r="D291">
        <v>78.925832</v>
      </c>
      <c r="E291">
        <v>50.644772000000003</v>
      </c>
      <c r="F291">
        <v>25.786655</v>
      </c>
      <c r="G291">
        <v>19.148827000000001</v>
      </c>
      <c r="H291">
        <v>21.005792</v>
      </c>
      <c r="I291"/>
      <c r="J291" s="1">
        <f t="shared" si="47"/>
        <v>52.644772000000003</v>
      </c>
      <c r="N291"/>
      <c r="O291"/>
      <c r="P291" s="1">
        <f t="shared" si="43"/>
        <v>64.190974593495937</v>
      </c>
      <c r="Q291" s="1">
        <f t="shared" si="44"/>
        <v>67.658975609756098</v>
      </c>
      <c r="R291" s="1">
        <f t="shared" si="45"/>
        <v>71.135398184969915</v>
      </c>
      <c r="S291" s="1">
        <f t="shared" si="46"/>
        <v>48.092778232405891</v>
      </c>
    </row>
    <row r="292" spans="1:19" x14ac:dyDescent="0.3">
      <c r="A292">
        <v>1342.4</v>
      </c>
      <c r="B292">
        <v>70.370418999999998</v>
      </c>
      <c r="C292">
        <v>74.792886999999993</v>
      </c>
      <c r="D292">
        <v>78.925445999999994</v>
      </c>
      <c r="E292">
        <v>50.638823000000002</v>
      </c>
      <c r="F292">
        <v>25.699245999999999</v>
      </c>
      <c r="G292">
        <v>19.144824</v>
      </c>
      <c r="H292">
        <v>21.008906</v>
      </c>
      <c r="I292"/>
      <c r="J292" s="1">
        <f t="shared" si="47"/>
        <v>52.638823000000002</v>
      </c>
      <c r="N292"/>
      <c r="O292"/>
      <c r="P292" s="1">
        <f t="shared" si="43"/>
        <v>64.190974593495937</v>
      </c>
      <c r="Q292" s="1">
        <f t="shared" si="44"/>
        <v>67.658975609756098</v>
      </c>
      <c r="R292" s="1">
        <f t="shared" si="45"/>
        <v>71.135398184969915</v>
      </c>
      <c r="S292" s="1">
        <f t="shared" si="46"/>
        <v>48.092778232405891</v>
      </c>
    </row>
    <row r="293" spans="1:19" x14ac:dyDescent="0.3">
      <c r="A293">
        <v>1342.6</v>
      </c>
      <c r="B293">
        <v>70.370418999999998</v>
      </c>
      <c r="C293">
        <v>74.792886999999993</v>
      </c>
      <c r="D293">
        <v>78.925445999999994</v>
      </c>
      <c r="E293">
        <v>50.638823000000002</v>
      </c>
      <c r="F293">
        <v>25.699245999999999</v>
      </c>
      <c r="G293">
        <v>19.144824</v>
      </c>
      <c r="H293">
        <v>21.008906</v>
      </c>
      <c r="I293"/>
      <c r="J293" s="1">
        <f t="shared" si="47"/>
        <v>52.638823000000002</v>
      </c>
      <c r="N293"/>
      <c r="O293"/>
      <c r="P293" s="1">
        <f t="shared" si="43"/>
        <v>72.304701219512211</v>
      </c>
      <c r="Q293" s="1">
        <f t="shared" si="44"/>
        <v>76.788485772357731</v>
      </c>
      <c r="R293" s="1">
        <f t="shared" si="45"/>
        <v>81.275138166615676</v>
      </c>
      <c r="S293" s="1">
        <f t="shared" si="46"/>
        <v>52.709576513911621</v>
      </c>
    </row>
    <row r="294" spans="1:19" x14ac:dyDescent="0.3">
      <c r="A294">
        <v>1342.8</v>
      </c>
      <c r="B294">
        <v>70.371709999999993</v>
      </c>
      <c r="C294">
        <v>74.805547000000004</v>
      </c>
      <c r="D294">
        <v>78.924685999999994</v>
      </c>
      <c r="E294">
        <v>50.642895000000003</v>
      </c>
      <c r="F294">
        <v>25.652884</v>
      </c>
      <c r="G294">
        <v>19.134270999999998</v>
      </c>
      <c r="H294">
        <v>20.994577</v>
      </c>
      <c r="I294"/>
      <c r="J294" s="1">
        <f t="shared" si="47"/>
        <v>52.642895000000003</v>
      </c>
      <c r="N294"/>
      <c r="O294"/>
      <c r="P294" s="1">
        <f t="shared" si="43"/>
        <v>72.304556910569104</v>
      </c>
      <c r="Q294" s="1">
        <f t="shared" si="44"/>
        <v>76.79643394308944</v>
      </c>
      <c r="R294" s="1">
        <f t="shared" si="45"/>
        <v>81.27776996023249</v>
      </c>
      <c r="S294" s="1">
        <f t="shared" si="46"/>
        <v>52.74379091653028</v>
      </c>
    </row>
    <row r="295" spans="1:19" x14ac:dyDescent="0.3">
      <c r="A295">
        <v>1343</v>
      </c>
      <c r="B295">
        <v>70.371709999999993</v>
      </c>
      <c r="C295">
        <v>74.805547000000004</v>
      </c>
      <c r="D295">
        <v>78.924685999999994</v>
      </c>
      <c r="E295">
        <v>50.642895000000003</v>
      </c>
      <c r="F295">
        <v>25.652884</v>
      </c>
      <c r="G295">
        <v>19.134270999999998</v>
      </c>
      <c r="H295">
        <v>20.994577</v>
      </c>
      <c r="I295" t="s">
        <v>56</v>
      </c>
      <c r="J295" s="1">
        <f t="shared" si="47"/>
        <v>52.642895000000003</v>
      </c>
      <c r="N295"/>
      <c r="O295"/>
      <c r="P295" s="1">
        <f t="shared" si="43"/>
        <v>72.304556910569104</v>
      </c>
      <c r="Q295" s="1">
        <f t="shared" si="44"/>
        <v>76.79643394308944</v>
      </c>
      <c r="R295" s="1">
        <f t="shared" si="45"/>
        <v>81.27776996023249</v>
      </c>
      <c r="S295" s="1">
        <f t="shared" si="46"/>
        <v>52.74379091653028</v>
      </c>
    </row>
    <row r="296" spans="1:19" x14ac:dyDescent="0.3">
      <c r="A296">
        <v>1343.2</v>
      </c>
      <c r="B296">
        <v>70.345982000000006</v>
      </c>
      <c r="C296">
        <v>74.807233999999994</v>
      </c>
      <c r="D296">
        <v>78.913210000000007</v>
      </c>
      <c r="E296">
        <v>50.660806000000001</v>
      </c>
      <c r="F296">
        <v>25.537241999999999</v>
      </c>
      <c r="G296">
        <v>19.135694999999998</v>
      </c>
      <c r="H296">
        <v>21.005953999999999</v>
      </c>
      <c r="I296"/>
      <c r="J296" s="1">
        <f t="shared" si="47"/>
        <v>52.660806000000001</v>
      </c>
      <c r="N296"/>
      <c r="O296"/>
      <c r="P296" s="1">
        <f t="shared" si="43"/>
        <v>72.295676829268302</v>
      </c>
      <c r="Q296" s="1">
        <f t="shared" si="44"/>
        <v>76.799385162601624</v>
      </c>
      <c r="R296" s="1">
        <f t="shared" si="45"/>
        <v>81.315653104925062</v>
      </c>
      <c r="S296" s="1">
        <f t="shared" si="46"/>
        <v>52.734200081833059</v>
      </c>
    </row>
    <row r="297" spans="1:19" x14ac:dyDescent="0.3">
      <c r="A297">
        <v>1343.4</v>
      </c>
      <c r="B297">
        <v>70.345982000000006</v>
      </c>
      <c r="C297">
        <v>74.807233999999994</v>
      </c>
      <c r="D297">
        <v>78.913210000000007</v>
      </c>
      <c r="E297">
        <v>50.660806000000001</v>
      </c>
      <c r="F297">
        <v>25.537241999999999</v>
      </c>
      <c r="G297">
        <v>19.135694999999998</v>
      </c>
      <c r="H297">
        <v>21.005953999999999</v>
      </c>
      <c r="I297"/>
      <c r="J297" s="1">
        <f t="shared" si="47"/>
        <v>52.660806000000001</v>
      </c>
      <c r="N297"/>
      <c r="O297"/>
      <c r="P297" s="1">
        <f t="shared" si="43"/>
        <v>72.295676829268302</v>
      </c>
      <c r="Q297" s="1">
        <f t="shared" si="44"/>
        <v>76.799385162601624</v>
      </c>
      <c r="R297" s="1">
        <f t="shared" si="45"/>
        <v>81.315653104925062</v>
      </c>
      <c r="S297" s="1">
        <f t="shared" si="46"/>
        <v>52.734200081833059</v>
      </c>
    </row>
    <row r="298" spans="1:19" x14ac:dyDescent="0.3">
      <c r="A298">
        <v>1343.6</v>
      </c>
      <c r="B298">
        <v>70.384230000000002</v>
      </c>
      <c r="C298">
        <v>74.802314999999993</v>
      </c>
      <c r="D298">
        <v>78.934393</v>
      </c>
      <c r="E298">
        <v>50.648862999999999</v>
      </c>
      <c r="F298">
        <v>25.531832999999999</v>
      </c>
      <c r="G298">
        <v>19.152206</v>
      </c>
      <c r="H298">
        <v>20.988306999999999</v>
      </c>
      <c r="I298"/>
      <c r="J298" s="1">
        <f t="shared" si="47"/>
        <v>52.648862999999999</v>
      </c>
      <c r="N298"/>
      <c r="O298"/>
      <c r="P298" s="1">
        <f t="shared" si="43"/>
        <v>72.304244918699197</v>
      </c>
      <c r="Q298" s="1">
        <f t="shared" si="44"/>
        <v>76.801442073170733</v>
      </c>
      <c r="R298" s="1">
        <f t="shared" si="45"/>
        <v>81.310770877944321</v>
      </c>
      <c r="S298" s="1">
        <f t="shared" si="46"/>
        <v>52.745415302782327</v>
      </c>
    </row>
    <row r="299" spans="1:19" x14ac:dyDescent="0.3">
      <c r="A299">
        <v>1343.8</v>
      </c>
      <c r="B299">
        <v>70.384230000000002</v>
      </c>
      <c r="C299">
        <v>74.802314999999993</v>
      </c>
      <c r="D299">
        <v>78.934393</v>
      </c>
      <c r="E299">
        <v>50.648862999999999</v>
      </c>
      <c r="F299">
        <v>25.531832999999999</v>
      </c>
      <c r="G299">
        <v>19.152206</v>
      </c>
      <c r="H299">
        <v>20.988306999999999</v>
      </c>
      <c r="I299"/>
      <c r="J299" s="1">
        <f t="shared" si="47"/>
        <v>52.648862999999999</v>
      </c>
      <c r="N299"/>
      <c r="O299"/>
      <c r="P299" s="1">
        <f t="shared" ref="P299:P362" si="48">(B281+Q$36)/P$36</f>
        <v>72.304244918699197</v>
      </c>
      <c r="Q299" s="1">
        <f t="shared" ref="Q299:Q362" si="49">(C281+Q$36)/P$36</f>
        <v>76.801442073170733</v>
      </c>
      <c r="R299" s="1">
        <f t="shared" ref="R299:R362" si="50">(D281+Q$38)/P$38</f>
        <v>81.310770877944321</v>
      </c>
      <c r="S299" s="1">
        <f t="shared" ref="S299:S362" si="51">(E281+Q$39)/P$39</f>
        <v>52.745415302782327</v>
      </c>
    </row>
    <row r="300" spans="1:19" x14ac:dyDescent="0.3">
      <c r="A300">
        <v>1344</v>
      </c>
      <c r="B300">
        <v>70.357980999999995</v>
      </c>
      <c r="C300">
        <v>74.797793999999996</v>
      </c>
      <c r="D300">
        <v>78.919904000000002</v>
      </c>
      <c r="E300">
        <v>50.642257000000001</v>
      </c>
      <c r="F300">
        <v>25.680088999999999</v>
      </c>
      <c r="G300">
        <v>19.141613</v>
      </c>
      <c r="H300">
        <v>20.984840999999999</v>
      </c>
      <c r="I300" t="s">
        <v>56</v>
      </c>
      <c r="J300" s="1">
        <f t="shared" si="47"/>
        <v>52.642257000000001</v>
      </c>
      <c r="N300"/>
      <c r="O300"/>
      <c r="P300" s="1">
        <f t="shared" si="48"/>
        <v>72.314518292682934</v>
      </c>
      <c r="Q300" s="1">
        <f t="shared" si="49"/>
        <v>76.814211382113825</v>
      </c>
      <c r="R300" s="1">
        <f t="shared" si="50"/>
        <v>81.298102375853986</v>
      </c>
      <c r="S300" s="1">
        <f t="shared" si="51"/>
        <v>52.765605564648112</v>
      </c>
    </row>
    <row r="301" spans="1:19" x14ac:dyDescent="0.3">
      <c r="A301">
        <v>1344.2</v>
      </c>
      <c r="B301">
        <v>70.357980999999995</v>
      </c>
      <c r="C301">
        <v>74.797793999999996</v>
      </c>
      <c r="D301">
        <v>78.919904000000002</v>
      </c>
      <c r="E301">
        <v>50.642257000000001</v>
      </c>
      <c r="F301">
        <v>25.680088999999999</v>
      </c>
      <c r="G301">
        <v>19.141613</v>
      </c>
      <c r="H301">
        <v>20.984840999999999</v>
      </c>
      <c r="I301"/>
      <c r="J301" s="1">
        <f t="shared" si="47"/>
        <v>52.642257000000001</v>
      </c>
      <c r="N301"/>
      <c r="O301"/>
      <c r="P301" s="1">
        <f t="shared" si="48"/>
        <v>72.314518292682934</v>
      </c>
      <c r="Q301" s="1">
        <f t="shared" si="49"/>
        <v>76.814211382113825</v>
      </c>
      <c r="R301" s="1">
        <f t="shared" si="50"/>
        <v>81.298102375853986</v>
      </c>
      <c r="S301" s="1">
        <f t="shared" si="51"/>
        <v>52.765605564648112</v>
      </c>
    </row>
    <row r="302" spans="1:19" x14ac:dyDescent="0.3">
      <c r="A302">
        <v>1344.4</v>
      </c>
      <c r="B302">
        <v>70.375473</v>
      </c>
      <c r="C302">
        <v>74.825218000000007</v>
      </c>
      <c r="D302">
        <v>78.929328999999996</v>
      </c>
      <c r="E302">
        <v>50.635115999999996</v>
      </c>
      <c r="F302">
        <v>25.706254999999999</v>
      </c>
      <c r="G302">
        <v>19.142710000000001</v>
      </c>
      <c r="H302">
        <v>20.962706000000001</v>
      </c>
      <c r="I302"/>
      <c r="J302" s="1">
        <f t="shared" si="47"/>
        <v>52.635115999999996</v>
      </c>
      <c r="N302"/>
      <c r="O302"/>
      <c r="P302" s="1">
        <f t="shared" si="48"/>
        <v>72.308422764227643</v>
      </c>
      <c r="Q302" s="1">
        <f t="shared" si="49"/>
        <v>76.805831300813011</v>
      </c>
      <c r="R302" s="1">
        <f t="shared" si="50"/>
        <v>81.271211379626791</v>
      </c>
      <c r="S302" s="1">
        <f t="shared" si="51"/>
        <v>52.745623977086737</v>
      </c>
    </row>
    <row r="303" spans="1:19" x14ac:dyDescent="0.3">
      <c r="A303">
        <v>1344.6</v>
      </c>
      <c r="B303">
        <v>70.375473</v>
      </c>
      <c r="C303">
        <v>74.825218000000007</v>
      </c>
      <c r="D303">
        <v>78.929328999999996</v>
      </c>
      <c r="E303">
        <v>50.635115999999996</v>
      </c>
      <c r="F303">
        <v>25.706254999999999</v>
      </c>
      <c r="G303">
        <v>19.142710000000001</v>
      </c>
      <c r="H303">
        <v>20.962706000000001</v>
      </c>
      <c r="I303"/>
      <c r="J303" s="1">
        <f t="shared" si="47"/>
        <v>52.635115999999996</v>
      </c>
      <c r="N303"/>
      <c r="O303"/>
      <c r="P303" s="1">
        <f t="shared" si="48"/>
        <v>72.308422764227643</v>
      </c>
      <c r="Q303" s="1">
        <f t="shared" si="49"/>
        <v>76.805831300813011</v>
      </c>
      <c r="R303" s="1">
        <f t="shared" si="50"/>
        <v>81.271211379626791</v>
      </c>
      <c r="S303" s="1">
        <f t="shared" si="51"/>
        <v>52.745623977086737</v>
      </c>
    </row>
    <row r="304" spans="1:19" x14ac:dyDescent="0.3">
      <c r="A304">
        <v>1344.8</v>
      </c>
      <c r="B304">
        <v>70.389246</v>
      </c>
      <c r="C304">
        <v>74.821411999999995</v>
      </c>
      <c r="D304">
        <v>78.956387000000007</v>
      </c>
      <c r="E304">
        <v>50.634551000000002</v>
      </c>
      <c r="F304">
        <v>25.793779000000001</v>
      </c>
      <c r="G304">
        <v>19.12641</v>
      </c>
      <c r="H304">
        <v>20.985779999999998</v>
      </c>
      <c r="I304"/>
      <c r="J304" s="1">
        <f t="shared" si="47"/>
        <v>52.634551000000002</v>
      </c>
      <c r="N304"/>
      <c r="O304"/>
      <c r="P304" s="1">
        <f t="shared" si="48"/>
        <v>72.317199186991886</v>
      </c>
      <c r="Q304" s="1">
        <f t="shared" si="49"/>
        <v>76.79121849593497</v>
      </c>
      <c r="R304" s="1">
        <f t="shared" si="50"/>
        <v>81.310719893953291</v>
      </c>
      <c r="S304" s="1">
        <f t="shared" si="51"/>
        <v>52.759572422258593</v>
      </c>
    </row>
    <row r="305" spans="1:19" x14ac:dyDescent="0.3">
      <c r="A305">
        <v>1345</v>
      </c>
      <c r="B305">
        <v>70.389246</v>
      </c>
      <c r="C305">
        <v>74.821411999999995</v>
      </c>
      <c r="D305">
        <v>78.956387000000007</v>
      </c>
      <c r="E305">
        <v>50.634551000000002</v>
      </c>
      <c r="F305">
        <v>25.793779000000001</v>
      </c>
      <c r="G305">
        <v>19.12641</v>
      </c>
      <c r="H305">
        <v>20.985779999999998</v>
      </c>
      <c r="I305" t="s">
        <v>56</v>
      </c>
      <c r="J305" s="1">
        <f t="shared" si="47"/>
        <v>52.634551000000002</v>
      </c>
      <c r="N305"/>
      <c r="O305"/>
      <c r="P305" s="1">
        <f t="shared" si="48"/>
        <v>72.317199186991886</v>
      </c>
      <c r="Q305" s="1">
        <f t="shared" si="49"/>
        <v>76.79121849593497</v>
      </c>
      <c r="R305" s="1">
        <f t="shared" si="50"/>
        <v>81.310719893953291</v>
      </c>
      <c r="S305" s="1">
        <f t="shared" si="51"/>
        <v>52.759572422258593</v>
      </c>
    </row>
    <row r="306" spans="1:19" x14ac:dyDescent="0.3">
      <c r="A306">
        <v>1345.2</v>
      </c>
      <c r="B306">
        <v>70.382396</v>
      </c>
      <c r="C306">
        <v>74.825740999999994</v>
      </c>
      <c r="D306">
        <v>78.945729999999998</v>
      </c>
      <c r="E306">
        <v>50.648650000000004</v>
      </c>
      <c r="F306">
        <v>25.773088000000001</v>
      </c>
      <c r="G306">
        <v>19.147326</v>
      </c>
      <c r="H306">
        <v>21.000501</v>
      </c>
      <c r="I306"/>
      <c r="J306" s="1">
        <f t="shared" si="47"/>
        <v>52.648650000000004</v>
      </c>
      <c r="N306"/>
      <c r="O306"/>
      <c r="P306" s="1">
        <f t="shared" si="48"/>
        <v>72.306375000000003</v>
      </c>
      <c r="Q306" s="1">
        <f t="shared" si="49"/>
        <v>76.800787601626027</v>
      </c>
      <c r="R306" s="1">
        <f t="shared" si="50"/>
        <v>81.319138370551642</v>
      </c>
      <c r="S306" s="1">
        <f t="shared" si="51"/>
        <v>52.73230564648118</v>
      </c>
    </row>
    <row r="307" spans="1:19" x14ac:dyDescent="0.3">
      <c r="A307">
        <v>1345.4</v>
      </c>
      <c r="B307">
        <v>70.382396</v>
      </c>
      <c r="C307">
        <v>74.825740999999994</v>
      </c>
      <c r="D307">
        <v>78.945729999999998</v>
      </c>
      <c r="E307">
        <v>50.648650000000004</v>
      </c>
      <c r="F307">
        <v>25.773088000000001</v>
      </c>
      <c r="G307">
        <v>19.147326</v>
      </c>
      <c r="H307">
        <v>21.000501</v>
      </c>
      <c r="I307"/>
      <c r="J307" s="1">
        <f t="shared" si="47"/>
        <v>52.648650000000004</v>
      </c>
      <c r="N307"/>
      <c r="O307"/>
      <c r="P307" s="1">
        <f t="shared" si="48"/>
        <v>72.306375000000003</v>
      </c>
      <c r="Q307" s="1">
        <f t="shared" si="49"/>
        <v>76.800787601626027</v>
      </c>
      <c r="R307" s="1">
        <f t="shared" si="50"/>
        <v>81.319138370551642</v>
      </c>
      <c r="S307" s="1">
        <f t="shared" si="51"/>
        <v>52.73230564648118</v>
      </c>
    </row>
    <row r="308" spans="1:19" x14ac:dyDescent="0.3">
      <c r="A308">
        <v>1345.6</v>
      </c>
      <c r="B308">
        <v>70.389171000000005</v>
      </c>
      <c r="C308">
        <v>74.813376000000005</v>
      </c>
      <c r="D308">
        <v>78.946331000000001</v>
      </c>
      <c r="E308">
        <v>50.649821000000003</v>
      </c>
      <c r="F308">
        <v>25.772680999999999</v>
      </c>
      <c r="G308">
        <v>19.140277999999999</v>
      </c>
      <c r="H308">
        <v>20.994412000000001</v>
      </c>
      <c r="I308"/>
      <c r="J308" s="1">
        <f t="shared" si="47"/>
        <v>52.649821000000003</v>
      </c>
      <c r="N308"/>
      <c r="O308"/>
      <c r="P308" s="1">
        <f t="shared" si="48"/>
        <v>72.316195121951225</v>
      </c>
      <c r="Q308" s="1">
        <f t="shared" si="49"/>
        <v>76.803627032520325</v>
      </c>
      <c r="R308" s="1">
        <f t="shared" si="50"/>
        <v>81.305324768022842</v>
      </c>
      <c r="S308" s="1">
        <f t="shared" si="51"/>
        <v>52.750175941080201</v>
      </c>
    </row>
    <row r="309" spans="1:19" x14ac:dyDescent="0.3">
      <c r="A309">
        <v>1345.8</v>
      </c>
      <c r="B309">
        <v>70.389171000000005</v>
      </c>
      <c r="C309">
        <v>74.813376000000005</v>
      </c>
      <c r="D309">
        <v>78.946331000000001</v>
      </c>
      <c r="E309">
        <v>50.649821000000003</v>
      </c>
      <c r="F309">
        <v>25.772680999999999</v>
      </c>
      <c r="G309">
        <v>19.140277999999999</v>
      </c>
      <c r="H309">
        <v>20.994412000000001</v>
      </c>
      <c r="I309"/>
      <c r="J309" s="1">
        <f t="shared" si="47"/>
        <v>52.649821000000003</v>
      </c>
      <c r="N309"/>
      <c r="O309"/>
      <c r="P309" s="1">
        <f t="shared" si="48"/>
        <v>72.316195121951225</v>
      </c>
      <c r="Q309" s="1">
        <f t="shared" si="49"/>
        <v>76.803627032520325</v>
      </c>
      <c r="R309" s="1">
        <f t="shared" si="50"/>
        <v>81.305324768022842</v>
      </c>
      <c r="S309" s="1">
        <f t="shared" si="51"/>
        <v>52.750175941080201</v>
      </c>
    </row>
    <row r="310" spans="1:19" x14ac:dyDescent="0.3">
      <c r="A310">
        <v>1346</v>
      </c>
      <c r="B310">
        <v>70.385260000000002</v>
      </c>
      <c r="C310">
        <v>74.820629999999994</v>
      </c>
      <c r="D310">
        <v>78.952202999999997</v>
      </c>
      <c r="E310">
        <v>50.643785999999999</v>
      </c>
      <c r="F310">
        <v>25.829394000000001</v>
      </c>
      <c r="G310">
        <v>19.166734999999999</v>
      </c>
      <c r="H310">
        <v>20.996175999999998</v>
      </c>
      <c r="I310" t="s">
        <v>56</v>
      </c>
      <c r="J310" s="1">
        <f t="shared" si="47"/>
        <v>52.643785999999999</v>
      </c>
      <c r="N310"/>
      <c r="O310"/>
      <c r="P310" s="1">
        <f t="shared" si="48"/>
        <v>72.313942073170736</v>
      </c>
      <c r="Q310" s="1">
        <f t="shared" si="49"/>
        <v>76.808320121951212</v>
      </c>
      <c r="R310" s="1">
        <f t="shared" si="50"/>
        <v>81.304931171612111</v>
      </c>
      <c r="S310" s="1">
        <f t="shared" si="51"/>
        <v>52.74409063011457</v>
      </c>
    </row>
    <row r="311" spans="1:19" x14ac:dyDescent="0.3">
      <c r="A311">
        <v>1346.2</v>
      </c>
      <c r="B311">
        <v>70.385260000000002</v>
      </c>
      <c r="C311">
        <v>74.820629999999994</v>
      </c>
      <c r="D311">
        <v>78.952202999999997</v>
      </c>
      <c r="E311">
        <v>50.643785999999999</v>
      </c>
      <c r="F311">
        <v>25.829394000000001</v>
      </c>
      <c r="G311">
        <v>19.166734999999999</v>
      </c>
      <c r="H311">
        <v>20.996175999999998</v>
      </c>
      <c r="I311"/>
      <c r="J311" s="1">
        <f t="shared" si="47"/>
        <v>52.643785999999999</v>
      </c>
      <c r="N311"/>
      <c r="O311"/>
      <c r="P311" s="1">
        <f t="shared" si="48"/>
        <v>72.313942073170736</v>
      </c>
      <c r="Q311" s="1">
        <f t="shared" si="49"/>
        <v>76.808320121951212</v>
      </c>
      <c r="R311" s="1">
        <f t="shared" si="50"/>
        <v>81.304931171612111</v>
      </c>
      <c r="S311" s="1">
        <f t="shared" si="51"/>
        <v>52.74409063011457</v>
      </c>
    </row>
    <row r="312" spans="1:19" x14ac:dyDescent="0.3">
      <c r="A312">
        <v>1346.4</v>
      </c>
      <c r="B312">
        <v>70.380491000000006</v>
      </c>
      <c r="C312">
        <v>74.812241</v>
      </c>
      <c r="D312">
        <v>78.956997000000001</v>
      </c>
      <c r="E312">
        <v>50.647751</v>
      </c>
      <c r="F312">
        <v>25.846288999999999</v>
      </c>
      <c r="G312">
        <v>19.1511</v>
      </c>
      <c r="H312">
        <v>20.993839999999999</v>
      </c>
      <c r="I312"/>
      <c r="J312" s="1">
        <f t="shared" si="47"/>
        <v>52.647751</v>
      </c>
      <c r="N312"/>
      <c r="O312"/>
      <c r="P312" s="1">
        <f t="shared" si="48"/>
        <v>72.315254065040648</v>
      </c>
      <c r="Q312" s="1">
        <f t="shared" si="49"/>
        <v>76.821185975609765</v>
      </c>
      <c r="R312" s="1">
        <f t="shared" si="50"/>
        <v>81.304156214948492</v>
      </c>
      <c r="S312" s="1">
        <f t="shared" si="51"/>
        <v>52.748255932896889</v>
      </c>
    </row>
    <row r="313" spans="1:19" x14ac:dyDescent="0.3">
      <c r="A313">
        <v>1346.6</v>
      </c>
      <c r="B313">
        <v>70.380491000000006</v>
      </c>
      <c r="C313">
        <v>74.812241</v>
      </c>
      <c r="D313">
        <v>78.956997000000001</v>
      </c>
      <c r="E313">
        <v>50.647751</v>
      </c>
      <c r="F313">
        <v>25.846288999999999</v>
      </c>
      <c r="G313">
        <v>19.1511</v>
      </c>
      <c r="H313">
        <v>20.993839999999999</v>
      </c>
      <c r="I313"/>
      <c r="J313" s="1">
        <f t="shared" si="47"/>
        <v>52.647751</v>
      </c>
      <c r="N313"/>
      <c r="O313"/>
      <c r="P313" s="1">
        <f t="shared" si="48"/>
        <v>72.315254065040648</v>
      </c>
      <c r="Q313" s="1">
        <f t="shared" si="49"/>
        <v>76.821185975609765</v>
      </c>
      <c r="R313" s="1">
        <f t="shared" si="50"/>
        <v>81.304156214948492</v>
      </c>
      <c r="S313" s="1">
        <f t="shared" si="51"/>
        <v>52.748255932896889</v>
      </c>
    </row>
    <row r="314" spans="1:19" x14ac:dyDescent="0.3">
      <c r="A314">
        <v>1346.8</v>
      </c>
      <c r="B314">
        <v>70.403893999999994</v>
      </c>
      <c r="C314">
        <v>74.824393000000001</v>
      </c>
      <c r="D314">
        <v>78.941210999999996</v>
      </c>
      <c r="E314">
        <v>50.637889000000001</v>
      </c>
      <c r="F314">
        <v>25.927762999999999</v>
      </c>
      <c r="G314">
        <v>19.135971000000001</v>
      </c>
      <c r="H314">
        <v>20.966407</v>
      </c>
      <c r="I314"/>
      <c r="J314" s="1">
        <f t="shared" si="47"/>
        <v>52.637889000000001</v>
      </c>
      <c r="N314"/>
      <c r="O314"/>
      <c r="P314" s="1">
        <f t="shared" si="48"/>
        <v>72.289107723577246</v>
      </c>
      <c r="Q314" s="1">
        <f t="shared" si="49"/>
        <v>76.822900406504061</v>
      </c>
      <c r="R314" s="1">
        <f t="shared" si="50"/>
        <v>81.292454369328041</v>
      </c>
      <c r="S314" s="1">
        <f t="shared" si="51"/>
        <v>52.766577332242228</v>
      </c>
    </row>
    <row r="315" spans="1:19" x14ac:dyDescent="0.3">
      <c r="A315">
        <v>1347</v>
      </c>
      <c r="B315">
        <v>70.403893999999994</v>
      </c>
      <c r="C315">
        <v>74.824393000000001</v>
      </c>
      <c r="D315">
        <v>78.941210999999996</v>
      </c>
      <c r="E315">
        <v>50.637889000000001</v>
      </c>
      <c r="F315">
        <v>25.927762999999999</v>
      </c>
      <c r="G315">
        <v>19.135971000000001</v>
      </c>
      <c r="H315">
        <v>20.966407</v>
      </c>
      <c r="I315" t="s">
        <v>56</v>
      </c>
      <c r="J315" s="1">
        <f t="shared" si="47"/>
        <v>52.637889000000001</v>
      </c>
      <c r="N315"/>
      <c r="O315"/>
      <c r="P315" s="1">
        <f t="shared" si="48"/>
        <v>72.289107723577246</v>
      </c>
      <c r="Q315" s="1">
        <f t="shared" si="49"/>
        <v>76.822900406504061</v>
      </c>
      <c r="R315" s="1">
        <f t="shared" si="50"/>
        <v>81.292454369328041</v>
      </c>
      <c r="S315" s="1">
        <f t="shared" si="51"/>
        <v>52.766577332242228</v>
      </c>
    </row>
    <row r="316" spans="1:19" x14ac:dyDescent="0.3">
      <c r="A316">
        <v>1347.2</v>
      </c>
      <c r="B316">
        <v>70.409398999999993</v>
      </c>
      <c r="C316">
        <v>74.818954000000005</v>
      </c>
      <c r="D316">
        <v>78.9435</v>
      </c>
      <c r="E316">
        <v>50.683297000000003</v>
      </c>
      <c r="F316">
        <v>26.067619000000001</v>
      </c>
      <c r="G316">
        <v>19.159883000000001</v>
      </c>
      <c r="H316">
        <v>21.007349000000001</v>
      </c>
      <c r="I316"/>
      <c r="J316" s="1">
        <f t="shared" si="47"/>
        <v>52.683297000000003</v>
      </c>
      <c r="N316"/>
      <c r="O316"/>
      <c r="P316" s="1">
        <f t="shared" si="48"/>
        <v>72.327977642276423</v>
      </c>
      <c r="Q316" s="1">
        <f t="shared" si="49"/>
        <v>76.817901422764223</v>
      </c>
      <c r="R316" s="1">
        <f t="shared" si="50"/>
        <v>81.31405424696645</v>
      </c>
      <c r="S316" s="1">
        <f t="shared" si="51"/>
        <v>52.7543606792144</v>
      </c>
    </row>
    <row r="317" spans="1:19" x14ac:dyDescent="0.3">
      <c r="A317">
        <v>1347.4</v>
      </c>
      <c r="B317">
        <v>70.409398999999993</v>
      </c>
      <c r="C317">
        <v>74.818954000000005</v>
      </c>
      <c r="D317">
        <v>78.9435</v>
      </c>
      <c r="E317">
        <v>50.683297000000003</v>
      </c>
      <c r="F317">
        <v>26.067619000000001</v>
      </c>
      <c r="G317">
        <v>19.159883000000001</v>
      </c>
      <c r="H317">
        <v>21.007349000000001</v>
      </c>
      <c r="I317"/>
      <c r="J317" s="1">
        <f t="shared" si="47"/>
        <v>52.683297000000003</v>
      </c>
      <c r="N317"/>
      <c r="O317"/>
      <c r="P317" s="1">
        <f t="shared" si="48"/>
        <v>72.327977642276423</v>
      </c>
      <c r="Q317" s="1">
        <f t="shared" si="49"/>
        <v>76.817901422764223</v>
      </c>
      <c r="R317" s="1">
        <f t="shared" si="50"/>
        <v>81.31405424696645</v>
      </c>
      <c r="S317" s="1">
        <f t="shared" si="51"/>
        <v>52.7543606792144</v>
      </c>
    </row>
    <row r="318" spans="1:19" x14ac:dyDescent="0.3">
      <c r="A318">
        <v>1347.6</v>
      </c>
      <c r="B318">
        <v>70.380196999999995</v>
      </c>
      <c r="C318">
        <v>74.830831000000003</v>
      </c>
      <c r="D318">
        <v>78.935607000000005</v>
      </c>
      <c r="E318">
        <v>50.648727999999998</v>
      </c>
      <c r="F318">
        <v>26.099183</v>
      </c>
      <c r="G318">
        <v>19.139244999999999</v>
      </c>
      <c r="H318">
        <v>21.017558000000001</v>
      </c>
      <c r="I318"/>
      <c r="J318" s="1">
        <f t="shared" si="47"/>
        <v>52.648727999999998</v>
      </c>
      <c r="N318"/>
      <c r="O318"/>
      <c r="P318" s="1">
        <f t="shared" si="48"/>
        <v>72.301301829268297</v>
      </c>
      <c r="Q318" s="1">
        <f t="shared" si="49"/>
        <v>76.813306910569111</v>
      </c>
      <c r="R318" s="1">
        <f t="shared" si="50"/>
        <v>81.299280106046695</v>
      </c>
      <c r="S318" s="1">
        <f t="shared" si="51"/>
        <v>52.747603314238951</v>
      </c>
    </row>
    <row r="319" spans="1:19" x14ac:dyDescent="0.3">
      <c r="A319">
        <v>1347.8</v>
      </c>
      <c r="B319">
        <v>70.380196999999995</v>
      </c>
      <c r="C319">
        <v>74.830831000000003</v>
      </c>
      <c r="D319">
        <v>78.935607000000005</v>
      </c>
      <c r="E319">
        <v>50.648727999999998</v>
      </c>
      <c r="F319">
        <v>26.099183</v>
      </c>
      <c r="G319">
        <v>19.139244999999999</v>
      </c>
      <c r="H319">
        <v>21.017558000000001</v>
      </c>
      <c r="I319"/>
      <c r="J319" s="1">
        <f t="shared" si="47"/>
        <v>52.648727999999998</v>
      </c>
      <c r="N319"/>
      <c r="O319"/>
      <c r="P319" s="1">
        <f t="shared" si="48"/>
        <v>72.301301829268297</v>
      </c>
      <c r="Q319" s="1">
        <f t="shared" si="49"/>
        <v>76.813306910569111</v>
      </c>
      <c r="R319" s="1">
        <f t="shared" si="50"/>
        <v>81.299280106046695</v>
      </c>
      <c r="S319" s="1">
        <f t="shared" si="51"/>
        <v>52.747603314238951</v>
      </c>
    </row>
    <row r="320" spans="1:19" x14ac:dyDescent="0.3">
      <c r="A320">
        <v>1348</v>
      </c>
      <c r="B320">
        <v>70.387321999999998</v>
      </c>
      <c r="C320">
        <v>74.845432000000002</v>
      </c>
      <c r="D320">
        <v>78.954704000000007</v>
      </c>
      <c r="E320">
        <v>50.653117999999999</v>
      </c>
      <c r="F320">
        <v>25.982035</v>
      </c>
      <c r="G320">
        <v>19.127268000000001</v>
      </c>
      <c r="H320">
        <v>21.003229000000001</v>
      </c>
      <c r="I320" t="s">
        <v>56</v>
      </c>
      <c r="J320" s="1">
        <f t="shared" si="47"/>
        <v>52.653117999999999</v>
      </c>
      <c r="N320"/>
      <c r="O320"/>
      <c r="P320" s="1">
        <f t="shared" si="48"/>
        <v>72.319078252032526</v>
      </c>
      <c r="Q320" s="1">
        <f t="shared" si="49"/>
        <v>76.841176829268306</v>
      </c>
      <c r="R320" s="1">
        <f t="shared" si="50"/>
        <v>81.308890588355254</v>
      </c>
      <c r="S320" s="1">
        <f t="shared" si="51"/>
        <v>52.740298690671025</v>
      </c>
    </row>
    <row r="321" spans="1:19" x14ac:dyDescent="0.3">
      <c r="A321">
        <v>1348.2</v>
      </c>
      <c r="B321">
        <v>70.387321999999998</v>
      </c>
      <c r="C321">
        <v>74.845432000000002</v>
      </c>
      <c r="D321">
        <v>78.954704000000007</v>
      </c>
      <c r="E321">
        <v>50.653117999999999</v>
      </c>
      <c r="F321">
        <v>25.982035</v>
      </c>
      <c r="G321">
        <v>19.127268000000001</v>
      </c>
      <c r="H321">
        <v>21.003229000000001</v>
      </c>
      <c r="I321"/>
      <c r="J321" s="1">
        <f t="shared" si="47"/>
        <v>52.653117999999999</v>
      </c>
      <c r="N321"/>
      <c r="O321"/>
      <c r="P321" s="1">
        <f t="shared" si="48"/>
        <v>72.319078252032526</v>
      </c>
      <c r="Q321" s="1">
        <f t="shared" si="49"/>
        <v>76.841176829268306</v>
      </c>
      <c r="R321" s="1">
        <f t="shared" si="50"/>
        <v>81.308890588355254</v>
      </c>
      <c r="S321" s="1">
        <f t="shared" si="51"/>
        <v>52.740298690671025</v>
      </c>
    </row>
    <row r="322" spans="1:19" x14ac:dyDescent="0.3">
      <c r="A322">
        <v>1348.4</v>
      </c>
      <c r="B322">
        <v>70.370958000000002</v>
      </c>
      <c r="C322">
        <v>74.808439000000007</v>
      </c>
      <c r="D322">
        <v>78.942542000000003</v>
      </c>
      <c r="E322">
        <v>50.647602999999997</v>
      </c>
      <c r="F322">
        <v>26.000537000000001</v>
      </c>
      <c r="G322">
        <v>19.132687000000001</v>
      </c>
      <c r="H322">
        <v>20.979247000000001</v>
      </c>
      <c r="I322"/>
      <c r="J322" s="1">
        <f t="shared" si="47"/>
        <v>52.647602999999997</v>
      </c>
      <c r="N322"/>
      <c r="O322"/>
      <c r="P322" s="1">
        <f t="shared" si="48"/>
        <v>72.333075203252037</v>
      </c>
      <c r="Q322" s="1">
        <f t="shared" si="49"/>
        <v>76.837308943089425</v>
      </c>
      <c r="R322" s="1">
        <f t="shared" si="50"/>
        <v>81.336481084939336</v>
      </c>
      <c r="S322" s="1">
        <f t="shared" si="51"/>
        <v>52.739720744680852</v>
      </c>
    </row>
    <row r="323" spans="1:19" x14ac:dyDescent="0.3">
      <c r="A323">
        <v>1348.6</v>
      </c>
      <c r="B323">
        <v>70.370958000000002</v>
      </c>
      <c r="C323">
        <v>74.808439000000007</v>
      </c>
      <c r="D323">
        <v>78.942542000000003</v>
      </c>
      <c r="E323">
        <v>50.647602999999997</v>
      </c>
      <c r="F323">
        <v>26.000537000000001</v>
      </c>
      <c r="G323">
        <v>19.132687000000001</v>
      </c>
      <c r="H323">
        <v>20.979247000000001</v>
      </c>
      <c r="I323"/>
      <c r="J323" s="1">
        <f t="shared" si="47"/>
        <v>52.647602999999997</v>
      </c>
      <c r="N323"/>
      <c r="O323"/>
      <c r="P323" s="1">
        <f t="shared" si="48"/>
        <v>72.333075203252037</v>
      </c>
      <c r="Q323" s="1">
        <f t="shared" si="49"/>
        <v>76.837308943089425</v>
      </c>
      <c r="R323" s="1">
        <f t="shared" si="50"/>
        <v>81.336481084939336</v>
      </c>
      <c r="S323" s="1">
        <f t="shared" si="51"/>
        <v>52.739720744680852</v>
      </c>
    </row>
    <row r="324" spans="1:19" x14ac:dyDescent="0.3">
      <c r="A324">
        <v>1348.8</v>
      </c>
      <c r="B324">
        <v>70.402781000000004</v>
      </c>
      <c r="C324">
        <v>74.811910999999995</v>
      </c>
      <c r="D324">
        <v>78.966649000000004</v>
      </c>
      <c r="E324">
        <v>50.660507000000003</v>
      </c>
      <c r="F324">
        <v>25.850963</v>
      </c>
      <c r="G324">
        <v>19.121521000000001</v>
      </c>
      <c r="H324">
        <v>20.976631999999999</v>
      </c>
      <c r="I324"/>
      <c r="J324" s="1">
        <f t="shared" si="47"/>
        <v>52.660507000000003</v>
      </c>
      <c r="N324"/>
      <c r="O324"/>
      <c r="P324" s="1">
        <f t="shared" si="48"/>
        <v>72.326113821138222</v>
      </c>
      <c r="Q324" s="1">
        <f t="shared" si="49"/>
        <v>76.84170833333333</v>
      </c>
      <c r="R324" s="1">
        <f t="shared" si="50"/>
        <v>81.325614357091865</v>
      </c>
      <c r="S324" s="1">
        <f t="shared" si="51"/>
        <v>52.754142798690673</v>
      </c>
    </row>
    <row r="325" spans="1:19" x14ac:dyDescent="0.3">
      <c r="A325">
        <v>2164</v>
      </c>
      <c r="B325">
        <v>61.889422000000003</v>
      </c>
      <c r="C325">
        <v>65.528865999999994</v>
      </c>
      <c r="D325">
        <v>68.883633000000003</v>
      </c>
      <c r="E325">
        <v>45.441473000000002</v>
      </c>
      <c r="F325">
        <v>23.707366</v>
      </c>
      <c r="G325">
        <v>18.505773999999999</v>
      </c>
      <c r="H325">
        <v>20.003664000000001</v>
      </c>
      <c r="I325" t="s">
        <v>56</v>
      </c>
      <c r="J325" s="1">
        <f t="shared" si="47"/>
        <v>47.441473000000002</v>
      </c>
      <c r="N325"/>
      <c r="O325"/>
      <c r="P325" s="1">
        <f t="shared" si="48"/>
        <v>72.326113821138222</v>
      </c>
      <c r="Q325" s="1">
        <f t="shared" si="49"/>
        <v>76.84170833333333</v>
      </c>
      <c r="R325" s="1">
        <f t="shared" si="50"/>
        <v>81.325614357091865</v>
      </c>
      <c r="S325" s="1">
        <f t="shared" si="51"/>
        <v>52.754142798690673</v>
      </c>
    </row>
    <row r="326" spans="1:19" x14ac:dyDescent="0.3">
      <c r="A326">
        <v>2164.1999999999998</v>
      </c>
      <c r="B326">
        <v>61.889422000000003</v>
      </c>
      <c r="C326">
        <v>65.528865999999994</v>
      </c>
      <c r="D326">
        <v>68.883633000000003</v>
      </c>
      <c r="E326">
        <v>45.441473000000002</v>
      </c>
      <c r="F326">
        <v>23.707366</v>
      </c>
      <c r="G326">
        <v>18.505773999999999</v>
      </c>
      <c r="H326">
        <v>20.003664000000001</v>
      </c>
      <c r="I326"/>
      <c r="J326" s="1">
        <f t="shared" si="47"/>
        <v>47.441473000000002</v>
      </c>
      <c r="N326"/>
      <c r="O326"/>
      <c r="P326" s="1">
        <f t="shared" si="48"/>
        <v>72.332998983739841</v>
      </c>
      <c r="Q326" s="1">
        <f t="shared" si="49"/>
        <v>76.829142276422772</v>
      </c>
      <c r="R326" s="1">
        <f t="shared" si="50"/>
        <v>81.326227184664006</v>
      </c>
      <c r="S326" s="1">
        <f t="shared" si="51"/>
        <v>52.755340630114567</v>
      </c>
    </row>
    <row r="327" spans="1:19" x14ac:dyDescent="0.3">
      <c r="A327">
        <v>2164.4</v>
      </c>
      <c r="B327">
        <v>61.873390999999998</v>
      </c>
      <c r="C327">
        <v>65.522487999999996</v>
      </c>
      <c r="D327">
        <v>68.893619999999999</v>
      </c>
      <c r="E327">
        <v>45.415266000000003</v>
      </c>
      <c r="F327">
        <v>23.746801999999999</v>
      </c>
      <c r="G327">
        <v>18.490908000000001</v>
      </c>
      <c r="H327">
        <v>20.022977999999998</v>
      </c>
      <c r="I327"/>
      <c r="J327" s="1">
        <f t="shared" si="47"/>
        <v>47.415266000000003</v>
      </c>
      <c r="N327"/>
      <c r="O327"/>
      <c r="P327" s="1">
        <f t="shared" si="48"/>
        <v>72.332998983739841</v>
      </c>
      <c r="Q327" s="1">
        <f t="shared" si="49"/>
        <v>76.829142276422772</v>
      </c>
      <c r="R327" s="1">
        <f t="shared" si="50"/>
        <v>81.326227184664006</v>
      </c>
      <c r="S327" s="1">
        <f t="shared" si="51"/>
        <v>52.755340630114567</v>
      </c>
    </row>
    <row r="328" spans="1:19" x14ac:dyDescent="0.3">
      <c r="A328">
        <v>2164.6</v>
      </c>
      <c r="B328">
        <v>61.873390999999998</v>
      </c>
      <c r="C328">
        <v>65.522487999999996</v>
      </c>
      <c r="D328">
        <v>68.893619999999999</v>
      </c>
      <c r="E328">
        <v>45.415266000000003</v>
      </c>
      <c r="F328">
        <v>23.746801999999999</v>
      </c>
      <c r="G328">
        <v>18.490908000000001</v>
      </c>
      <c r="H328">
        <v>20.022977999999998</v>
      </c>
      <c r="I328"/>
      <c r="J328" s="1">
        <f t="shared" si="47"/>
        <v>47.415266000000003</v>
      </c>
      <c r="N328"/>
      <c r="O328"/>
      <c r="P328" s="1">
        <f t="shared" si="48"/>
        <v>72.329024390243916</v>
      </c>
      <c r="Q328" s="1">
        <f t="shared" si="49"/>
        <v>76.836514227642269</v>
      </c>
      <c r="R328" s="1">
        <f t="shared" si="50"/>
        <v>81.332214744570194</v>
      </c>
      <c r="S328" s="1">
        <f t="shared" si="51"/>
        <v>52.749167348608836</v>
      </c>
    </row>
    <row r="329" spans="1:19" x14ac:dyDescent="0.3">
      <c r="A329">
        <v>2164.8000000000002</v>
      </c>
      <c r="B329">
        <v>61.849096000000003</v>
      </c>
      <c r="C329">
        <v>65.506978000000004</v>
      </c>
      <c r="D329">
        <v>68.894054999999994</v>
      </c>
      <c r="E329">
        <v>45.404432999999997</v>
      </c>
      <c r="F329">
        <v>23.713749</v>
      </c>
      <c r="G329">
        <v>18.501605000000001</v>
      </c>
      <c r="H329">
        <v>20.017056</v>
      </c>
      <c r="I329"/>
      <c r="J329" s="1">
        <f t="shared" si="47"/>
        <v>47.404432999999997</v>
      </c>
      <c r="N329"/>
      <c r="O329"/>
      <c r="P329" s="1">
        <f t="shared" si="48"/>
        <v>72.329024390243916</v>
      </c>
      <c r="Q329" s="1">
        <f t="shared" si="49"/>
        <v>76.836514227642269</v>
      </c>
      <c r="R329" s="1">
        <f t="shared" si="50"/>
        <v>81.332214744570194</v>
      </c>
      <c r="S329" s="1">
        <f t="shared" si="51"/>
        <v>52.749167348608836</v>
      </c>
    </row>
    <row r="330" spans="1:19" x14ac:dyDescent="0.3">
      <c r="A330">
        <v>2165</v>
      </c>
      <c r="B330">
        <v>61.849096000000003</v>
      </c>
      <c r="C330">
        <v>65.506978000000004</v>
      </c>
      <c r="D330">
        <v>68.894054999999994</v>
      </c>
      <c r="E330">
        <v>45.404432999999997</v>
      </c>
      <c r="F330">
        <v>23.713749</v>
      </c>
      <c r="G330">
        <v>18.501605000000001</v>
      </c>
      <c r="H330">
        <v>20.017056</v>
      </c>
      <c r="I330" t="s">
        <v>56</v>
      </c>
      <c r="J330" s="1">
        <f t="shared" si="47"/>
        <v>47.404432999999997</v>
      </c>
      <c r="N330"/>
      <c r="O330"/>
      <c r="P330" s="1">
        <f t="shared" si="48"/>
        <v>72.324177845528467</v>
      </c>
      <c r="Q330" s="1">
        <f t="shared" si="49"/>
        <v>76.82798882113822</v>
      </c>
      <c r="R330" s="1">
        <f t="shared" si="50"/>
        <v>81.337103089629849</v>
      </c>
      <c r="S330" s="1">
        <f t="shared" si="51"/>
        <v>52.753223199672668</v>
      </c>
    </row>
    <row r="331" spans="1:19" x14ac:dyDescent="0.3">
      <c r="A331">
        <v>2165.1999999999998</v>
      </c>
      <c r="B331">
        <v>61.889426999999998</v>
      </c>
      <c r="C331">
        <v>65.523859000000002</v>
      </c>
      <c r="D331">
        <v>68.878191000000001</v>
      </c>
      <c r="E331">
        <v>45.422342</v>
      </c>
      <c r="F331">
        <v>23.698112999999999</v>
      </c>
      <c r="G331">
        <v>18.505216999999998</v>
      </c>
      <c r="H331">
        <v>20.030626999999999</v>
      </c>
      <c r="I331"/>
      <c r="J331" s="1">
        <f t="shared" si="47"/>
        <v>47.422342</v>
      </c>
      <c r="N331"/>
      <c r="O331"/>
      <c r="P331" s="1">
        <f t="shared" si="48"/>
        <v>72.324177845528467</v>
      </c>
      <c r="Q331" s="1">
        <f t="shared" si="49"/>
        <v>76.82798882113822</v>
      </c>
      <c r="R331" s="1">
        <f t="shared" si="50"/>
        <v>81.337103089629849</v>
      </c>
      <c r="S331" s="1">
        <f t="shared" si="51"/>
        <v>52.753223199672668</v>
      </c>
    </row>
    <row r="332" spans="1:19" x14ac:dyDescent="0.3">
      <c r="A332">
        <v>2165.4</v>
      </c>
      <c r="B332">
        <v>61.889426999999998</v>
      </c>
      <c r="C332">
        <v>65.523859000000002</v>
      </c>
      <c r="D332">
        <v>68.878191000000001</v>
      </c>
      <c r="E332">
        <v>45.422342</v>
      </c>
      <c r="F332">
        <v>23.698112999999999</v>
      </c>
      <c r="G332">
        <v>18.505216999999998</v>
      </c>
      <c r="H332">
        <v>20.030626999999999</v>
      </c>
      <c r="I332"/>
      <c r="J332" s="1">
        <f t="shared" si="47"/>
        <v>47.422342</v>
      </c>
      <c r="N332"/>
      <c r="O332"/>
      <c r="P332" s="1">
        <f t="shared" si="48"/>
        <v>72.347961382113823</v>
      </c>
      <c r="Q332" s="1">
        <f t="shared" si="49"/>
        <v>76.840338414634147</v>
      </c>
      <c r="R332" s="1">
        <f t="shared" si="50"/>
        <v>81.321006423982865</v>
      </c>
      <c r="S332" s="1">
        <f t="shared" si="51"/>
        <v>52.743135229132569</v>
      </c>
    </row>
    <row r="333" spans="1:19" x14ac:dyDescent="0.3">
      <c r="A333">
        <v>2165.6</v>
      </c>
      <c r="B333">
        <v>61.899427000000003</v>
      </c>
      <c r="C333">
        <v>65.532439999999994</v>
      </c>
      <c r="D333">
        <v>68.895818000000006</v>
      </c>
      <c r="E333">
        <v>45.425184999999999</v>
      </c>
      <c r="F333">
        <v>23.719683</v>
      </c>
      <c r="G333">
        <v>18.501743999999999</v>
      </c>
      <c r="H333">
        <v>20.019093000000002</v>
      </c>
      <c r="I333"/>
      <c r="J333" s="1">
        <f t="shared" si="47"/>
        <v>47.425184999999999</v>
      </c>
      <c r="N333"/>
      <c r="O333"/>
      <c r="P333" s="1">
        <f t="shared" si="48"/>
        <v>72.347961382113823</v>
      </c>
      <c r="Q333" s="1">
        <f t="shared" si="49"/>
        <v>76.840338414634147</v>
      </c>
      <c r="R333" s="1">
        <f t="shared" si="50"/>
        <v>81.321006423982865</v>
      </c>
      <c r="S333" s="1">
        <f t="shared" si="51"/>
        <v>52.743135229132569</v>
      </c>
    </row>
    <row r="334" spans="1:19" x14ac:dyDescent="0.3">
      <c r="A334">
        <v>2165.8000000000002</v>
      </c>
      <c r="B334">
        <v>61.899427000000003</v>
      </c>
      <c r="C334">
        <v>65.532439999999994</v>
      </c>
      <c r="D334">
        <v>68.895818000000006</v>
      </c>
      <c r="E334">
        <v>45.425184999999999</v>
      </c>
      <c r="F334">
        <v>23.719683</v>
      </c>
      <c r="G334">
        <v>18.501743999999999</v>
      </c>
      <c r="H334">
        <v>20.019093000000002</v>
      </c>
      <c r="I334"/>
      <c r="J334" s="1">
        <f t="shared" si="47"/>
        <v>47.425184999999999</v>
      </c>
      <c r="N334"/>
      <c r="O334"/>
      <c r="P334" s="1">
        <f t="shared" si="48"/>
        <v>72.35355589430894</v>
      </c>
      <c r="Q334" s="1">
        <f t="shared" si="49"/>
        <v>76.83481097560977</v>
      </c>
      <c r="R334" s="1">
        <f t="shared" si="50"/>
        <v>81.323340471092081</v>
      </c>
      <c r="S334" s="1">
        <f t="shared" si="51"/>
        <v>52.789583674304424</v>
      </c>
    </row>
    <row r="335" spans="1:19" x14ac:dyDescent="0.3">
      <c r="A335">
        <v>2166</v>
      </c>
      <c r="B335">
        <v>61.890729999999998</v>
      </c>
      <c r="C335">
        <v>65.571627000000007</v>
      </c>
      <c r="D335">
        <v>68.889921999999999</v>
      </c>
      <c r="E335">
        <v>45.420613000000003</v>
      </c>
      <c r="F335">
        <v>23.756872000000001</v>
      </c>
      <c r="G335">
        <v>18.525521999999999</v>
      </c>
      <c r="H335">
        <v>20.014372999999999</v>
      </c>
      <c r="I335" t="s">
        <v>56</v>
      </c>
      <c r="J335" s="1">
        <f t="shared" si="47"/>
        <v>47.420613000000003</v>
      </c>
      <c r="N335"/>
      <c r="O335"/>
      <c r="P335" s="1">
        <f t="shared" si="48"/>
        <v>72.35355589430894</v>
      </c>
      <c r="Q335" s="1">
        <f t="shared" si="49"/>
        <v>76.83481097560977</v>
      </c>
      <c r="R335" s="1">
        <f t="shared" si="50"/>
        <v>81.323340471092081</v>
      </c>
      <c r="S335" s="1">
        <f t="shared" si="51"/>
        <v>52.789583674304424</v>
      </c>
    </row>
    <row r="336" spans="1:19" x14ac:dyDescent="0.3">
      <c r="A336">
        <v>2166.1999999999998</v>
      </c>
      <c r="B336">
        <v>61.890729999999998</v>
      </c>
      <c r="C336">
        <v>65.571627000000007</v>
      </c>
      <c r="D336">
        <v>68.889921999999999</v>
      </c>
      <c r="E336">
        <v>45.420613000000003</v>
      </c>
      <c r="F336">
        <v>23.756872000000001</v>
      </c>
      <c r="G336">
        <v>18.525521999999999</v>
      </c>
      <c r="H336">
        <v>20.014372999999999</v>
      </c>
      <c r="I336"/>
      <c r="J336" s="1">
        <f t="shared" si="47"/>
        <v>47.420613000000003</v>
      </c>
      <c r="N336"/>
      <c r="O336"/>
      <c r="P336" s="1">
        <f t="shared" si="48"/>
        <v>72.323879065040657</v>
      </c>
      <c r="Q336" s="1">
        <f t="shared" si="49"/>
        <v>76.846881097560981</v>
      </c>
      <c r="R336" s="1">
        <f t="shared" si="50"/>
        <v>81.315292138268589</v>
      </c>
      <c r="S336" s="1">
        <f t="shared" si="51"/>
        <v>52.754222585924708</v>
      </c>
    </row>
    <row r="337" spans="1:19" x14ac:dyDescent="0.3">
      <c r="A337">
        <v>2166.4</v>
      </c>
      <c r="B337">
        <v>61.879536999999999</v>
      </c>
      <c r="C337">
        <v>65.545001999999997</v>
      </c>
      <c r="D337">
        <v>68.903340999999998</v>
      </c>
      <c r="E337">
        <v>45.427919000000003</v>
      </c>
      <c r="F337">
        <v>23.732597999999999</v>
      </c>
      <c r="G337">
        <v>18.509705</v>
      </c>
      <c r="H337">
        <v>20.049343</v>
      </c>
      <c r="I337"/>
      <c r="J337" s="1">
        <f t="shared" si="47"/>
        <v>47.427919000000003</v>
      </c>
      <c r="N337"/>
      <c r="O337"/>
      <c r="P337" s="1">
        <f t="shared" si="48"/>
        <v>72.323879065040657</v>
      </c>
      <c r="Q337" s="1">
        <f t="shared" si="49"/>
        <v>76.846881097560981</v>
      </c>
      <c r="R337" s="1">
        <f t="shared" si="50"/>
        <v>81.315292138268589</v>
      </c>
      <c r="S337" s="1">
        <f t="shared" si="51"/>
        <v>52.754222585924708</v>
      </c>
    </row>
    <row r="338" spans="1:19" x14ac:dyDescent="0.3">
      <c r="A338">
        <v>2166.6</v>
      </c>
      <c r="B338">
        <v>61.879536999999999</v>
      </c>
      <c r="C338">
        <v>65.545001999999997</v>
      </c>
      <c r="D338">
        <v>68.903340999999998</v>
      </c>
      <c r="E338">
        <v>45.427919000000003</v>
      </c>
      <c r="F338">
        <v>23.732597999999999</v>
      </c>
      <c r="G338">
        <v>18.509705</v>
      </c>
      <c r="H338">
        <v>20.049343</v>
      </c>
      <c r="I338"/>
      <c r="J338" s="1">
        <f t="shared" si="47"/>
        <v>47.427919000000003</v>
      </c>
      <c r="N338"/>
      <c r="O338"/>
      <c r="P338" s="1">
        <f t="shared" si="48"/>
        <v>72.331119918699187</v>
      </c>
      <c r="Q338" s="1">
        <f t="shared" si="49"/>
        <v>76.861719512195123</v>
      </c>
      <c r="R338" s="1">
        <f t="shared" si="50"/>
        <v>81.334764963801376</v>
      </c>
      <c r="S338" s="1">
        <f t="shared" si="51"/>
        <v>52.75871317512275</v>
      </c>
    </row>
    <row r="339" spans="1:19" x14ac:dyDescent="0.3">
      <c r="A339">
        <v>2166.8000000000002</v>
      </c>
      <c r="B339">
        <v>61.913167999999999</v>
      </c>
      <c r="C339">
        <v>65.542462999999998</v>
      </c>
      <c r="D339">
        <v>68.885378000000003</v>
      </c>
      <c r="E339">
        <v>45.423521000000001</v>
      </c>
      <c r="F339">
        <v>23.721264000000001</v>
      </c>
      <c r="G339">
        <v>18.502825000000001</v>
      </c>
      <c r="H339">
        <v>20.029661999999998</v>
      </c>
      <c r="I339"/>
      <c r="J339" s="1">
        <f t="shared" si="47"/>
        <v>47.423521000000001</v>
      </c>
      <c r="N339"/>
      <c r="O339"/>
      <c r="P339" s="1">
        <f t="shared" si="48"/>
        <v>72.331119918699187</v>
      </c>
      <c r="Q339" s="1">
        <f t="shared" si="49"/>
        <v>76.861719512195123</v>
      </c>
      <c r="R339" s="1">
        <f t="shared" si="50"/>
        <v>81.334764963801376</v>
      </c>
      <c r="S339" s="1">
        <f t="shared" si="51"/>
        <v>52.75871317512275</v>
      </c>
    </row>
    <row r="340" spans="1:19" x14ac:dyDescent="0.3">
      <c r="A340">
        <v>2167</v>
      </c>
      <c r="B340">
        <v>61.913167999999999</v>
      </c>
      <c r="C340">
        <v>65.542462999999998</v>
      </c>
      <c r="D340">
        <v>68.885378000000003</v>
      </c>
      <c r="E340">
        <v>45.423521000000001</v>
      </c>
      <c r="F340">
        <v>23.721264000000001</v>
      </c>
      <c r="G340">
        <v>18.502825000000001</v>
      </c>
      <c r="H340">
        <v>20.029661999999998</v>
      </c>
      <c r="I340" t="s">
        <v>56</v>
      </c>
      <c r="J340" s="1">
        <f t="shared" ref="J340:J403" si="52">E340+2</f>
        <v>47.423521000000001</v>
      </c>
      <c r="N340"/>
      <c r="O340"/>
      <c r="P340" s="1">
        <f t="shared" si="48"/>
        <v>72.314489837398384</v>
      </c>
      <c r="Q340" s="1">
        <f t="shared" si="49"/>
        <v>76.824125000000009</v>
      </c>
      <c r="R340" s="1">
        <f t="shared" si="50"/>
        <v>81.32236361782401</v>
      </c>
      <c r="S340" s="1">
        <f t="shared" si="51"/>
        <v>52.753071808510633</v>
      </c>
    </row>
    <row r="341" spans="1:19" x14ac:dyDescent="0.3">
      <c r="A341">
        <v>2167.1999999999998</v>
      </c>
      <c r="B341">
        <v>61.898558999999999</v>
      </c>
      <c r="C341">
        <v>65.535677000000007</v>
      </c>
      <c r="D341">
        <v>68.901313000000002</v>
      </c>
      <c r="E341">
        <v>45.428556</v>
      </c>
      <c r="F341">
        <v>23.664290999999999</v>
      </c>
      <c r="G341">
        <v>18.51041</v>
      </c>
      <c r="H341">
        <v>19.996907</v>
      </c>
      <c r="I341"/>
      <c r="J341" s="1">
        <f t="shared" si="52"/>
        <v>47.428556</v>
      </c>
      <c r="N341"/>
      <c r="O341"/>
      <c r="P341" s="1">
        <f t="shared" si="48"/>
        <v>72.314489837398384</v>
      </c>
      <c r="Q341" s="1">
        <f t="shared" si="49"/>
        <v>76.824125000000009</v>
      </c>
      <c r="R341" s="1">
        <f t="shared" si="50"/>
        <v>81.32236361782401</v>
      </c>
      <c r="S341" s="1">
        <f t="shared" si="51"/>
        <v>52.753071808510633</v>
      </c>
    </row>
    <row r="342" spans="1:19" x14ac:dyDescent="0.3">
      <c r="A342">
        <v>2167.4</v>
      </c>
      <c r="B342">
        <v>61.898558999999999</v>
      </c>
      <c r="C342">
        <v>65.535677000000007</v>
      </c>
      <c r="D342">
        <v>68.901313000000002</v>
      </c>
      <c r="E342">
        <v>45.428556</v>
      </c>
      <c r="F342">
        <v>23.664290999999999</v>
      </c>
      <c r="G342">
        <v>18.51041</v>
      </c>
      <c r="H342">
        <v>19.996907</v>
      </c>
      <c r="I342"/>
      <c r="J342" s="1">
        <f t="shared" si="52"/>
        <v>47.428556</v>
      </c>
      <c r="N342"/>
      <c r="O342"/>
      <c r="P342" s="1">
        <f t="shared" si="48"/>
        <v>72.346830284552851</v>
      </c>
      <c r="Q342" s="1">
        <f t="shared" si="49"/>
        <v>76.827653455284548</v>
      </c>
      <c r="R342" s="1">
        <f t="shared" si="50"/>
        <v>81.346945039257676</v>
      </c>
      <c r="S342" s="1">
        <f t="shared" si="51"/>
        <v>52.7662714811784</v>
      </c>
    </row>
    <row r="343" spans="1:19" x14ac:dyDescent="0.3">
      <c r="A343">
        <v>2167.6</v>
      </c>
      <c r="B343">
        <v>61.905721</v>
      </c>
      <c r="C343">
        <v>65.545989000000006</v>
      </c>
      <c r="D343">
        <v>68.891160999999997</v>
      </c>
      <c r="E343">
        <v>45.425491999999998</v>
      </c>
      <c r="F343">
        <v>23.604078999999999</v>
      </c>
      <c r="G343">
        <v>18.497230999999999</v>
      </c>
      <c r="H343">
        <v>20.035936</v>
      </c>
      <c r="I343"/>
      <c r="J343" s="1">
        <f t="shared" si="52"/>
        <v>47.425491999999998</v>
      </c>
      <c r="N343"/>
      <c r="O343"/>
      <c r="P343" s="1">
        <f t="shared" si="48"/>
        <v>63.695042682926832</v>
      </c>
      <c r="Q343" s="1">
        <f t="shared" si="49"/>
        <v>67.393664634146333</v>
      </c>
      <c r="R343" s="1">
        <f t="shared" si="50"/>
        <v>71.065497093912512</v>
      </c>
      <c r="S343" s="1">
        <f t="shared" si="51"/>
        <v>47.42765241407529</v>
      </c>
    </row>
    <row r="344" spans="1:19" x14ac:dyDescent="0.3">
      <c r="A344">
        <v>2167.8000000000002</v>
      </c>
      <c r="B344">
        <v>61.905721</v>
      </c>
      <c r="C344">
        <v>65.545989000000006</v>
      </c>
      <c r="D344">
        <v>68.891160999999997</v>
      </c>
      <c r="E344">
        <v>45.425491999999998</v>
      </c>
      <c r="F344">
        <v>23.604078999999999</v>
      </c>
      <c r="G344">
        <v>18.497230999999999</v>
      </c>
      <c r="H344">
        <v>20.035936</v>
      </c>
      <c r="I344"/>
      <c r="J344" s="1">
        <f t="shared" si="52"/>
        <v>47.425491999999998</v>
      </c>
      <c r="N344"/>
      <c r="O344"/>
      <c r="P344" s="1">
        <f t="shared" si="48"/>
        <v>63.695042682926832</v>
      </c>
      <c r="Q344" s="1">
        <f t="shared" si="49"/>
        <v>67.393664634146333</v>
      </c>
      <c r="R344" s="1">
        <f t="shared" si="50"/>
        <v>71.065497093912512</v>
      </c>
      <c r="S344" s="1">
        <f t="shared" si="51"/>
        <v>47.42765241407529</v>
      </c>
    </row>
    <row r="345" spans="1:19" x14ac:dyDescent="0.3">
      <c r="A345">
        <v>2168</v>
      </c>
      <c r="B345">
        <v>61.891908000000001</v>
      </c>
      <c r="C345">
        <v>65.532250000000005</v>
      </c>
      <c r="D345">
        <v>68.889728000000005</v>
      </c>
      <c r="E345">
        <v>45.419187999999998</v>
      </c>
      <c r="F345">
        <v>23.567352</v>
      </c>
      <c r="G345">
        <v>18.496715999999999</v>
      </c>
      <c r="H345">
        <v>20.025932000000001</v>
      </c>
      <c r="I345" t="s">
        <v>56</v>
      </c>
      <c r="J345" s="1">
        <f t="shared" si="52"/>
        <v>47.419187999999998</v>
      </c>
      <c r="N345"/>
      <c r="O345"/>
      <c r="P345" s="1">
        <f t="shared" si="48"/>
        <v>63.678751016260158</v>
      </c>
      <c r="Q345" s="1">
        <f t="shared" si="49"/>
        <v>67.387182926829269</v>
      </c>
      <c r="R345" s="1">
        <f t="shared" si="50"/>
        <v>71.075680636280197</v>
      </c>
      <c r="S345" s="1">
        <f t="shared" si="51"/>
        <v>47.400844926350246</v>
      </c>
    </row>
    <row r="346" spans="1:19" x14ac:dyDescent="0.3">
      <c r="A346">
        <v>2168.1999999999998</v>
      </c>
      <c r="B346">
        <v>61.891908000000001</v>
      </c>
      <c r="C346">
        <v>65.532250000000005</v>
      </c>
      <c r="D346">
        <v>68.889728000000005</v>
      </c>
      <c r="E346">
        <v>45.419187999999998</v>
      </c>
      <c r="F346">
        <v>23.567352</v>
      </c>
      <c r="G346">
        <v>18.496715999999999</v>
      </c>
      <c r="H346">
        <v>20.025932000000001</v>
      </c>
      <c r="I346"/>
      <c r="J346" s="1">
        <f t="shared" si="52"/>
        <v>47.419187999999998</v>
      </c>
      <c r="N346"/>
      <c r="O346"/>
      <c r="P346" s="1">
        <f t="shared" si="48"/>
        <v>63.678751016260158</v>
      </c>
      <c r="Q346" s="1">
        <f t="shared" si="49"/>
        <v>67.387182926829269</v>
      </c>
      <c r="R346" s="1">
        <f t="shared" si="50"/>
        <v>71.075680636280197</v>
      </c>
      <c r="S346" s="1">
        <f t="shared" si="51"/>
        <v>47.400844926350246</v>
      </c>
    </row>
    <row r="347" spans="1:19" x14ac:dyDescent="0.3">
      <c r="A347">
        <v>2168.4</v>
      </c>
      <c r="B347">
        <v>61.907356999999998</v>
      </c>
      <c r="C347">
        <v>65.539872000000003</v>
      </c>
      <c r="D347">
        <v>68.901860999999997</v>
      </c>
      <c r="E347">
        <v>45.42989</v>
      </c>
      <c r="F347">
        <v>23.590222000000001</v>
      </c>
      <c r="G347">
        <v>18.503546</v>
      </c>
      <c r="H347">
        <v>20.022316</v>
      </c>
      <c r="I347"/>
      <c r="J347" s="1">
        <f t="shared" si="52"/>
        <v>47.42989</v>
      </c>
      <c r="N347"/>
      <c r="O347"/>
      <c r="P347" s="1">
        <f t="shared" si="48"/>
        <v>63.65406097560976</v>
      </c>
      <c r="Q347" s="1">
        <f t="shared" si="49"/>
        <v>67.371420731707332</v>
      </c>
      <c r="R347" s="1">
        <f t="shared" si="50"/>
        <v>71.07612419700213</v>
      </c>
      <c r="S347" s="1">
        <f t="shared" si="51"/>
        <v>47.389763707037638</v>
      </c>
    </row>
    <row r="348" spans="1:19" x14ac:dyDescent="0.3">
      <c r="A348">
        <v>2168.6</v>
      </c>
      <c r="B348">
        <v>61.907356999999998</v>
      </c>
      <c r="C348">
        <v>65.539872000000003</v>
      </c>
      <c r="D348">
        <v>68.901860999999997</v>
      </c>
      <c r="E348">
        <v>45.42989</v>
      </c>
      <c r="F348">
        <v>23.590222000000001</v>
      </c>
      <c r="G348">
        <v>18.503546</v>
      </c>
      <c r="H348">
        <v>20.022316</v>
      </c>
      <c r="I348"/>
      <c r="J348" s="1">
        <f t="shared" si="52"/>
        <v>47.42989</v>
      </c>
      <c r="N348"/>
      <c r="O348"/>
      <c r="P348" s="1">
        <f t="shared" si="48"/>
        <v>63.65406097560976</v>
      </c>
      <c r="Q348" s="1">
        <f t="shared" si="49"/>
        <v>67.371420731707332</v>
      </c>
      <c r="R348" s="1">
        <f t="shared" si="50"/>
        <v>71.07612419700213</v>
      </c>
      <c r="S348" s="1">
        <f t="shared" si="51"/>
        <v>47.389763707037638</v>
      </c>
    </row>
    <row r="349" spans="1:19" x14ac:dyDescent="0.3">
      <c r="A349">
        <v>2168.8000000000002</v>
      </c>
      <c r="B349">
        <v>61.909914000000001</v>
      </c>
      <c r="C349">
        <v>65.550161000000003</v>
      </c>
      <c r="D349">
        <v>68.904848999999999</v>
      </c>
      <c r="E349">
        <v>45.447603999999998</v>
      </c>
      <c r="F349">
        <v>23.569631999999999</v>
      </c>
      <c r="G349">
        <v>18.507035999999999</v>
      </c>
      <c r="H349">
        <v>20.028648</v>
      </c>
      <c r="I349"/>
      <c r="J349" s="1">
        <f t="shared" si="52"/>
        <v>47.447603999999998</v>
      </c>
      <c r="N349"/>
      <c r="O349"/>
      <c r="P349" s="1">
        <f t="shared" si="48"/>
        <v>63.695047764227638</v>
      </c>
      <c r="Q349" s="1">
        <f t="shared" si="49"/>
        <v>67.388576219512203</v>
      </c>
      <c r="R349" s="1">
        <f t="shared" si="50"/>
        <v>71.059947996329157</v>
      </c>
      <c r="S349" s="1">
        <f t="shared" si="51"/>
        <v>47.408083060556464</v>
      </c>
    </row>
    <row r="350" spans="1:19" x14ac:dyDescent="0.3">
      <c r="A350">
        <v>2169</v>
      </c>
      <c r="B350">
        <v>61.909914000000001</v>
      </c>
      <c r="C350">
        <v>65.550161000000003</v>
      </c>
      <c r="D350">
        <v>68.904848999999999</v>
      </c>
      <c r="E350">
        <v>45.447603999999998</v>
      </c>
      <c r="F350">
        <v>23.569631999999999</v>
      </c>
      <c r="G350">
        <v>18.507035999999999</v>
      </c>
      <c r="H350">
        <v>20.028648</v>
      </c>
      <c r="I350" t="s">
        <v>56</v>
      </c>
      <c r="J350" s="1">
        <f t="shared" si="52"/>
        <v>47.447603999999998</v>
      </c>
      <c r="N350"/>
      <c r="O350"/>
      <c r="P350" s="1">
        <f t="shared" si="48"/>
        <v>63.695047764227638</v>
      </c>
      <c r="Q350" s="1">
        <f t="shared" si="49"/>
        <v>67.388576219512203</v>
      </c>
      <c r="R350" s="1">
        <f t="shared" si="50"/>
        <v>71.059947996329157</v>
      </c>
      <c r="S350" s="1">
        <f t="shared" si="51"/>
        <v>47.408083060556464</v>
      </c>
    </row>
    <row r="351" spans="1:19" x14ac:dyDescent="0.3">
      <c r="A351">
        <v>2169.1999999999998</v>
      </c>
      <c r="B351">
        <v>61.906345999999999</v>
      </c>
      <c r="C351">
        <v>65.539321000000001</v>
      </c>
      <c r="D351">
        <v>68.912661</v>
      </c>
      <c r="E351">
        <v>45.443114999999999</v>
      </c>
      <c r="F351">
        <v>23.543098000000001</v>
      </c>
      <c r="G351">
        <v>18.537455000000001</v>
      </c>
      <c r="H351">
        <v>20.007787</v>
      </c>
      <c r="I351"/>
      <c r="J351" s="1">
        <f t="shared" si="52"/>
        <v>47.443114999999999</v>
      </c>
      <c r="N351"/>
      <c r="O351"/>
      <c r="P351" s="1">
        <f t="shared" si="48"/>
        <v>63.705210365853659</v>
      </c>
      <c r="Q351" s="1">
        <f t="shared" si="49"/>
        <v>67.397296747967474</v>
      </c>
      <c r="R351" s="1">
        <f t="shared" si="50"/>
        <v>71.077921892525751</v>
      </c>
      <c r="S351" s="1">
        <f t="shared" si="51"/>
        <v>47.410991202945986</v>
      </c>
    </row>
    <row r="352" spans="1:19" x14ac:dyDescent="0.3">
      <c r="A352">
        <v>2169.4</v>
      </c>
      <c r="B352">
        <v>61.906345999999999</v>
      </c>
      <c r="C352">
        <v>65.539321000000001</v>
      </c>
      <c r="D352">
        <v>68.912661</v>
      </c>
      <c r="E352">
        <v>45.443114999999999</v>
      </c>
      <c r="F352">
        <v>23.543098000000001</v>
      </c>
      <c r="G352">
        <v>18.537455000000001</v>
      </c>
      <c r="H352">
        <v>20.007787</v>
      </c>
      <c r="I352"/>
      <c r="J352" s="1">
        <f t="shared" si="52"/>
        <v>47.443114999999999</v>
      </c>
      <c r="N352"/>
      <c r="O352"/>
      <c r="P352" s="1">
        <f t="shared" si="48"/>
        <v>63.705210365853659</v>
      </c>
      <c r="Q352" s="1">
        <f t="shared" si="49"/>
        <v>67.397296747967474</v>
      </c>
      <c r="R352" s="1">
        <f t="shared" si="50"/>
        <v>71.077921892525751</v>
      </c>
      <c r="S352" s="1">
        <f t="shared" si="51"/>
        <v>47.410991202945986</v>
      </c>
    </row>
    <row r="353" spans="1:19" x14ac:dyDescent="0.3">
      <c r="A353">
        <v>2169.6</v>
      </c>
      <c r="B353">
        <v>61.890819999999998</v>
      </c>
      <c r="C353">
        <v>65.555770999999993</v>
      </c>
      <c r="D353">
        <v>68.923147999999998</v>
      </c>
      <c r="E353">
        <v>45.419032000000001</v>
      </c>
      <c r="F353">
        <v>23.544945999999999</v>
      </c>
      <c r="G353">
        <v>18.527871999999999</v>
      </c>
      <c r="H353">
        <v>20.028582</v>
      </c>
      <c r="I353"/>
      <c r="J353" s="1">
        <f t="shared" si="52"/>
        <v>47.419032000000001</v>
      </c>
      <c r="N353"/>
      <c r="O353"/>
      <c r="P353" s="1">
        <f t="shared" si="48"/>
        <v>63.696371951219504</v>
      </c>
      <c r="Q353" s="1">
        <f t="shared" si="49"/>
        <v>67.437120934959367</v>
      </c>
      <c r="R353" s="1">
        <f t="shared" si="50"/>
        <v>71.071909860303862</v>
      </c>
      <c r="S353" s="1">
        <f t="shared" si="51"/>
        <v>47.406314443535187</v>
      </c>
    </row>
    <row r="354" spans="1:19" x14ac:dyDescent="0.3">
      <c r="A354">
        <v>2169.8000000000002</v>
      </c>
      <c r="B354">
        <v>61.890819999999998</v>
      </c>
      <c r="C354">
        <v>65.555770999999993</v>
      </c>
      <c r="D354">
        <v>68.923147999999998</v>
      </c>
      <c r="E354">
        <v>45.419032000000001</v>
      </c>
      <c r="F354">
        <v>23.544945999999999</v>
      </c>
      <c r="G354">
        <v>18.527871999999999</v>
      </c>
      <c r="H354">
        <v>20.028582</v>
      </c>
      <c r="I354"/>
      <c r="J354" s="1">
        <f t="shared" si="52"/>
        <v>47.419032000000001</v>
      </c>
      <c r="N354"/>
      <c r="O354"/>
      <c r="P354" s="1">
        <f t="shared" si="48"/>
        <v>63.696371951219504</v>
      </c>
      <c r="Q354" s="1">
        <f t="shared" si="49"/>
        <v>67.437120934959367</v>
      </c>
      <c r="R354" s="1">
        <f t="shared" si="50"/>
        <v>71.071909860303862</v>
      </c>
      <c r="S354" s="1">
        <f t="shared" si="51"/>
        <v>47.406314443535187</v>
      </c>
    </row>
    <row r="355" spans="1:19" x14ac:dyDescent="0.3">
      <c r="A355">
        <v>2170</v>
      </c>
      <c r="B355">
        <v>61.894776</v>
      </c>
      <c r="C355">
        <v>65.558338000000006</v>
      </c>
      <c r="D355">
        <v>68.921166999999997</v>
      </c>
      <c r="E355">
        <v>45.429695000000002</v>
      </c>
      <c r="F355">
        <v>23.628156000000001</v>
      </c>
      <c r="G355">
        <v>18.518076000000001</v>
      </c>
      <c r="H355">
        <v>20.038250999999999</v>
      </c>
      <c r="I355" t="s">
        <v>56</v>
      </c>
      <c r="J355" s="1">
        <f t="shared" si="52"/>
        <v>47.429695000000002</v>
      </c>
      <c r="N355"/>
      <c r="O355"/>
      <c r="P355" s="1">
        <f t="shared" si="48"/>
        <v>63.68499695121951</v>
      </c>
      <c r="Q355" s="1">
        <f t="shared" si="49"/>
        <v>67.410063008130081</v>
      </c>
      <c r="R355" s="1">
        <f t="shared" si="50"/>
        <v>71.085592943815641</v>
      </c>
      <c r="S355" s="1">
        <f t="shared" si="51"/>
        <v>47.413787847790509</v>
      </c>
    </row>
    <row r="356" spans="1:19" x14ac:dyDescent="0.3">
      <c r="A356">
        <v>2170.1999999999998</v>
      </c>
      <c r="B356">
        <v>61.894776</v>
      </c>
      <c r="C356">
        <v>65.558338000000006</v>
      </c>
      <c r="D356">
        <v>68.921166999999997</v>
      </c>
      <c r="E356">
        <v>45.429695000000002</v>
      </c>
      <c r="F356">
        <v>23.628156000000001</v>
      </c>
      <c r="G356">
        <v>18.518076000000001</v>
      </c>
      <c r="H356">
        <v>20.038250999999999</v>
      </c>
      <c r="I356"/>
      <c r="J356" s="1">
        <f t="shared" si="52"/>
        <v>47.429695000000002</v>
      </c>
      <c r="N356"/>
      <c r="O356"/>
      <c r="P356" s="1">
        <f t="shared" si="48"/>
        <v>63.68499695121951</v>
      </c>
      <c r="Q356" s="1">
        <f t="shared" si="49"/>
        <v>67.410063008130081</v>
      </c>
      <c r="R356" s="1">
        <f t="shared" si="50"/>
        <v>71.085592943815641</v>
      </c>
      <c r="S356" s="1">
        <f t="shared" si="51"/>
        <v>47.413787847790509</v>
      </c>
    </row>
    <row r="357" spans="1:19" x14ac:dyDescent="0.3">
      <c r="A357">
        <v>2170.4</v>
      </c>
      <c r="B357">
        <v>61.923102</v>
      </c>
      <c r="C357">
        <v>65.546876999999995</v>
      </c>
      <c r="D357">
        <v>68.915649000000002</v>
      </c>
      <c r="E357">
        <v>45.447932999999999</v>
      </c>
      <c r="F357">
        <v>23.603023</v>
      </c>
      <c r="G357">
        <v>18.491916</v>
      </c>
      <c r="H357">
        <v>20.051029</v>
      </c>
      <c r="I357"/>
      <c r="J357" s="1">
        <f t="shared" si="52"/>
        <v>47.447932999999999</v>
      </c>
      <c r="N357"/>
      <c r="O357"/>
      <c r="P357" s="1">
        <f t="shared" si="48"/>
        <v>63.719174796747964</v>
      </c>
      <c r="Q357" s="1">
        <f t="shared" si="49"/>
        <v>67.407482723577232</v>
      </c>
      <c r="R357" s="1">
        <f t="shared" si="50"/>
        <v>71.067276435199346</v>
      </c>
      <c r="S357" s="1">
        <f t="shared" si="51"/>
        <v>47.409289075286416</v>
      </c>
    </row>
    <row r="358" spans="1:19" x14ac:dyDescent="0.3">
      <c r="A358">
        <v>2170.6</v>
      </c>
      <c r="B358">
        <v>61.923102</v>
      </c>
      <c r="C358">
        <v>65.546876999999995</v>
      </c>
      <c r="D358">
        <v>68.915649000000002</v>
      </c>
      <c r="E358">
        <v>45.447932999999999</v>
      </c>
      <c r="F358">
        <v>23.603023</v>
      </c>
      <c r="G358">
        <v>18.491916</v>
      </c>
      <c r="H358">
        <v>20.051029</v>
      </c>
      <c r="I358"/>
      <c r="J358" s="1">
        <f t="shared" si="52"/>
        <v>47.447932999999999</v>
      </c>
      <c r="N358"/>
      <c r="O358"/>
      <c r="P358" s="1">
        <f t="shared" si="48"/>
        <v>63.719174796747964</v>
      </c>
      <c r="Q358" s="1">
        <f t="shared" si="49"/>
        <v>67.407482723577232</v>
      </c>
      <c r="R358" s="1">
        <f t="shared" si="50"/>
        <v>71.067276435199346</v>
      </c>
      <c r="S358" s="1">
        <f t="shared" si="51"/>
        <v>47.409289075286416</v>
      </c>
    </row>
    <row r="359" spans="1:19" x14ac:dyDescent="0.3">
      <c r="A359">
        <v>2170.8000000000002</v>
      </c>
      <c r="B359">
        <v>61.934475999999997</v>
      </c>
      <c r="C359">
        <v>65.549535000000006</v>
      </c>
      <c r="D359">
        <v>68.898777999999993</v>
      </c>
      <c r="E359">
        <v>45.432473000000002</v>
      </c>
      <c r="F359">
        <v>23.654622</v>
      </c>
      <c r="G359">
        <v>18.513244</v>
      </c>
      <c r="H359">
        <v>20.012549</v>
      </c>
      <c r="I359"/>
      <c r="J359" s="1">
        <f t="shared" si="52"/>
        <v>47.432473000000002</v>
      </c>
      <c r="N359"/>
      <c r="O359"/>
      <c r="P359" s="1">
        <f t="shared" si="48"/>
        <v>63.704328252032518</v>
      </c>
      <c r="Q359" s="1">
        <f t="shared" si="49"/>
        <v>67.400586382113829</v>
      </c>
      <c r="R359" s="1">
        <f t="shared" si="50"/>
        <v>71.083525033139594</v>
      </c>
      <c r="S359" s="1">
        <f t="shared" si="51"/>
        <v>47.414439443535187</v>
      </c>
    </row>
    <row r="360" spans="1:19" x14ac:dyDescent="0.3">
      <c r="A360">
        <v>2171</v>
      </c>
      <c r="B360">
        <v>61.934475999999997</v>
      </c>
      <c r="C360">
        <v>65.549535000000006</v>
      </c>
      <c r="D360">
        <v>68.898777999999993</v>
      </c>
      <c r="E360">
        <v>45.432473000000002</v>
      </c>
      <c r="F360">
        <v>23.654622</v>
      </c>
      <c r="G360">
        <v>18.513244</v>
      </c>
      <c r="H360">
        <v>20.012549</v>
      </c>
      <c r="I360" t="s">
        <v>56</v>
      </c>
      <c r="J360" s="1">
        <f t="shared" si="52"/>
        <v>47.432473000000002</v>
      </c>
      <c r="N360"/>
      <c r="O360"/>
      <c r="P360" s="1">
        <f t="shared" si="48"/>
        <v>63.704328252032518</v>
      </c>
      <c r="Q360" s="1">
        <f t="shared" si="49"/>
        <v>67.400586382113829</v>
      </c>
      <c r="R360" s="1">
        <f t="shared" si="50"/>
        <v>71.083525033139594</v>
      </c>
      <c r="S360" s="1">
        <f t="shared" si="51"/>
        <v>47.414439443535187</v>
      </c>
    </row>
    <row r="361" spans="1:19" x14ac:dyDescent="0.3">
      <c r="A361">
        <v>2171.1999999999998</v>
      </c>
      <c r="B361">
        <v>61.866979000000001</v>
      </c>
      <c r="C361">
        <v>65.555290999999997</v>
      </c>
      <c r="D361">
        <v>68.930841000000001</v>
      </c>
      <c r="E361">
        <v>45.416513999999999</v>
      </c>
      <c r="F361">
        <v>23.666796999999999</v>
      </c>
      <c r="G361">
        <v>18.504324</v>
      </c>
      <c r="H361">
        <v>20.019297000000002</v>
      </c>
      <c r="I361"/>
      <c r="J361" s="1">
        <f t="shared" si="52"/>
        <v>47.416513999999999</v>
      </c>
      <c r="N361"/>
      <c r="O361"/>
      <c r="P361" s="1">
        <f t="shared" si="48"/>
        <v>63.711606707317074</v>
      </c>
      <c r="Q361" s="1">
        <f t="shared" si="49"/>
        <v>67.411066056910585</v>
      </c>
      <c r="R361" s="1">
        <f t="shared" si="50"/>
        <v>71.073173243601502</v>
      </c>
      <c r="S361" s="1">
        <f t="shared" si="51"/>
        <v>47.411305237315872</v>
      </c>
    </row>
    <row r="362" spans="1:19" x14ac:dyDescent="0.3">
      <c r="A362">
        <v>2171.4</v>
      </c>
      <c r="B362">
        <v>61.866979000000001</v>
      </c>
      <c r="C362">
        <v>65.555290999999997</v>
      </c>
      <c r="D362">
        <v>68.930841000000001</v>
      </c>
      <c r="E362">
        <v>45.416513999999999</v>
      </c>
      <c r="F362">
        <v>23.666796999999999</v>
      </c>
      <c r="G362">
        <v>18.504324</v>
      </c>
      <c r="H362">
        <v>20.019297000000002</v>
      </c>
      <c r="I362"/>
      <c r="J362" s="1">
        <f t="shared" si="52"/>
        <v>47.416513999999999</v>
      </c>
      <c r="N362"/>
      <c r="O362"/>
      <c r="P362" s="1">
        <f t="shared" si="48"/>
        <v>63.711606707317074</v>
      </c>
      <c r="Q362" s="1">
        <f t="shared" si="49"/>
        <v>67.411066056910585</v>
      </c>
      <c r="R362" s="1">
        <f t="shared" si="50"/>
        <v>71.073173243601502</v>
      </c>
      <c r="S362" s="1">
        <f t="shared" si="51"/>
        <v>47.411305237315872</v>
      </c>
    </row>
    <row r="363" spans="1:19" x14ac:dyDescent="0.3">
      <c r="A363">
        <v>2171.6</v>
      </c>
      <c r="B363">
        <v>61.88561</v>
      </c>
      <c r="C363">
        <v>65.579746999999998</v>
      </c>
      <c r="D363">
        <v>68.907998000000006</v>
      </c>
      <c r="E363">
        <v>45.440505999999999</v>
      </c>
      <c r="F363">
        <v>23.646649</v>
      </c>
      <c r="G363">
        <v>18.484970000000001</v>
      </c>
      <c r="H363">
        <v>20.012777</v>
      </c>
      <c r="I363"/>
      <c r="J363" s="1">
        <f t="shared" si="52"/>
        <v>47.440505999999999</v>
      </c>
      <c r="N363"/>
      <c r="O363"/>
      <c r="P363" s="1">
        <f t="shared" ref="P363:P426" si="53">(B345+Q$36)/P$36</f>
        <v>63.697569105691052</v>
      </c>
      <c r="Q363" s="1">
        <f t="shared" ref="Q363:Q426" si="54">(C345+Q$36)/P$36</f>
        <v>67.397103658536594</v>
      </c>
      <c r="R363" s="1">
        <f t="shared" ref="R363:R426" si="55">(D345+Q$38)/P$38</f>
        <v>71.071712042418682</v>
      </c>
      <c r="S363" s="1">
        <f t="shared" ref="S363:S426" si="56">(E345+Q$39)/P$39</f>
        <v>47.404856792144024</v>
      </c>
    </row>
    <row r="364" spans="1:19" x14ac:dyDescent="0.3">
      <c r="A364">
        <v>2171.8000000000002</v>
      </c>
      <c r="B364">
        <v>61.88561</v>
      </c>
      <c r="C364">
        <v>65.579746999999998</v>
      </c>
      <c r="D364">
        <v>68.907998000000006</v>
      </c>
      <c r="E364">
        <v>45.440505999999999</v>
      </c>
      <c r="F364">
        <v>23.646649</v>
      </c>
      <c r="G364">
        <v>18.484970000000001</v>
      </c>
      <c r="H364">
        <v>20.012777</v>
      </c>
      <c r="I364"/>
      <c r="J364" s="1">
        <f t="shared" si="52"/>
        <v>47.440505999999999</v>
      </c>
      <c r="N364"/>
      <c r="O364"/>
      <c r="P364" s="1">
        <f t="shared" si="53"/>
        <v>63.697569105691052</v>
      </c>
      <c r="Q364" s="1">
        <f t="shared" si="54"/>
        <v>67.397103658536594</v>
      </c>
      <c r="R364" s="1">
        <f t="shared" si="55"/>
        <v>71.071712042418682</v>
      </c>
      <c r="S364" s="1">
        <f t="shared" si="56"/>
        <v>47.404856792144024</v>
      </c>
    </row>
    <row r="365" spans="1:19" x14ac:dyDescent="0.3">
      <c r="A365">
        <v>2172</v>
      </c>
      <c r="B365">
        <v>61.911551000000003</v>
      </c>
      <c r="C365">
        <v>65.570469000000003</v>
      </c>
      <c r="D365">
        <v>68.898301000000004</v>
      </c>
      <c r="E365">
        <v>45.439939000000003</v>
      </c>
      <c r="F365">
        <v>23.580185</v>
      </c>
      <c r="G365">
        <v>18.483217</v>
      </c>
      <c r="H365">
        <v>20.042815999999998</v>
      </c>
      <c r="I365" t="s">
        <v>56</v>
      </c>
      <c r="J365" s="1">
        <f t="shared" si="52"/>
        <v>47.439939000000003</v>
      </c>
      <c r="N365"/>
      <c r="O365"/>
      <c r="P365" s="1">
        <f t="shared" si="53"/>
        <v>63.713269308943083</v>
      </c>
      <c r="Q365" s="1">
        <f t="shared" si="54"/>
        <v>67.404849593495939</v>
      </c>
      <c r="R365" s="1">
        <f t="shared" si="55"/>
        <v>71.084083817681247</v>
      </c>
      <c r="S365" s="1">
        <f t="shared" si="56"/>
        <v>47.415804009819965</v>
      </c>
    </row>
    <row r="366" spans="1:19" x14ac:dyDescent="0.3">
      <c r="A366">
        <v>2172.1999999999998</v>
      </c>
      <c r="B366">
        <v>61.911551000000003</v>
      </c>
      <c r="C366">
        <v>65.570469000000003</v>
      </c>
      <c r="D366">
        <v>68.898301000000004</v>
      </c>
      <c r="E366">
        <v>45.439939000000003</v>
      </c>
      <c r="F366">
        <v>23.580185</v>
      </c>
      <c r="G366">
        <v>18.483217</v>
      </c>
      <c r="H366">
        <v>20.042815999999998</v>
      </c>
      <c r="I366"/>
      <c r="J366" s="1">
        <f t="shared" si="52"/>
        <v>47.439939000000003</v>
      </c>
      <c r="N366"/>
      <c r="O366"/>
      <c r="P366" s="1">
        <f t="shared" si="53"/>
        <v>63.713269308943083</v>
      </c>
      <c r="Q366" s="1">
        <f t="shared" si="54"/>
        <v>67.404849593495939</v>
      </c>
      <c r="R366" s="1">
        <f t="shared" si="55"/>
        <v>71.084083817681247</v>
      </c>
      <c r="S366" s="1">
        <f t="shared" si="56"/>
        <v>47.415804009819965</v>
      </c>
    </row>
    <row r="367" spans="1:19" x14ac:dyDescent="0.3">
      <c r="A367">
        <v>2172.4</v>
      </c>
      <c r="B367">
        <v>61.89969</v>
      </c>
      <c r="C367">
        <v>65.537256999999997</v>
      </c>
      <c r="D367">
        <v>68.907426000000001</v>
      </c>
      <c r="E367">
        <v>45.419182999999997</v>
      </c>
      <c r="F367">
        <v>23.504677999999998</v>
      </c>
      <c r="G367">
        <v>18.502497999999999</v>
      </c>
      <c r="H367">
        <v>20.010356000000002</v>
      </c>
      <c r="I367"/>
      <c r="J367" s="1">
        <f t="shared" si="52"/>
        <v>47.419182999999997</v>
      </c>
      <c r="N367"/>
      <c r="O367"/>
      <c r="P367" s="1">
        <f t="shared" si="53"/>
        <v>63.715867886178863</v>
      </c>
      <c r="Q367" s="1">
        <f t="shared" si="54"/>
        <v>67.415305894308958</v>
      </c>
      <c r="R367" s="1">
        <f t="shared" si="55"/>
        <v>71.087130620985008</v>
      </c>
      <c r="S367" s="1">
        <f t="shared" si="56"/>
        <v>47.433923895253677</v>
      </c>
    </row>
    <row r="368" spans="1:19" x14ac:dyDescent="0.3">
      <c r="A368">
        <v>2172.6</v>
      </c>
      <c r="B368">
        <v>61.89969</v>
      </c>
      <c r="C368">
        <v>65.537256999999997</v>
      </c>
      <c r="D368">
        <v>68.907426000000001</v>
      </c>
      <c r="E368">
        <v>45.419182999999997</v>
      </c>
      <c r="F368">
        <v>23.504677999999998</v>
      </c>
      <c r="G368">
        <v>18.502497999999999</v>
      </c>
      <c r="H368">
        <v>20.010356000000002</v>
      </c>
      <c r="I368"/>
      <c r="J368" s="1">
        <f t="shared" si="52"/>
        <v>47.419182999999997</v>
      </c>
      <c r="N368"/>
      <c r="O368"/>
      <c r="P368" s="1">
        <f t="shared" si="53"/>
        <v>63.715867886178863</v>
      </c>
      <c r="Q368" s="1">
        <f t="shared" si="54"/>
        <v>67.415305894308958</v>
      </c>
      <c r="R368" s="1">
        <f t="shared" si="55"/>
        <v>71.087130620985008</v>
      </c>
      <c r="S368" s="1">
        <f t="shared" si="56"/>
        <v>47.433923895253677</v>
      </c>
    </row>
    <row r="369" spans="1:19" x14ac:dyDescent="0.3">
      <c r="A369">
        <v>2172.8000000000002</v>
      </c>
      <c r="B369">
        <v>61.919646999999998</v>
      </c>
      <c r="C369">
        <v>65.582166999999998</v>
      </c>
      <c r="D369">
        <v>68.914495000000002</v>
      </c>
      <c r="E369">
        <v>45.427740999999997</v>
      </c>
      <c r="F369">
        <v>23.538563</v>
      </c>
      <c r="G369">
        <v>18.491662000000002</v>
      </c>
      <c r="H369">
        <v>20.012819</v>
      </c>
      <c r="I369"/>
      <c r="J369" s="1">
        <f t="shared" si="52"/>
        <v>47.427740999999997</v>
      </c>
      <c r="N369"/>
      <c r="O369"/>
      <c r="P369" s="1">
        <f t="shared" si="53"/>
        <v>63.712241869918699</v>
      </c>
      <c r="Q369" s="1">
        <f t="shared" si="54"/>
        <v>67.404289634146352</v>
      </c>
      <c r="R369" s="1">
        <f t="shared" si="55"/>
        <v>71.095096359743039</v>
      </c>
      <c r="S369" s="1">
        <f t="shared" si="56"/>
        <v>47.429332037643206</v>
      </c>
    </row>
    <row r="370" spans="1:19" x14ac:dyDescent="0.3">
      <c r="A370">
        <v>2173</v>
      </c>
      <c r="B370">
        <v>61.919646999999998</v>
      </c>
      <c r="C370">
        <v>65.582166999999998</v>
      </c>
      <c r="D370">
        <v>68.914495000000002</v>
      </c>
      <c r="E370">
        <v>45.427740999999997</v>
      </c>
      <c r="F370">
        <v>23.538563</v>
      </c>
      <c r="G370">
        <v>18.491662000000002</v>
      </c>
      <c r="H370">
        <v>20.012819</v>
      </c>
      <c r="I370" t="s">
        <v>56</v>
      </c>
      <c r="J370" s="1">
        <f t="shared" si="52"/>
        <v>47.427740999999997</v>
      </c>
      <c r="N370"/>
      <c r="O370"/>
      <c r="P370" s="1">
        <f t="shared" si="53"/>
        <v>63.712241869918699</v>
      </c>
      <c r="Q370" s="1">
        <f t="shared" si="54"/>
        <v>67.404289634146352</v>
      </c>
      <c r="R370" s="1">
        <f t="shared" si="55"/>
        <v>71.095096359743039</v>
      </c>
      <c r="S370" s="1">
        <f t="shared" si="56"/>
        <v>47.429332037643206</v>
      </c>
    </row>
    <row r="371" spans="1:19" x14ac:dyDescent="0.3">
      <c r="A371">
        <v>2173.1999999999998</v>
      </c>
      <c r="B371">
        <v>61.904246000000001</v>
      </c>
      <c r="C371">
        <v>65.562291999999999</v>
      </c>
      <c r="D371">
        <v>68.917389</v>
      </c>
      <c r="E371">
        <v>45.439543999999998</v>
      </c>
      <c r="F371">
        <v>23.558496000000002</v>
      </c>
      <c r="G371">
        <v>18.501301999999999</v>
      </c>
      <c r="H371">
        <v>20.029564000000001</v>
      </c>
      <c r="I371"/>
      <c r="J371" s="1">
        <f t="shared" si="52"/>
        <v>47.439543999999998</v>
      </c>
      <c r="N371"/>
      <c r="O371"/>
      <c r="P371" s="1">
        <f t="shared" si="53"/>
        <v>63.696463414634145</v>
      </c>
      <c r="Q371" s="1">
        <f t="shared" si="54"/>
        <v>67.421007113821133</v>
      </c>
      <c r="R371" s="1">
        <f t="shared" si="55"/>
        <v>71.105789742021003</v>
      </c>
      <c r="S371" s="1">
        <f t="shared" si="56"/>
        <v>47.404697217675938</v>
      </c>
    </row>
    <row r="372" spans="1:19" x14ac:dyDescent="0.3">
      <c r="A372">
        <v>2173.4</v>
      </c>
      <c r="B372">
        <v>61.904246000000001</v>
      </c>
      <c r="C372">
        <v>65.562291999999999</v>
      </c>
      <c r="D372">
        <v>68.917389</v>
      </c>
      <c r="E372">
        <v>45.439543999999998</v>
      </c>
      <c r="F372">
        <v>23.558496000000002</v>
      </c>
      <c r="G372">
        <v>18.501301999999999</v>
      </c>
      <c r="H372">
        <v>20.029564000000001</v>
      </c>
      <c r="I372"/>
      <c r="J372" s="1">
        <f t="shared" si="52"/>
        <v>47.439543999999998</v>
      </c>
      <c r="N372"/>
      <c r="O372"/>
      <c r="P372" s="1">
        <f t="shared" si="53"/>
        <v>63.696463414634145</v>
      </c>
      <c r="Q372" s="1">
        <f t="shared" si="54"/>
        <v>67.421007113821133</v>
      </c>
      <c r="R372" s="1">
        <f t="shared" si="55"/>
        <v>71.105789742021003</v>
      </c>
      <c r="S372" s="1">
        <f t="shared" si="56"/>
        <v>47.404697217675938</v>
      </c>
    </row>
    <row r="373" spans="1:19" x14ac:dyDescent="0.3">
      <c r="A373">
        <v>2173.6</v>
      </c>
      <c r="B373">
        <v>61.896048999999998</v>
      </c>
      <c r="C373">
        <v>65.563249999999996</v>
      </c>
      <c r="D373">
        <v>68.904273000000003</v>
      </c>
      <c r="E373">
        <v>45.423780999999998</v>
      </c>
      <c r="F373">
        <v>23.493600000000001</v>
      </c>
      <c r="G373">
        <v>18.473068000000001</v>
      </c>
      <c r="H373">
        <v>20.013227000000001</v>
      </c>
      <c r="I373"/>
      <c r="J373" s="1">
        <f t="shared" si="52"/>
        <v>47.423780999999998</v>
      </c>
      <c r="N373"/>
      <c r="O373"/>
      <c r="P373" s="1">
        <f t="shared" si="53"/>
        <v>63.700483739837395</v>
      </c>
      <c r="Q373" s="1">
        <f t="shared" si="54"/>
        <v>67.423615853658546</v>
      </c>
      <c r="R373" s="1">
        <f t="shared" si="55"/>
        <v>71.103769756296515</v>
      </c>
      <c r="S373" s="1">
        <f t="shared" si="56"/>
        <v>47.415604541734865</v>
      </c>
    </row>
    <row r="374" spans="1:19" x14ac:dyDescent="0.3">
      <c r="A374">
        <v>2173.8000000000002</v>
      </c>
      <c r="B374">
        <v>61.896048999999998</v>
      </c>
      <c r="C374">
        <v>65.563249999999996</v>
      </c>
      <c r="D374">
        <v>68.904273000000003</v>
      </c>
      <c r="E374">
        <v>45.423780999999998</v>
      </c>
      <c r="F374">
        <v>23.493600000000001</v>
      </c>
      <c r="G374">
        <v>18.473068000000001</v>
      </c>
      <c r="H374">
        <v>20.013227000000001</v>
      </c>
      <c r="I374"/>
      <c r="J374" s="1">
        <f t="shared" si="52"/>
        <v>47.423780999999998</v>
      </c>
      <c r="N374"/>
      <c r="O374"/>
      <c r="P374" s="1">
        <f t="shared" si="53"/>
        <v>63.700483739837395</v>
      </c>
      <c r="Q374" s="1">
        <f t="shared" si="54"/>
        <v>67.423615853658546</v>
      </c>
      <c r="R374" s="1">
        <f t="shared" si="55"/>
        <v>71.103769756296515</v>
      </c>
      <c r="S374" s="1">
        <f t="shared" si="56"/>
        <v>47.415604541734865</v>
      </c>
    </row>
    <row r="375" spans="1:19" x14ac:dyDescent="0.3">
      <c r="A375">
        <v>2470</v>
      </c>
      <c r="B375">
        <v>54.180888000000003</v>
      </c>
      <c r="C375">
        <v>57.017560000000003</v>
      </c>
      <c r="D375">
        <v>59.640400999999997</v>
      </c>
      <c r="E375">
        <v>40.766075000000001</v>
      </c>
      <c r="F375">
        <v>22.214428999999999</v>
      </c>
      <c r="G375">
        <v>18.110437999999998</v>
      </c>
      <c r="H375">
        <v>19.311183</v>
      </c>
      <c r="I375" t="s">
        <v>56</v>
      </c>
      <c r="J375" s="1">
        <f t="shared" si="52"/>
        <v>42.766075000000001</v>
      </c>
      <c r="N375"/>
      <c r="O375"/>
      <c r="P375" s="1">
        <f t="shared" si="53"/>
        <v>63.729270325203252</v>
      </c>
      <c r="Q375" s="1">
        <f t="shared" si="54"/>
        <v>67.411968495934957</v>
      </c>
      <c r="R375" s="1">
        <f t="shared" si="55"/>
        <v>71.098143163046799</v>
      </c>
      <c r="S375" s="1">
        <f t="shared" si="56"/>
        <v>47.434260433715217</v>
      </c>
    </row>
    <row r="376" spans="1:19" x14ac:dyDescent="0.3">
      <c r="A376">
        <v>2470.1999999999998</v>
      </c>
      <c r="B376">
        <v>54.180888000000003</v>
      </c>
      <c r="C376">
        <v>57.017560000000003</v>
      </c>
      <c r="D376">
        <v>59.640400999999997</v>
      </c>
      <c r="E376">
        <v>40.766075000000001</v>
      </c>
      <c r="F376">
        <v>22.214428999999999</v>
      </c>
      <c r="G376">
        <v>18.110437999999998</v>
      </c>
      <c r="H376">
        <v>19.311183</v>
      </c>
      <c r="I376"/>
      <c r="J376" s="1">
        <f t="shared" si="52"/>
        <v>42.766075000000001</v>
      </c>
      <c r="N376"/>
      <c r="O376"/>
      <c r="P376" s="1">
        <f t="shared" si="53"/>
        <v>63.729270325203252</v>
      </c>
      <c r="Q376" s="1">
        <f t="shared" si="54"/>
        <v>67.411968495934957</v>
      </c>
      <c r="R376" s="1">
        <f t="shared" si="55"/>
        <v>71.098143163046799</v>
      </c>
      <c r="S376" s="1">
        <f t="shared" si="56"/>
        <v>47.434260433715217</v>
      </c>
    </row>
    <row r="377" spans="1:19" x14ac:dyDescent="0.3">
      <c r="A377">
        <v>2470.4</v>
      </c>
      <c r="B377">
        <v>54.206513999999999</v>
      </c>
      <c r="C377">
        <v>57.022469000000001</v>
      </c>
      <c r="D377">
        <v>59.646655000000003</v>
      </c>
      <c r="E377">
        <v>40.766801000000001</v>
      </c>
      <c r="F377">
        <v>22.185372999999998</v>
      </c>
      <c r="G377">
        <v>18.091849</v>
      </c>
      <c r="H377">
        <v>19.308752999999999</v>
      </c>
      <c r="I377"/>
      <c r="J377" s="1">
        <f t="shared" si="52"/>
        <v>42.766801000000001</v>
      </c>
      <c r="N377"/>
      <c r="O377"/>
      <c r="P377" s="1">
        <f t="shared" si="53"/>
        <v>63.740829268292678</v>
      </c>
      <c r="Q377" s="1">
        <f t="shared" si="54"/>
        <v>67.414669715447161</v>
      </c>
      <c r="R377" s="1">
        <f t="shared" si="55"/>
        <v>71.080940144794525</v>
      </c>
      <c r="S377" s="1">
        <f t="shared" si="56"/>
        <v>47.418446194762687</v>
      </c>
    </row>
    <row r="378" spans="1:19" x14ac:dyDescent="0.3">
      <c r="A378">
        <v>2470.6</v>
      </c>
      <c r="B378">
        <v>54.206513999999999</v>
      </c>
      <c r="C378">
        <v>57.022469000000001</v>
      </c>
      <c r="D378">
        <v>59.646655000000003</v>
      </c>
      <c r="E378">
        <v>40.766801000000001</v>
      </c>
      <c r="F378">
        <v>22.185372999999998</v>
      </c>
      <c r="G378">
        <v>18.091849</v>
      </c>
      <c r="H378">
        <v>19.308752999999999</v>
      </c>
      <c r="I378"/>
      <c r="J378" s="1">
        <f t="shared" si="52"/>
        <v>42.766801000000001</v>
      </c>
      <c r="N378"/>
      <c r="O378"/>
      <c r="P378" s="1">
        <f t="shared" si="53"/>
        <v>63.740829268292678</v>
      </c>
      <c r="Q378" s="1">
        <f t="shared" si="54"/>
        <v>67.414669715447161</v>
      </c>
      <c r="R378" s="1">
        <f t="shared" si="55"/>
        <v>71.080940144794525</v>
      </c>
      <c r="S378" s="1">
        <f t="shared" si="56"/>
        <v>47.418446194762687</v>
      </c>
    </row>
    <row r="379" spans="1:19" x14ac:dyDescent="0.3">
      <c r="A379">
        <v>2470.8000000000002</v>
      </c>
      <c r="B379">
        <v>54.197003000000002</v>
      </c>
      <c r="C379">
        <v>57.026268999999999</v>
      </c>
      <c r="D379">
        <v>59.644520999999997</v>
      </c>
      <c r="E379">
        <v>40.791984999999997</v>
      </c>
      <c r="F379">
        <v>22.159381</v>
      </c>
      <c r="G379">
        <v>18.132346999999999</v>
      </c>
      <c r="H379">
        <v>19.298888999999999</v>
      </c>
      <c r="I379"/>
      <c r="J379" s="1">
        <f t="shared" si="52"/>
        <v>42.791984999999997</v>
      </c>
      <c r="N379"/>
      <c r="O379"/>
      <c r="P379" s="1">
        <f t="shared" si="53"/>
        <v>63.672234756097559</v>
      </c>
      <c r="Q379" s="1">
        <f t="shared" si="54"/>
        <v>67.420519308943085</v>
      </c>
      <c r="R379" s="1">
        <f t="shared" si="55"/>
        <v>71.113634138880386</v>
      </c>
      <c r="S379" s="1">
        <f t="shared" si="56"/>
        <v>47.402121522094923</v>
      </c>
    </row>
    <row r="380" spans="1:19" x14ac:dyDescent="0.3">
      <c r="A380">
        <v>2471</v>
      </c>
      <c r="B380">
        <v>54.197003000000002</v>
      </c>
      <c r="C380">
        <v>57.026268999999999</v>
      </c>
      <c r="D380">
        <v>59.644520999999997</v>
      </c>
      <c r="E380">
        <v>40.791984999999997</v>
      </c>
      <c r="F380">
        <v>22.159381</v>
      </c>
      <c r="G380">
        <v>18.132346999999999</v>
      </c>
      <c r="H380">
        <v>19.298888999999999</v>
      </c>
      <c r="I380" t="s">
        <v>56</v>
      </c>
      <c r="J380" s="1">
        <f t="shared" si="52"/>
        <v>42.791984999999997</v>
      </c>
      <c r="N380"/>
      <c r="O380"/>
      <c r="P380" s="1">
        <f t="shared" si="53"/>
        <v>63.672234756097559</v>
      </c>
      <c r="Q380" s="1">
        <f t="shared" si="54"/>
        <v>67.420519308943085</v>
      </c>
      <c r="R380" s="1">
        <f t="shared" si="55"/>
        <v>71.113634138880386</v>
      </c>
      <c r="S380" s="1">
        <f t="shared" si="56"/>
        <v>47.402121522094923</v>
      </c>
    </row>
    <row r="381" spans="1:19" x14ac:dyDescent="0.3">
      <c r="A381">
        <v>2471.1999999999998</v>
      </c>
      <c r="B381">
        <v>54.169395000000002</v>
      </c>
      <c r="C381">
        <v>57.011158999999999</v>
      </c>
      <c r="D381">
        <v>59.636304000000003</v>
      </c>
      <c r="E381">
        <v>40.762317000000003</v>
      </c>
      <c r="F381">
        <v>22.194806</v>
      </c>
      <c r="G381">
        <v>18.113479000000002</v>
      </c>
      <c r="H381">
        <v>19.315645</v>
      </c>
      <c r="I381"/>
      <c r="J381" s="1">
        <f t="shared" si="52"/>
        <v>42.762317000000003</v>
      </c>
      <c r="N381"/>
      <c r="O381"/>
      <c r="P381" s="1">
        <f t="shared" si="53"/>
        <v>63.691168699186989</v>
      </c>
      <c r="Q381" s="1">
        <f t="shared" si="54"/>
        <v>67.44537296747967</v>
      </c>
      <c r="R381" s="1">
        <f t="shared" si="55"/>
        <v>71.09034159273989</v>
      </c>
      <c r="S381" s="1">
        <f t="shared" si="56"/>
        <v>47.426663256955806</v>
      </c>
    </row>
    <row r="382" spans="1:19" x14ac:dyDescent="0.3">
      <c r="A382">
        <v>2471.4</v>
      </c>
      <c r="B382">
        <v>54.169395000000002</v>
      </c>
      <c r="C382">
        <v>57.011158999999999</v>
      </c>
      <c r="D382">
        <v>59.636304000000003</v>
      </c>
      <c r="E382">
        <v>40.762317000000003</v>
      </c>
      <c r="F382">
        <v>22.194806</v>
      </c>
      <c r="G382">
        <v>18.113479000000002</v>
      </c>
      <c r="H382">
        <v>19.315645</v>
      </c>
      <c r="I382"/>
      <c r="J382" s="1">
        <f t="shared" si="52"/>
        <v>42.762317000000003</v>
      </c>
      <c r="N382"/>
      <c r="O382"/>
      <c r="P382" s="1">
        <f t="shared" si="53"/>
        <v>63.691168699186989</v>
      </c>
      <c r="Q382" s="1">
        <f t="shared" si="54"/>
        <v>67.44537296747967</v>
      </c>
      <c r="R382" s="1">
        <f t="shared" si="55"/>
        <v>71.09034159273989</v>
      </c>
      <c r="S382" s="1">
        <f t="shared" si="56"/>
        <v>47.426663256955806</v>
      </c>
    </row>
    <row r="383" spans="1:19" x14ac:dyDescent="0.3">
      <c r="A383">
        <v>2471.6</v>
      </c>
      <c r="B383">
        <v>54.165788999999997</v>
      </c>
      <c r="C383">
        <v>57.016260000000003</v>
      </c>
      <c r="D383">
        <v>59.632277999999999</v>
      </c>
      <c r="E383">
        <v>40.751942999999997</v>
      </c>
      <c r="F383">
        <v>22.228662</v>
      </c>
      <c r="G383">
        <v>18.080712999999999</v>
      </c>
      <c r="H383">
        <v>19.322790000000001</v>
      </c>
      <c r="I383"/>
      <c r="J383" s="1">
        <f t="shared" si="52"/>
        <v>42.751942999999997</v>
      </c>
      <c r="N383"/>
      <c r="O383"/>
      <c r="P383" s="1">
        <f t="shared" si="53"/>
        <v>63.717531504065043</v>
      </c>
      <c r="Q383" s="1">
        <f t="shared" si="54"/>
        <v>67.435944105691064</v>
      </c>
      <c r="R383" s="1">
        <f t="shared" si="55"/>
        <v>71.080453757520132</v>
      </c>
      <c r="S383" s="1">
        <f t="shared" si="56"/>
        <v>47.42608326513912</v>
      </c>
    </row>
    <row r="384" spans="1:19" x14ac:dyDescent="0.3">
      <c r="A384">
        <v>2471.8000000000002</v>
      </c>
      <c r="B384">
        <v>54.165788999999997</v>
      </c>
      <c r="C384">
        <v>57.016260000000003</v>
      </c>
      <c r="D384">
        <v>59.632277999999999</v>
      </c>
      <c r="E384">
        <v>40.751942999999997</v>
      </c>
      <c r="F384">
        <v>22.228662</v>
      </c>
      <c r="G384">
        <v>18.080712999999999</v>
      </c>
      <c r="H384">
        <v>19.322790000000001</v>
      </c>
      <c r="I384"/>
      <c r="J384" s="1">
        <f t="shared" si="52"/>
        <v>42.751942999999997</v>
      </c>
      <c r="N384"/>
      <c r="O384"/>
      <c r="P384" s="1">
        <f t="shared" si="53"/>
        <v>63.717531504065043</v>
      </c>
      <c r="Q384" s="1">
        <f t="shared" si="54"/>
        <v>67.435944105691064</v>
      </c>
      <c r="R384" s="1">
        <f t="shared" si="55"/>
        <v>71.080453757520132</v>
      </c>
      <c r="S384" s="1">
        <f t="shared" si="56"/>
        <v>47.42608326513912</v>
      </c>
    </row>
    <row r="385" spans="1:19" x14ac:dyDescent="0.3">
      <c r="A385">
        <v>2472</v>
      </c>
      <c r="B385">
        <v>54.171717999999998</v>
      </c>
      <c r="C385">
        <v>57.023525999999997</v>
      </c>
      <c r="D385">
        <v>59.607191999999998</v>
      </c>
      <c r="E385">
        <v>40.739789999999999</v>
      </c>
      <c r="F385">
        <v>22.125823</v>
      </c>
      <c r="G385">
        <v>18.101254999999998</v>
      </c>
      <c r="H385">
        <v>19.333815999999999</v>
      </c>
      <c r="I385" t="s">
        <v>56</v>
      </c>
      <c r="J385" s="1">
        <f t="shared" si="52"/>
        <v>42.739789999999999</v>
      </c>
      <c r="N385"/>
      <c r="O385"/>
      <c r="P385" s="1">
        <f t="shared" si="53"/>
        <v>63.705477642276421</v>
      </c>
      <c r="Q385" s="1">
        <f t="shared" si="54"/>
        <v>67.402192073170738</v>
      </c>
      <c r="R385" s="1">
        <f t="shared" si="55"/>
        <v>71.089758335882536</v>
      </c>
      <c r="S385" s="1">
        <f t="shared" si="56"/>
        <v>47.404851677577739</v>
      </c>
    </row>
    <row r="386" spans="1:19" x14ac:dyDescent="0.3">
      <c r="A386">
        <v>2472.1999999999998</v>
      </c>
      <c r="B386">
        <v>54.171717999999998</v>
      </c>
      <c r="C386">
        <v>57.023525999999997</v>
      </c>
      <c r="D386">
        <v>59.607191999999998</v>
      </c>
      <c r="E386">
        <v>40.739789999999999</v>
      </c>
      <c r="F386">
        <v>22.125823</v>
      </c>
      <c r="G386">
        <v>18.101254999999998</v>
      </c>
      <c r="H386">
        <v>19.333815999999999</v>
      </c>
      <c r="I386"/>
      <c r="J386" s="1">
        <f t="shared" si="52"/>
        <v>42.739789999999999</v>
      </c>
      <c r="N386"/>
      <c r="O386"/>
      <c r="P386" s="1">
        <f t="shared" si="53"/>
        <v>63.705477642276421</v>
      </c>
      <c r="Q386" s="1">
        <f t="shared" si="54"/>
        <v>67.402192073170738</v>
      </c>
      <c r="R386" s="1">
        <f t="shared" si="55"/>
        <v>71.089758335882536</v>
      </c>
      <c r="S386" s="1">
        <f t="shared" si="56"/>
        <v>47.404851677577739</v>
      </c>
    </row>
    <row r="387" spans="1:19" x14ac:dyDescent="0.3">
      <c r="A387">
        <v>2472.4</v>
      </c>
      <c r="B387">
        <v>54.209927999999998</v>
      </c>
      <c r="C387">
        <v>57.016264</v>
      </c>
      <c r="D387">
        <v>59.614072999999998</v>
      </c>
      <c r="E387">
        <v>40.771155</v>
      </c>
      <c r="F387">
        <v>22.130991000000002</v>
      </c>
      <c r="G387">
        <v>18.100632999999998</v>
      </c>
      <c r="H387">
        <v>19.291418</v>
      </c>
      <c r="I387"/>
      <c r="J387" s="1">
        <f t="shared" si="52"/>
        <v>42.771155</v>
      </c>
      <c r="N387"/>
      <c r="O387"/>
      <c r="P387" s="1">
        <f t="shared" si="53"/>
        <v>63.72575914634146</v>
      </c>
      <c r="Q387" s="1">
        <f t="shared" si="54"/>
        <v>67.447832317073178</v>
      </c>
      <c r="R387" s="1">
        <f t="shared" si="55"/>
        <v>71.096966452533906</v>
      </c>
      <c r="S387" s="1">
        <f t="shared" si="56"/>
        <v>47.413605769230763</v>
      </c>
    </row>
    <row r="388" spans="1:19" x14ac:dyDescent="0.3">
      <c r="A388">
        <v>2472.6</v>
      </c>
      <c r="B388">
        <v>54.209927999999998</v>
      </c>
      <c r="C388">
        <v>57.016264</v>
      </c>
      <c r="D388">
        <v>59.614072999999998</v>
      </c>
      <c r="E388">
        <v>40.771155</v>
      </c>
      <c r="F388">
        <v>22.130991000000002</v>
      </c>
      <c r="G388">
        <v>18.100632999999998</v>
      </c>
      <c r="H388">
        <v>19.291418</v>
      </c>
      <c r="I388"/>
      <c r="J388" s="1">
        <f t="shared" si="52"/>
        <v>42.771155</v>
      </c>
      <c r="N388"/>
      <c r="O388"/>
      <c r="P388" s="1">
        <f t="shared" si="53"/>
        <v>63.72575914634146</v>
      </c>
      <c r="Q388" s="1">
        <f t="shared" si="54"/>
        <v>67.447832317073178</v>
      </c>
      <c r="R388" s="1">
        <f t="shared" si="55"/>
        <v>71.096966452533906</v>
      </c>
      <c r="S388" s="1">
        <f t="shared" si="56"/>
        <v>47.413605769230763</v>
      </c>
    </row>
    <row r="389" spans="1:19" x14ac:dyDescent="0.3">
      <c r="A389">
        <v>2472.8000000000002</v>
      </c>
      <c r="B389">
        <v>54.170845999999997</v>
      </c>
      <c r="C389">
        <v>57.014887999999999</v>
      </c>
      <c r="D389">
        <v>59.646844999999999</v>
      </c>
      <c r="E389">
        <v>40.755282999999999</v>
      </c>
      <c r="F389">
        <v>22.263144</v>
      </c>
      <c r="G389">
        <v>18.113192999999999</v>
      </c>
      <c r="H389">
        <v>19.315359000000001</v>
      </c>
      <c r="I389"/>
      <c r="J389" s="1">
        <f t="shared" si="52"/>
        <v>42.755282999999999</v>
      </c>
      <c r="N389"/>
      <c r="O389"/>
      <c r="P389" s="1">
        <f t="shared" si="53"/>
        <v>63.710107723577231</v>
      </c>
      <c r="Q389" s="1">
        <f t="shared" si="54"/>
        <v>67.427634146341461</v>
      </c>
      <c r="R389" s="1">
        <f t="shared" si="55"/>
        <v>71.099917405934534</v>
      </c>
      <c r="S389" s="1">
        <f t="shared" si="56"/>
        <v>47.425679214402614</v>
      </c>
    </row>
    <row r="390" spans="1:19" x14ac:dyDescent="0.3">
      <c r="A390">
        <v>2473</v>
      </c>
      <c r="B390">
        <v>54.170845999999997</v>
      </c>
      <c r="C390">
        <v>57.014887999999999</v>
      </c>
      <c r="D390">
        <v>59.646844999999999</v>
      </c>
      <c r="E390">
        <v>40.755282999999999</v>
      </c>
      <c r="F390">
        <v>22.263144</v>
      </c>
      <c r="G390">
        <v>18.113192999999999</v>
      </c>
      <c r="H390">
        <v>19.315359000000001</v>
      </c>
      <c r="I390" t="s">
        <v>56</v>
      </c>
      <c r="J390" s="1">
        <f t="shared" si="52"/>
        <v>42.755282999999999</v>
      </c>
      <c r="N390"/>
      <c r="O390"/>
      <c r="P390" s="1">
        <f t="shared" si="53"/>
        <v>63.710107723577231</v>
      </c>
      <c r="Q390" s="1">
        <f t="shared" si="54"/>
        <v>67.427634146341461</v>
      </c>
      <c r="R390" s="1">
        <f t="shared" si="55"/>
        <v>71.099917405934534</v>
      </c>
      <c r="S390" s="1">
        <f t="shared" si="56"/>
        <v>47.425679214402614</v>
      </c>
    </row>
    <row r="391" spans="1:19" x14ac:dyDescent="0.3">
      <c r="A391">
        <v>2473.1999999999998</v>
      </c>
      <c r="B391">
        <v>54.154372000000002</v>
      </c>
      <c r="C391">
        <v>57.006735999999997</v>
      </c>
      <c r="D391">
        <v>59.637360999999999</v>
      </c>
      <c r="E391">
        <v>40.742407999999998</v>
      </c>
      <c r="F391">
        <v>22.226762999999998</v>
      </c>
      <c r="G391">
        <v>18.083123000000001</v>
      </c>
      <c r="H391">
        <v>19.330418999999999</v>
      </c>
      <c r="I391"/>
      <c r="J391" s="1">
        <f t="shared" si="52"/>
        <v>42.742407999999998</v>
      </c>
      <c r="N391"/>
      <c r="O391"/>
      <c r="P391" s="1">
        <f t="shared" si="53"/>
        <v>63.701777439024383</v>
      </c>
      <c r="Q391" s="1">
        <f t="shared" si="54"/>
        <v>67.428607723577244</v>
      </c>
      <c r="R391" s="1">
        <f t="shared" si="55"/>
        <v>71.086543285408382</v>
      </c>
      <c r="S391" s="1">
        <f t="shared" si="56"/>
        <v>47.409555032733223</v>
      </c>
    </row>
    <row r="392" spans="1:19" x14ac:dyDescent="0.3">
      <c r="A392">
        <v>2473.4</v>
      </c>
      <c r="B392">
        <v>54.154372000000002</v>
      </c>
      <c r="C392">
        <v>57.006735999999997</v>
      </c>
      <c r="D392">
        <v>59.637360999999999</v>
      </c>
      <c r="E392">
        <v>40.742407999999998</v>
      </c>
      <c r="F392">
        <v>22.226762999999998</v>
      </c>
      <c r="G392">
        <v>18.083123000000001</v>
      </c>
      <c r="H392">
        <v>19.330418999999999</v>
      </c>
      <c r="I392"/>
      <c r="J392" s="1">
        <f t="shared" si="52"/>
        <v>42.742407999999998</v>
      </c>
      <c r="N392"/>
      <c r="O392"/>
      <c r="P392" s="1">
        <f t="shared" si="53"/>
        <v>63.701777439024383</v>
      </c>
      <c r="Q392" s="1">
        <f t="shared" si="54"/>
        <v>67.428607723577244</v>
      </c>
      <c r="R392" s="1">
        <f t="shared" si="55"/>
        <v>71.086543285408382</v>
      </c>
      <c r="S392" s="1">
        <f t="shared" si="56"/>
        <v>47.409555032733223</v>
      </c>
    </row>
    <row r="393" spans="1:19" x14ac:dyDescent="0.3">
      <c r="A393">
        <v>2473.6</v>
      </c>
      <c r="B393">
        <v>54.171520999999998</v>
      </c>
      <c r="C393">
        <v>57.016474000000002</v>
      </c>
      <c r="D393">
        <v>59.637042999999998</v>
      </c>
      <c r="E393">
        <v>40.758401999999997</v>
      </c>
      <c r="F393">
        <v>22.186622</v>
      </c>
      <c r="G393">
        <v>18.090700999999999</v>
      </c>
      <c r="H393">
        <v>19.318525000000001</v>
      </c>
      <c r="I393"/>
      <c r="J393" s="1">
        <f t="shared" si="52"/>
        <v>42.758401999999997</v>
      </c>
      <c r="N393"/>
      <c r="O393"/>
      <c r="P393" s="1">
        <f t="shared" si="53"/>
        <v>55.861166666666669</v>
      </c>
      <c r="Q393" s="1">
        <f t="shared" si="54"/>
        <v>58.743963414634145</v>
      </c>
      <c r="R393" s="1">
        <f t="shared" si="55"/>
        <v>61.640359946976645</v>
      </c>
      <c r="S393" s="1">
        <f t="shared" si="56"/>
        <v>42.645125818330605</v>
      </c>
    </row>
    <row r="394" spans="1:19" x14ac:dyDescent="0.3">
      <c r="A394">
        <v>2473.8000000000002</v>
      </c>
      <c r="B394">
        <v>54.171520999999998</v>
      </c>
      <c r="C394">
        <v>57.016474000000002</v>
      </c>
      <c r="D394">
        <v>59.637042999999998</v>
      </c>
      <c r="E394">
        <v>40.758401999999997</v>
      </c>
      <c r="F394">
        <v>22.186622</v>
      </c>
      <c r="G394">
        <v>18.090700999999999</v>
      </c>
      <c r="H394">
        <v>19.318525000000001</v>
      </c>
      <c r="I394"/>
      <c r="J394" s="1">
        <f t="shared" si="52"/>
        <v>42.758401999999997</v>
      </c>
      <c r="N394"/>
      <c r="O394"/>
      <c r="P394" s="1">
        <f t="shared" si="53"/>
        <v>55.861166666666669</v>
      </c>
      <c r="Q394" s="1">
        <f t="shared" si="54"/>
        <v>58.743963414634145</v>
      </c>
      <c r="R394" s="1">
        <f t="shared" si="55"/>
        <v>61.640359946976645</v>
      </c>
      <c r="S394" s="1">
        <f t="shared" si="56"/>
        <v>42.645125818330605</v>
      </c>
    </row>
    <row r="395" spans="1:19" x14ac:dyDescent="0.3">
      <c r="A395">
        <v>2474</v>
      </c>
      <c r="B395">
        <v>54.175324000000003</v>
      </c>
      <c r="C395">
        <v>56.984597000000001</v>
      </c>
      <c r="D395">
        <v>59.643994999999997</v>
      </c>
      <c r="E395">
        <v>40.772295</v>
      </c>
      <c r="F395">
        <v>22.179856000000001</v>
      </c>
      <c r="G395">
        <v>18.099254999999999</v>
      </c>
      <c r="H395">
        <v>19.310929000000002</v>
      </c>
      <c r="I395" t="s">
        <v>56</v>
      </c>
      <c r="J395" s="1">
        <f t="shared" si="52"/>
        <v>42.772295</v>
      </c>
      <c r="N395"/>
      <c r="O395"/>
      <c r="P395" s="1">
        <f t="shared" si="53"/>
        <v>55.887209349593491</v>
      </c>
      <c r="Q395" s="1">
        <f t="shared" si="54"/>
        <v>58.748952235772357</v>
      </c>
      <c r="R395" s="1">
        <f t="shared" si="55"/>
        <v>61.646737024574286</v>
      </c>
      <c r="S395" s="1">
        <f t="shared" si="56"/>
        <v>42.645868453355156</v>
      </c>
    </row>
    <row r="396" spans="1:19" x14ac:dyDescent="0.3">
      <c r="A396">
        <v>2474.1999999999998</v>
      </c>
      <c r="B396">
        <v>54.175324000000003</v>
      </c>
      <c r="C396">
        <v>56.984597000000001</v>
      </c>
      <c r="D396">
        <v>59.643994999999997</v>
      </c>
      <c r="E396">
        <v>40.772295</v>
      </c>
      <c r="F396">
        <v>22.179856000000001</v>
      </c>
      <c r="G396">
        <v>18.099254999999999</v>
      </c>
      <c r="H396">
        <v>19.310929000000002</v>
      </c>
      <c r="I396"/>
      <c r="J396" s="1">
        <f t="shared" si="52"/>
        <v>42.772295</v>
      </c>
      <c r="N396"/>
      <c r="O396"/>
      <c r="P396" s="1">
        <f t="shared" si="53"/>
        <v>55.887209349593491</v>
      </c>
      <c r="Q396" s="1">
        <f t="shared" si="54"/>
        <v>58.748952235772357</v>
      </c>
      <c r="R396" s="1">
        <f t="shared" si="55"/>
        <v>61.646737024574286</v>
      </c>
      <c r="S396" s="1">
        <f t="shared" si="56"/>
        <v>42.645868453355156</v>
      </c>
    </row>
    <row r="397" spans="1:19" x14ac:dyDescent="0.3">
      <c r="A397">
        <v>2474.4</v>
      </c>
      <c r="B397">
        <v>54.174427999999999</v>
      </c>
      <c r="C397">
        <v>57.010677999999999</v>
      </c>
      <c r="D397">
        <v>59.603048000000001</v>
      </c>
      <c r="E397">
        <v>40.758954000000003</v>
      </c>
      <c r="F397">
        <v>22.197762999999998</v>
      </c>
      <c r="G397">
        <v>18.096903000000001</v>
      </c>
      <c r="H397">
        <v>19.310953999999999</v>
      </c>
      <c r="I397"/>
      <c r="J397" s="1">
        <f t="shared" si="52"/>
        <v>42.758954000000003</v>
      </c>
      <c r="N397"/>
      <c r="O397"/>
      <c r="P397" s="1">
        <f t="shared" si="53"/>
        <v>55.877543699186994</v>
      </c>
      <c r="Q397" s="1">
        <f t="shared" si="54"/>
        <v>58.75281402439024</v>
      </c>
      <c r="R397" s="1">
        <f t="shared" si="55"/>
        <v>61.644561027837256</v>
      </c>
      <c r="S397" s="1">
        <f t="shared" si="56"/>
        <v>42.671629500818327</v>
      </c>
    </row>
    <row r="398" spans="1:19" x14ac:dyDescent="0.3">
      <c r="A398">
        <v>2474.6</v>
      </c>
      <c r="B398">
        <v>54.174427999999999</v>
      </c>
      <c r="C398">
        <v>57.010677999999999</v>
      </c>
      <c r="D398">
        <v>59.603048000000001</v>
      </c>
      <c r="E398">
        <v>40.758954000000003</v>
      </c>
      <c r="F398">
        <v>22.197762999999998</v>
      </c>
      <c r="G398">
        <v>18.096903000000001</v>
      </c>
      <c r="H398">
        <v>19.310953999999999</v>
      </c>
      <c r="I398"/>
      <c r="J398" s="1">
        <f t="shared" si="52"/>
        <v>42.758954000000003</v>
      </c>
      <c r="N398"/>
      <c r="O398"/>
      <c r="P398" s="1">
        <f t="shared" si="53"/>
        <v>55.877543699186994</v>
      </c>
      <c r="Q398" s="1">
        <f t="shared" si="54"/>
        <v>58.75281402439024</v>
      </c>
      <c r="R398" s="1">
        <f t="shared" si="55"/>
        <v>61.644561027837256</v>
      </c>
      <c r="S398" s="1">
        <f t="shared" si="56"/>
        <v>42.671629500818327</v>
      </c>
    </row>
    <row r="399" spans="1:19" x14ac:dyDescent="0.3">
      <c r="A399">
        <v>2474.8000000000002</v>
      </c>
      <c r="B399">
        <v>54.165669000000001</v>
      </c>
      <c r="C399">
        <v>57.021169</v>
      </c>
      <c r="D399">
        <v>59.609397000000001</v>
      </c>
      <c r="E399">
        <v>40.752251999999999</v>
      </c>
      <c r="F399">
        <v>22.210263999999999</v>
      </c>
      <c r="G399">
        <v>18.110144999999999</v>
      </c>
      <c r="H399">
        <v>19.274809000000001</v>
      </c>
      <c r="I399"/>
      <c r="J399" s="1">
        <f t="shared" si="52"/>
        <v>42.752251999999999</v>
      </c>
      <c r="N399"/>
      <c r="O399"/>
      <c r="P399" s="1">
        <f t="shared" si="53"/>
        <v>55.849486788617888</v>
      </c>
      <c r="Q399" s="1">
        <f t="shared" si="54"/>
        <v>58.737458333333329</v>
      </c>
      <c r="R399" s="1">
        <f t="shared" si="55"/>
        <v>61.636182318751914</v>
      </c>
      <c r="S399" s="1">
        <f t="shared" si="56"/>
        <v>42.64128171031097</v>
      </c>
    </row>
    <row r="400" spans="1:19" x14ac:dyDescent="0.3">
      <c r="A400">
        <v>2475</v>
      </c>
      <c r="B400">
        <v>54.165669000000001</v>
      </c>
      <c r="C400">
        <v>57.021169</v>
      </c>
      <c r="D400">
        <v>59.609397000000001</v>
      </c>
      <c r="E400">
        <v>40.752251999999999</v>
      </c>
      <c r="F400">
        <v>22.210263999999999</v>
      </c>
      <c r="G400">
        <v>18.110144999999999</v>
      </c>
      <c r="H400">
        <v>19.274809000000001</v>
      </c>
      <c r="I400" t="s">
        <v>56</v>
      </c>
      <c r="J400" s="1">
        <f t="shared" si="52"/>
        <v>42.752251999999999</v>
      </c>
      <c r="N400"/>
      <c r="O400"/>
      <c r="P400" s="1">
        <f t="shared" si="53"/>
        <v>55.849486788617888</v>
      </c>
      <c r="Q400" s="1">
        <f t="shared" si="54"/>
        <v>58.737458333333329</v>
      </c>
      <c r="R400" s="1">
        <f t="shared" si="55"/>
        <v>61.636182318751914</v>
      </c>
      <c r="S400" s="1">
        <f t="shared" si="56"/>
        <v>42.64128171031097</v>
      </c>
    </row>
    <row r="401" spans="1:19" x14ac:dyDescent="0.3">
      <c r="A401">
        <v>2475.1999999999998</v>
      </c>
      <c r="B401">
        <v>54.167192</v>
      </c>
      <c r="C401">
        <v>57.013539999999999</v>
      </c>
      <c r="D401">
        <v>59.599524000000002</v>
      </c>
      <c r="E401">
        <v>40.761567999999997</v>
      </c>
      <c r="F401">
        <v>22.176223</v>
      </c>
      <c r="G401">
        <v>18.083327000000001</v>
      </c>
      <c r="H401">
        <v>19.282674</v>
      </c>
      <c r="I401"/>
      <c r="J401" s="1">
        <f t="shared" si="52"/>
        <v>42.761567999999997</v>
      </c>
      <c r="N401"/>
      <c r="O401"/>
      <c r="P401" s="1">
        <f t="shared" si="53"/>
        <v>55.845822154471541</v>
      </c>
      <c r="Q401" s="1">
        <f t="shared" si="54"/>
        <v>58.742642276422764</v>
      </c>
      <c r="R401" s="1">
        <f t="shared" si="55"/>
        <v>61.632077087794428</v>
      </c>
      <c r="S401" s="1">
        <f t="shared" si="56"/>
        <v>42.630670008183301</v>
      </c>
    </row>
    <row r="402" spans="1:19" x14ac:dyDescent="0.3">
      <c r="A402">
        <v>2475.4</v>
      </c>
      <c r="B402">
        <v>54.167192</v>
      </c>
      <c r="C402">
        <v>57.013539999999999</v>
      </c>
      <c r="D402">
        <v>59.599524000000002</v>
      </c>
      <c r="E402">
        <v>40.761567999999997</v>
      </c>
      <c r="F402">
        <v>22.176223</v>
      </c>
      <c r="G402">
        <v>18.083327000000001</v>
      </c>
      <c r="H402">
        <v>19.282674</v>
      </c>
      <c r="I402"/>
      <c r="J402" s="1">
        <f t="shared" si="52"/>
        <v>42.761567999999997</v>
      </c>
      <c r="N402"/>
      <c r="O402"/>
      <c r="P402" s="1">
        <f t="shared" si="53"/>
        <v>55.845822154471541</v>
      </c>
      <c r="Q402" s="1">
        <f t="shared" si="54"/>
        <v>58.742642276422764</v>
      </c>
      <c r="R402" s="1">
        <f t="shared" si="55"/>
        <v>61.632077087794428</v>
      </c>
      <c r="S402" s="1">
        <f t="shared" si="56"/>
        <v>42.630670008183301</v>
      </c>
    </row>
    <row r="403" spans="1:19" x14ac:dyDescent="0.3">
      <c r="A403">
        <v>2475.6</v>
      </c>
      <c r="B403">
        <v>54.165066000000003</v>
      </c>
      <c r="C403">
        <v>56.975768000000002</v>
      </c>
      <c r="D403">
        <v>59.618360000000003</v>
      </c>
      <c r="E403">
        <v>40.757548999999997</v>
      </c>
      <c r="F403">
        <v>22.214130000000001</v>
      </c>
      <c r="G403">
        <v>18.067374999999998</v>
      </c>
      <c r="H403">
        <v>19.301869</v>
      </c>
      <c r="I403"/>
      <c r="J403" s="1">
        <f t="shared" si="52"/>
        <v>42.757548999999997</v>
      </c>
      <c r="N403"/>
      <c r="O403"/>
      <c r="P403" s="1">
        <f t="shared" si="53"/>
        <v>55.851847560975607</v>
      </c>
      <c r="Q403" s="1">
        <f t="shared" si="54"/>
        <v>58.750026422764222</v>
      </c>
      <c r="R403" s="1">
        <f t="shared" si="55"/>
        <v>61.606497399816455</v>
      </c>
      <c r="S403" s="1">
        <f t="shared" si="56"/>
        <v>42.618238543371518</v>
      </c>
    </row>
    <row r="404" spans="1:19" x14ac:dyDescent="0.3">
      <c r="A404">
        <v>2475.8000000000002</v>
      </c>
      <c r="B404">
        <v>54.165066000000003</v>
      </c>
      <c r="C404">
        <v>56.975768000000002</v>
      </c>
      <c r="D404">
        <v>59.618360000000003</v>
      </c>
      <c r="E404">
        <v>40.757548999999997</v>
      </c>
      <c r="F404">
        <v>22.214130000000001</v>
      </c>
      <c r="G404">
        <v>18.067374999999998</v>
      </c>
      <c r="H404">
        <v>19.301869</v>
      </c>
      <c r="I404"/>
      <c r="J404" s="1">
        <f t="shared" ref="J404:J467" si="57">E404+2</f>
        <v>42.757548999999997</v>
      </c>
      <c r="N404"/>
      <c r="O404"/>
      <c r="P404" s="1">
        <f t="shared" si="53"/>
        <v>55.851847560975607</v>
      </c>
      <c r="Q404" s="1">
        <f t="shared" si="54"/>
        <v>58.750026422764222</v>
      </c>
      <c r="R404" s="1">
        <f t="shared" si="55"/>
        <v>61.606497399816455</v>
      </c>
      <c r="S404" s="1">
        <f t="shared" si="56"/>
        <v>42.618238543371518</v>
      </c>
    </row>
    <row r="405" spans="1:19" x14ac:dyDescent="0.3">
      <c r="A405">
        <v>2476</v>
      </c>
      <c r="B405">
        <v>54.142538000000002</v>
      </c>
      <c r="C405">
        <v>56.991311000000003</v>
      </c>
      <c r="D405">
        <v>59.606068</v>
      </c>
      <c r="E405">
        <v>40.765900999999999</v>
      </c>
      <c r="F405">
        <v>22.125796999999999</v>
      </c>
      <c r="G405">
        <v>18.081745000000002</v>
      </c>
      <c r="H405">
        <v>19.303407</v>
      </c>
      <c r="I405" t="s">
        <v>56</v>
      </c>
      <c r="J405" s="1">
        <f t="shared" si="57"/>
        <v>42.765900999999999</v>
      </c>
      <c r="N405"/>
      <c r="O405"/>
      <c r="P405" s="1">
        <f t="shared" si="53"/>
        <v>55.890678861788615</v>
      </c>
      <c r="Q405" s="1">
        <f t="shared" si="54"/>
        <v>58.742646341463413</v>
      </c>
      <c r="R405" s="1">
        <f t="shared" si="55"/>
        <v>61.613513816661566</v>
      </c>
      <c r="S405" s="1">
        <f t="shared" si="56"/>
        <v>42.650322217675942</v>
      </c>
    </row>
    <row r="406" spans="1:19" x14ac:dyDescent="0.3">
      <c r="A406">
        <v>2476.1999999999998</v>
      </c>
      <c r="B406">
        <v>54.142538000000002</v>
      </c>
      <c r="C406">
        <v>56.991311000000003</v>
      </c>
      <c r="D406">
        <v>59.606068</v>
      </c>
      <c r="E406">
        <v>40.765900999999999</v>
      </c>
      <c r="F406">
        <v>22.125796999999999</v>
      </c>
      <c r="G406">
        <v>18.081745000000002</v>
      </c>
      <c r="H406">
        <v>19.303407</v>
      </c>
      <c r="I406"/>
      <c r="J406" s="1">
        <f t="shared" si="57"/>
        <v>42.765900999999999</v>
      </c>
      <c r="N406"/>
      <c r="O406"/>
      <c r="P406" s="1">
        <f t="shared" si="53"/>
        <v>55.890678861788615</v>
      </c>
      <c r="Q406" s="1">
        <f t="shared" si="54"/>
        <v>58.742646341463413</v>
      </c>
      <c r="R406" s="1">
        <f t="shared" si="55"/>
        <v>61.613513816661566</v>
      </c>
      <c r="S406" s="1">
        <f t="shared" si="56"/>
        <v>42.650322217675942</v>
      </c>
    </row>
    <row r="407" spans="1:19" x14ac:dyDescent="0.3">
      <c r="A407">
        <v>2476.4</v>
      </c>
      <c r="B407">
        <v>54.148850000000003</v>
      </c>
      <c r="C407">
        <v>57.011758999999998</v>
      </c>
      <c r="D407">
        <v>59.595475</v>
      </c>
      <c r="E407">
        <v>40.750337999999999</v>
      </c>
      <c r="F407">
        <v>22.112449000000002</v>
      </c>
      <c r="G407">
        <v>18.102361999999999</v>
      </c>
      <c r="H407">
        <v>19.313559000000001</v>
      </c>
      <c r="I407"/>
      <c r="J407" s="1">
        <f t="shared" si="57"/>
        <v>42.750337999999999</v>
      </c>
      <c r="N407"/>
      <c r="O407"/>
      <c r="P407" s="1">
        <f t="shared" si="53"/>
        <v>55.850961382113816</v>
      </c>
      <c r="Q407" s="1">
        <f t="shared" si="54"/>
        <v>58.741247967479673</v>
      </c>
      <c r="R407" s="1">
        <f t="shared" si="55"/>
        <v>61.64693076374018</v>
      </c>
      <c r="S407" s="1">
        <f t="shared" si="56"/>
        <v>42.634086538461538</v>
      </c>
    </row>
    <row r="408" spans="1:19" x14ac:dyDescent="0.3">
      <c r="A408">
        <v>2476.6</v>
      </c>
      <c r="B408">
        <v>54.148850000000003</v>
      </c>
      <c r="C408">
        <v>57.011758999999998</v>
      </c>
      <c r="D408">
        <v>59.595475</v>
      </c>
      <c r="E408">
        <v>40.750337999999999</v>
      </c>
      <c r="F408">
        <v>22.112449000000002</v>
      </c>
      <c r="G408">
        <v>18.102361999999999</v>
      </c>
      <c r="H408">
        <v>19.313559000000001</v>
      </c>
      <c r="I408"/>
      <c r="J408" s="1">
        <f t="shared" si="57"/>
        <v>42.750337999999999</v>
      </c>
      <c r="N408"/>
      <c r="O408"/>
      <c r="P408" s="1">
        <f t="shared" si="53"/>
        <v>55.850961382113816</v>
      </c>
      <c r="Q408" s="1">
        <f t="shared" si="54"/>
        <v>58.741247967479673</v>
      </c>
      <c r="R408" s="1">
        <f t="shared" si="55"/>
        <v>61.64693076374018</v>
      </c>
      <c r="S408" s="1">
        <f t="shared" si="56"/>
        <v>42.634086538461538</v>
      </c>
    </row>
    <row r="409" spans="1:19" x14ac:dyDescent="0.3">
      <c r="A409">
        <v>2476.8000000000002</v>
      </c>
      <c r="B409">
        <v>54.153644</v>
      </c>
      <c r="C409">
        <v>57.014240000000001</v>
      </c>
      <c r="D409">
        <v>59.593848000000001</v>
      </c>
      <c r="E409">
        <v>40.740912000000002</v>
      </c>
      <c r="F409">
        <v>22.094981000000001</v>
      </c>
      <c r="G409">
        <v>18.107523</v>
      </c>
      <c r="H409">
        <v>19.301624</v>
      </c>
      <c r="I409"/>
      <c r="J409" s="1">
        <f t="shared" si="57"/>
        <v>42.740912000000002</v>
      </c>
      <c r="N409"/>
      <c r="O409"/>
      <c r="P409" s="1">
        <f t="shared" si="53"/>
        <v>55.834219512195119</v>
      </c>
      <c r="Q409" s="1">
        <f t="shared" si="54"/>
        <v>58.732963414634142</v>
      </c>
      <c r="R409" s="1">
        <f t="shared" si="55"/>
        <v>61.637260120322217</v>
      </c>
      <c r="S409" s="1">
        <f t="shared" si="56"/>
        <v>42.62091653027823</v>
      </c>
    </row>
    <row r="410" spans="1:19" x14ac:dyDescent="0.3">
      <c r="A410">
        <v>2477</v>
      </c>
      <c r="B410">
        <v>54.153644</v>
      </c>
      <c r="C410">
        <v>57.014240000000001</v>
      </c>
      <c r="D410">
        <v>59.593848000000001</v>
      </c>
      <c r="E410">
        <v>40.740912000000002</v>
      </c>
      <c r="F410">
        <v>22.094981000000001</v>
      </c>
      <c r="G410">
        <v>18.107523</v>
      </c>
      <c r="H410">
        <v>19.301624</v>
      </c>
      <c r="I410" t="s">
        <v>56</v>
      </c>
      <c r="J410" s="1">
        <f t="shared" si="57"/>
        <v>42.740912000000002</v>
      </c>
      <c r="N410"/>
      <c r="O410"/>
      <c r="P410" s="1">
        <f t="shared" si="53"/>
        <v>55.834219512195119</v>
      </c>
      <c r="Q410" s="1">
        <f t="shared" si="54"/>
        <v>58.732963414634142</v>
      </c>
      <c r="R410" s="1">
        <f t="shared" si="55"/>
        <v>61.637260120322217</v>
      </c>
      <c r="S410" s="1">
        <f t="shared" si="56"/>
        <v>42.62091653027823</v>
      </c>
    </row>
    <row r="411" spans="1:19" x14ac:dyDescent="0.3">
      <c r="A411">
        <v>2477.1999999999998</v>
      </c>
      <c r="B411">
        <v>54.176755</v>
      </c>
      <c r="C411">
        <v>57.017564</v>
      </c>
      <c r="D411">
        <v>59.585321999999998</v>
      </c>
      <c r="E411">
        <v>40.766497000000001</v>
      </c>
      <c r="F411">
        <v>22.173815000000001</v>
      </c>
      <c r="G411">
        <v>18.097593</v>
      </c>
      <c r="H411">
        <v>19.316865</v>
      </c>
      <c r="I411"/>
      <c r="J411" s="1">
        <f t="shared" si="57"/>
        <v>42.766497000000001</v>
      </c>
      <c r="N411"/>
      <c r="O411"/>
      <c r="P411" s="1">
        <f t="shared" si="53"/>
        <v>55.851647357723571</v>
      </c>
      <c r="Q411" s="1">
        <f t="shared" si="54"/>
        <v>58.742859756097559</v>
      </c>
      <c r="R411" s="1">
        <f t="shared" si="55"/>
        <v>61.636935862139282</v>
      </c>
      <c r="S411" s="1">
        <f t="shared" si="56"/>
        <v>42.637277004909976</v>
      </c>
    </row>
    <row r="412" spans="1:19" x14ac:dyDescent="0.3">
      <c r="A412">
        <v>2477.4</v>
      </c>
      <c r="B412">
        <v>54.176755</v>
      </c>
      <c r="C412">
        <v>57.017564</v>
      </c>
      <c r="D412">
        <v>59.585321999999998</v>
      </c>
      <c r="E412">
        <v>40.766497000000001</v>
      </c>
      <c r="F412">
        <v>22.173815000000001</v>
      </c>
      <c r="G412">
        <v>18.097593</v>
      </c>
      <c r="H412">
        <v>19.316865</v>
      </c>
      <c r="I412"/>
      <c r="J412" s="1">
        <f t="shared" si="57"/>
        <v>42.766497000000001</v>
      </c>
      <c r="N412"/>
      <c r="O412"/>
      <c r="P412" s="1">
        <f t="shared" si="53"/>
        <v>55.851647357723571</v>
      </c>
      <c r="Q412" s="1">
        <f t="shared" si="54"/>
        <v>58.742859756097559</v>
      </c>
      <c r="R412" s="1">
        <f t="shared" si="55"/>
        <v>61.636935862139282</v>
      </c>
      <c r="S412" s="1">
        <f t="shared" si="56"/>
        <v>42.637277004909976</v>
      </c>
    </row>
    <row r="413" spans="1:19" x14ac:dyDescent="0.3">
      <c r="A413">
        <v>2477.6</v>
      </c>
      <c r="B413">
        <v>54.146867999999998</v>
      </c>
      <c r="C413">
        <v>56.991959000000001</v>
      </c>
      <c r="D413">
        <v>59.579853999999997</v>
      </c>
      <c r="E413">
        <v>40.748536999999999</v>
      </c>
      <c r="F413">
        <v>22.181014999999999</v>
      </c>
      <c r="G413">
        <v>18.080911</v>
      </c>
      <c r="H413">
        <v>19.310644</v>
      </c>
      <c r="I413"/>
      <c r="J413" s="1">
        <f t="shared" si="57"/>
        <v>42.748536999999999</v>
      </c>
      <c r="N413"/>
      <c r="O413"/>
      <c r="P413" s="1">
        <f t="shared" si="53"/>
        <v>55.855512195121953</v>
      </c>
      <c r="Q413" s="1">
        <f t="shared" si="54"/>
        <v>58.710464430894305</v>
      </c>
      <c r="R413" s="1">
        <f t="shared" si="55"/>
        <v>61.644024676251654</v>
      </c>
      <c r="S413" s="1">
        <f t="shared" si="56"/>
        <v>42.651488338788866</v>
      </c>
    </row>
    <row r="414" spans="1:19" x14ac:dyDescent="0.3">
      <c r="A414">
        <v>2477.8000000000002</v>
      </c>
      <c r="B414">
        <v>54.146867999999998</v>
      </c>
      <c r="C414">
        <v>56.991959000000001</v>
      </c>
      <c r="D414">
        <v>59.579853999999997</v>
      </c>
      <c r="E414">
        <v>40.748536999999999</v>
      </c>
      <c r="F414">
        <v>22.181014999999999</v>
      </c>
      <c r="G414">
        <v>18.080911</v>
      </c>
      <c r="H414">
        <v>19.310644</v>
      </c>
      <c r="I414"/>
      <c r="J414" s="1">
        <f t="shared" si="57"/>
        <v>42.748536999999999</v>
      </c>
      <c r="N414"/>
      <c r="O414"/>
      <c r="P414" s="1">
        <f t="shared" si="53"/>
        <v>55.855512195121953</v>
      </c>
      <c r="Q414" s="1">
        <f t="shared" si="54"/>
        <v>58.710464430894305</v>
      </c>
      <c r="R414" s="1">
        <f t="shared" si="55"/>
        <v>61.644024676251654</v>
      </c>
      <c r="S414" s="1">
        <f t="shared" si="56"/>
        <v>42.651488338788866</v>
      </c>
    </row>
    <row r="415" spans="1:19" x14ac:dyDescent="0.3">
      <c r="A415">
        <v>2478</v>
      </c>
      <c r="B415">
        <v>54.149918</v>
      </c>
      <c r="C415">
        <v>56.982191999999998</v>
      </c>
      <c r="D415">
        <v>59.614742</v>
      </c>
      <c r="E415">
        <v>40.730012000000002</v>
      </c>
      <c r="F415">
        <v>22.133223999999998</v>
      </c>
      <c r="G415">
        <v>18.079066999999998</v>
      </c>
      <c r="H415">
        <v>19.298358</v>
      </c>
      <c r="I415" t="s">
        <v>56</v>
      </c>
      <c r="J415" s="1">
        <f t="shared" si="57"/>
        <v>42.730012000000002</v>
      </c>
      <c r="N415"/>
      <c r="O415"/>
      <c r="P415" s="1">
        <f t="shared" si="53"/>
        <v>55.854601626016255</v>
      </c>
      <c r="Q415" s="1">
        <f t="shared" si="54"/>
        <v>58.736969512195117</v>
      </c>
      <c r="R415" s="1">
        <f t="shared" si="55"/>
        <v>61.60227184664015</v>
      </c>
      <c r="S415" s="1">
        <f t="shared" si="56"/>
        <v>42.637841653027827</v>
      </c>
    </row>
    <row r="416" spans="1:19" x14ac:dyDescent="0.3">
      <c r="A416">
        <v>2478.1999999999998</v>
      </c>
      <c r="B416">
        <v>54.149918</v>
      </c>
      <c r="C416">
        <v>56.982191999999998</v>
      </c>
      <c r="D416">
        <v>59.614742</v>
      </c>
      <c r="E416">
        <v>40.730012000000002</v>
      </c>
      <c r="F416">
        <v>22.133223999999998</v>
      </c>
      <c r="G416">
        <v>18.079066999999998</v>
      </c>
      <c r="H416">
        <v>19.298358</v>
      </c>
      <c r="I416"/>
      <c r="J416" s="1">
        <f t="shared" si="57"/>
        <v>42.730012000000002</v>
      </c>
      <c r="N416"/>
      <c r="O416"/>
      <c r="P416" s="1">
        <f t="shared" si="53"/>
        <v>55.854601626016255</v>
      </c>
      <c r="Q416" s="1">
        <f t="shared" si="54"/>
        <v>58.736969512195117</v>
      </c>
      <c r="R416" s="1">
        <f t="shared" si="55"/>
        <v>61.60227184664015</v>
      </c>
      <c r="S416" s="1">
        <f t="shared" si="56"/>
        <v>42.637841653027827</v>
      </c>
    </row>
    <row r="417" spans="1:19" x14ac:dyDescent="0.3">
      <c r="A417">
        <v>2478.4</v>
      </c>
      <c r="B417">
        <v>54.142898000000002</v>
      </c>
      <c r="C417">
        <v>56.980240000000002</v>
      </c>
      <c r="D417">
        <v>59.57911</v>
      </c>
      <c r="E417">
        <v>40.737623999999997</v>
      </c>
      <c r="F417">
        <v>22.147558</v>
      </c>
      <c r="G417">
        <v>18.096487</v>
      </c>
      <c r="H417">
        <v>19.296771</v>
      </c>
      <c r="I417"/>
      <c r="J417" s="1">
        <f t="shared" si="57"/>
        <v>42.737623999999997</v>
      </c>
      <c r="N417"/>
      <c r="O417"/>
      <c r="P417" s="1">
        <f t="shared" si="53"/>
        <v>55.845700203252029</v>
      </c>
      <c r="Q417" s="1">
        <f t="shared" si="54"/>
        <v>58.747631097560976</v>
      </c>
      <c r="R417" s="1">
        <f t="shared" si="55"/>
        <v>61.608745793820738</v>
      </c>
      <c r="S417" s="1">
        <f t="shared" si="56"/>
        <v>42.6309860883797</v>
      </c>
    </row>
    <row r="418" spans="1:19" x14ac:dyDescent="0.3">
      <c r="A418">
        <v>2478.6</v>
      </c>
      <c r="B418">
        <v>54.142898000000002</v>
      </c>
      <c r="C418">
        <v>56.980240000000002</v>
      </c>
      <c r="D418">
        <v>59.57911</v>
      </c>
      <c r="E418">
        <v>40.737623999999997</v>
      </c>
      <c r="F418">
        <v>22.147558</v>
      </c>
      <c r="G418">
        <v>18.096487</v>
      </c>
      <c r="H418">
        <v>19.296771</v>
      </c>
      <c r="I418"/>
      <c r="J418" s="1">
        <f t="shared" si="57"/>
        <v>42.737623999999997</v>
      </c>
      <c r="N418"/>
      <c r="O418"/>
      <c r="P418" s="1">
        <f t="shared" si="53"/>
        <v>55.845700203252029</v>
      </c>
      <c r="Q418" s="1">
        <f t="shared" si="54"/>
        <v>58.747631097560976</v>
      </c>
      <c r="R418" s="1">
        <f t="shared" si="55"/>
        <v>61.608745793820738</v>
      </c>
      <c r="S418" s="1">
        <f t="shared" si="56"/>
        <v>42.6309860883797</v>
      </c>
    </row>
    <row r="419" spans="1:19" x14ac:dyDescent="0.3">
      <c r="A419">
        <v>2478.8000000000002</v>
      </c>
      <c r="B419">
        <v>54.173073000000002</v>
      </c>
      <c r="C419">
        <v>56.995159000000001</v>
      </c>
      <c r="D419">
        <v>59.583495999999997</v>
      </c>
      <c r="E419">
        <v>40.732669000000001</v>
      </c>
      <c r="F419">
        <v>22.122714999999999</v>
      </c>
      <c r="G419">
        <v>18.092020999999999</v>
      </c>
      <c r="H419">
        <v>19.286612000000002</v>
      </c>
      <c r="I419"/>
      <c r="J419" s="1">
        <f t="shared" si="57"/>
        <v>42.732669000000001</v>
      </c>
      <c r="N419"/>
      <c r="O419"/>
      <c r="P419" s="1">
        <f t="shared" si="53"/>
        <v>55.847247967479674</v>
      </c>
      <c r="Q419" s="1">
        <f t="shared" si="54"/>
        <v>58.739878048780483</v>
      </c>
      <c r="R419" s="1">
        <f t="shared" si="55"/>
        <v>61.598678494952587</v>
      </c>
      <c r="S419" s="1">
        <f t="shared" si="56"/>
        <v>42.640515548281499</v>
      </c>
    </row>
    <row r="420" spans="1:19" x14ac:dyDescent="0.3">
      <c r="A420">
        <v>2479</v>
      </c>
      <c r="B420">
        <v>54.173073000000002</v>
      </c>
      <c r="C420">
        <v>56.995159000000001</v>
      </c>
      <c r="D420">
        <v>59.583495999999997</v>
      </c>
      <c r="E420">
        <v>40.732669000000001</v>
      </c>
      <c r="F420">
        <v>22.122714999999999</v>
      </c>
      <c r="G420">
        <v>18.092020999999999</v>
      </c>
      <c r="H420">
        <v>19.286612000000002</v>
      </c>
      <c r="I420" t="s">
        <v>56</v>
      </c>
      <c r="J420" s="1">
        <f t="shared" si="57"/>
        <v>42.732669000000001</v>
      </c>
      <c r="N420"/>
      <c r="O420"/>
      <c r="P420" s="1">
        <f t="shared" si="53"/>
        <v>55.847247967479674</v>
      </c>
      <c r="Q420" s="1">
        <f t="shared" si="54"/>
        <v>58.739878048780483</v>
      </c>
      <c r="R420" s="1">
        <f t="shared" si="55"/>
        <v>61.598678494952587</v>
      </c>
      <c r="S420" s="1">
        <f t="shared" si="56"/>
        <v>42.640515548281499</v>
      </c>
    </row>
    <row r="421" spans="1:19" x14ac:dyDescent="0.3">
      <c r="A421">
        <v>2479.1999999999998</v>
      </c>
      <c r="B421">
        <v>54.158366000000001</v>
      </c>
      <c r="C421">
        <v>56.981906000000002</v>
      </c>
      <c r="D421">
        <v>59.6008</v>
      </c>
      <c r="E421">
        <v>40.735596999999999</v>
      </c>
      <c r="F421">
        <v>22.102029999999999</v>
      </c>
      <c r="G421">
        <v>18.067406999999999</v>
      </c>
      <c r="H421">
        <v>19.291931999999999</v>
      </c>
      <c r="I421"/>
      <c r="J421" s="1">
        <f t="shared" si="57"/>
        <v>42.735596999999999</v>
      </c>
      <c r="N421"/>
      <c r="O421"/>
      <c r="P421" s="1">
        <f t="shared" si="53"/>
        <v>55.845087398373984</v>
      </c>
      <c r="Q421" s="1">
        <f t="shared" si="54"/>
        <v>58.701491869918698</v>
      </c>
      <c r="R421" s="1">
        <f t="shared" si="55"/>
        <v>61.617885184052206</v>
      </c>
      <c r="S421" s="1">
        <f t="shared" si="56"/>
        <v>42.636404459901797</v>
      </c>
    </row>
    <row r="422" spans="1:19" x14ac:dyDescent="0.3">
      <c r="A422">
        <v>2479.4</v>
      </c>
      <c r="B422">
        <v>54.158366000000001</v>
      </c>
      <c r="C422">
        <v>56.981906000000002</v>
      </c>
      <c r="D422">
        <v>59.6008</v>
      </c>
      <c r="E422">
        <v>40.735596999999999</v>
      </c>
      <c r="F422">
        <v>22.102029999999999</v>
      </c>
      <c r="G422">
        <v>18.067406999999999</v>
      </c>
      <c r="H422">
        <v>19.291931999999999</v>
      </c>
      <c r="I422"/>
      <c r="J422" s="1">
        <f t="shared" si="57"/>
        <v>42.735596999999999</v>
      </c>
      <c r="N422"/>
      <c r="O422"/>
      <c r="P422" s="1">
        <f t="shared" si="53"/>
        <v>55.845087398373984</v>
      </c>
      <c r="Q422" s="1">
        <f t="shared" si="54"/>
        <v>58.701491869918698</v>
      </c>
      <c r="R422" s="1">
        <f t="shared" si="55"/>
        <v>61.617885184052206</v>
      </c>
      <c r="S422" s="1">
        <f t="shared" si="56"/>
        <v>42.636404459901797</v>
      </c>
    </row>
    <row r="423" spans="1:19" x14ac:dyDescent="0.3">
      <c r="A423">
        <v>2479.6</v>
      </c>
      <c r="B423">
        <v>54.139512000000003</v>
      </c>
      <c r="C423">
        <v>56.980530000000002</v>
      </c>
      <c r="D423">
        <v>59.585317000000003</v>
      </c>
      <c r="E423">
        <v>40.746032</v>
      </c>
      <c r="F423">
        <v>22.091913000000002</v>
      </c>
      <c r="G423">
        <v>18.085023</v>
      </c>
      <c r="H423">
        <v>19.273448999999999</v>
      </c>
      <c r="I423"/>
      <c r="J423" s="1">
        <f t="shared" si="57"/>
        <v>42.746032</v>
      </c>
      <c r="N423"/>
      <c r="O423"/>
      <c r="P423" s="1">
        <f t="shared" si="53"/>
        <v>55.822193089430897</v>
      </c>
      <c r="Q423" s="1">
        <f t="shared" si="54"/>
        <v>58.717287601626019</v>
      </c>
      <c r="R423" s="1">
        <f t="shared" si="55"/>
        <v>61.605351279698169</v>
      </c>
      <c r="S423" s="1">
        <f t="shared" si="56"/>
        <v>42.644947831423892</v>
      </c>
    </row>
    <row r="424" spans="1:19" x14ac:dyDescent="0.3">
      <c r="A424">
        <v>2479.8000000000002</v>
      </c>
      <c r="B424">
        <v>54.139512000000003</v>
      </c>
      <c r="C424">
        <v>56.980530000000002</v>
      </c>
      <c r="D424">
        <v>59.585317000000003</v>
      </c>
      <c r="E424">
        <v>40.746032</v>
      </c>
      <c r="F424">
        <v>22.091913000000002</v>
      </c>
      <c r="G424">
        <v>18.085023</v>
      </c>
      <c r="H424">
        <v>19.273448999999999</v>
      </c>
      <c r="I424"/>
      <c r="J424" s="1">
        <f t="shared" si="57"/>
        <v>42.746032</v>
      </c>
      <c r="N424"/>
      <c r="O424"/>
      <c r="P424" s="1">
        <f t="shared" si="53"/>
        <v>55.822193089430897</v>
      </c>
      <c r="Q424" s="1">
        <f t="shared" si="54"/>
        <v>58.717287601626019</v>
      </c>
      <c r="R424" s="1">
        <f t="shared" si="55"/>
        <v>61.605351279698169</v>
      </c>
      <c r="S424" s="1">
        <f t="shared" si="56"/>
        <v>42.644947831423892</v>
      </c>
    </row>
    <row r="425" spans="1:19" x14ac:dyDescent="0.3">
      <c r="A425">
        <v>3124</v>
      </c>
      <c r="B425">
        <v>44.883358999999999</v>
      </c>
      <c r="C425">
        <v>47.004438</v>
      </c>
      <c r="D425">
        <v>48.938716999999997</v>
      </c>
      <c r="E425">
        <v>34.627434999999998</v>
      </c>
      <c r="F425">
        <v>17.064771</v>
      </c>
      <c r="G425">
        <v>14.154246000000001</v>
      </c>
      <c r="H425">
        <v>15.137592</v>
      </c>
      <c r="I425" t="s">
        <v>56</v>
      </c>
      <c r="J425" s="1">
        <f t="shared" si="57"/>
        <v>36.627434999999998</v>
      </c>
      <c r="N425"/>
      <c r="O425"/>
      <c r="P425" s="1">
        <f t="shared" si="53"/>
        <v>55.828607723577235</v>
      </c>
      <c r="Q425" s="1">
        <f t="shared" si="54"/>
        <v>58.73806808943089</v>
      </c>
      <c r="R425" s="1">
        <f t="shared" si="55"/>
        <v>61.594549811359229</v>
      </c>
      <c r="S425" s="1">
        <f t="shared" si="56"/>
        <v>42.629028232405894</v>
      </c>
    </row>
    <row r="426" spans="1:19" x14ac:dyDescent="0.3">
      <c r="A426">
        <v>3124.2</v>
      </c>
      <c r="B426">
        <v>44.883358999999999</v>
      </c>
      <c r="C426">
        <v>47.004438</v>
      </c>
      <c r="D426">
        <v>48.938716999999997</v>
      </c>
      <c r="E426">
        <v>34.627434999999998</v>
      </c>
      <c r="F426">
        <v>17.064771</v>
      </c>
      <c r="G426">
        <v>14.154246000000001</v>
      </c>
      <c r="H426">
        <v>15.137592</v>
      </c>
      <c r="I426"/>
      <c r="J426" s="1">
        <f t="shared" si="57"/>
        <v>36.627434999999998</v>
      </c>
      <c r="N426"/>
      <c r="O426"/>
      <c r="P426" s="1">
        <f t="shared" si="53"/>
        <v>55.828607723577235</v>
      </c>
      <c r="Q426" s="1">
        <f t="shared" si="54"/>
        <v>58.73806808943089</v>
      </c>
      <c r="R426" s="1">
        <f t="shared" si="55"/>
        <v>61.594549811359229</v>
      </c>
      <c r="S426" s="1">
        <f t="shared" si="56"/>
        <v>42.629028232405894</v>
      </c>
    </row>
    <row r="427" spans="1:19" x14ac:dyDescent="0.3">
      <c r="A427">
        <v>3124.4</v>
      </c>
      <c r="B427">
        <v>44.878490999999997</v>
      </c>
      <c r="C427">
        <v>47.031804000000001</v>
      </c>
      <c r="D427">
        <v>48.927484</v>
      </c>
      <c r="E427">
        <v>34.620077000000002</v>
      </c>
      <c r="F427">
        <v>17.017847</v>
      </c>
      <c r="G427">
        <v>14.135814999999999</v>
      </c>
      <c r="H427">
        <v>15.114411</v>
      </c>
      <c r="I427"/>
      <c r="J427" s="1">
        <f t="shared" si="57"/>
        <v>36.620077000000002</v>
      </c>
      <c r="N427"/>
      <c r="O427"/>
      <c r="P427" s="1">
        <f t="shared" ref="P427:P490" si="58">(B409+Q$36)/P$36</f>
        <v>55.833479674796749</v>
      </c>
      <c r="Q427" s="1">
        <f t="shared" ref="Q427:Q490" si="59">(C409+Q$36)/P$36</f>
        <v>58.74058943089431</v>
      </c>
      <c r="R427" s="1">
        <f t="shared" ref="R427:R490" si="60">(D409+Q$38)/P$38</f>
        <v>61.592890792291222</v>
      </c>
      <c r="S427" s="1">
        <f t="shared" ref="S427:S490" si="61">(E409+Q$39)/P$39</f>
        <v>42.619386252045828</v>
      </c>
    </row>
    <row r="428" spans="1:19" x14ac:dyDescent="0.3">
      <c r="A428">
        <v>3124.6</v>
      </c>
      <c r="B428">
        <v>44.878490999999997</v>
      </c>
      <c r="C428">
        <v>47.031804000000001</v>
      </c>
      <c r="D428">
        <v>48.927484</v>
      </c>
      <c r="E428">
        <v>34.620077000000002</v>
      </c>
      <c r="F428">
        <v>17.017847</v>
      </c>
      <c r="G428">
        <v>14.135814999999999</v>
      </c>
      <c r="H428">
        <v>15.114411</v>
      </c>
      <c r="I428"/>
      <c r="J428" s="1">
        <f t="shared" si="57"/>
        <v>36.620077000000002</v>
      </c>
      <c r="N428"/>
      <c r="O428"/>
      <c r="P428" s="1">
        <f t="shared" si="58"/>
        <v>55.833479674796749</v>
      </c>
      <c r="Q428" s="1">
        <f t="shared" si="59"/>
        <v>58.74058943089431</v>
      </c>
      <c r="R428" s="1">
        <f t="shared" si="60"/>
        <v>61.592890792291222</v>
      </c>
      <c r="S428" s="1">
        <f t="shared" si="61"/>
        <v>42.619386252045828</v>
      </c>
    </row>
    <row r="429" spans="1:19" x14ac:dyDescent="0.3">
      <c r="A429">
        <v>3124.8</v>
      </c>
      <c r="B429">
        <v>44.873641999999997</v>
      </c>
      <c r="C429">
        <v>46.986032999999999</v>
      </c>
      <c r="D429">
        <v>48.931846</v>
      </c>
      <c r="E429">
        <v>34.607695999999997</v>
      </c>
      <c r="F429">
        <v>17.030768999999999</v>
      </c>
      <c r="G429">
        <v>14.128962</v>
      </c>
      <c r="H429">
        <v>15.120422</v>
      </c>
      <c r="I429"/>
      <c r="J429" s="1">
        <f t="shared" si="57"/>
        <v>36.607695999999997</v>
      </c>
      <c r="N429"/>
      <c r="O429"/>
      <c r="P429" s="1">
        <f t="shared" si="58"/>
        <v>55.856966463414629</v>
      </c>
      <c r="Q429" s="1">
        <f t="shared" si="59"/>
        <v>58.743967479674794</v>
      </c>
      <c r="R429" s="1">
        <f t="shared" si="60"/>
        <v>61.584197002141323</v>
      </c>
      <c r="S429" s="1">
        <f t="shared" si="61"/>
        <v>42.645557487725043</v>
      </c>
    </row>
    <row r="430" spans="1:19" x14ac:dyDescent="0.3">
      <c r="A430">
        <v>3125</v>
      </c>
      <c r="B430">
        <v>44.873641999999997</v>
      </c>
      <c r="C430">
        <v>46.986032999999999</v>
      </c>
      <c r="D430">
        <v>48.931846</v>
      </c>
      <c r="E430">
        <v>34.607695999999997</v>
      </c>
      <c r="F430">
        <v>17.030768999999999</v>
      </c>
      <c r="G430">
        <v>14.128962</v>
      </c>
      <c r="H430">
        <v>15.120422</v>
      </c>
      <c r="I430" t="s">
        <v>56</v>
      </c>
      <c r="J430" s="1">
        <f t="shared" si="57"/>
        <v>36.607695999999997</v>
      </c>
      <c r="N430"/>
      <c r="O430"/>
      <c r="P430" s="1">
        <f t="shared" si="58"/>
        <v>55.856966463414629</v>
      </c>
      <c r="Q430" s="1">
        <f t="shared" si="59"/>
        <v>58.743967479674794</v>
      </c>
      <c r="R430" s="1">
        <f t="shared" si="60"/>
        <v>61.584197002141323</v>
      </c>
      <c r="S430" s="1">
        <f t="shared" si="61"/>
        <v>42.645557487725043</v>
      </c>
    </row>
    <row r="431" spans="1:19" x14ac:dyDescent="0.3">
      <c r="A431">
        <v>3125.2</v>
      </c>
      <c r="B431">
        <v>44.873685999999999</v>
      </c>
      <c r="C431">
        <v>47.013683</v>
      </c>
      <c r="D431">
        <v>48.914938999999997</v>
      </c>
      <c r="E431">
        <v>34.572875000000003</v>
      </c>
      <c r="F431">
        <v>16.981456999999999</v>
      </c>
      <c r="G431">
        <v>14.12058</v>
      </c>
      <c r="H431">
        <v>15.10633</v>
      </c>
      <c r="I431"/>
      <c r="J431" s="1">
        <f t="shared" si="57"/>
        <v>36.572875000000003</v>
      </c>
      <c r="N431"/>
      <c r="O431"/>
      <c r="P431" s="1">
        <f t="shared" si="58"/>
        <v>55.826593495934958</v>
      </c>
      <c r="Q431" s="1">
        <f t="shared" si="59"/>
        <v>58.717946138211381</v>
      </c>
      <c r="R431" s="1">
        <f t="shared" si="60"/>
        <v>61.578621392882631</v>
      </c>
      <c r="S431" s="1">
        <f t="shared" si="61"/>
        <v>42.627185965630112</v>
      </c>
    </row>
    <row r="432" spans="1:19" x14ac:dyDescent="0.3">
      <c r="A432">
        <v>3125.4</v>
      </c>
      <c r="B432">
        <v>44.873685999999999</v>
      </c>
      <c r="C432">
        <v>47.013683</v>
      </c>
      <c r="D432">
        <v>48.914938999999997</v>
      </c>
      <c r="E432">
        <v>34.572875000000003</v>
      </c>
      <c r="F432">
        <v>16.981456999999999</v>
      </c>
      <c r="G432">
        <v>14.12058</v>
      </c>
      <c r="H432">
        <v>15.10633</v>
      </c>
      <c r="I432"/>
      <c r="J432" s="1">
        <f t="shared" si="57"/>
        <v>36.572875000000003</v>
      </c>
      <c r="N432"/>
      <c r="O432"/>
      <c r="P432" s="1">
        <f t="shared" si="58"/>
        <v>55.826593495934958</v>
      </c>
      <c r="Q432" s="1">
        <f t="shared" si="59"/>
        <v>58.717946138211381</v>
      </c>
      <c r="R432" s="1">
        <f t="shared" si="60"/>
        <v>61.578621392882631</v>
      </c>
      <c r="S432" s="1">
        <f t="shared" si="61"/>
        <v>42.627185965630112</v>
      </c>
    </row>
    <row r="433" spans="1:19" x14ac:dyDescent="0.3">
      <c r="A433">
        <v>3125.6</v>
      </c>
      <c r="B433">
        <v>44.906173000000003</v>
      </c>
      <c r="C433">
        <v>47.008716999999997</v>
      </c>
      <c r="D433">
        <v>48.909995000000002</v>
      </c>
      <c r="E433">
        <v>34.575482999999998</v>
      </c>
      <c r="F433">
        <v>16.975482</v>
      </c>
      <c r="G433">
        <v>14.135683</v>
      </c>
      <c r="H433">
        <v>15.095228000000001</v>
      </c>
      <c r="I433"/>
      <c r="J433" s="1">
        <f t="shared" si="57"/>
        <v>36.575482999999998</v>
      </c>
      <c r="N433"/>
      <c r="O433"/>
      <c r="P433" s="1">
        <f t="shared" si="58"/>
        <v>55.82969308943089</v>
      </c>
      <c r="Q433" s="1">
        <f t="shared" si="59"/>
        <v>58.70802032520325</v>
      </c>
      <c r="R433" s="1">
        <f t="shared" si="60"/>
        <v>61.614195982461503</v>
      </c>
      <c r="S433" s="1">
        <f t="shared" si="61"/>
        <v>42.608236497545008</v>
      </c>
    </row>
    <row r="434" spans="1:19" x14ac:dyDescent="0.3">
      <c r="A434">
        <v>3125.8</v>
      </c>
      <c r="B434">
        <v>44.906173000000003</v>
      </c>
      <c r="C434">
        <v>47.008716999999997</v>
      </c>
      <c r="D434">
        <v>48.909995000000002</v>
      </c>
      <c r="E434">
        <v>34.575482999999998</v>
      </c>
      <c r="F434">
        <v>16.975482</v>
      </c>
      <c r="G434">
        <v>14.135683</v>
      </c>
      <c r="H434">
        <v>15.095228000000001</v>
      </c>
      <c r="I434"/>
      <c r="J434" s="1">
        <f t="shared" si="57"/>
        <v>36.575482999999998</v>
      </c>
      <c r="N434"/>
      <c r="O434"/>
      <c r="P434" s="1">
        <f t="shared" si="58"/>
        <v>55.82969308943089</v>
      </c>
      <c r="Q434" s="1">
        <f t="shared" si="59"/>
        <v>58.70802032520325</v>
      </c>
      <c r="R434" s="1">
        <f t="shared" si="60"/>
        <v>61.614195982461503</v>
      </c>
      <c r="S434" s="1">
        <f t="shared" si="61"/>
        <v>42.608236497545008</v>
      </c>
    </row>
    <row r="435" spans="1:19" x14ac:dyDescent="0.3">
      <c r="A435">
        <v>3126</v>
      </c>
      <c r="B435">
        <v>44.853306000000003</v>
      </c>
      <c r="C435">
        <v>47.007221999999999</v>
      </c>
      <c r="D435">
        <v>48.911712999999999</v>
      </c>
      <c r="E435">
        <v>34.605198000000001</v>
      </c>
      <c r="F435">
        <v>16.975892999999999</v>
      </c>
      <c r="G435">
        <v>14.127031000000001</v>
      </c>
      <c r="H435">
        <v>15.098965</v>
      </c>
      <c r="I435" t="s">
        <v>56</v>
      </c>
      <c r="J435" s="1">
        <f t="shared" si="57"/>
        <v>36.605198000000001</v>
      </c>
      <c r="N435"/>
      <c r="O435"/>
      <c r="P435" s="1">
        <f t="shared" si="58"/>
        <v>55.822558943089433</v>
      </c>
      <c r="Q435" s="1">
        <f t="shared" si="59"/>
        <v>58.706036585365851</v>
      </c>
      <c r="R435" s="1">
        <f t="shared" si="60"/>
        <v>61.577862751096156</v>
      </c>
      <c r="S435" s="1">
        <f t="shared" si="61"/>
        <v>42.616022913256948</v>
      </c>
    </row>
    <row r="436" spans="1:19" x14ac:dyDescent="0.3">
      <c r="A436">
        <v>3126.2</v>
      </c>
      <c r="B436">
        <v>44.853306000000003</v>
      </c>
      <c r="C436">
        <v>47.007221999999999</v>
      </c>
      <c r="D436">
        <v>48.911712999999999</v>
      </c>
      <c r="E436">
        <v>34.605198000000001</v>
      </c>
      <c r="F436">
        <v>16.975892999999999</v>
      </c>
      <c r="G436">
        <v>14.127031000000001</v>
      </c>
      <c r="H436">
        <v>15.098965</v>
      </c>
      <c r="I436"/>
      <c r="J436" s="1">
        <f t="shared" si="57"/>
        <v>36.605198000000001</v>
      </c>
      <c r="N436"/>
      <c r="O436"/>
      <c r="P436" s="1">
        <f t="shared" si="58"/>
        <v>55.822558943089433</v>
      </c>
      <c r="Q436" s="1">
        <f t="shared" si="59"/>
        <v>58.706036585365851</v>
      </c>
      <c r="R436" s="1">
        <f t="shared" si="60"/>
        <v>61.577862751096156</v>
      </c>
      <c r="S436" s="1">
        <f t="shared" si="61"/>
        <v>42.616022913256948</v>
      </c>
    </row>
    <row r="437" spans="1:19" x14ac:dyDescent="0.3">
      <c r="A437">
        <v>3126.4</v>
      </c>
      <c r="B437">
        <v>44.857736000000003</v>
      </c>
      <c r="C437">
        <v>47.019447999999997</v>
      </c>
      <c r="D437">
        <v>48.922969999999999</v>
      </c>
      <c r="E437">
        <v>34.599978999999998</v>
      </c>
      <c r="F437">
        <v>17.018474000000001</v>
      </c>
      <c r="G437">
        <v>14.125469000000001</v>
      </c>
      <c r="H437">
        <v>15.124552</v>
      </c>
      <c r="I437"/>
      <c r="J437" s="1">
        <f t="shared" si="57"/>
        <v>36.599978999999998</v>
      </c>
      <c r="N437"/>
      <c r="O437"/>
      <c r="P437" s="1">
        <f t="shared" si="58"/>
        <v>55.853224593495938</v>
      </c>
      <c r="Q437" s="1">
        <f t="shared" si="59"/>
        <v>58.721198170731704</v>
      </c>
      <c r="R437" s="1">
        <f t="shared" si="60"/>
        <v>61.582335066789021</v>
      </c>
      <c r="S437" s="1">
        <f t="shared" si="61"/>
        <v>42.61095437806874</v>
      </c>
    </row>
    <row r="438" spans="1:19" x14ac:dyDescent="0.3">
      <c r="A438">
        <v>3126.6</v>
      </c>
      <c r="B438">
        <v>44.857736000000003</v>
      </c>
      <c r="C438">
        <v>47.019447999999997</v>
      </c>
      <c r="D438">
        <v>48.922969999999999</v>
      </c>
      <c r="E438">
        <v>34.599978999999998</v>
      </c>
      <c r="F438">
        <v>17.018474000000001</v>
      </c>
      <c r="G438">
        <v>14.125469000000001</v>
      </c>
      <c r="H438">
        <v>15.124552</v>
      </c>
      <c r="I438"/>
      <c r="J438" s="1">
        <f t="shared" si="57"/>
        <v>36.599978999999998</v>
      </c>
      <c r="N438"/>
      <c r="O438"/>
      <c r="P438" s="1">
        <f t="shared" si="58"/>
        <v>55.853224593495938</v>
      </c>
      <c r="Q438" s="1">
        <f t="shared" si="59"/>
        <v>58.721198170731704</v>
      </c>
      <c r="R438" s="1">
        <f t="shared" si="60"/>
        <v>61.582335066789021</v>
      </c>
      <c r="S438" s="1">
        <f t="shared" si="61"/>
        <v>42.61095437806874</v>
      </c>
    </row>
    <row r="439" spans="1:19" x14ac:dyDescent="0.3">
      <c r="A439">
        <v>3126.8</v>
      </c>
      <c r="B439">
        <v>44.848799</v>
      </c>
      <c r="C439">
        <v>47.025286000000001</v>
      </c>
      <c r="D439">
        <v>48.909084</v>
      </c>
      <c r="E439">
        <v>34.575907000000001</v>
      </c>
      <c r="F439">
        <v>17.090185999999999</v>
      </c>
      <c r="G439">
        <v>14.142028</v>
      </c>
      <c r="H439">
        <v>15.113474999999999</v>
      </c>
      <c r="I439"/>
      <c r="J439" s="1">
        <f t="shared" si="57"/>
        <v>36.575907000000001</v>
      </c>
      <c r="N439"/>
      <c r="O439"/>
      <c r="P439" s="1">
        <f t="shared" si="58"/>
        <v>55.838278455284552</v>
      </c>
      <c r="Q439" s="1">
        <f t="shared" si="59"/>
        <v>58.707729674796745</v>
      </c>
      <c r="R439" s="1">
        <f t="shared" si="60"/>
        <v>61.599979606403586</v>
      </c>
      <c r="S439" s="1">
        <f t="shared" si="61"/>
        <v>42.613949468085103</v>
      </c>
    </row>
    <row r="440" spans="1:19" x14ac:dyDescent="0.3">
      <c r="A440">
        <v>3127</v>
      </c>
      <c r="B440">
        <v>44.848799</v>
      </c>
      <c r="C440">
        <v>47.025286000000001</v>
      </c>
      <c r="D440">
        <v>48.909084</v>
      </c>
      <c r="E440">
        <v>34.575907000000001</v>
      </c>
      <c r="F440">
        <v>17.090185999999999</v>
      </c>
      <c r="G440">
        <v>14.142028</v>
      </c>
      <c r="H440">
        <v>15.113474999999999</v>
      </c>
      <c r="I440" t="s">
        <v>56</v>
      </c>
      <c r="J440" s="1">
        <f t="shared" si="57"/>
        <v>36.575907000000001</v>
      </c>
      <c r="N440"/>
      <c r="O440"/>
      <c r="P440" s="1">
        <f t="shared" si="58"/>
        <v>55.838278455284552</v>
      </c>
      <c r="Q440" s="1">
        <f t="shared" si="59"/>
        <v>58.707729674796745</v>
      </c>
      <c r="R440" s="1">
        <f t="shared" si="60"/>
        <v>61.599979606403586</v>
      </c>
      <c r="S440" s="1">
        <f t="shared" si="61"/>
        <v>42.613949468085103</v>
      </c>
    </row>
    <row r="441" spans="1:19" x14ac:dyDescent="0.3">
      <c r="A441">
        <v>3127.2</v>
      </c>
      <c r="B441">
        <v>44.884160000000001</v>
      </c>
      <c r="C441">
        <v>46.991430000000001</v>
      </c>
      <c r="D441">
        <v>48.896447999999999</v>
      </c>
      <c r="E441">
        <v>34.601281999999998</v>
      </c>
      <c r="F441">
        <v>17.072780000000002</v>
      </c>
      <c r="G441">
        <v>14.101583</v>
      </c>
      <c r="H441">
        <v>15.084012</v>
      </c>
      <c r="I441"/>
      <c r="J441" s="1">
        <f t="shared" si="57"/>
        <v>36.601281999999998</v>
      </c>
      <c r="N441"/>
      <c r="O441"/>
      <c r="P441" s="1">
        <f t="shared" si="58"/>
        <v>55.819117886178866</v>
      </c>
      <c r="Q441" s="1">
        <f t="shared" si="59"/>
        <v>58.706331300813005</v>
      </c>
      <c r="R441" s="1">
        <f t="shared" si="60"/>
        <v>61.584191903742223</v>
      </c>
      <c r="S441" s="1">
        <f t="shared" si="61"/>
        <v>42.624623567921439</v>
      </c>
    </row>
    <row r="442" spans="1:19" x14ac:dyDescent="0.3">
      <c r="A442">
        <v>3127.4</v>
      </c>
      <c r="B442">
        <v>44.884160000000001</v>
      </c>
      <c r="C442">
        <v>46.991430000000001</v>
      </c>
      <c r="D442">
        <v>48.896447999999999</v>
      </c>
      <c r="E442">
        <v>34.601281999999998</v>
      </c>
      <c r="F442">
        <v>17.072780000000002</v>
      </c>
      <c r="G442">
        <v>14.101583</v>
      </c>
      <c r="H442">
        <v>15.084012</v>
      </c>
      <c r="I442"/>
      <c r="J442" s="1">
        <f t="shared" si="57"/>
        <v>36.601281999999998</v>
      </c>
      <c r="N442"/>
      <c r="O442"/>
      <c r="P442" s="1">
        <f t="shared" si="58"/>
        <v>55.819117886178866</v>
      </c>
      <c r="Q442" s="1">
        <f t="shared" si="59"/>
        <v>58.706331300813005</v>
      </c>
      <c r="R442" s="1">
        <f t="shared" si="60"/>
        <v>61.584191903742223</v>
      </c>
      <c r="S442" s="1">
        <f t="shared" si="61"/>
        <v>42.624623567921439</v>
      </c>
    </row>
    <row r="443" spans="1:19" x14ac:dyDescent="0.3">
      <c r="A443">
        <v>3127.6</v>
      </c>
      <c r="B443">
        <v>44.901232</v>
      </c>
      <c r="C443">
        <v>46.992302000000002</v>
      </c>
      <c r="D443">
        <v>48.929841000000003</v>
      </c>
      <c r="E443">
        <v>34.555038000000003</v>
      </c>
      <c r="F443">
        <v>17.011451999999998</v>
      </c>
      <c r="G443">
        <v>14.115239000000001</v>
      </c>
      <c r="H443">
        <v>15.096705999999999</v>
      </c>
      <c r="I443"/>
      <c r="J443" s="1">
        <f t="shared" si="57"/>
        <v>36.555038000000003</v>
      </c>
      <c r="N443"/>
      <c r="O443"/>
      <c r="P443" s="1">
        <f t="shared" si="58"/>
        <v>46.412458333333326</v>
      </c>
      <c r="Q443" s="1">
        <f t="shared" si="59"/>
        <v>48.568026422764227</v>
      </c>
      <c r="R443" s="1">
        <f t="shared" si="60"/>
        <v>50.728068726419899</v>
      </c>
      <c r="S443" s="1">
        <f t="shared" si="61"/>
        <v>36.365829582651386</v>
      </c>
    </row>
    <row r="444" spans="1:19" x14ac:dyDescent="0.3">
      <c r="A444">
        <v>3127.8</v>
      </c>
      <c r="B444">
        <v>44.901232</v>
      </c>
      <c r="C444">
        <v>46.992302000000002</v>
      </c>
      <c r="D444">
        <v>48.929841000000003</v>
      </c>
      <c r="E444">
        <v>34.555038000000003</v>
      </c>
      <c r="F444">
        <v>17.011451999999998</v>
      </c>
      <c r="G444">
        <v>14.115239000000001</v>
      </c>
      <c r="H444">
        <v>15.096705999999999</v>
      </c>
      <c r="I444"/>
      <c r="J444" s="1">
        <f t="shared" si="57"/>
        <v>36.555038000000003</v>
      </c>
      <c r="N444"/>
      <c r="O444"/>
      <c r="P444" s="1">
        <f t="shared" si="58"/>
        <v>46.412458333333326</v>
      </c>
      <c r="Q444" s="1">
        <f t="shared" si="59"/>
        <v>48.568026422764227</v>
      </c>
      <c r="R444" s="1">
        <f t="shared" si="60"/>
        <v>50.728068726419899</v>
      </c>
      <c r="S444" s="1">
        <f t="shared" si="61"/>
        <v>36.365829582651386</v>
      </c>
    </row>
    <row r="445" spans="1:19" x14ac:dyDescent="0.3">
      <c r="A445">
        <v>3128</v>
      </c>
      <c r="B445">
        <v>44.879238000000001</v>
      </c>
      <c r="C445">
        <v>46.981476000000001</v>
      </c>
      <c r="D445">
        <v>48.901195999999999</v>
      </c>
      <c r="E445">
        <v>34.562795000000001</v>
      </c>
      <c r="F445">
        <v>16.958199</v>
      </c>
      <c r="G445">
        <v>14.104894</v>
      </c>
      <c r="H445">
        <v>15.106847999999999</v>
      </c>
      <c r="I445" t="s">
        <v>56</v>
      </c>
      <c r="J445" s="1">
        <f t="shared" si="57"/>
        <v>36.562795000000001</v>
      </c>
      <c r="N445"/>
      <c r="O445"/>
      <c r="P445" s="1">
        <f t="shared" si="58"/>
        <v>46.407511178861782</v>
      </c>
      <c r="Q445" s="1">
        <f t="shared" si="59"/>
        <v>48.59583739837398</v>
      </c>
      <c r="R445" s="1">
        <f t="shared" si="60"/>
        <v>50.716614662995816</v>
      </c>
      <c r="S445" s="1">
        <f t="shared" si="61"/>
        <v>36.358302986906715</v>
      </c>
    </row>
    <row r="446" spans="1:19" x14ac:dyDescent="0.3">
      <c r="A446">
        <v>3128.2</v>
      </c>
      <c r="B446">
        <v>44.879238000000001</v>
      </c>
      <c r="C446">
        <v>46.981476000000001</v>
      </c>
      <c r="D446">
        <v>48.901195999999999</v>
      </c>
      <c r="E446">
        <v>34.562795000000001</v>
      </c>
      <c r="F446">
        <v>16.958199</v>
      </c>
      <c r="G446">
        <v>14.104894</v>
      </c>
      <c r="H446">
        <v>15.106847999999999</v>
      </c>
      <c r="I446"/>
      <c r="J446" s="1">
        <f t="shared" si="57"/>
        <v>36.562795000000001</v>
      </c>
      <c r="N446"/>
      <c r="O446"/>
      <c r="P446" s="1">
        <f t="shared" si="58"/>
        <v>46.407511178861782</v>
      </c>
      <c r="Q446" s="1">
        <f t="shared" si="59"/>
        <v>48.59583739837398</v>
      </c>
      <c r="R446" s="1">
        <f t="shared" si="60"/>
        <v>50.716614662995816</v>
      </c>
      <c r="S446" s="1">
        <f t="shared" si="61"/>
        <v>36.358302986906715</v>
      </c>
    </row>
    <row r="447" spans="1:19" x14ac:dyDescent="0.3">
      <c r="A447">
        <v>3128.4</v>
      </c>
      <c r="B447">
        <v>44.864947000000001</v>
      </c>
      <c r="C447">
        <v>47.003613000000001</v>
      </c>
      <c r="D447">
        <v>48.900331999999999</v>
      </c>
      <c r="E447">
        <v>34.540582000000001</v>
      </c>
      <c r="F447">
        <v>17.010131000000001</v>
      </c>
      <c r="G447">
        <v>14.113941000000001</v>
      </c>
      <c r="H447">
        <v>15.095885000000001</v>
      </c>
      <c r="I447"/>
      <c r="J447" s="1">
        <f t="shared" si="57"/>
        <v>36.540582000000001</v>
      </c>
      <c r="N447"/>
      <c r="O447"/>
      <c r="P447" s="1">
        <f t="shared" si="58"/>
        <v>46.402583333333325</v>
      </c>
      <c r="Q447" s="1">
        <f t="shared" si="59"/>
        <v>48.54932215447154</v>
      </c>
      <c r="R447" s="1">
        <f t="shared" si="60"/>
        <v>50.721062506372995</v>
      </c>
      <c r="S447" s="1">
        <f t="shared" si="61"/>
        <v>36.345638297872334</v>
      </c>
    </row>
    <row r="448" spans="1:19" x14ac:dyDescent="0.3">
      <c r="A448">
        <v>3128.6</v>
      </c>
      <c r="B448">
        <v>44.864947000000001</v>
      </c>
      <c r="C448">
        <v>47.003613000000001</v>
      </c>
      <c r="D448">
        <v>48.900331999999999</v>
      </c>
      <c r="E448">
        <v>34.540582000000001</v>
      </c>
      <c r="F448">
        <v>17.010131000000001</v>
      </c>
      <c r="G448">
        <v>14.113941000000001</v>
      </c>
      <c r="H448">
        <v>15.095885000000001</v>
      </c>
      <c r="I448"/>
      <c r="J448" s="1">
        <f t="shared" si="57"/>
        <v>36.540582000000001</v>
      </c>
      <c r="N448"/>
      <c r="O448"/>
      <c r="P448" s="1">
        <f t="shared" si="58"/>
        <v>46.402583333333325</v>
      </c>
      <c r="Q448" s="1">
        <f t="shared" si="59"/>
        <v>48.54932215447154</v>
      </c>
      <c r="R448" s="1">
        <f t="shared" si="60"/>
        <v>50.721062506372995</v>
      </c>
      <c r="S448" s="1">
        <f t="shared" si="61"/>
        <v>36.345638297872334</v>
      </c>
    </row>
    <row r="449" spans="1:19" x14ac:dyDescent="0.3">
      <c r="A449">
        <v>3128.8</v>
      </c>
      <c r="B449">
        <v>44.864773</v>
      </c>
      <c r="C449">
        <v>46.988717000000001</v>
      </c>
      <c r="D449">
        <v>48.910696999999999</v>
      </c>
      <c r="E449">
        <v>34.551765000000003</v>
      </c>
      <c r="F449">
        <v>17.145123999999999</v>
      </c>
      <c r="G449">
        <v>14.114475000000001</v>
      </c>
      <c r="H449">
        <v>15.077367000000001</v>
      </c>
      <c r="I449"/>
      <c r="J449" s="1">
        <f t="shared" si="57"/>
        <v>36.551765000000003</v>
      </c>
      <c r="N449"/>
      <c r="O449"/>
      <c r="P449" s="1">
        <f t="shared" si="58"/>
        <v>46.402628048780485</v>
      </c>
      <c r="Q449" s="1">
        <f t="shared" si="59"/>
        <v>48.577421747967477</v>
      </c>
      <c r="R449" s="1">
        <f t="shared" si="60"/>
        <v>50.703822779647183</v>
      </c>
      <c r="S449" s="1">
        <f t="shared" si="61"/>
        <v>36.310019435351883</v>
      </c>
    </row>
    <row r="450" spans="1:19" x14ac:dyDescent="0.3">
      <c r="A450">
        <v>3129</v>
      </c>
      <c r="B450">
        <v>44.864773</v>
      </c>
      <c r="C450">
        <v>46.988717000000001</v>
      </c>
      <c r="D450">
        <v>48.910696999999999</v>
      </c>
      <c r="E450">
        <v>34.551765000000003</v>
      </c>
      <c r="F450">
        <v>17.145123999999999</v>
      </c>
      <c r="G450">
        <v>14.114475000000001</v>
      </c>
      <c r="H450">
        <v>15.077367000000001</v>
      </c>
      <c r="I450" t="s">
        <v>56</v>
      </c>
      <c r="J450" s="1">
        <f t="shared" si="57"/>
        <v>36.551765000000003</v>
      </c>
      <c r="N450"/>
      <c r="O450"/>
      <c r="P450" s="1">
        <f t="shared" si="58"/>
        <v>46.402628048780485</v>
      </c>
      <c r="Q450" s="1">
        <f t="shared" si="59"/>
        <v>48.577421747967477</v>
      </c>
      <c r="R450" s="1">
        <f t="shared" si="60"/>
        <v>50.703822779647183</v>
      </c>
      <c r="S450" s="1">
        <f t="shared" si="61"/>
        <v>36.310019435351883</v>
      </c>
    </row>
    <row r="451" spans="1:19" x14ac:dyDescent="0.3">
      <c r="A451">
        <v>3129.2</v>
      </c>
      <c r="B451">
        <v>44.864064999999997</v>
      </c>
      <c r="C451">
        <v>46.980651000000002</v>
      </c>
      <c r="D451">
        <v>48.893045999999998</v>
      </c>
      <c r="E451">
        <v>34.556581999999999</v>
      </c>
      <c r="F451">
        <v>17.115065000000001</v>
      </c>
      <c r="G451">
        <v>14.109742000000001</v>
      </c>
      <c r="H451">
        <v>15.098356000000001</v>
      </c>
      <c r="I451"/>
      <c r="J451" s="1">
        <f t="shared" si="57"/>
        <v>36.556581999999999</v>
      </c>
      <c r="N451"/>
      <c r="O451"/>
      <c r="P451" s="1">
        <f t="shared" si="58"/>
        <v>46.435643292682926</v>
      </c>
      <c r="Q451" s="1">
        <f t="shared" si="59"/>
        <v>48.572374999999994</v>
      </c>
      <c r="R451" s="1">
        <f t="shared" si="60"/>
        <v>50.698781482614457</v>
      </c>
      <c r="S451" s="1">
        <f t="shared" si="61"/>
        <v>36.312687193126017</v>
      </c>
    </row>
    <row r="452" spans="1:19" x14ac:dyDescent="0.3">
      <c r="A452">
        <v>3129.4</v>
      </c>
      <c r="B452">
        <v>44.864064999999997</v>
      </c>
      <c r="C452">
        <v>46.980651000000002</v>
      </c>
      <c r="D452">
        <v>48.893045999999998</v>
      </c>
      <c r="E452">
        <v>34.556581999999999</v>
      </c>
      <c r="F452">
        <v>17.115065000000001</v>
      </c>
      <c r="G452">
        <v>14.109742000000001</v>
      </c>
      <c r="H452">
        <v>15.098356000000001</v>
      </c>
      <c r="I452"/>
      <c r="J452" s="1">
        <f t="shared" si="57"/>
        <v>36.556581999999999</v>
      </c>
      <c r="N452"/>
      <c r="O452"/>
      <c r="P452" s="1">
        <f t="shared" si="58"/>
        <v>46.435643292682926</v>
      </c>
      <c r="Q452" s="1">
        <f t="shared" si="59"/>
        <v>48.572374999999994</v>
      </c>
      <c r="R452" s="1">
        <f t="shared" si="60"/>
        <v>50.698781482614457</v>
      </c>
      <c r="S452" s="1">
        <f t="shared" si="61"/>
        <v>36.312687193126017</v>
      </c>
    </row>
    <row r="453" spans="1:19" x14ac:dyDescent="0.3">
      <c r="A453">
        <v>3129.6</v>
      </c>
      <c r="B453">
        <v>44.866402000000001</v>
      </c>
      <c r="C453">
        <v>46.979295</v>
      </c>
      <c r="D453">
        <v>48.888945999999997</v>
      </c>
      <c r="E453">
        <v>34.551144000000001</v>
      </c>
      <c r="F453">
        <v>17.013076000000002</v>
      </c>
      <c r="G453">
        <v>14.115404</v>
      </c>
      <c r="H453">
        <v>15.085915999999999</v>
      </c>
      <c r="I453"/>
      <c r="J453" s="1">
        <f t="shared" si="57"/>
        <v>36.551144000000001</v>
      </c>
      <c r="N453"/>
      <c r="O453"/>
      <c r="P453" s="1">
        <f t="shared" si="58"/>
        <v>46.381916666666669</v>
      </c>
      <c r="Q453" s="1">
        <f t="shared" si="59"/>
        <v>48.570855691056906</v>
      </c>
      <c r="R453" s="1">
        <f t="shared" si="60"/>
        <v>50.700533292546133</v>
      </c>
      <c r="S453" s="1">
        <f t="shared" si="61"/>
        <v>36.343083060556467</v>
      </c>
    </row>
    <row r="454" spans="1:19" x14ac:dyDescent="0.3">
      <c r="A454">
        <v>3129.8</v>
      </c>
      <c r="B454">
        <v>44.866402000000001</v>
      </c>
      <c r="C454">
        <v>46.979295</v>
      </c>
      <c r="D454">
        <v>48.888945999999997</v>
      </c>
      <c r="E454">
        <v>34.551144000000001</v>
      </c>
      <c r="F454">
        <v>17.013076000000002</v>
      </c>
      <c r="G454">
        <v>14.115404</v>
      </c>
      <c r="H454">
        <v>15.085915999999999</v>
      </c>
      <c r="I454"/>
      <c r="J454" s="1">
        <f t="shared" si="57"/>
        <v>36.551144000000001</v>
      </c>
      <c r="N454"/>
      <c r="O454"/>
      <c r="P454" s="1">
        <f t="shared" si="58"/>
        <v>46.381916666666669</v>
      </c>
      <c r="Q454" s="1">
        <f t="shared" si="59"/>
        <v>48.570855691056906</v>
      </c>
      <c r="R454" s="1">
        <f t="shared" si="60"/>
        <v>50.700533292546133</v>
      </c>
      <c r="S454" s="1">
        <f t="shared" si="61"/>
        <v>36.343083060556467</v>
      </c>
    </row>
    <row r="455" spans="1:19" x14ac:dyDescent="0.3">
      <c r="A455">
        <v>3130</v>
      </c>
      <c r="B455">
        <v>44.887076</v>
      </c>
      <c r="C455">
        <v>46.991109000000002</v>
      </c>
      <c r="D455">
        <v>48.876429999999999</v>
      </c>
      <c r="E455">
        <v>34.553528999999997</v>
      </c>
      <c r="F455">
        <v>17.019922000000001</v>
      </c>
      <c r="G455">
        <v>14.127844</v>
      </c>
      <c r="H455">
        <v>15.081201999999999</v>
      </c>
      <c r="I455" t="s">
        <v>56</v>
      </c>
      <c r="J455" s="1">
        <f t="shared" si="57"/>
        <v>36.553528999999997</v>
      </c>
      <c r="N455"/>
      <c r="O455"/>
      <c r="P455" s="1">
        <f t="shared" si="58"/>
        <v>46.38641869918699</v>
      </c>
      <c r="Q455" s="1">
        <f t="shared" si="59"/>
        <v>48.583280487804871</v>
      </c>
      <c r="R455" s="1">
        <f t="shared" si="60"/>
        <v>50.712011828285917</v>
      </c>
      <c r="S455" s="1">
        <f t="shared" si="61"/>
        <v>36.337744476268412</v>
      </c>
    </row>
    <row r="456" spans="1:19" x14ac:dyDescent="0.3">
      <c r="A456">
        <v>3130.2</v>
      </c>
      <c r="B456">
        <v>44.887076</v>
      </c>
      <c r="C456">
        <v>46.991109000000002</v>
      </c>
      <c r="D456">
        <v>48.876429999999999</v>
      </c>
      <c r="E456">
        <v>34.553528999999997</v>
      </c>
      <c r="F456">
        <v>17.019922000000001</v>
      </c>
      <c r="G456">
        <v>14.127844</v>
      </c>
      <c r="H456">
        <v>15.081201999999999</v>
      </c>
      <c r="I456"/>
      <c r="J456" s="1">
        <f t="shared" si="57"/>
        <v>36.553528999999997</v>
      </c>
      <c r="N456"/>
      <c r="O456"/>
      <c r="P456" s="1">
        <f t="shared" si="58"/>
        <v>46.38641869918699</v>
      </c>
      <c r="Q456" s="1">
        <f t="shared" si="59"/>
        <v>48.583280487804871</v>
      </c>
      <c r="R456" s="1">
        <f t="shared" si="60"/>
        <v>50.712011828285917</v>
      </c>
      <c r="S456" s="1">
        <f t="shared" si="61"/>
        <v>36.337744476268412</v>
      </c>
    </row>
    <row r="457" spans="1:19" x14ac:dyDescent="0.3">
      <c r="A457">
        <v>3130.4</v>
      </c>
      <c r="B457">
        <v>44.843072999999997</v>
      </c>
      <c r="C457">
        <v>46.992905999999998</v>
      </c>
      <c r="D457">
        <v>48.914867000000001</v>
      </c>
      <c r="E457">
        <v>34.576590000000003</v>
      </c>
      <c r="F457">
        <v>16.991534999999999</v>
      </c>
      <c r="G457">
        <v>14.123326</v>
      </c>
      <c r="H457">
        <v>15.084784000000001</v>
      </c>
      <c r="I457"/>
      <c r="J457" s="1">
        <f t="shared" si="57"/>
        <v>36.576590000000003</v>
      </c>
      <c r="N457"/>
      <c r="O457"/>
      <c r="P457" s="1">
        <f t="shared" si="58"/>
        <v>46.377336382113818</v>
      </c>
      <c r="Q457" s="1">
        <f t="shared" si="59"/>
        <v>48.589213414634145</v>
      </c>
      <c r="R457" s="1">
        <f t="shared" si="60"/>
        <v>50.697852554297945</v>
      </c>
      <c r="S457" s="1">
        <f t="shared" si="61"/>
        <v>36.313120908346974</v>
      </c>
    </row>
    <row r="458" spans="1:19" x14ac:dyDescent="0.3">
      <c r="A458">
        <v>3130.6</v>
      </c>
      <c r="B458">
        <v>44.843072999999997</v>
      </c>
      <c r="C458">
        <v>46.992905999999998</v>
      </c>
      <c r="D458">
        <v>48.914867000000001</v>
      </c>
      <c r="E458">
        <v>34.576590000000003</v>
      </c>
      <c r="F458">
        <v>16.991534999999999</v>
      </c>
      <c r="G458">
        <v>14.123326</v>
      </c>
      <c r="H458">
        <v>15.084784000000001</v>
      </c>
      <c r="I458"/>
      <c r="J458" s="1">
        <f t="shared" si="57"/>
        <v>36.576590000000003</v>
      </c>
      <c r="N458"/>
      <c r="O458"/>
      <c r="P458" s="1">
        <f t="shared" si="58"/>
        <v>46.377336382113818</v>
      </c>
      <c r="Q458" s="1">
        <f t="shared" si="59"/>
        <v>48.589213414634145</v>
      </c>
      <c r="R458" s="1">
        <f t="shared" si="60"/>
        <v>50.697852554297945</v>
      </c>
      <c r="S458" s="1">
        <f t="shared" si="61"/>
        <v>36.313120908346974</v>
      </c>
    </row>
    <row r="459" spans="1:19" x14ac:dyDescent="0.3">
      <c r="A459">
        <v>3130.8</v>
      </c>
      <c r="B459">
        <v>44.826481999999999</v>
      </c>
      <c r="C459">
        <v>46.986531999999997</v>
      </c>
      <c r="D459">
        <v>48.916308999999998</v>
      </c>
      <c r="E459">
        <v>34.563631000000001</v>
      </c>
      <c r="F459">
        <v>16.999400999999999</v>
      </c>
      <c r="G459">
        <v>14.116752</v>
      </c>
      <c r="H459">
        <v>15.058209</v>
      </c>
      <c r="I459"/>
      <c r="J459" s="1">
        <f t="shared" si="57"/>
        <v>36.563631000000001</v>
      </c>
      <c r="N459"/>
      <c r="O459"/>
      <c r="P459" s="1">
        <f t="shared" si="58"/>
        <v>46.413272357723578</v>
      </c>
      <c r="Q459" s="1">
        <f t="shared" si="59"/>
        <v>48.554806910569106</v>
      </c>
      <c r="R459" s="1">
        <f t="shared" si="60"/>
        <v>50.684967880085651</v>
      </c>
      <c r="S459" s="1">
        <f t="shared" si="61"/>
        <v>36.339077332242219</v>
      </c>
    </row>
    <row r="460" spans="1:19" x14ac:dyDescent="0.3">
      <c r="A460">
        <v>3131</v>
      </c>
      <c r="B460">
        <v>44.826481999999999</v>
      </c>
      <c r="C460">
        <v>46.986531999999997</v>
      </c>
      <c r="D460">
        <v>48.916308999999998</v>
      </c>
      <c r="E460">
        <v>34.563631000000001</v>
      </c>
      <c r="F460">
        <v>16.999400999999999</v>
      </c>
      <c r="G460">
        <v>14.116752</v>
      </c>
      <c r="H460">
        <v>15.058209</v>
      </c>
      <c r="I460" t="s">
        <v>56</v>
      </c>
      <c r="J460" s="1">
        <f t="shared" si="57"/>
        <v>36.563631000000001</v>
      </c>
      <c r="N460"/>
      <c r="O460"/>
      <c r="P460" s="1">
        <f t="shared" si="58"/>
        <v>46.413272357723578</v>
      </c>
      <c r="Q460" s="1">
        <f t="shared" si="59"/>
        <v>48.554806910569106</v>
      </c>
      <c r="R460" s="1">
        <f t="shared" si="60"/>
        <v>50.684967880085651</v>
      </c>
      <c r="S460" s="1">
        <f t="shared" si="61"/>
        <v>36.339077332242219</v>
      </c>
    </row>
    <row r="461" spans="1:19" x14ac:dyDescent="0.3">
      <c r="A461">
        <v>3131.2</v>
      </c>
      <c r="B461">
        <v>44.852299000000002</v>
      </c>
      <c r="C461">
        <v>46.971713000000001</v>
      </c>
      <c r="D461">
        <v>48.904761000000001</v>
      </c>
      <c r="E461">
        <v>34.573203999999997</v>
      </c>
      <c r="F461">
        <v>16.97626</v>
      </c>
      <c r="G461">
        <v>14.115478</v>
      </c>
      <c r="H461">
        <v>15.069319999999999</v>
      </c>
      <c r="I461"/>
      <c r="J461" s="1">
        <f t="shared" si="57"/>
        <v>36.573203999999997</v>
      </c>
      <c r="N461"/>
      <c r="O461"/>
      <c r="P461" s="1">
        <f t="shared" si="58"/>
        <v>46.430621951219507</v>
      </c>
      <c r="Q461" s="1">
        <f t="shared" si="59"/>
        <v>48.555693089430896</v>
      </c>
      <c r="R461" s="1">
        <f t="shared" si="60"/>
        <v>50.719018048332821</v>
      </c>
      <c r="S461" s="1">
        <f t="shared" si="61"/>
        <v>36.291773731587561</v>
      </c>
    </row>
    <row r="462" spans="1:19" x14ac:dyDescent="0.3">
      <c r="A462">
        <v>3131.4</v>
      </c>
      <c r="B462">
        <v>44.852299000000002</v>
      </c>
      <c r="C462">
        <v>46.971713000000001</v>
      </c>
      <c r="D462">
        <v>48.904761000000001</v>
      </c>
      <c r="E462">
        <v>34.573203999999997</v>
      </c>
      <c r="F462">
        <v>16.97626</v>
      </c>
      <c r="G462">
        <v>14.115478</v>
      </c>
      <c r="H462">
        <v>15.069319999999999</v>
      </c>
      <c r="I462"/>
      <c r="J462" s="1">
        <f t="shared" si="57"/>
        <v>36.573203999999997</v>
      </c>
      <c r="N462"/>
      <c r="O462"/>
      <c r="P462" s="1">
        <f t="shared" si="58"/>
        <v>46.430621951219507</v>
      </c>
      <c r="Q462" s="1">
        <f t="shared" si="59"/>
        <v>48.555693089430896</v>
      </c>
      <c r="R462" s="1">
        <f t="shared" si="60"/>
        <v>50.719018048332821</v>
      </c>
      <c r="S462" s="1">
        <f t="shared" si="61"/>
        <v>36.291773731587561</v>
      </c>
    </row>
    <row r="463" spans="1:19" x14ac:dyDescent="0.3">
      <c r="A463">
        <v>3131.6</v>
      </c>
      <c r="B463">
        <v>44.856878000000002</v>
      </c>
      <c r="C463">
        <v>46.971665000000002</v>
      </c>
      <c r="D463">
        <v>48.884556000000003</v>
      </c>
      <c r="E463">
        <v>34.567700000000002</v>
      </c>
      <c r="F463">
        <v>16.977164999999999</v>
      </c>
      <c r="G463">
        <v>14.10731</v>
      </c>
      <c r="H463">
        <v>15.079732999999999</v>
      </c>
      <c r="I463"/>
      <c r="J463" s="1">
        <f t="shared" si="57"/>
        <v>36.567700000000002</v>
      </c>
      <c r="N463"/>
      <c r="O463"/>
      <c r="P463" s="1">
        <f t="shared" si="58"/>
        <v>46.408270325203247</v>
      </c>
      <c r="Q463" s="1">
        <f t="shared" si="59"/>
        <v>48.544691056910565</v>
      </c>
      <c r="R463" s="1">
        <f t="shared" si="60"/>
        <v>50.689809319873554</v>
      </c>
      <c r="S463" s="1">
        <f t="shared" si="61"/>
        <v>36.299708469721764</v>
      </c>
    </row>
    <row r="464" spans="1:19" x14ac:dyDescent="0.3">
      <c r="A464">
        <v>3131.8</v>
      </c>
      <c r="B464">
        <v>44.856878000000002</v>
      </c>
      <c r="C464">
        <v>46.971665000000002</v>
      </c>
      <c r="D464">
        <v>48.884556000000003</v>
      </c>
      <c r="E464">
        <v>34.567700000000002</v>
      </c>
      <c r="F464">
        <v>16.977164999999999</v>
      </c>
      <c r="G464">
        <v>14.10731</v>
      </c>
      <c r="H464">
        <v>15.079732999999999</v>
      </c>
      <c r="I464"/>
      <c r="J464" s="1">
        <f t="shared" si="57"/>
        <v>36.567700000000002</v>
      </c>
      <c r="N464"/>
      <c r="P464" s="1">
        <f t="shared" si="58"/>
        <v>46.408270325203247</v>
      </c>
      <c r="Q464" s="1">
        <f t="shared" si="59"/>
        <v>48.544691056910565</v>
      </c>
      <c r="R464" s="1">
        <f t="shared" si="60"/>
        <v>50.689809319873554</v>
      </c>
      <c r="S464" s="1">
        <f t="shared" si="61"/>
        <v>36.299708469721764</v>
      </c>
    </row>
    <row r="465" spans="1:19" x14ac:dyDescent="0.3">
      <c r="A465">
        <v>3132</v>
      </c>
      <c r="B465">
        <v>44.841121000000001</v>
      </c>
      <c r="C465">
        <v>46.969340000000003</v>
      </c>
      <c r="D465">
        <v>48.899191999999999</v>
      </c>
      <c r="E465">
        <v>34.564737999999998</v>
      </c>
      <c r="F465">
        <v>17.015906000000001</v>
      </c>
      <c r="G465">
        <v>14.113416000000001</v>
      </c>
      <c r="H465">
        <v>15.082501000000001</v>
      </c>
      <c r="I465" t="s">
        <v>56</v>
      </c>
      <c r="J465" s="1">
        <f t="shared" si="57"/>
        <v>36.564737999999998</v>
      </c>
      <c r="N465"/>
      <c r="O465" s="30"/>
      <c r="P465" s="1">
        <f t="shared" si="58"/>
        <v>46.393746951219512</v>
      </c>
      <c r="Q465" s="1">
        <f t="shared" si="59"/>
        <v>48.567188008130081</v>
      </c>
      <c r="R465" s="1">
        <f t="shared" si="60"/>
        <v>50.688928316508616</v>
      </c>
      <c r="S465" s="1">
        <f t="shared" si="61"/>
        <v>36.27698649754501</v>
      </c>
    </row>
    <row r="466" spans="1:19" x14ac:dyDescent="0.3">
      <c r="A466">
        <v>3132.2</v>
      </c>
      <c r="B466">
        <v>44.841121000000001</v>
      </c>
      <c r="C466">
        <v>46.969340000000003</v>
      </c>
      <c r="D466">
        <v>48.899191999999999</v>
      </c>
      <c r="E466">
        <v>34.564737999999998</v>
      </c>
      <c r="F466">
        <v>17.015906000000001</v>
      </c>
      <c r="G466">
        <v>14.113416000000001</v>
      </c>
      <c r="H466">
        <v>15.082501000000001</v>
      </c>
      <c r="I466"/>
      <c r="J466" s="1">
        <f t="shared" si="57"/>
        <v>36.564737999999998</v>
      </c>
      <c r="N466"/>
      <c r="O466" s="30"/>
      <c r="P466" s="1">
        <f t="shared" si="58"/>
        <v>46.393746951219512</v>
      </c>
      <c r="Q466" s="1">
        <f t="shared" si="59"/>
        <v>48.567188008130081</v>
      </c>
      <c r="R466" s="1">
        <f t="shared" si="60"/>
        <v>50.688928316508616</v>
      </c>
      <c r="S466" s="1">
        <f t="shared" si="61"/>
        <v>36.27698649754501</v>
      </c>
    </row>
    <row r="467" spans="1:19" x14ac:dyDescent="0.3">
      <c r="A467">
        <v>3132.4</v>
      </c>
      <c r="B467">
        <v>44.843969000000001</v>
      </c>
      <c r="C467">
        <v>46.962049999999998</v>
      </c>
      <c r="D467">
        <v>48.890101000000001</v>
      </c>
      <c r="E467">
        <v>34.568162999999998</v>
      </c>
      <c r="F467">
        <v>17.020091000000001</v>
      </c>
      <c r="G467">
        <v>14.096555</v>
      </c>
      <c r="H467">
        <v>15.080892</v>
      </c>
      <c r="I467"/>
      <c r="J467" s="1">
        <f t="shared" si="57"/>
        <v>36.568162999999998</v>
      </c>
      <c r="N467"/>
      <c r="O467" s="30"/>
      <c r="P467" s="1">
        <f t="shared" si="58"/>
        <v>46.393570121951214</v>
      </c>
      <c r="Q467" s="1">
        <f t="shared" si="59"/>
        <v>48.552049796747966</v>
      </c>
      <c r="R467" s="1">
        <f t="shared" si="60"/>
        <v>50.699497297848474</v>
      </c>
      <c r="S467" s="1">
        <f t="shared" si="61"/>
        <v>36.288425736497544</v>
      </c>
    </row>
    <row r="468" spans="1:19" x14ac:dyDescent="0.3">
      <c r="A468">
        <v>3132.6</v>
      </c>
      <c r="B468">
        <v>44.843969000000001</v>
      </c>
      <c r="C468">
        <v>46.962049999999998</v>
      </c>
      <c r="D468">
        <v>48.890101000000001</v>
      </c>
      <c r="E468">
        <v>34.568162999999998</v>
      </c>
      <c r="F468">
        <v>17.020091000000001</v>
      </c>
      <c r="G468">
        <v>14.096555</v>
      </c>
      <c r="H468">
        <v>15.080892</v>
      </c>
      <c r="I468"/>
      <c r="J468" s="1">
        <f t="shared" ref="J468:J531" si="62">E468+2</f>
        <v>36.568162999999998</v>
      </c>
      <c r="N468"/>
      <c r="O468" s="30"/>
      <c r="P468" s="1">
        <f t="shared" si="58"/>
        <v>46.393570121951214</v>
      </c>
      <c r="Q468" s="1">
        <f t="shared" si="59"/>
        <v>48.552049796747966</v>
      </c>
      <c r="R468" s="1">
        <f t="shared" si="60"/>
        <v>50.699497297848474</v>
      </c>
      <c r="S468" s="1">
        <f t="shared" si="61"/>
        <v>36.288425736497544</v>
      </c>
    </row>
    <row r="469" spans="1:19" x14ac:dyDescent="0.3">
      <c r="A469">
        <v>3132.8</v>
      </c>
      <c r="B469">
        <v>44.808433999999998</v>
      </c>
      <c r="C469">
        <v>46.944201</v>
      </c>
      <c r="D469">
        <v>48.893402999999999</v>
      </c>
      <c r="E469">
        <v>34.565311000000001</v>
      </c>
      <c r="F469">
        <v>17.020541999999999</v>
      </c>
      <c r="G469">
        <v>14.101286999999999</v>
      </c>
      <c r="H469">
        <v>15.088955</v>
      </c>
      <c r="I469"/>
      <c r="J469" s="1">
        <f t="shared" si="62"/>
        <v>36.565311000000001</v>
      </c>
      <c r="N469"/>
      <c r="O469"/>
      <c r="P469" s="1">
        <f t="shared" si="58"/>
        <v>46.392850609756088</v>
      </c>
      <c r="Q469" s="1">
        <f t="shared" si="59"/>
        <v>48.54385264227642</v>
      </c>
      <c r="R469" s="1">
        <f t="shared" si="60"/>
        <v>50.681498929336186</v>
      </c>
      <c r="S469" s="1">
        <f t="shared" si="61"/>
        <v>36.293353109656302</v>
      </c>
    </row>
    <row r="470" spans="1:19" x14ac:dyDescent="0.3">
      <c r="A470">
        <v>3133</v>
      </c>
      <c r="B470">
        <v>44.808433999999998</v>
      </c>
      <c r="C470">
        <v>46.944201</v>
      </c>
      <c r="D470">
        <v>48.893402999999999</v>
      </c>
      <c r="E470">
        <v>34.565311000000001</v>
      </c>
      <c r="F470">
        <v>17.020541999999999</v>
      </c>
      <c r="G470">
        <v>14.101286999999999</v>
      </c>
      <c r="H470">
        <v>15.088955</v>
      </c>
      <c r="I470" t="s">
        <v>56</v>
      </c>
      <c r="J470" s="1">
        <f t="shared" si="62"/>
        <v>36.565311000000001</v>
      </c>
      <c r="N470"/>
      <c r="O470"/>
      <c r="P470" s="1">
        <f t="shared" si="58"/>
        <v>46.392850609756088</v>
      </c>
      <c r="Q470" s="1">
        <f t="shared" si="59"/>
        <v>48.54385264227642</v>
      </c>
      <c r="R470" s="1">
        <f t="shared" si="60"/>
        <v>50.681498929336186</v>
      </c>
      <c r="S470" s="1">
        <f t="shared" si="61"/>
        <v>36.293353109656302</v>
      </c>
    </row>
    <row r="471" spans="1:19" x14ac:dyDescent="0.3">
      <c r="A471">
        <v>3133.2</v>
      </c>
      <c r="B471">
        <v>44.839998000000001</v>
      </c>
      <c r="C471">
        <v>46.971904000000002</v>
      </c>
      <c r="D471">
        <v>48.898995999999997</v>
      </c>
      <c r="E471">
        <v>34.536836999999998</v>
      </c>
      <c r="F471">
        <v>16.987618999999999</v>
      </c>
      <c r="G471">
        <v>14.093268</v>
      </c>
      <c r="H471">
        <v>15.09904</v>
      </c>
      <c r="I471"/>
      <c r="J471" s="1">
        <f t="shared" si="62"/>
        <v>36.536836999999998</v>
      </c>
      <c r="N471"/>
      <c r="O471"/>
      <c r="P471" s="1">
        <f t="shared" si="58"/>
        <v>46.395225609756096</v>
      </c>
      <c r="Q471" s="1">
        <f t="shared" si="59"/>
        <v>48.542474593495932</v>
      </c>
      <c r="R471" s="1">
        <f t="shared" si="60"/>
        <v>50.677318242071983</v>
      </c>
      <c r="S471" s="1">
        <f t="shared" si="61"/>
        <v>36.287790507364974</v>
      </c>
    </row>
    <row r="472" spans="1:19" x14ac:dyDescent="0.3">
      <c r="A472">
        <v>3133.4</v>
      </c>
      <c r="B472">
        <v>44.839998000000001</v>
      </c>
      <c r="C472">
        <v>46.971904000000002</v>
      </c>
      <c r="D472">
        <v>48.898995999999997</v>
      </c>
      <c r="E472">
        <v>34.536836999999998</v>
      </c>
      <c r="F472">
        <v>16.987618999999999</v>
      </c>
      <c r="G472">
        <v>14.093268</v>
      </c>
      <c r="H472">
        <v>15.09904</v>
      </c>
      <c r="I472"/>
      <c r="J472" s="1">
        <f t="shared" si="62"/>
        <v>36.536836999999998</v>
      </c>
      <c r="N472"/>
      <c r="O472"/>
      <c r="P472" s="1">
        <f t="shared" si="58"/>
        <v>46.395225609756096</v>
      </c>
      <c r="Q472" s="1">
        <f t="shared" si="59"/>
        <v>48.542474593495932</v>
      </c>
      <c r="R472" s="1">
        <f t="shared" si="60"/>
        <v>50.677318242071983</v>
      </c>
      <c r="S472" s="1">
        <f t="shared" si="61"/>
        <v>36.287790507364974</v>
      </c>
    </row>
    <row r="473" spans="1:19" x14ac:dyDescent="0.3">
      <c r="A473">
        <v>3133.6</v>
      </c>
      <c r="B473">
        <v>44.868808000000001</v>
      </c>
      <c r="C473">
        <v>46.969723999999999</v>
      </c>
      <c r="D473">
        <v>48.881706999999999</v>
      </c>
      <c r="E473">
        <v>34.577688000000002</v>
      </c>
      <c r="F473">
        <v>16.970161000000001</v>
      </c>
      <c r="G473">
        <v>14.108536000000001</v>
      </c>
      <c r="H473">
        <v>15.082863</v>
      </c>
      <c r="I473"/>
      <c r="J473" s="1">
        <f t="shared" si="62"/>
        <v>36.577688000000002</v>
      </c>
      <c r="N473"/>
      <c r="O473"/>
      <c r="P473" s="1">
        <f t="shared" si="58"/>
        <v>46.416235772357723</v>
      </c>
      <c r="Q473" s="1">
        <f t="shared" si="59"/>
        <v>48.554480691056909</v>
      </c>
      <c r="R473" s="1">
        <f t="shared" si="60"/>
        <v>50.664555929438151</v>
      </c>
      <c r="S473" s="1">
        <f t="shared" si="61"/>
        <v>36.29023015548281</v>
      </c>
    </row>
    <row r="474" spans="1:19" x14ac:dyDescent="0.3">
      <c r="A474">
        <v>3133.8</v>
      </c>
      <c r="B474">
        <v>44.868808000000001</v>
      </c>
      <c r="C474">
        <v>46.969723999999999</v>
      </c>
      <c r="D474">
        <v>48.881706999999999</v>
      </c>
      <c r="E474">
        <v>34.577688000000002</v>
      </c>
      <c r="F474">
        <v>16.970161000000001</v>
      </c>
      <c r="G474">
        <v>14.108536000000001</v>
      </c>
      <c r="H474">
        <v>15.082863</v>
      </c>
      <c r="I474"/>
      <c r="J474" s="1">
        <f t="shared" si="62"/>
        <v>36.577688000000002</v>
      </c>
      <c r="N474"/>
      <c r="O474"/>
      <c r="P474" s="1">
        <f t="shared" si="58"/>
        <v>46.416235772357723</v>
      </c>
      <c r="Q474" s="1">
        <f t="shared" si="59"/>
        <v>48.554480691056909</v>
      </c>
      <c r="R474" s="1">
        <f t="shared" si="60"/>
        <v>50.664555929438151</v>
      </c>
      <c r="S474" s="1">
        <f t="shared" si="61"/>
        <v>36.29023015548281</v>
      </c>
    </row>
    <row r="475" spans="1:19" x14ac:dyDescent="0.3">
      <c r="A475">
        <v>3475</v>
      </c>
      <c r="B475">
        <v>38.861254000000002</v>
      </c>
      <c r="C475">
        <v>40.376167000000002</v>
      </c>
      <c r="D475">
        <v>41.704171000000002</v>
      </c>
      <c r="E475">
        <v>30.923465</v>
      </c>
      <c r="F475">
        <v>16.037054999999999</v>
      </c>
      <c r="G475">
        <v>14.070605</v>
      </c>
      <c r="H475">
        <v>14.674351</v>
      </c>
      <c r="I475" t="s">
        <v>56</v>
      </c>
      <c r="J475" s="1">
        <f t="shared" si="62"/>
        <v>32.923465</v>
      </c>
      <c r="N475"/>
      <c r="O475"/>
      <c r="P475" s="1">
        <f t="shared" si="58"/>
        <v>46.371517276422757</v>
      </c>
      <c r="Q475" s="1">
        <f t="shared" si="59"/>
        <v>48.556306910569099</v>
      </c>
      <c r="R475" s="1">
        <f t="shared" si="60"/>
        <v>50.703749362700108</v>
      </c>
      <c r="S475" s="1">
        <f t="shared" si="61"/>
        <v>36.313819558101478</v>
      </c>
    </row>
    <row r="476" spans="1:19" x14ac:dyDescent="0.3">
      <c r="A476">
        <v>3475.2</v>
      </c>
      <c r="B476">
        <v>38.829970000000003</v>
      </c>
      <c r="C476">
        <v>40.367719000000001</v>
      </c>
      <c r="D476">
        <v>41.711423000000003</v>
      </c>
      <c r="E476">
        <v>30.948228</v>
      </c>
      <c r="F476">
        <v>15.997507000000001</v>
      </c>
      <c r="G476">
        <v>14.110919000000001</v>
      </c>
      <c r="H476">
        <v>14.669865</v>
      </c>
      <c r="I476"/>
      <c r="J476" s="1">
        <f t="shared" si="62"/>
        <v>32.948228</v>
      </c>
      <c r="N476"/>
      <c r="O476"/>
      <c r="P476" s="1">
        <f t="shared" si="58"/>
        <v>46.371517276422757</v>
      </c>
      <c r="Q476" s="1">
        <f t="shared" si="59"/>
        <v>48.556306910569099</v>
      </c>
      <c r="R476" s="1">
        <f t="shared" si="60"/>
        <v>50.703749362700108</v>
      </c>
      <c r="S476" s="1">
        <f t="shared" si="61"/>
        <v>36.313819558101478</v>
      </c>
    </row>
    <row r="477" spans="1:19" x14ac:dyDescent="0.3">
      <c r="A477">
        <v>3475.4</v>
      </c>
      <c r="B477">
        <v>38.829970000000003</v>
      </c>
      <c r="C477">
        <v>40.367719000000001</v>
      </c>
      <c r="D477">
        <v>41.711423000000003</v>
      </c>
      <c r="E477">
        <v>30.948228</v>
      </c>
      <c r="F477">
        <v>15.997507000000001</v>
      </c>
      <c r="G477">
        <v>14.110919000000001</v>
      </c>
      <c r="H477">
        <v>14.669865</v>
      </c>
      <c r="I477"/>
      <c r="J477" s="1">
        <f t="shared" si="62"/>
        <v>32.948228</v>
      </c>
      <c r="N477"/>
      <c r="O477"/>
      <c r="P477" s="1">
        <f t="shared" si="58"/>
        <v>46.354656504065034</v>
      </c>
      <c r="Q477" s="1">
        <f t="shared" si="59"/>
        <v>48.549829268292676</v>
      </c>
      <c r="R477" s="1">
        <f t="shared" si="60"/>
        <v>50.705219741001322</v>
      </c>
      <c r="S477" s="1">
        <f t="shared" si="61"/>
        <v>36.300563625204582</v>
      </c>
    </row>
    <row r="478" spans="1:19" x14ac:dyDescent="0.3">
      <c r="A478">
        <v>3475.6</v>
      </c>
      <c r="B478">
        <v>38.843017000000003</v>
      </c>
      <c r="C478">
        <v>40.367744000000002</v>
      </c>
      <c r="D478">
        <v>41.719279</v>
      </c>
      <c r="E478">
        <v>30.921268999999999</v>
      </c>
      <c r="F478">
        <v>16.055263</v>
      </c>
      <c r="G478">
        <v>14.075124000000001</v>
      </c>
      <c r="H478">
        <v>14.680774</v>
      </c>
      <c r="I478"/>
      <c r="J478" s="1">
        <f t="shared" si="62"/>
        <v>32.921268999999995</v>
      </c>
      <c r="N478"/>
      <c r="O478"/>
      <c r="P478" s="1">
        <f t="shared" si="58"/>
        <v>46.354656504065034</v>
      </c>
      <c r="Q478" s="1">
        <f t="shared" si="59"/>
        <v>48.549829268292676</v>
      </c>
      <c r="R478" s="1">
        <f t="shared" si="60"/>
        <v>50.705219741001322</v>
      </c>
      <c r="S478" s="1">
        <f t="shared" si="61"/>
        <v>36.300563625204582</v>
      </c>
    </row>
    <row r="479" spans="1:19" x14ac:dyDescent="0.3">
      <c r="A479">
        <v>3475.8</v>
      </c>
      <c r="B479">
        <v>38.843017000000003</v>
      </c>
      <c r="C479">
        <v>40.367744000000002</v>
      </c>
      <c r="D479">
        <v>41.719279</v>
      </c>
      <c r="E479">
        <v>30.921268999999999</v>
      </c>
      <c r="F479">
        <v>16.055263</v>
      </c>
      <c r="G479">
        <v>14.075124000000001</v>
      </c>
      <c r="H479">
        <v>14.680774</v>
      </c>
      <c r="I479"/>
      <c r="J479" s="1">
        <f t="shared" si="62"/>
        <v>32.921268999999995</v>
      </c>
      <c r="N479"/>
      <c r="O479"/>
      <c r="P479" s="1">
        <f t="shared" si="58"/>
        <v>46.380893292682927</v>
      </c>
      <c r="Q479" s="1">
        <f t="shared" si="59"/>
        <v>48.53476930894309</v>
      </c>
      <c r="R479" s="1">
        <f t="shared" si="60"/>
        <v>50.693444478433769</v>
      </c>
      <c r="S479" s="1">
        <f t="shared" si="61"/>
        <v>36.310355973813415</v>
      </c>
    </row>
    <row r="480" spans="1:19" x14ac:dyDescent="0.3">
      <c r="A480">
        <v>3476</v>
      </c>
      <c r="B480">
        <v>38.822059000000003</v>
      </c>
      <c r="C480">
        <v>40.344583</v>
      </c>
      <c r="D480">
        <v>41.727544000000002</v>
      </c>
      <c r="E480">
        <v>30.946959</v>
      </c>
      <c r="F480">
        <v>16.210336000000002</v>
      </c>
      <c r="G480">
        <v>14.097172</v>
      </c>
      <c r="H480">
        <v>14.684708000000001</v>
      </c>
      <c r="I480" t="s">
        <v>56</v>
      </c>
      <c r="J480" s="1">
        <f t="shared" si="62"/>
        <v>32.946959</v>
      </c>
      <c r="N480"/>
      <c r="O480"/>
      <c r="P480" s="1">
        <f t="shared" si="58"/>
        <v>46.380893292682927</v>
      </c>
      <c r="Q480" s="1">
        <f t="shared" si="59"/>
        <v>48.53476930894309</v>
      </c>
      <c r="R480" s="1">
        <f t="shared" si="60"/>
        <v>50.693444478433769</v>
      </c>
      <c r="S480" s="1">
        <f t="shared" si="61"/>
        <v>36.310355973813415</v>
      </c>
    </row>
    <row r="481" spans="1:19" x14ac:dyDescent="0.3">
      <c r="A481">
        <v>3476.2</v>
      </c>
      <c r="B481">
        <v>38.822059000000003</v>
      </c>
      <c r="C481">
        <v>40.344583</v>
      </c>
      <c r="D481">
        <v>41.727544000000002</v>
      </c>
      <c r="E481">
        <v>30.946959</v>
      </c>
      <c r="F481">
        <v>16.210336000000002</v>
      </c>
      <c r="G481">
        <v>14.097172</v>
      </c>
      <c r="H481">
        <v>14.684708000000001</v>
      </c>
      <c r="I481"/>
      <c r="J481" s="1">
        <f t="shared" si="62"/>
        <v>32.946959</v>
      </c>
      <c r="N481"/>
      <c r="O481"/>
      <c r="P481" s="1">
        <f t="shared" si="58"/>
        <v>46.385546747967481</v>
      </c>
      <c r="Q481" s="1">
        <f t="shared" si="59"/>
        <v>48.534720528455281</v>
      </c>
      <c r="R481" s="1">
        <f t="shared" si="60"/>
        <v>50.672841847659832</v>
      </c>
      <c r="S481" s="1">
        <f t="shared" si="61"/>
        <v>36.304725859247135</v>
      </c>
    </row>
    <row r="482" spans="1:19" x14ac:dyDescent="0.3">
      <c r="A482">
        <v>3476.4</v>
      </c>
      <c r="B482">
        <v>38.812562</v>
      </c>
      <c r="C482">
        <v>40.342077000000003</v>
      </c>
      <c r="D482">
        <v>41.717216000000001</v>
      </c>
      <c r="E482">
        <v>30.949313</v>
      </c>
      <c r="F482">
        <v>16.220326</v>
      </c>
      <c r="G482">
        <v>14.113648</v>
      </c>
      <c r="H482">
        <v>14.700702</v>
      </c>
      <c r="I482"/>
      <c r="J482" s="1">
        <f t="shared" si="62"/>
        <v>32.949313000000004</v>
      </c>
      <c r="N482"/>
      <c r="O482"/>
      <c r="P482" s="1">
        <f t="shared" si="58"/>
        <v>46.385546747967481</v>
      </c>
      <c r="Q482" s="1">
        <f t="shared" si="59"/>
        <v>48.534720528455281</v>
      </c>
      <c r="R482" s="1">
        <f t="shared" si="60"/>
        <v>50.672841847659832</v>
      </c>
      <c r="S482" s="1">
        <f t="shared" si="61"/>
        <v>36.304725859247135</v>
      </c>
    </row>
    <row r="483" spans="1:19" x14ac:dyDescent="0.3">
      <c r="A483">
        <v>3476.6</v>
      </c>
      <c r="B483">
        <v>38.812562</v>
      </c>
      <c r="C483">
        <v>40.342077000000003</v>
      </c>
      <c r="D483">
        <v>41.717216000000001</v>
      </c>
      <c r="E483">
        <v>30.949313</v>
      </c>
      <c r="F483">
        <v>16.220326</v>
      </c>
      <c r="G483">
        <v>14.113648</v>
      </c>
      <c r="H483">
        <v>14.700702</v>
      </c>
      <c r="I483"/>
      <c r="J483" s="1">
        <f t="shared" si="62"/>
        <v>32.949313000000004</v>
      </c>
      <c r="N483"/>
      <c r="O483"/>
      <c r="P483" s="1">
        <f t="shared" si="58"/>
        <v>46.369533536585365</v>
      </c>
      <c r="Q483" s="1">
        <f t="shared" si="59"/>
        <v>48.532357723577235</v>
      </c>
      <c r="R483" s="1">
        <f t="shared" si="60"/>
        <v>50.687765881513201</v>
      </c>
      <c r="S483" s="1">
        <f t="shared" si="61"/>
        <v>36.301695990180029</v>
      </c>
    </row>
    <row r="484" spans="1:19" x14ac:dyDescent="0.3">
      <c r="A484">
        <v>3476.8</v>
      </c>
      <c r="B484">
        <v>38.790556000000002</v>
      </c>
      <c r="C484">
        <v>40.335456000000001</v>
      </c>
      <c r="D484">
        <v>41.699103000000001</v>
      </c>
      <c r="E484">
        <v>30.944965</v>
      </c>
      <c r="F484">
        <v>16.166974</v>
      </c>
      <c r="G484">
        <v>14.130402999999999</v>
      </c>
      <c r="H484">
        <v>14.711257</v>
      </c>
      <c r="I484"/>
      <c r="J484" s="1">
        <f t="shared" si="62"/>
        <v>32.944964999999996</v>
      </c>
      <c r="N484"/>
      <c r="O484"/>
      <c r="P484" s="1">
        <f t="shared" si="58"/>
        <v>46.369533536585365</v>
      </c>
      <c r="Q484" s="1">
        <f t="shared" si="59"/>
        <v>48.532357723577235</v>
      </c>
      <c r="R484" s="1">
        <f t="shared" si="60"/>
        <v>50.687765881513201</v>
      </c>
      <c r="S484" s="1">
        <f t="shared" si="61"/>
        <v>36.301695990180029</v>
      </c>
    </row>
    <row r="485" spans="1:19" x14ac:dyDescent="0.3">
      <c r="A485">
        <v>3477</v>
      </c>
      <c r="B485">
        <v>38.790556000000002</v>
      </c>
      <c r="C485">
        <v>40.335456000000001</v>
      </c>
      <c r="D485">
        <v>41.699103000000001</v>
      </c>
      <c r="E485">
        <v>30.944965</v>
      </c>
      <c r="F485">
        <v>16.166974</v>
      </c>
      <c r="G485">
        <v>14.130402999999999</v>
      </c>
      <c r="H485">
        <v>14.711257</v>
      </c>
      <c r="I485" t="s">
        <v>56</v>
      </c>
      <c r="J485" s="1">
        <f t="shared" si="62"/>
        <v>32.944964999999996</v>
      </c>
      <c r="N485"/>
      <c r="O485"/>
      <c r="P485" s="1">
        <f t="shared" si="58"/>
        <v>46.372427845528456</v>
      </c>
      <c r="Q485" s="1">
        <f t="shared" si="59"/>
        <v>48.524949186991869</v>
      </c>
      <c r="R485" s="1">
        <f t="shared" si="60"/>
        <v>50.678495972264706</v>
      </c>
      <c r="S485" s="1">
        <f t="shared" si="61"/>
        <v>36.305199468085107</v>
      </c>
    </row>
    <row r="486" spans="1:19" x14ac:dyDescent="0.3">
      <c r="A486">
        <v>3477.2</v>
      </c>
      <c r="B486">
        <v>38.816597999999999</v>
      </c>
      <c r="C486">
        <v>40.332213000000003</v>
      </c>
      <c r="D486">
        <v>41.720292000000001</v>
      </c>
      <c r="E486">
        <v>30.923461</v>
      </c>
      <c r="F486">
        <v>16.103753999999999</v>
      </c>
      <c r="G486">
        <v>14.120797</v>
      </c>
      <c r="H486">
        <v>14.694032</v>
      </c>
      <c r="I486"/>
      <c r="J486" s="1">
        <f t="shared" si="62"/>
        <v>32.923461000000003</v>
      </c>
      <c r="N486"/>
      <c r="O486"/>
      <c r="P486" s="1">
        <f t="shared" si="58"/>
        <v>46.372427845528456</v>
      </c>
      <c r="Q486" s="1">
        <f t="shared" si="59"/>
        <v>48.524949186991869</v>
      </c>
      <c r="R486" s="1">
        <f t="shared" si="60"/>
        <v>50.678495972264706</v>
      </c>
      <c r="S486" s="1">
        <f t="shared" si="61"/>
        <v>36.305199468085107</v>
      </c>
    </row>
    <row r="487" spans="1:19" x14ac:dyDescent="0.3">
      <c r="A487">
        <v>3477.4</v>
      </c>
      <c r="B487">
        <v>38.816597999999999</v>
      </c>
      <c r="C487">
        <v>40.332213000000003</v>
      </c>
      <c r="D487">
        <v>41.720292000000001</v>
      </c>
      <c r="E487">
        <v>30.923461</v>
      </c>
      <c r="F487">
        <v>16.103753999999999</v>
      </c>
      <c r="G487">
        <v>14.120797</v>
      </c>
      <c r="H487">
        <v>14.694032</v>
      </c>
      <c r="I487"/>
      <c r="J487" s="1">
        <f t="shared" si="62"/>
        <v>32.923461000000003</v>
      </c>
      <c r="N487"/>
      <c r="O487"/>
      <c r="P487" s="1">
        <f t="shared" si="58"/>
        <v>46.336315040650405</v>
      </c>
      <c r="Q487" s="1">
        <f t="shared" si="59"/>
        <v>48.506809959349589</v>
      </c>
      <c r="R487" s="1">
        <f t="shared" si="60"/>
        <v>50.681862955032116</v>
      </c>
      <c r="S487" s="1">
        <f t="shared" si="61"/>
        <v>36.302282119476267</v>
      </c>
    </row>
    <row r="488" spans="1:19" x14ac:dyDescent="0.3">
      <c r="A488">
        <v>3477.6</v>
      </c>
      <c r="B488">
        <v>38.815130000000003</v>
      </c>
      <c r="C488">
        <v>40.351571</v>
      </c>
      <c r="D488">
        <v>41.693036999999997</v>
      </c>
      <c r="E488">
        <v>30.925924999999999</v>
      </c>
      <c r="F488">
        <v>15.990288</v>
      </c>
      <c r="G488">
        <v>14.16484</v>
      </c>
      <c r="H488">
        <v>14.714238</v>
      </c>
      <c r="I488"/>
      <c r="J488" s="1">
        <f t="shared" si="62"/>
        <v>32.925924999999999</v>
      </c>
      <c r="N488"/>
      <c r="O488"/>
      <c r="P488" s="1">
        <f t="shared" si="58"/>
        <v>46.336315040650405</v>
      </c>
      <c r="Q488" s="1">
        <f t="shared" si="59"/>
        <v>48.506809959349589</v>
      </c>
      <c r="R488" s="1">
        <f t="shared" si="60"/>
        <v>50.681862955032116</v>
      </c>
      <c r="S488" s="1">
        <f t="shared" si="61"/>
        <v>36.302282119476267</v>
      </c>
    </row>
    <row r="489" spans="1:19" x14ac:dyDescent="0.3">
      <c r="A489">
        <v>3477.8</v>
      </c>
      <c r="B489">
        <v>38.815130000000003</v>
      </c>
      <c r="C489">
        <v>40.351571</v>
      </c>
      <c r="D489">
        <v>41.693036999999997</v>
      </c>
      <c r="E489">
        <v>30.925924999999999</v>
      </c>
      <c r="F489">
        <v>15.990288</v>
      </c>
      <c r="G489">
        <v>14.16484</v>
      </c>
      <c r="H489">
        <v>14.714238</v>
      </c>
      <c r="I489"/>
      <c r="J489" s="1">
        <f t="shared" si="62"/>
        <v>32.925924999999999</v>
      </c>
      <c r="N489"/>
      <c r="O489"/>
      <c r="P489" s="1">
        <f t="shared" si="58"/>
        <v>46.36839227642276</v>
      </c>
      <c r="Q489" s="1">
        <f t="shared" si="59"/>
        <v>48.534963414634149</v>
      </c>
      <c r="R489" s="1">
        <f t="shared" si="60"/>
        <v>50.687566024268371</v>
      </c>
      <c r="S489" s="1">
        <f t="shared" si="61"/>
        <v>36.273155687397704</v>
      </c>
    </row>
    <row r="490" spans="1:19" x14ac:dyDescent="0.3">
      <c r="A490">
        <v>3478</v>
      </c>
      <c r="B490">
        <v>38.818333000000003</v>
      </c>
      <c r="C490">
        <v>40.356608000000001</v>
      </c>
      <c r="D490">
        <v>41.695287999999998</v>
      </c>
      <c r="E490">
        <v>30.923769</v>
      </c>
      <c r="F490">
        <v>15.940194</v>
      </c>
      <c r="G490">
        <v>14.139525000000001</v>
      </c>
      <c r="H490">
        <v>14.708465</v>
      </c>
      <c r="I490" t="s">
        <v>56</v>
      </c>
      <c r="J490" s="1">
        <f t="shared" si="62"/>
        <v>32.923769</v>
      </c>
      <c r="N490"/>
      <c r="O490"/>
      <c r="P490" s="1">
        <f t="shared" si="58"/>
        <v>46.36839227642276</v>
      </c>
      <c r="Q490" s="1">
        <f t="shared" si="59"/>
        <v>48.534963414634149</v>
      </c>
      <c r="R490" s="1">
        <f t="shared" si="60"/>
        <v>50.687566024268371</v>
      </c>
      <c r="S490" s="1">
        <f t="shared" si="61"/>
        <v>36.273155687397704</v>
      </c>
    </row>
    <row r="491" spans="1:19" x14ac:dyDescent="0.3">
      <c r="A491">
        <v>3478.2</v>
      </c>
      <c r="B491">
        <v>38.818333000000003</v>
      </c>
      <c r="C491">
        <v>40.356608000000001</v>
      </c>
      <c r="D491">
        <v>41.695287999999998</v>
      </c>
      <c r="E491">
        <v>30.923769</v>
      </c>
      <c r="F491">
        <v>15.940194</v>
      </c>
      <c r="G491">
        <v>14.139525000000001</v>
      </c>
      <c r="H491">
        <v>14.708465</v>
      </c>
      <c r="I491"/>
      <c r="J491" s="1">
        <f t="shared" si="62"/>
        <v>32.923769</v>
      </c>
      <c r="N491"/>
      <c r="O491"/>
      <c r="P491" s="1">
        <f t="shared" ref="P491:P554" si="63">(B473+Q$36)/P$36</f>
        <v>46.397670731707315</v>
      </c>
      <c r="Q491" s="1">
        <f t="shared" ref="Q491:Q554" si="64">(C473+Q$36)/P$36</f>
        <v>48.532747967479672</v>
      </c>
      <c r="R491" s="1">
        <f t="shared" ref="R491:R554" si="65">(D473+Q$38)/P$38</f>
        <v>50.66993677985112</v>
      </c>
      <c r="S491" s="1">
        <f t="shared" ref="S491:S554" si="66">(E473+Q$39)/P$39</f>
        <v>36.314942716857608</v>
      </c>
    </row>
    <row r="492" spans="1:19" x14ac:dyDescent="0.3">
      <c r="A492">
        <v>3478.4</v>
      </c>
      <c r="B492">
        <v>38.837426999999998</v>
      </c>
      <c r="C492">
        <v>40.354318999999997</v>
      </c>
      <c r="D492">
        <v>41.690705000000001</v>
      </c>
      <c r="E492">
        <v>30.926742000000001</v>
      </c>
      <c r="F492">
        <v>15.972951</v>
      </c>
      <c r="G492">
        <v>14.164512</v>
      </c>
      <c r="H492">
        <v>14.725344</v>
      </c>
      <c r="I492"/>
      <c r="J492" s="1">
        <f t="shared" si="62"/>
        <v>32.926742000000004</v>
      </c>
      <c r="N492"/>
      <c r="O492"/>
      <c r="P492" s="1">
        <f t="shared" si="63"/>
        <v>46.397670731707315</v>
      </c>
      <c r="Q492" s="1">
        <f t="shared" si="64"/>
        <v>48.532747967479672</v>
      </c>
      <c r="R492" s="1">
        <f t="shared" si="65"/>
        <v>50.66993677985112</v>
      </c>
      <c r="S492" s="1">
        <f t="shared" si="66"/>
        <v>36.314942716857608</v>
      </c>
    </row>
    <row r="493" spans="1:19" x14ac:dyDescent="0.3">
      <c r="A493">
        <v>3478.6</v>
      </c>
      <c r="B493">
        <v>38.837426999999998</v>
      </c>
      <c r="C493">
        <v>40.354318999999997</v>
      </c>
      <c r="D493">
        <v>41.690705000000001</v>
      </c>
      <c r="E493">
        <v>30.926742000000001</v>
      </c>
      <c r="F493">
        <v>15.972951</v>
      </c>
      <c r="G493">
        <v>14.164512</v>
      </c>
      <c r="H493">
        <v>14.725344</v>
      </c>
      <c r="I493"/>
      <c r="J493" s="1">
        <f t="shared" si="62"/>
        <v>32.926742000000004</v>
      </c>
      <c r="N493"/>
      <c r="O493"/>
      <c r="P493" s="1">
        <f t="shared" si="63"/>
        <v>40.292432926829271</v>
      </c>
      <c r="Q493" s="1">
        <f t="shared" si="64"/>
        <v>41.831978658536585</v>
      </c>
      <c r="R493" s="1">
        <f t="shared" si="65"/>
        <v>43.351148159477923</v>
      </c>
      <c r="S493" s="1">
        <f t="shared" si="66"/>
        <v>32.57698956628478</v>
      </c>
    </row>
    <row r="494" spans="1:19" x14ac:dyDescent="0.3">
      <c r="A494">
        <v>3478.8</v>
      </c>
      <c r="B494">
        <v>38.863695999999997</v>
      </c>
      <c r="C494">
        <v>40.35454</v>
      </c>
      <c r="D494">
        <v>41.683553000000003</v>
      </c>
      <c r="E494">
        <v>30.932846000000001</v>
      </c>
      <c r="F494">
        <v>16.078589000000001</v>
      </c>
      <c r="G494">
        <v>14.191898999999999</v>
      </c>
      <c r="H494">
        <v>14.736523</v>
      </c>
      <c r="I494"/>
      <c r="J494" s="1">
        <f t="shared" si="62"/>
        <v>32.932845999999998</v>
      </c>
      <c r="N494"/>
      <c r="O494"/>
      <c r="P494" s="1">
        <f t="shared" si="63"/>
        <v>40.260640243902436</v>
      </c>
      <c r="Q494" s="1">
        <f t="shared" si="64"/>
        <v>41.823393292682923</v>
      </c>
      <c r="R494" s="1">
        <f t="shared" si="65"/>
        <v>43.358542877536458</v>
      </c>
      <c r="S494" s="1">
        <f t="shared" si="66"/>
        <v>32.602319967266773</v>
      </c>
    </row>
    <row r="495" spans="1:19" x14ac:dyDescent="0.3">
      <c r="A495">
        <v>3479</v>
      </c>
      <c r="B495">
        <v>38.863695999999997</v>
      </c>
      <c r="C495">
        <v>40.35454</v>
      </c>
      <c r="D495">
        <v>41.683553000000003</v>
      </c>
      <c r="E495">
        <v>30.932846000000001</v>
      </c>
      <c r="F495">
        <v>16.078589000000001</v>
      </c>
      <c r="G495">
        <v>14.191898999999999</v>
      </c>
      <c r="H495">
        <v>14.736523</v>
      </c>
      <c r="I495" t="s">
        <v>56</v>
      </c>
      <c r="J495" s="1">
        <f t="shared" si="62"/>
        <v>32.932845999999998</v>
      </c>
      <c r="N495"/>
      <c r="O495"/>
      <c r="P495" s="1">
        <f t="shared" si="63"/>
        <v>40.260640243902436</v>
      </c>
      <c r="Q495" s="1">
        <f t="shared" si="64"/>
        <v>41.823393292682923</v>
      </c>
      <c r="R495" s="1">
        <f t="shared" si="65"/>
        <v>43.358542877536458</v>
      </c>
      <c r="S495" s="1">
        <f t="shared" si="66"/>
        <v>32.602319967266773</v>
      </c>
    </row>
    <row r="496" spans="1:19" x14ac:dyDescent="0.3">
      <c r="A496">
        <v>3479.2</v>
      </c>
      <c r="B496">
        <v>38.818091000000003</v>
      </c>
      <c r="C496">
        <v>40.322130999999999</v>
      </c>
      <c r="D496">
        <v>41.704723000000001</v>
      </c>
      <c r="E496">
        <v>30.942098000000001</v>
      </c>
      <c r="F496">
        <v>16.101058999999999</v>
      </c>
      <c r="G496">
        <v>14.202507000000001</v>
      </c>
      <c r="H496">
        <v>14.752844</v>
      </c>
      <c r="I496"/>
      <c r="J496" s="1">
        <f t="shared" si="62"/>
        <v>32.942098000000001</v>
      </c>
      <c r="N496"/>
      <c r="O496"/>
      <c r="P496" s="1">
        <f t="shared" si="63"/>
        <v>40.273899390243905</v>
      </c>
      <c r="Q496" s="1">
        <f t="shared" si="64"/>
        <v>41.823418699186988</v>
      </c>
      <c r="R496" s="1">
        <f t="shared" si="65"/>
        <v>43.366553482206584</v>
      </c>
      <c r="S496" s="1">
        <f t="shared" si="66"/>
        <v>32.574743248772499</v>
      </c>
    </row>
    <row r="497" spans="1:19" x14ac:dyDescent="0.3">
      <c r="A497">
        <v>3479.4</v>
      </c>
      <c r="B497">
        <v>38.818091000000003</v>
      </c>
      <c r="C497">
        <v>40.322130999999999</v>
      </c>
      <c r="D497">
        <v>41.704723000000001</v>
      </c>
      <c r="E497">
        <v>30.942098000000001</v>
      </c>
      <c r="F497">
        <v>16.101058999999999</v>
      </c>
      <c r="G497">
        <v>14.202507000000001</v>
      </c>
      <c r="H497">
        <v>14.752844</v>
      </c>
      <c r="I497"/>
      <c r="J497" s="1">
        <f t="shared" si="62"/>
        <v>32.942098000000001</v>
      </c>
      <c r="N497"/>
      <c r="O497"/>
      <c r="P497" s="1">
        <f t="shared" si="63"/>
        <v>40.273899390243905</v>
      </c>
      <c r="Q497" s="1">
        <f t="shared" si="64"/>
        <v>41.823418699186988</v>
      </c>
      <c r="R497" s="1">
        <f t="shared" si="65"/>
        <v>43.366553482206584</v>
      </c>
      <c r="S497" s="1">
        <f t="shared" si="66"/>
        <v>32.574743248772499</v>
      </c>
    </row>
    <row r="498" spans="1:19" x14ac:dyDescent="0.3">
      <c r="A498">
        <v>3479.6</v>
      </c>
      <c r="B498">
        <v>38.778899000000003</v>
      </c>
      <c r="C498">
        <v>40.351157000000001</v>
      </c>
      <c r="D498">
        <v>41.699534999999997</v>
      </c>
      <c r="E498">
        <v>30.928920000000002</v>
      </c>
      <c r="F498">
        <v>16.000741000000001</v>
      </c>
      <c r="G498">
        <v>14.218464000000001</v>
      </c>
      <c r="H498">
        <v>14.763078</v>
      </c>
      <c r="I498"/>
      <c r="J498" s="1">
        <f t="shared" si="62"/>
        <v>32.928920000000005</v>
      </c>
      <c r="N498"/>
      <c r="O498"/>
      <c r="P498" s="1">
        <f t="shared" si="63"/>
        <v>40.252600609756101</v>
      </c>
      <c r="Q498" s="1">
        <f t="shared" si="64"/>
        <v>41.79988109756097</v>
      </c>
      <c r="R498" s="1">
        <f t="shared" si="65"/>
        <v>43.374981135923321</v>
      </c>
      <c r="S498" s="1">
        <f t="shared" si="66"/>
        <v>32.601021890343695</v>
      </c>
    </row>
    <row r="499" spans="1:19" x14ac:dyDescent="0.3">
      <c r="A499">
        <v>3479.8</v>
      </c>
      <c r="B499">
        <v>38.778899000000003</v>
      </c>
      <c r="C499">
        <v>40.351157000000001</v>
      </c>
      <c r="D499">
        <v>41.699534999999997</v>
      </c>
      <c r="E499">
        <v>30.928920000000002</v>
      </c>
      <c r="F499">
        <v>16.000741000000001</v>
      </c>
      <c r="G499">
        <v>14.218464000000001</v>
      </c>
      <c r="H499">
        <v>14.763078</v>
      </c>
      <c r="I499"/>
      <c r="J499" s="1">
        <f t="shared" si="62"/>
        <v>32.928920000000005</v>
      </c>
      <c r="N499"/>
      <c r="O499"/>
      <c r="P499" s="1">
        <f t="shared" si="63"/>
        <v>40.252600609756101</v>
      </c>
      <c r="Q499" s="1">
        <f t="shared" si="64"/>
        <v>41.79988109756097</v>
      </c>
      <c r="R499" s="1">
        <f t="shared" si="65"/>
        <v>43.374981135923321</v>
      </c>
      <c r="S499" s="1">
        <f t="shared" si="66"/>
        <v>32.601021890343695</v>
      </c>
    </row>
    <row r="500" spans="1:19" x14ac:dyDescent="0.3">
      <c r="A500">
        <v>3480</v>
      </c>
      <c r="B500">
        <v>38.802591999999997</v>
      </c>
      <c r="C500">
        <v>40.304864000000002</v>
      </c>
      <c r="D500">
        <v>41.678313000000003</v>
      </c>
      <c r="E500">
        <v>30.912030999999999</v>
      </c>
      <c r="F500">
        <v>15.946811</v>
      </c>
      <c r="G500">
        <v>14.240855</v>
      </c>
      <c r="H500">
        <v>14.781650000000001</v>
      </c>
      <c r="I500" t="s">
        <v>56</v>
      </c>
      <c r="J500" s="1">
        <f t="shared" si="62"/>
        <v>32.912030999999999</v>
      </c>
      <c r="N500"/>
      <c r="O500"/>
      <c r="P500" s="1">
        <f t="shared" si="63"/>
        <v>40.242949186991865</v>
      </c>
      <c r="Q500" s="1">
        <f t="shared" si="64"/>
        <v>41.797334349593498</v>
      </c>
      <c r="R500" s="1">
        <f t="shared" si="65"/>
        <v>43.364449882736821</v>
      </c>
      <c r="S500" s="1">
        <f t="shared" si="66"/>
        <v>32.603429828150574</v>
      </c>
    </row>
    <row r="501" spans="1:19" x14ac:dyDescent="0.3">
      <c r="A501">
        <v>3480.2</v>
      </c>
      <c r="B501">
        <v>38.802591999999997</v>
      </c>
      <c r="C501">
        <v>40.304864000000002</v>
      </c>
      <c r="D501">
        <v>41.678313000000003</v>
      </c>
      <c r="E501">
        <v>30.912030999999999</v>
      </c>
      <c r="F501">
        <v>15.946811</v>
      </c>
      <c r="G501">
        <v>14.240855</v>
      </c>
      <c r="H501">
        <v>14.781650000000001</v>
      </c>
      <c r="I501"/>
      <c r="J501" s="1">
        <f t="shared" si="62"/>
        <v>32.912030999999999</v>
      </c>
      <c r="N501"/>
      <c r="O501"/>
      <c r="P501" s="1">
        <f t="shared" si="63"/>
        <v>40.242949186991865</v>
      </c>
      <c r="Q501" s="1">
        <f t="shared" si="64"/>
        <v>41.797334349593498</v>
      </c>
      <c r="R501" s="1">
        <f t="shared" si="65"/>
        <v>43.364449882736821</v>
      </c>
      <c r="S501" s="1">
        <f t="shared" si="66"/>
        <v>32.603429828150574</v>
      </c>
    </row>
    <row r="502" spans="1:19" x14ac:dyDescent="0.3">
      <c r="A502">
        <v>3480.4</v>
      </c>
      <c r="B502">
        <v>38.844821000000003</v>
      </c>
      <c r="C502">
        <v>40.339928999999998</v>
      </c>
      <c r="D502">
        <v>41.676833999999999</v>
      </c>
      <c r="E502">
        <v>30.941873999999999</v>
      </c>
      <c r="F502">
        <v>15.947858</v>
      </c>
      <c r="G502">
        <v>14.212334999999999</v>
      </c>
      <c r="H502">
        <v>14.770289999999999</v>
      </c>
      <c r="I502"/>
      <c r="J502" s="1">
        <f t="shared" si="62"/>
        <v>32.941873999999999</v>
      </c>
      <c r="N502"/>
      <c r="O502"/>
      <c r="P502" s="1">
        <f t="shared" si="63"/>
        <v>40.220585365853658</v>
      </c>
      <c r="Q502" s="1">
        <f t="shared" si="64"/>
        <v>41.790605691056911</v>
      </c>
      <c r="R502" s="1">
        <f t="shared" si="65"/>
        <v>43.345980422147441</v>
      </c>
      <c r="S502" s="1">
        <f t="shared" si="66"/>
        <v>32.598982201309326</v>
      </c>
    </row>
    <row r="503" spans="1:19" x14ac:dyDescent="0.3">
      <c r="A503">
        <v>3480.6</v>
      </c>
      <c r="B503">
        <v>38.844821000000003</v>
      </c>
      <c r="C503">
        <v>40.339928999999998</v>
      </c>
      <c r="D503">
        <v>41.676833999999999</v>
      </c>
      <c r="E503">
        <v>30.941873999999999</v>
      </c>
      <c r="F503">
        <v>15.947858</v>
      </c>
      <c r="G503">
        <v>14.212334999999999</v>
      </c>
      <c r="H503">
        <v>14.770289999999999</v>
      </c>
      <c r="I503"/>
      <c r="J503" s="1">
        <f t="shared" si="62"/>
        <v>32.941873999999999</v>
      </c>
      <c r="N503"/>
      <c r="O503"/>
      <c r="P503" s="1">
        <f t="shared" si="63"/>
        <v>40.220585365853658</v>
      </c>
      <c r="Q503" s="1">
        <f t="shared" si="64"/>
        <v>41.790605691056911</v>
      </c>
      <c r="R503" s="1">
        <f t="shared" si="65"/>
        <v>43.345980422147441</v>
      </c>
      <c r="S503" s="1">
        <f t="shared" si="66"/>
        <v>32.598982201309326</v>
      </c>
    </row>
    <row r="504" spans="1:19" x14ac:dyDescent="0.3">
      <c r="A504">
        <v>3480.8</v>
      </c>
      <c r="B504">
        <v>38.821705999999999</v>
      </c>
      <c r="C504">
        <v>40.314160999999999</v>
      </c>
      <c r="D504">
        <v>41.688493000000001</v>
      </c>
      <c r="E504">
        <v>30.937365</v>
      </c>
      <c r="F504">
        <v>16.004208999999999</v>
      </c>
      <c r="G504">
        <v>14.232827</v>
      </c>
      <c r="H504">
        <v>14.798873</v>
      </c>
      <c r="I504"/>
      <c r="J504" s="1">
        <f t="shared" si="62"/>
        <v>32.937365</v>
      </c>
      <c r="N504"/>
      <c r="O504"/>
      <c r="P504" s="1">
        <f t="shared" si="63"/>
        <v>40.247050813008123</v>
      </c>
      <c r="Q504" s="1">
        <f t="shared" si="64"/>
        <v>41.787309959349592</v>
      </c>
      <c r="R504" s="1">
        <f t="shared" si="65"/>
        <v>43.367586417864786</v>
      </c>
      <c r="S504" s="1">
        <f t="shared" si="66"/>
        <v>32.576985474631748</v>
      </c>
    </row>
    <row r="505" spans="1:19" x14ac:dyDescent="0.3">
      <c r="A505">
        <v>3481</v>
      </c>
      <c r="B505">
        <v>38.821705999999999</v>
      </c>
      <c r="C505">
        <v>40.314160999999999</v>
      </c>
      <c r="D505">
        <v>41.688493000000001</v>
      </c>
      <c r="E505">
        <v>30.937365</v>
      </c>
      <c r="F505">
        <v>16.004208999999999</v>
      </c>
      <c r="G505">
        <v>14.232827</v>
      </c>
      <c r="H505">
        <v>14.798873</v>
      </c>
      <c r="I505" t="s">
        <v>56</v>
      </c>
      <c r="J505" s="1">
        <f t="shared" si="62"/>
        <v>32.937365</v>
      </c>
      <c r="N505"/>
      <c r="O505"/>
      <c r="P505" s="1">
        <f t="shared" si="63"/>
        <v>40.247050813008123</v>
      </c>
      <c r="Q505" s="1">
        <f t="shared" si="64"/>
        <v>41.787309959349592</v>
      </c>
      <c r="R505" s="1">
        <f t="shared" si="65"/>
        <v>43.367586417864786</v>
      </c>
      <c r="S505" s="1">
        <f t="shared" si="66"/>
        <v>32.576985474631748</v>
      </c>
    </row>
    <row r="506" spans="1:19" x14ac:dyDescent="0.3">
      <c r="A506">
        <v>3481.2</v>
      </c>
      <c r="B506">
        <v>38.799675000000001</v>
      </c>
      <c r="C506">
        <v>40.325558000000001</v>
      </c>
      <c r="D506">
        <v>41.698</v>
      </c>
      <c r="E506">
        <v>30.919084000000002</v>
      </c>
      <c r="F506">
        <v>16.003112000000002</v>
      </c>
      <c r="G506">
        <v>14.230797000000001</v>
      </c>
      <c r="H506">
        <v>14.778741999999999</v>
      </c>
      <c r="I506"/>
      <c r="J506" s="1">
        <f t="shared" si="62"/>
        <v>32.919083999999998</v>
      </c>
      <c r="N506"/>
      <c r="O506"/>
      <c r="P506" s="1">
        <f t="shared" si="63"/>
        <v>40.245558943089435</v>
      </c>
      <c r="Q506" s="1">
        <f t="shared" si="64"/>
        <v>41.806982723577235</v>
      </c>
      <c r="R506" s="1">
        <f t="shared" si="65"/>
        <v>43.339795044356066</v>
      </c>
      <c r="S506" s="1">
        <f t="shared" si="66"/>
        <v>32.579505932896886</v>
      </c>
    </row>
    <row r="507" spans="1:19" x14ac:dyDescent="0.3">
      <c r="A507">
        <v>3481.4</v>
      </c>
      <c r="B507">
        <v>38.799675000000001</v>
      </c>
      <c r="C507">
        <v>40.325558000000001</v>
      </c>
      <c r="D507">
        <v>41.698</v>
      </c>
      <c r="E507">
        <v>30.919084000000002</v>
      </c>
      <c r="F507">
        <v>16.003112000000002</v>
      </c>
      <c r="G507">
        <v>14.230797000000001</v>
      </c>
      <c r="H507">
        <v>14.778741999999999</v>
      </c>
      <c r="I507"/>
      <c r="J507" s="1">
        <f t="shared" si="62"/>
        <v>32.919083999999998</v>
      </c>
      <c r="N507"/>
      <c r="O507"/>
      <c r="P507" s="1">
        <f t="shared" si="63"/>
        <v>40.245558943089435</v>
      </c>
      <c r="Q507" s="1">
        <f t="shared" si="64"/>
        <v>41.806982723577235</v>
      </c>
      <c r="R507" s="1">
        <f t="shared" si="65"/>
        <v>43.339795044356066</v>
      </c>
      <c r="S507" s="1">
        <f t="shared" si="66"/>
        <v>32.579505932896886</v>
      </c>
    </row>
    <row r="508" spans="1:19" x14ac:dyDescent="0.3">
      <c r="A508">
        <v>3481.6</v>
      </c>
      <c r="B508">
        <v>38.809883999999997</v>
      </c>
      <c r="C508">
        <v>40.333399</v>
      </c>
      <c r="D508">
        <v>41.661116</v>
      </c>
      <c r="E508">
        <v>30.934238000000001</v>
      </c>
      <c r="F508">
        <v>16.009905</v>
      </c>
      <c r="G508">
        <v>14.238415</v>
      </c>
      <c r="H508">
        <v>14.786833</v>
      </c>
      <c r="I508"/>
      <c r="J508" s="1">
        <f t="shared" si="62"/>
        <v>32.934238000000001</v>
      </c>
      <c r="N508"/>
      <c r="O508"/>
      <c r="P508" s="1">
        <f t="shared" si="63"/>
        <v>40.248814024390242</v>
      </c>
      <c r="Q508" s="1">
        <f t="shared" si="64"/>
        <v>41.812101626016258</v>
      </c>
      <c r="R508" s="1">
        <f t="shared" si="65"/>
        <v>43.342090343632094</v>
      </c>
      <c r="S508" s="1">
        <f t="shared" si="66"/>
        <v>32.577300531914894</v>
      </c>
    </row>
    <row r="509" spans="1:19" x14ac:dyDescent="0.3">
      <c r="A509">
        <v>3481.8</v>
      </c>
      <c r="B509">
        <v>38.809883999999997</v>
      </c>
      <c r="C509">
        <v>40.333399</v>
      </c>
      <c r="D509">
        <v>41.661116</v>
      </c>
      <c r="E509">
        <v>30.934238000000001</v>
      </c>
      <c r="F509">
        <v>16.009905</v>
      </c>
      <c r="G509">
        <v>14.238415</v>
      </c>
      <c r="H509">
        <v>14.786833</v>
      </c>
      <c r="I509"/>
      <c r="J509" s="1">
        <f t="shared" si="62"/>
        <v>32.934238000000001</v>
      </c>
      <c r="N509"/>
      <c r="O509"/>
      <c r="P509" s="1">
        <f t="shared" si="63"/>
        <v>40.248814024390242</v>
      </c>
      <c r="Q509" s="1">
        <f t="shared" si="64"/>
        <v>41.812101626016258</v>
      </c>
      <c r="R509" s="1">
        <f t="shared" si="65"/>
        <v>43.342090343632094</v>
      </c>
      <c r="S509" s="1">
        <f t="shared" si="66"/>
        <v>32.577300531914894</v>
      </c>
    </row>
    <row r="510" spans="1:19" x14ac:dyDescent="0.3">
      <c r="A510">
        <v>3482</v>
      </c>
      <c r="B510">
        <v>38.821385999999997</v>
      </c>
      <c r="C510">
        <v>40.343915000000003</v>
      </c>
      <c r="D510">
        <v>41.666521000000003</v>
      </c>
      <c r="E510">
        <v>30.934968000000001</v>
      </c>
      <c r="F510">
        <v>16.015633999999999</v>
      </c>
      <c r="G510">
        <v>14.246893999999999</v>
      </c>
      <c r="H510">
        <v>14.811982</v>
      </c>
      <c r="I510" t="s">
        <v>56</v>
      </c>
      <c r="J510" s="1">
        <f t="shared" si="62"/>
        <v>32.934967999999998</v>
      </c>
      <c r="N510"/>
      <c r="O510"/>
      <c r="P510" s="1">
        <f t="shared" si="63"/>
        <v>40.268218495934953</v>
      </c>
      <c r="Q510" s="1">
        <f t="shared" si="64"/>
        <v>41.809775406504059</v>
      </c>
      <c r="R510" s="1">
        <f t="shared" si="65"/>
        <v>43.337417151014577</v>
      </c>
      <c r="S510" s="1">
        <f t="shared" si="66"/>
        <v>32.580341653027823</v>
      </c>
    </row>
    <row r="511" spans="1:19" x14ac:dyDescent="0.3">
      <c r="A511">
        <v>3482.2</v>
      </c>
      <c r="B511">
        <v>38.821385999999997</v>
      </c>
      <c r="C511">
        <v>40.343915000000003</v>
      </c>
      <c r="D511">
        <v>41.666521000000003</v>
      </c>
      <c r="E511">
        <v>30.934968000000001</v>
      </c>
      <c r="F511">
        <v>16.015633999999999</v>
      </c>
      <c r="G511">
        <v>14.246893999999999</v>
      </c>
      <c r="H511">
        <v>14.811982</v>
      </c>
      <c r="I511"/>
      <c r="J511" s="1">
        <f t="shared" si="62"/>
        <v>32.934967999999998</v>
      </c>
      <c r="N511"/>
      <c r="O511"/>
      <c r="P511" s="1">
        <f t="shared" si="63"/>
        <v>40.268218495934953</v>
      </c>
      <c r="Q511" s="1">
        <f t="shared" si="64"/>
        <v>41.809775406504059</v>
      </c>
      <c r="R511" s="1">
        <f t="shared" si="65"/>
        <v>43.337417151014577</v>
      </c>
      <c r="S511" s="1">
        <f t="shared" si="66"/>
        <v>32.580341653027823</v>
      </c>
    </row>
    <row r="512" spans="1:19" x14ac:dyDescent="0.3">
      <c r="A512">
        <v>3482.4</v>
      </c>
      <c r="B512">
        <v>38.825964999999997</v>
      </c>
      <c r="C512">
        <v>40.313307999999999</v>
      </c>
      <c r="D512">
        <v>41.661380999999999</v>
      </c>
      <c r="E512">
        <v>30.941647</v>
      </c>
      <c r="F512">
        <v>16.098054000000001</v>
      </c>
      <c r="G512">
        <v>14.256270000000001</v>
      </c>
      <c r="H512">
        <v>14.797535</v>
      </c>
      <c r="I512"/>
      <c r="J512" s="1">
        <f t="shared" si="62"/>
        <v>32.941647000000003</v>
      </c>
      <c r="N512"/>
      <c r="O512"/>
      <c r="P512" s="1">
        <f t="shared" si="63"/>
        <v>40.294914634146338</v>
      </c>
      <c r="Q512" s="1">
        <f t="shared" si="64"/>
        <v>41.809999999999995</v>
      </c>
      <c r="R512" s="1">
        <f t="shared" si="65"/>
        <v>43.330124400938104</v>
      </c>
      <c r="S512" s="1">
        <f t="shared" si="66"/>
        <v>32.586585515548279</v>
      </c>
    </row>
    <row r="513" spans="1:19" x14ac:dyDescent="0.3">
      <c r="A513">
        <v>3482.6</v>
      </c>
      <c r="B513">
        <v>38.825964999999997</v>
      </c>
      <c r="C513">
        <v>40.313307999999999</v>
      </c>
      <c r="D513">
        <v>41.661380999999999</v>
      </c>
      <c r="E513">
        <v>30.941647</v>
      </c>
      <c r="F513">
        <v>16.098054000000001</v>
      </c>
      <c r="G513">
        <v>14.256270000000001</v>
      </c>
      <c r="H513">
        <v>14.797535</v>
      </c>
      <c r="I513"/>
      <c r="J513" s="1">
        <f t="shared" si="62"/>
        <v>32.941647000000003</v>
      </c>
      <c r="N513"/>
      <c r="O513"/>
      <c r="P513" s="1">
        <f t="shared" si="63"/>
        <v>40.294914634146338</v>
      </c>
      <c r="Q513" s="1">
        <f t="shared" si="64"/>
        <v>41.809999999999995</v>
      </c>
      <c r="R513" s="1">
        <f t="shared" si="65"/>
        <v>43.330124400938104</v>
      </c>
      <c r="S513" s="1">
        <f t="shared" si="66"/>
        <v>32.586585515548279</v>
      </c>
    </row>
    <row r="514" spans="1:19" x14ac:dyDescent="0.3">
      <c r="A514">
        <v>3482.8</v>
      </c>
      <c r="B514">
        <v>38.793725999999999</v>
      </c>
      <c r="C514">
        <v>40.320103000000003</v>
      </c>
      <c r="D514">
        <v>41.681510000000003</v>
      </c>
      <c r="E514">
        <v>30.941514999999999</v>
      </c>
      <c r="F514">
        <v>16.249880999999998</v>
      </c>
      <c r="G514">
        <v>14.282282</v>
      </c>
      <c r="H514">
        <v>14.819251</v>
      </c>
      <c r="I514"/>
      <c r="J514" s="1">
        <f t="shared" si="62"/>
        <v>32.941514999999995</v>
      </c>
      <c r="N514"/>
      <c r="O514"/>
      <c r="P514" s="1">
        <f t="shared" si="63"/>
        <v>40.248568089430897</v>
      </c>
      <c r="Q514" s="1">
        <f t="shared" si="64"/>
        <v>41.777064024390242</v>
      </c>
      <c r="R514" s="1">
        <f t="shared" si="65"/>
        <v>43.351711022738861</v>
      </c>
      <c r="S514" s="1">
        <f t="shared" si="66"/>
        <v>32.596049509001638</v>
      </c>
    </row>
    <row r="515" spans="1:19" x14ac:dyDescent="0.3">
      <c r="A515">
        <v>3483</v>
      </c>
      <c r="B515">
        <v>38.793725999999999</v>
      </c>
      <c r="C515">
        <v>40.320103000000003</v>
      </c>
      <c r="D515">
        <v>41.681510000000003</v>
      </c>
      <c r="E515">
        <v>30.941514999999999</v>
      </c>
      <c r="F515">
        <v>16.249880999999998</v>
      </c>
      <c r="G515">
        <v>14.282282</v>
      </c>
      <c r="H515">
        <v>14.819251</v>
      </c>
      <c r="I515" t="s">
        <v>56</v>
      </c>
      <c r="J515" s="1">
        <f t="shared" si="62"/>
        <v>32.941514999999995</v>
      </c>
      <c r="N515"/>
      <c r="O515"/>
      <c r="P515" s="1">
        <f t="shared" si="63"/>
        <v>40.248568089430897</v>
      </c>
      <c r="Q515" s="1">
        <f t="shared" si="64"/>
        <v>41.777064024390242</v>
      </c>
      <c r="R515" s="1">
        <f t="shared" si="65"/>
        <v>43.351711022738861</v>
      </c>
      <c r="S515" s="1">
        <f t="shared" si="66"/>
        <v>32.596049509001638</v>
      </c>
    </row>
    <row r="516" spans="1:19" x14ac:dyDescent="0.3">
      <c r="A516">
        <v>3483.2</v>
      </c>
      <c r="B516">
        <v>38.77169</v>
      </c>
      <c r="C516">
        <v>40.328719999999997</v>
      </c>
      <c r="D516">
        <v>41.655073999999999</v>
      </c>
      <c r="E516">
        <v>30.932504000000002</v>
      </c>
      <c r="F516">
        <v>16.300542</v>
      </c>
      <c r="G516">
        <v>14.282431000000001</v>
      </c>
      <c r="H516">
        <v>14.843218</v>
      </c>
      <c r="I516"/>
      <c r="J516" s="1">
        <f t="shared" si="62"/>
        <v>32.932504000000002</v>
      </c>
      <c r="N516"/>
      <c r="O516"/>
      <c r="P516" s="1">
        <f t="shared" si="63"/>
        <v>40.208738821138212</v>
      </c>
      <c r="Q516" s="1">
        <f t="shared" si="64"/>
        <v>41.80656199186992</v>
      </c>
      <c r="R516" s="1">
        <f t="shared" si="65"/>
        <v>43.346420923829911</v>
      </c>
      <c r="S516" s="1">
        <f t="shared" si="66"/>
        <v>32.582569558101476</v>
      </c>
    </row>
    <row r="517" spans="1:19" x14ac:dyDescent="0.3">
      <c r="A517">
        <v>3483.4</v>
      </c>
      <c r="B517">
        <v>38.77169</v>
      </c>
      <c r="C517">
        <v>40.328719999999997</v>
      </c>
      <c r="D517">
        <v>41.655073999999999</v>
      </c>
      <c r="E517">
        <v>30.932504000000002</v>
      </c>
      <c r="F517">
        <v>16.300542</v>
      </c>
      <c r="G517">
        <v>14.282431000000001</v>
      </c>
      <c r="H517">
        <v>14.843218</v>
      </c>
      <c r="I517"/>
      <c r="J517" s="1">
        <f t="shared" si="62"/>
        <v>32.932504000000002</v>
      </c>
      <c r="N517"/>
      <c r="O517"/>
      <c r="P517" s="1">
        <f t="shared" si="63"/>
        <v>40.208738821138212</v>
      </c>
      <c r="Q517" s="1">
        <f t="shared" si="64"/>
        <v>41.80656199186992</v>
      </c>
      <c r="R517" s="1">
        <f t="shared" si="65"/>
        <v>43.346420923829911</v>
      </c>
      <c r="S517" s="1">
        <f t="shared" si="66"/>
        <v>32.582569558101476</v>
      </c>
    </row>
    <row r="518" spans="1:19" x14ac:dyDescent="0.3">
      <c r="A518">
        <v>3483.6</v>
      </c>
      <c r="B518">
        <v>38.810586999999998</v>
      </c>
      <c r="C518">
        <v>40.284595000000003</v>
      </c>
      <c r="D518">
        <v>41.637853999999997</v>
      </c>
      <c r="E518">
        <v>30.933610999999999</v>
      </c>
      <c r="F518">
        <v>16.227765000000002</v>
      </c>
      <c r="G518">
        <v>14.302519</v>
      </c>
      <c r="H518">
        <v>14.859964</v>
      </c>
      <c r="I518"/>
      <c r="J518" s="1">
        <f t="shared" si="62"/>
        <v>32.933610999999999</v>
      </c>
      <c r="N518"/>
      <c r="O518"/>
      <c r="P518" s="1">
        <f t="shared" si="63"/>
        <v>40.232817073170729</v>
      </c>
      <c r="Q518" s="1">
        <f t="shared" si="64"/>
        <v>41.759516260162599</v>
      </c>
      <c r="R518" s="1">
        <f t="shared" si="65"/>
        <v>43.324781278678493</v>
      </c>
      <c r="S518" s="1">
        <f t="shared" si="66"/>
        <v>32.565293576104743</v>
      </c>
    </row>
    <row r="519" spans="1:19" x14ac:dyDescent="0.3">
      <c r="A519">
        <v>3483.8</v>
      </c>
      <c r="B519">
        <v>38.810586999999998</v>
      </c>
      <c r="C519">
        <v>40.284595000000003</v>
      </c>
      <c r="D519">
        <v>41.637853999999997</v>
      </c>
      <c r="E519">
        <v>30.933610999999999</v>
      </c>
      <c r="F519">
        <v>16.227765000000002</v>
      </c>
      <c r="G519">
        <v>14.302519</v>
      </c>
      <c r="H519">
        <v>14.859964</v>
      </c>
      <c r="I519"/>
      <c r="J519" s="1">
        <f t="shared" si="62"/>
        <v>32.933610999999999</v>
      </c>
      <c r="N519"/>
      <c r="O519"/>
      <c r="P519" s="1">
        <f t="shared" si="63"/>
        <v>40.232817073170729</v>
      </c>
      <c r="Q519" s="1">
        <f t="shared" si="64"/>
        <v>41.759516260162599</v>
      </c>
      <c r="R519" s="1">
        <f t="shared" si="65"/>
        <v>43.324781278678493</v>
      </c>
      <c r="S519" s="1">
        <f t="shared" si="66"/>
        <v>32.565293576104743</v>
      </c>
    </row>
    <row r="520" spans="1:19" x14ac:dyDescent="0.3">
      <c r="A520">
        <v>3484</v>
      </c>
      <c r="B520">
        <v>38.798687999999999</v>
      </c>
      <c r="C520">
        <v>40.281548999999998</v>
      </c>
      <c r="D520">
        <v>41.660162</v>
      </c>
      <c r="E520">
        <v>30.946856</v>
      </c>
      <c r="F520">
        <v>16.153402</v>
      </c>
      <c r="G520">
        <v>14.31343</v>
      </c>
      <c r="H520">
        <v>14.850864</v>
      </c>
      <c r="I520" t="s">
        <v>56</v>
      </c>
      <c r="J520" s="1">
        <f t="shared" si="62"/>
        <v>32.946855999999997</v>
      </c>
      <c r="N520"/>
      <c r="O520"/>
      <c r="P520" s="1">
        <f t="shared" si="63"/>
        <v>40.275732723577235</v>
      </c>
      <c r="Q520" s="1">
        <f t="shared" si="64"/>
        <v>41.795151422764221</v>
      </c>
      <c r="R520" s="1">
        <f t="shared" si="65"/>
        <v>43.323273172223921</v>
      </c>
      <c r="S520" s="1">
        <f t="shared" si="66"/>
        <v>32.595820376432073</v>
      </c>
    </row>
    <row r="521" spans="1:19" x14ac:dyDescent="0.3">
      <c r="A521">
        <v>3484.2</v>
      </c>
      <c r="B521">
        <v>38.798687999999999</v>
      </c>
      <c r="C521">
        <v>40.281548999999998</v>
      </c>
      <c r="D521">
        <v>41.660162</v>
      </c>
      <c r="E521">
        <v>30.946856</v>
      </c>
      <c r="F521">
        <v>16.153402</v>
      </c>
      <c r="G521">
        <v>14.31343</v>
      </c>
      <c r="H521">
        <v>14.850864</v>
      </c>
      <c r="I521"/>
      <c r="J521" s="1">
        <f t="shared" si="62"/>
        <v>32.946855999999997</v>
      </c>
      <c r="N521"/>
      <c r="O521"/>
      <c r="P521" s="1">
        <f t="shared" si="63"/>
        <v>40.275732723577235</v>
      </c>
      <c r="Q521" s="1">
        <f t="shared" si="64"/>
        <v>41.795151422764221</v>
      </c>
      <c r="R521" s="1">
        <f t="shared" si="65"/>
        <v>43.323273172223921</v>
      </c>
      <c r="S521" s="1">
        <f t="shared" si="66"/>
        <v>32.595820376432073</v>
      </c>
    </row>
    <row r="522" spans="1:19" x14ac:dyDescent="0.3">
      <c r="A522">
        <v>3484.4</v>
      </c>
      <c r="B522">
        <v>38.758268999999999</v>
      </c>
      <c r="C522">
        <v>40.283448</v>
      </c>
      <c r="D522">
        <v>41.645004999999998</v>
      </c>
      <c r="E522">
        <v>30.963761999999999</v>
      </c>
      <c r="F522">
        <v>16.155262</v>
      </c>
      <c r="G522">
        <v>14.311443000000001</v>
      </c>
      <c r="H522">
        <v>14.85507</v>
      </c>
      <c r="I522"/>
      <c r="J522" s="1">
        <f t="shared" si="62"/>
        <v>32.963762000000003</v>
      </c>
      <c r="N522"/>
      <c r="O522"/>
      <c r="P522" s="1">
        <f t="shared" si="63"/>
        <v>40.252241869918699</v>
      </c>
      <c r="Q522" s="1">
        <f t="shared" si="64"/>
        <v>41.768964430894307</v>
      </c>
      <c r="R522" s="1">
        <f t="shared" si="65"/>
        <v>43.335161619251551</v>
      </c>
      <c r="S522" s="1">
        <f t="shared" si="66"/>
        <v>32.591208060556461</v>
      </c>
    </row>
    <row r="523" spans="1:19" x14ac:dyDescent="0.3">
      <c r="A523">
        <v>3484.6</v>
      </c>
      <c r="B523">
        <v>38.758268999999999</v>
      </c>
      <c r="C523">
        <v>40.283448</v>
      </c>
      <c r="D523">
        <v>41.645004999999998</v>
      </c>
      <c r="E523">
        <v>30.963761999999999</v>
      </c>
      <c r="F523">
        <v>16.155262</v>
      </c>
      <c r="G523">
        <v>14.311443000000001</v>
      </c>
      <c r="H523">
        <v>14.85507</v>
      </c>
      <c r="I523"/>
      <c r="J523" s="1">
        <f t="shared" si="62"/>
        <v>32.963762000000003</v>
      </c>
      <c r="N523"/>
      <c r="O523"/>
      <c r="P523" s="1">
        <f t="shared" si="63"/>
        <v>40.252241869918699</v>
      </c>
      <c r="Q523" s="1">
        <f t="shared" si="64"/>
        <v>41.768964430894307</v>
      </c>
      <c r="R523" s="1">
        <f t="shared" si="65"/>
        <v>43.335161619251551</v>
      </c>
      <c r="S523" s="1">
        <f t="shared" si="66"/>
        <v>32.591208060556461</v>
      </c>
    </row>
    <row r="524" spans="1:19" x14ac:dyDescent="0.3">
      <c r="A524">
        <v>3484.8</v>
      </c>
      <c r="B524">
        <v>38.772297000000002</v>
      </c>
      <c r="C524">
        <v>40.271490999999997</v>
      </c>
      <c r="D524">
        <v>41.608677</v>
      </c>
      <c r="E524">
        <v>30.920828</v>
      </c>
      <c r="F524">
        <v>16.135497999999998</v>
      </c>
      <c r="G524">
        <v>14.320645000000001</v>
      </c>
      <c r="H524">
        <v>14.856171</v>
      </c>
      <c r="I524"/>
      <c r="J524" s="1">
        <f t="shared" si="62"/>
        <v>32.920828</v>
      </c>
      <c r="N524"/>
      <c r="O524"/>
      <c r="P524" s="1">
        <f t="shared" si="63"/>
        <v>40.22985264227642</v>
      </c>
      <c r="Q524" s="1">
        <f t="shared" si="64"/>
        <v>41.780546747967477</v>
      </c>
      <c r="R524" s="1">
        <f t="shared" si="65"/>
        <v>43.344855715305393</v>
      </c>
      <c r="S524" s="1">
        <f t="shared" si="66"/>
        <v>32.572508183306056</v>
      </c>
    </row>
    <row r="525" spans="1:19" x14ac:dyDescent="0.3">
      <c r="A525"/>
      <c r="B525"/>
      <c r="C525"/>
      <c r="D525"/>
      <c r="E525"/>
      <c r="F525"/>
      <c r="G525"/>
      <c r="H525"/>
      <c r="I525"/>
      <c r="J525" s="1">
        <f t="shared" si="62"/>
        <v>2</v>
      </c>
      <c r="N525"/>
      <c r="O525"/>
      <c r="P525" s="1">
        <f t="shared" si="63"/>
        <v>40.22985264227642</v>
      </c>
      <c r="Q525" s="1">
        <f t="shared" si="64"/>
        <v>41.780546747967477</v>
      </c>
      <c r="R525" s="1">
        <f t="shared" si="65"/>
        <v>43.344855715305393</v>
      </c>
      <c r="S525" s="1">
        <f t="shared" si="66"/>
        <v>32.572508183306056</v>
      </c>
    </row>
    <row r="526" spans="1:19" x14ac:dyDescent="0.3">
      <c r="A526"/>
      <c r="B526"/>
      <c r="C526"/>
      <c r="D526"/>
      <c r="E526"/>
      <c r="F526"/>
      <c r="G526"/>
      <c r="H526"/>
      <c r="I526"/>
      <c r="J526" s="1">
        <f t="shared" si="62"/>
        <v>2</v>
      </c>
      <c r="N526"/>
      <c r="O526"/>
      <c r="P526" s="1">
        <f t="shared" si="63"/>
        <v>40.240227642276416</v>
      </c>
      <c r="Q526" s="1">
        <f t="shared" si="64"/>
        <v>41.788515243902438</v>
      </c>
      <c r="R526" s="1">
        <f t="shared" si="65"/>
        <v>43.307245844804726</v>
      </c>
      <c r="S526" s="1">
        <f t="shared" si="66"/>
        <v>32.588009410801966</v>
      </c>
    </row>
    <row r="527" spans="1:19" x14ac:dyDescent="0.3">
      <c r="A527"/>
      <c r="B527"/>
      <c r="C527"/>
      <c r="D527"/>
      <c r="E527"/>
      <c r="F527"/>
      <c r="G527"/>
      <c r="H527"/>
      <c r="I527"/>
      <c r="J527" s="1">
        <f t="shared" si="62"/>
        <v>2</v>
      </c>
      <c r="N527"/>
      <c r="O527"/>
      <c r="P527" s="1">
        <f t="shared" si="63"/>
        <v>40.240227642276416</v>
      </c>
      <c r="Q527" s="1">
        <f t="shared" si="64"/>
        <v>41.788515243902438</v>
      </c>
      <c r="R527" s="1">
        <f t="shared" si="65"/>
        <v>43.307245844804726</v>
      </c>
      <c r="S527" s="1">
        <f t="shared" si="66"/>
        <v>32.588009410801966</v>
      </c>
    </row>
    <row r="528" spans="1:19" x14ac:dyDescent="0.3">
      <c r="A528"/>
      <c r="B528"/>
      <c r="C528"/>
      <c r="D528"/>
      <c r="E528"/>
      <c r="F528"/>
      <c r="G528"/>
      <c r="H528"/>
      <c r="I528"/>
      <c r="J528" s="1">
        <f t="shared" si="62"/>
        <v>2</v>
      </c>
      <c r="N528"/>
      <c r="O528"/>
      <c r="P528" s="1">
        <f t="shared" si="63"/>
        <v>40.251916666666659</v>
      </c>
      <c r="Q528" s="1">
        <f t="shared" si="64"/>
        <v>41.799202235772356</v>
      </c>
      <c r="R528" s="1">
        <f t="shared" si="65"/>
        <v>43.312757214234729</v>
      </c>
      <c r="S528" s="1">
        <f t="shared" si="66"/>
        <v>32.588756137479542</v>
      </c>
    </row>
    <row r="529" spans="1:19" x14ac:dyDescent="0.3">
      <c r="A529"/>
      <c r="B529"/>
      <c r="C529"/>
      <c r="D529"/>
      <c r="E529"/>
      <c r="F529"/>
      <c r="G529"/>
      <c r="H529"/>
      <c r="I529"/>
      <c r="J529" s="1">
        <f t="shared" si="62"/>
        <v>2</v>
      </c>
      <c r="N529"/>
      <c r="O529"/>
      <c r="P529" s="1">
        <f t="shared" si="63"/>
        <v>40.251916666666659</v>
      </c>
      <c r="Q529" s="1">
        <f t="shared" si="64"/>
        <v>41.799202235772356</v>
      </c>
      <c r="R529" s="1">
        <f t="shared" si="65"/>
        <v>43.312757214234729</v>
      </c>
      <c r="S529" s="1">
        <f t="shared" si="66"/>
        <v>32.588756137479542</v>
      </c>
    </row>
    <row r="530" spans="1:19" x14ac:dyDescent="0.3">
      <c r="A530"/>
      <c r="B530"/>
      <c r="C530"/>
      <c r="D530"/>
      <c r="E530"/>
      <c r="F530"/>
      <c r="G530"/>
      <c r="H530"/>
      <c r="I530"/>
      <c r="J530" s="1">
        <f t="shared" si="62"/>
        <v>2</v>
      </c>
      <c r="N530"/>
      <c r="O530"/>
      <c r="P530" s="1">
        <f t="shared" si="63"/>
        <v>40.256570121951214</v>
      </c>
      <c r="Q530" s="1">
        <f t="shared" si="64"/>
        <v>41.768097560975605</v>
      </c>
      <c r="R530" s="1">
        <f t="shared" si="65"/>
        <v>43.307516059957166</v>
      </c>
      <c r="S530" s="1">
        <f t="shared" si="66"/>
        <v>32.595588175122749</v>
      </c>
    </row>
    <row r="531" spans="1:19" x14ac:dyDescent="0.3">
      <c r="A531"/>
      <c r="B531"/>
      <c r="C531"/>
      <c r="D531"/>
      <c r="E531"/>
      <c r="F531"/>
      <c r="G531"/>
      <c r="H531"/>
      <c r="I531"/>
      <c r="J531" s="1">
        <f t="shared" si="62"/>
        <v>2</v>
      </c>
      <c r="N531"/>
      <c r="O531"/>
      <c r="P531" s="1">
        <f t="shared" si="63"/>
        <v>40.256570121951214</v>
      </c>
      <c r="Q531" s="1">
        <f t="shared" si="64"/>
        <v>41.768097560975605</v>
      </c>
      <c r="R531" s="1">
        <f t="shared" si="65"/>
        <v>43.307516059957166</v>
      </c>
      <c r="S531" s="1">
        <f t="shared" si="66"/>
        <v>32.595588175122749</v>
      </c>
    </row>
    <row r="532" spans="1:19" x14ac:dyDescent="0.3">
      <c r="A532"/>
      <c r="B532"/>
      <c r="C532"/>
      <c r="D532"/>
      <c r="E532"/>
      <c r="F532"/>
      <c r="G532"/>
      <c r="H532"/>
      <c r="I532"/>
      <c r="J532" s="1">
        <f t="shared" ref="J532:J595" si="67">E532+2</f>
        <v>2</v>
      </c>
      <c r="N532"/>
      <c r="O532"/>
      <c r="P532" s="1">
        <f t="shared" si="63"/>
        <v>40.223806910569103</v>
      </c>
      <c r="Q532" s="1">
        <f t="shared" si="64"/>
        <v>41.775003048780491</v>
      </c>
      <c r="R532" s="1">
        <f t="shared" si="65"/>
        <v>43.328041195064749</v>
      </c>
      <c r="S532" s="1">
        <f t="shared" si="66"/>
        <v>32.59545315057283</v>
      </c>
    </row>
    <row r="533" spans="1:19" x14ac:dyDescent="0.3">
      <c r="A533"/>
      <c r="B533"/>
      <c r="C533"/>
      <c r="D533"/>
      <c r="E533"/>
      <c r="F533"/>
      <c r="G533"/>
      <c r="H533"/>
      <c r="I533"/>
      <c r="J533" s="1">
        <f t="shared" si="67"/>
        <v>2</v>
      </c>
      <c r="N533"/>
      <c r="O533"/>
      <c r="P533" s="1">
        <f t="shared" si="63"/>
        <v>40.223806910569103</v>
      </c>
      <c r="Q533" s="1">
        <f t="shared" si="64"/>
        <v>41.775003048780491</v>
      </c>
      <c r="R533" s="1">
        <f t="shared" si="65"/>
        <v>43.328041195064749</v>
      </c>
      <c r="S533" s="1">
        <f t="shared" si="66"/>
        <v>32.59545315057283</v>
      </c>
    </row>
    <row r="534" spans="1:19" x14ac:dyDescent="0.3">
      <c r="A534"/>
      <c r="B534"/>
      <c r="C534"/>
      <c r="D534"/>
      <c r="E534"/>
      <c r="F534"/>
      <c r="G534"/>
      <c r="H534"/>
      <c r="I534"/>
      <c r="J534" s="1">
        <f t="shared" si="67"/>
        <v>2</v>
      </c>
      <c r="N534"/>
      <c r="O534"/>
      <c r="P534" s="1">
        <f t="shared" si="63"/>
        <v>40.201412601626011</v>
      </c>
      <c r="Q534" s="1">
        <f t="shared" si="64"/>
        <v>41.783760162601617</v>
      </c>
      <c r="R534" s="1">
        <f t="shared" si="65"/>
        <v>43.301084939329044</v>
      </c>
      <c r="S534" s="1">
        <f t="shared" si="66"/>
        <v>32.586235679214404</v>
      </c>
    </row>
    <row r="535" spans="1:19" x14ac:dyDescent="0.3">
      <c r="A535"/>
      <c r="B535"/>
      <c r="C535"/>
      <c r="D535"/>
      <c r="E535"/>
      <c r="F535"/>
      <c r="G535"/>
      <c r="H535"/>
      <c r="I535"/>
      <c r="J535" s="1">
        <f t="shared" si="67"/>
        <v>2</v>
      </c>
      <c r="N535"/>
      <c r="O535"/>
      <c r="P535" s="1">
        <f t="shared" si="63"/>
        <v>40.201412601626011</v>
      </c>
      <c r="Q535" s="1">
        <f t="shared" si="64"/>
        <v>41.783760162601617</v>
      </c>
      <c r="R535" s="1">
        <f t="shared" si="65"/>
        <v>43.301084939329044</v>
      </c>
      <c r="S535" s="1">
        <f t="shared" si="66"/>
        <v>32.586235679214404</v>
      </c>
    </row>
    <row r="536" spans="1:19" x14ac:dyDescent="0.3">
      <c r="A536"/>
      <c r="B536"/>
      <c r="C536"/>
      <c r="D536"/>
      <c r="E536"/>
      <c r="F536"/>
      <c r="G536"/>
      <c r="H536"/>
      <c r="I536"/>
      <c r="J536" s="1">
        <f t="shared" si="67"/>
        <v>2</v>
      </c>
      <c r="N536"/>
      <c r="O536"/>
      <c r="P536" s="1">
        <f t="shared" si="63"/>
        <v>40.240942073170729</v>
      </c>
      <c r="Q536" s="1">
        <f t="shared" si="64"/>
        <v>41.738917682926832</v>
      </c>
      <c r="R536" s="1">
        <f t="shared" si="65"/>
        <v>43.283526052819411</v>
      </c>
      <c r="S536" s="1">
        <f t="shared" si="66"/>
        <v>32.587368044189851</v>
      </c>
    </row>
    <row r="537" spans="1:19" x14ac:dyDescent="0.3">
      <c r="A537"/>
      <c r="B537"/>
      <c r="C537"/>
      <c r="D537"/>
      <c r="E537"/>
      <c r="F537"/>
      <c r="G537"/>
      <c r="H537"/>
      <c r="I537"/>
      <c r="J537" s="1">
        <f t="shared" si="67"/>
        <v>2</v>
      </c>
      <c r="N537"/>
      <c r="O537"/>
      <c r="P537" s="1">
        <f t="shared" si="63"/>
        <v>40.240942073170729</v>
      </c>
      <c r="Q537" s="1">
        <f t="shared" si="64"/>
        <v>41.738917682926832</v>
      </c>
      <c r="R537" s="1">
        <f t="shared" si="65"/>
        <v>43.283526052819411</v>
      </c>
      <c r="S537" s="1">
        <f t="shared" si="66"/>
        <v>32.587368044189851</v>
      </c>
    </row>
    <row r="538" spans="1:19" x14ac:dyDescent="0.3">
      <c r="A538"/>
      <c r="B538"/>
      <c r="C538"/>
      <c r="D538"/>
      <c r="E538"/>
      <c r="F538"/>
      <c r="G538"/>
      <c r="H538"/>
      <c r="I538"/>
      <c r="J538" s="1">
        <f t="shared" si="67"/>
        <v>2</v>
      </c>
      <c r="N538"/>
      <c r="O538"/>
      <c r="P538" s="1">
        <f t="shared" si="63"/>
        <v>40.22884959349593</v>
      </c>
      <c r="Q538" s="1">
        <f t="shared" si="64"/>
        <v>41.735822154471542</v>
      </c>
      <c r="R538" s="1">
        <f t="shared" si="65"/>
        <v>43.306273070255934</v>
      </c>
      <c r="S538" s="1">
        <f t="shared" si="66"/>
        <v>32.600916530278234</v>
      </c>
    </row>
    <row r="539" spans="1:19" x14ac:dyDescent="0.3">
      <c r="A539"/>
      <c r="B539"/>
      <c r="C539"/>
      <c r="D539"/>
      <c r="E539"/>
      <c r="F539"/>
      <c r="G539"/>
      <c r="H539"/>
      <c r="I539"/>
      <c r="J539" s="1">
        <f t="shared" si="67"/>
        <v>2</v>
      </c>
      <c r="N539"/>
      <c r="O539"/>
      <c r="P539" s="1">
        <f t="shared" si="63"/>
        <v>40.22884959349593</v>
      </c>
      <c r="Q539" s="1">
        <f t="shared" si="64"/>
        <v>41.735822154471542</v>
      </c>
      <c r="R539" s="1">
        <f t="shared" si="65"/>
        <v>43.306273070255934</v>
      </c>
      <c r="S539" s="1">
        <f t="shared" si="66"/>
        <v>32.600916530278234</v>
      </c>
    </row>
    <row r="540" spans="1:19" x14ac:dyDescent="0.3">
      <c r="A540"/>
      <c r="B540"/>
      <c r="C540"/>
      <c r="D540"/>
      <c r="E540"/>
      <c r="F540"/>
      <c r="G540"/>
      <c r="H540"/>
      <c r="I540"/>
      <c r="J540" s="1">
        <f t="shared" si="67"/>
        <v>2</v>
      </c>
      <c r="N540"/>
      <c r="O540"/>
      <c r="P540" s="1">
        <f t="shared" si="63"/>
        <v>40.187773373983738</v>
      </c>
      <c r="Q540" s="1">
        <f t="shared" si="64"/>
        <v>41.737752032520319</v>
      </c>
      <c r="R540" s="1">
        <f t="shared" si="65"/>
        <v>43.290817783216063</v>
      </c>
      <c r="S540" s="1">
        <f t="shared" si="66"/>
        <v>32.618209901800327</v>
      </c>
    </row>
    <row r="541" spans="1:19" x14ac:dyDescent="0.3">
      <c r="A541"/>
      <c r="B541"/>
      <c r="C541"/>
      <c r="D541"/>
      <c r="E541"/>
      <c r="F541"/>
      <c r="G541"/>
      <c r="H541"/>
      <c r="I541"/>
      <c r="J541" s="1">
        <f t="shared" si="67"/>
        <v>2</v>
      </c>
      <c r="N541"/>
      <c r="O541"/>
      <c r="P541" s="1">
        <f t="shared" si="63"/>
        <v>40.187773373983738</v>
      </c>
      <c r="Q541" s="1">
        <f t="shared" si="64"/>
        <v>41.737752032520319</v>
      </c>
      <c r="R541" s="1">
        <f t="shared" si="65"/>
        <v>43.290817783216063</v>
      </c>
      <c r="S541" s="1">
        <f t="shared" si="66"/>
        <v>32.618209901800327</v>
      </c>
    </row>
    <row r="542" spans="1:19" x14ac:dyDescent="0.3">
      <c r="A542"/>
      <c r="B542"/>
      <c r="C542"/>
      <c r="D542"/>
      <c r="E542"/>
      <c r="F542"/>
      <c r="G542"/>
      <c r="H542"/>
      <c r="I542"/>
      <c r="J542" s="1">
        <f t="shared" si="67"/>
        <v>2</v>
      </c>
      <c r="N542"/>
      <c r="O542"/>
      <c r="P542" s="1">
        <f t="shared" si="63"/>
        <v>40.202029471544712</v>
      </c>
      <c r="Q542" s="1">
        <f t="shared" si="64"/>
        <v>41.725600609756093</v>
      </c>
      <c r="R542" s="1">
        <f t="shared" si="65"/>
        <v>43.253774854695621</v>
      </c>
      <c r="S542" s="1">
        <f t="shared" si="66"/>
        <v>32.574292144026188</v>
      </c>
    </row>
    <row r="543" spans="1:19" x14ac:dyDescent="0.3">
      <c r="A543"/>
      <c r="B543"/>
      <c r="C543"/>
      <c r="D543"/>
      <c r="E543"/>
      <c r="F543"/>
      <c r="G543"/>
      <c r="H543"/>
      <c r="I543"/>
      <c r="J543" s="1">
        <f t="shared" si="67"/>
        <v>2</v>
      </c>
      <c r="N543"/>
      <c r="O543"/>
      <c r="P543" s="1">
        <f t="shared" si="63"/>
        <v>0.79928861788617889</v>
      </c>
      <c r="Q543" s="1">
        <f t="shared" si="64"/>
        <v>0.79928861788617889</v>
      </c>
      <c r="R543" s="1">
        <f t="shared" si="65"/>
        <v>0.82624655858060569</v>
      </c>
      <c r="S543" s="1">
        <f t="shared" si="66"/>
        <v>0.94496726677577736</v>
      </c>
    </row>
    <row r="544" spans="1:19" x14ac:dyDescent="0.3">
      <c r="A544"/>
      <c r="B544"/>
      <c r="C544"/>
      <c r="D544"/>
      <c r="E544"/>
      <c r="F544"/>
      <c r="G544"/>
      <c r="H544"/>
      <c r="I544"/>
      <c r="J544" s="1">
        <f t="shared" si="67"/>
        <v>2</v>
      </c>
      <c r="N544"/>
      <c r="O544"/>
      <c r="P544" s="1">
        <f t="shared" si="63"/>
        <v>0.79928861788617889</v>
      </c>
      <c r="Q544" s="1">
        <f t="shared" si="64"/>
        <v>0.79928861788617889</v>
      </c>
      <c r="R544" s="1">
        <f t="shared" si="65"/>
        <v>0.82624655858060569</v>
      </c>
      <c r="S544" s="1">
        <f t="shared" si="66"/>
        <v>0.94496726677577736</v>
      </c>
    </row>
    <row r="545" spans="1:19" x14ac:dyDescent="0.3">
      <c r="A545"/>
      <c r="B545"/>
      <c r="C545"/>
      <c r="D545"/>
      <c r="E545"/>
      <c r="F545"/>
      <c r="G545"/>
      <c r="H545"/>
      <c r="I545"/>
      <c r="J545" s="1">
        <f t="shared" si="67"/>
        <v>2</v>
      </c>
      <c r="N545"/>
      <c r="O545"/>
      <c r="P545" s="1">
        <f t="shared" si="63"/>
        <v>0.79928861788617889</v>
      </c>
      <c r="Q545" s="1">
        <f t="shared" si="64"/>
        <v>0.79928861788617889</v>
      </c>
      <c r="R545" s="1">
        <f t="shared" si="65"/>
        <v>0.82624655858060569</v>
      </c>
      <c r="S545" s="1">
        <f t="shared" si="66"/>
        <v>0.94496726677577736</v>
      </c>
    </row>
    <row r="546" spans="1:19" x14ac:dyDescent="0.3">
      <c r="A546"/>
      <c r="B546"/>
      <c r="C546"/>
      <c r="D546"/>
      <c r="E546"/>
      <c r="F546"/>
      <c r="G546"/>
      <c r="H546"/>
      <c r="I546"/>
      <c r="J546" s="1">
        <f t="shared" si="67"/>
        <v>2</v>
      </c>
      <c r="N546"/>
      <c r="O546"/>
      <c r="P546" s="1">
        <f t="shared" si="63"/>
        <v>0.79928861788617889</v>
      </c>
      <c r="Q546" s="1">
        <f t="shared" si="64"/>
        <v>0.79928861788617889</v>
      </c>
      <c r="R546" s="1">
        <f t="shared" si="65"/>
        <v>0.82624655858060569</v>
      </c>
      <c r="S546" s="1">
        <f t="shared" si="66"/>
        <v>0.94496726677577736</v>
      </c>
    </row>
    <row r="547" spans="1:19" x14ac:dyDescent="0.3">
      <c r="A547"/>
      <c r="B547"/>
      <c r="C547"/>
      <c r="D547"/>
      <c r="E547"/>
      <c r="F547"/>
      <c r="G547"/>
      <c r="H547"/>
      <c r="I547"/>
      <c r="J547" s="1">
        <f t="shared" si="67"/>
        <v>2</v>
      </c>
      <c r="N547"/>
      <c r="O547"/>
      <c r="P547" s="1">
        <f t="shared" si="63"/>
        <v>0.79928861788617889</v>
      </c>
      <c r="Q547" s="1">
        <f t="shared" si="64"/>
        <v>0.79928861788617889</v>
      </c>
      <c r="R547" s="1">
        <f t="shared" si="65"/>
        <v>0.82624655858060569</v>
      </c>
      <c r="S547" s="1">
        <f t="shared" si="66"/>
        <v>0.94496726677577736</v>
      </c>
    </row>
    <row r="548" spans="1:19" x14ac:dyDescent="0.3">
      <c r="A548"/>
      <c r="B548"/>
      <c r="C548"/>
      <c r="D548"/>
      <c r="E548"/>
      <c r="F548"/>
      <c r="G548"/>
      <c r="H548"/>
      <c r="I548"/>
      <c r="J548" s="1">
        <f t="shared" si="67"/>
        <v>2</v>
      </c>
      <c r="N548"/>
      <c r="O548"/>
      <c r="P548" s="1">
        <f t="shared" si="63"/>
        <v>0.79928861788617889</v>
      </c>
      <c r="Q548" s="1">
        <f t="shared" si="64"/>
        <v>0.79928861788617889</v>
      </c>
      <c r="R548" s="1">
        <f t="shared" si="65"/>
        <v>0.82624655858060569</v>
      </c>
      <c r="S548" s="1">
        <f t="shared" si="66"/>
        <v>0.94496726677577736</v>
      </c>
    </row>
    <row r="549" spans="1:19" x14ac:dyDescent="0.3">
      <c r="A549"/>
      <c r="B549"/>
      <c r="C549"/>
      <c r="D549"/>
      <c r="E549"/>
      <c r="F549"/>
      <c r="G549"/>
      <c r="H549"/>
      <c r="I549"/>
      <c r="J549" s="1">
        <f t="shared" si="67"/>
        <v>2</v>
      </c>
      <c r="N549"/>
      <c r="O549"/>
      <c r="P549" s="1">
        <f t="shared" si="63"/>
        <v>0.79928861788617889</v>
      </c>
      <c r="Q549" s="1">
        <f t="shared" si="64"/>
        <v>0.79928861788617889</v>
      </c>
      <c r="R549" s="1">
        <f t="shared" si="65"/>
        <v>0.82624655858060569</v>
      </c>
      <c r="S549" s="1">
        <f t="shared" si="66"/>
        <v>0.94496726677577736</v>
      </c>
    </row>
    <row r="550" spans="1:19" x14ac:dyDescent="0.3">
      <c r="A550"/>
      <c r="B550"/>
      <c r="C550"/>
      <c r="D550"/>
      <c r="E550"/>
      <c r="F550"/>
      <c r="G550"/>
      <c r="H550"/>
      <c r="I550"/>
      <c r="J550" s="1">
        <f t="shared" si="67"/>
        <v>2</v>
      </c>
      <c r="N550"/>
      <c r="O550"/>
      <c r="P550" s="1">
        <f t="shared" si="63"/>
        <v>0.79928861788617889</v>
      </c>
      <c r="Q550" s="1">
        <f t="shared" si="64"/>
        <v>0.79928861788617889</v>
      </c>
      <c r="R550" s="1">
        <f t="shared" si="65"/>
        <v>0.82624655858060569</v>
      </c>
      <c r="S550" s="1">
        <f t="shared" si="66"/>
        <v>0.94496726677577736</v>
      </c>
    </row>
    <row r="551" spans="1:19" x14ac:dyDescent="0.3">
      <c r="A551"/>
      <c r="B551"/>
      <c r="C551"/>
      <c r="D551"/>
      <c r="E551"/>
      <c r="F551"/>
      <c r="G551"/>
      <c r="H551"/>
      <c r="I551"/>
      <c r="J551" s="1">
        <f t="shared" si="67"/>
        <v>2</v>
      </c>
      <c r="N551"/>
      <c r="O551"/>
      <c r="P551" s="1">
        <f t="shared" si="63"/>
        <v>0.79928861788617889</v>
      </c>
      <c r="Q551" s="1">
        <f t="shared" si="64"/>
        <v>0.79928861788617889</v>
      </c>
      <c r="R551" s="1">
        <f t="shared" si="65"/>
        <v>0.82624655858060569</v>
      </c>
      <c r="S551" s="1">
        <f t="shared" si="66"/>
        <v>0.94496726677577736</v>
      </c>
    </row>
    <row r="552" spans="1:19" x14ac:dyDescent="0.3">
      <c r="A552"/>
      <c r="B552"/>
      <c r="C552"/>
      <c r="D552"/>
      <c r="E552"/>
      <c r="F552"/>
      <c r="G552"/>
      <c r="H552"/>
      <c r="I552"/>
      <c r="J552" s="1">
        <f t="shared" si="67"/>
        <v>2</v>
      </c>
      <c r="N552"/>
      <c r="O552"/>
      <c r="P552" s="1">
        <f t="shared" si="63"/>
        <v>0.79928861788617889</v>
      </c>
      <c r="Q552" s="1">
        <f t="shared" si="64"/>
        <v>0.79928861788617889</v>
      </c>
      <c r="R552" s="1">
        <f t="shared" si="65"/>
        <v>0.82624655858060569</v>
      </c>
      <c r="S552" s="1">
        <f t="shared" si="66"/>
        <v>0.94496726677577736</v>
      </c>
    </row>
    <row r="553" spans="1:19" x14ac:dyDescent="0.3">
      <c r="A553"/>
      <c r="B553"/>
      <c r="C553"/>
      <c r="D553"/>
      <c r="E553"/>
      <c r="F553"/>
      <c r="G553"/>
      <c r="H553"/>
      <c r="I553"/>
      <c r="J553" s="1">
        <f t="shared" si="67"/>
        <v>2</v>
      </c>
      <c r="N553"/>
      <c r="O553"/>
      <c r="P553" s="1">
        <f t="shared" si="63"/>
        <v>0.79928861788617889</v>
      </c>
      <c r="Q553" s="1">
        <f t="shared" si="64"/>
        <v>0.79928861788617889</v>
      </c>
      <c r="R553" s="1">
        <f t="shared" si="65"/>
        <v>0.82624655858060569</v>
      </c>
      <c r="S553" s="1">
        <f t="shared" si="66"/>
        <v>0.94496726677577736</v>
      </c>
    </row>
    <row r="554" spans="1:19" x14ac:dyDescent="0.3">
      <c r="A554"/>
      <c r="B554"/>
      <c r="C554"/>
      <c r="D554"/>
      <c r="E554"/>
      <c r="F554"/>
      <c r="G554"/>
      <c r="H554"/>
      <c r="I554"/>
      <c r="J554" s="1">
        <f t="shared" si="67"/>
        <v>2</v>
      </c>
      <c r="N554"/>
      <c r="O554"/>
      <c r="P554" s="1">
        <f t="shared" si="63"/>
        <v>0.79928861788617889</v>
      </c>
      <c r="Q554" s="1">
        <f t="shared" si="64"/>
        <v>0.79928861788617889</v>
      </c>
      <c r="R554" s="1">
        <f t="shared" si="65"/>
        <v>0.82624655858060569</v>
      </c>
      <c r="S554" s="1">
        <f t="shared" si="66"/>
        <v>0.94496726677577736</v>
      </c>
    </row>
    <row r="555" spans="1:19" x14ac:dyDescent="0.3">
      <c r="A555"/>
      <c r="B555"/>
      <c r="C555"/>
      <c r="D555"/>
      <c r="E555"/>
      <c r="F555"/>
      <c r="G555"/>
      <c r="H555"/>
      <c r="I555"/>
      <c r="J555" s="1">
        <f t="shared" si="67"/>
        <v>2</v>
      </c>
      <c r="N555"/>
      <c r="O555"/>
      <c r="P555" s="1">
        <f t="shared" ref="P555:P618" si="68">(B537+Q$36)/P$36</f>
        <v>0.79928861788617889</v>
      </c>
      <c r="Q555" s="1">
        <f t="shared" ref="Q555:Q618" si="69">(C537+Q$36)/P$36</f>
        <v>0.79928861788617889</v>
      </c>
      <c r="R555" s="1">
        <f t="shared" ref="R555:R618" si="70">(D537+Q$38)/P$38</f>
        <v>0.82624655858060569</v>
      </c>
      <c r="S555" s="1">
        <f t="shared" ref="S555:S618" si="71">(E537+Q$39)/P$39</f>
        <v>0.94496726677577736</v>
      </c>
    </row>
    <row r="556" spans="1:19" x14ac:dyDescent="0.3">
      <c r="A556"/>
      <c r="B556"/>
      <c r="C556"/>
      <c r="D556"/>
      <c r="E556"/>
      <c r="F556"/>
      <c r="G556"/>
      <c r="H556"/>
      <c r="I556"/>
      <c r="J556" s="1">
        <f t="shared" si="67"/>
        <v>2</v>
      </c>
      <c r="N556"/>
      <c r="O556"/>
      <c r="P556" s="1">
        <f t="shared" si="68"/>
        <v>0.79928861788617889</v>
      </c>
      <c r="Q556" s="1">
        <f t="shared" si="69"/>
        <v>0.79928861788617889</v>
      </c>
      <c r="R556" s="1">
        <f t="shared" si="70"/>
        <v>0.82624655858060569</v>
      </c>
      <c r="S556" s="1">
        <f t="shared" si="71"/>
        <v>0.94496726677577736</v>
      </c>
    </row>
    <row r="557" spans="1:19" x14ac:dyDescent="0.3">
      <c r="A557"/>
      <c r="B557"/>
      <c r="C557"/>
      <c r="D557"/>
      <c r="E557"/>
      <c r="F557"/>
      <c r="G557"/>
      <c r="H557"/>
      <c r="I557"/>
      <c r="J557" s="1">
        <f t="shared" si="67"/>
        <v>2</v>
      </c>
      <c r="N557"/>
      <c r="O557"/>
      <c r="P557" s="1">
        <f t="shared" si="68"/>
        <v>0.79928861788617889</v>
      </c>
      <c r="Q557" s="1">
        <f t="shared" si="69"/>
        <v>0.79928861788617889</v>
      </c>
      <c r="R557" s="1">
        <f t="shared" si="70"/>
        <v>0.82624655858060569</v>
      </c>
      <c r="S557" s="1">
        <f t="shared" si="71"/>
        <v>0.94496726677577736</v>
      </c>
    </row>
    <row r="558" spans="1:19" x14ac:dyDescent="0.3">
      <c r="A558"/>
      <c r="B558"/>
      <c r="C558"/>
      <c r="D558"/>
      <c r="E558"/>
      <c r="F558"/>
      <c r="G558"/>
      <c r="H558"/>
      <c r="I558"/>
      <c r="J558" s="1">
        <f t="shared" si="67"/>
        <v>2</v>
      </c>
      <c r="N558"/>
      <c r="O558"/>
      <c r="P558" s="1">
        <f t="shared" si="68"/>
        <v>0.79928861788617889</v>
      </c>
      <c r="Q558" s="1">
        <f t="shared" si="69"/>
        <v>0.79928861788617889</v>
      </c>
      <c r="R558" s="1">
        <f t="shared" si="70"/>
        <v>0.82624655858060569</v>
      </c>
      <c r="S558" s="1">
        <f t="shared" si="71"/>
        <v>0.94496726677577736</v>
      </c>
    </row>
    <row r="559" spans="1:19" x14ac:dyDescent="0.3">
      <c r="A559"/>
      <c r="B559"/>
      <c r="C559"/>
      <c r="D559"/>
      <c r="E559"/>
      <c r="F559"/>
      <c r="G559"/>
      <c r="H559"/>
      <c r="I559"/>
      <c r="J559" s="1">
        <f t="shared" si="67"/>
        <v>2</v>
      </c>
      <c r="N559"/>
      <c r="O559"/>
      <c r="P559" s="1">
        <f t="shared" si="68"/>
        <v>0.79928861788617889</v>
      </c>
      <c r="Q559" s="1">
        <f t="shared" si="69"/>
        <v>0.79928861788617889</v>
      </c>
      <c r="R559" s="1">
        <f t="shared" si="70"/>
        <v>0.82624655858060569</v>
      </c>
      <c r="S559" s="1">
        <f t="shared" si="71"/>
        <v>0.94496726677577736</v>
      </c>
    </row>
    <row r="560" spans="1:19" x14ac:dyDescent="0.3">
      <c r="A560"/>
      <c r="B560"/>
      <c r="C560"/>
      <c r="D560"/>
      <c r="E560"/>
      <c r="F560"/>
      <c r="G560"/>
      <c r="H560"/>
      <c r="I560"/>
      <c r="J560" s="1">
        <f t="shared" si="67"/>
        <v>2</v>
      </c>
      <c r="N560"/>
      <c r="O560"/>
      <c r="P560" s="1">
        <f t="shared" si="68"/>
        <v>0.79928861788617889</v>
      </c>
      <c r="Q560" s="1">
        <f t="shared" si="69"/>
        <v>0.79928861788617889</v>
      </c>
      <c r="R560" s="1">
        <f t="shared" si="70"/>
        <v>0.82624655858060569</v>
      </c>
      <c r="S560" s="1">
        <f t="shared" si="71"/>
        <v>0.94496726677577736</v>
      </c>
    </row>
    <row r="561" spans="1:19" x14ac:dyDescent="0.3">
      <c r="A561"/>
      <c r="B561"/>
      <c r="C561"/>
      <c r="D561"/>
      <c r="E561"/>
      <c r="F561"/>
      <c r="G561"/>
      <c r="H561"/>
      <c r="I561"/>
      <c r="J561" s="1">
        <f t="shared" si="67"/>
        <v>2</v>
      </c>
      <c r="N561"/>
      <c r="O561"/>
      <c r="P561" s="1">
        <f t="shared" si="68"/>
        <v>0.79928861788617889</v>
      </c>
      <c r="Q561" s="1">
        <f t="shared" si="69"/>
        <v>0.79928861788617889</v>
      </c>
      <c r="R561" s="1">
        <f t="shared" si="70"/>
        <v>0.82624655858060569</v>
      </c>
      <c r="S561" s="1">
        <f t="shared" si="71"/>
        <v>0.94496726677577736</v>
      </c>
    </row>
    <row r="562" spans="1:19" x14ac:dyDescent="0.3">
      <c r="A562"/>
      <c r="B562"/>
      <c r="C562"/>
      <c r="D562"/>
      <c r="E562"/>
      <c r="F562"/>
      <c r="G562"/>
      <c r="H562"/>
      <c r="I562"/>
      <c r="J562" s="1">
        <f t="shared" si="67"/>
        <v>2</v>
      </c>
      <c r="N562"/>
      <c r="O562"/>
      <c r="P562" s="1">
        <f t="shared" si="68"/>
        <v>0.79928861788617889</v>
      </c>
      <c r="Q562" s="1">
        <f t="shared" si="69"/>
        <v>0.79928861788617889</v>
      </c>
      <c r="R562" s="1">
        <f t="shared" si="70"/>
        <v>0.82624655858060569</v>
      </c>
      <c r="S562" s="1">
        <f t="shared" si="71"/>
        <v>0.94496726677577736</v>
      </c>
    </row>
    <row r="563" spans="1:19" x14ac:dyDescent="0.3">
      <c r="A563"/>
      <c r="B563"/>
      <c r="C563"/>
      <c r="D563"/>
      <c r="E563"/>
      <c r="F563"/>
      <c r="G563"/>
      <c r="H563"/>
      <c r="I563"/>
      <c r="J563" s="1">
        <f t="shared" si="67"/>
        <v>2</v>
      </c>
      <c r="N563"/>
      <c r="O563"/>
      <c r="P563" s="1">
        <f t="shared" si="68"/>
        <v>0.79928861788617889</v>
      </c>
      <c r="Q563" s="1">
        <f t="shared" si="69"/>
        <v>0.79928861788617889</v>
      </c>
      <c r="R563" s="1">
        <f t="shared" si="70"/>
        <v>0.82624655858060569</v>
      </c>
      <c r="S563" s="1">
        <f t="shared" si="71"/>
        <v>0.94496726677577736</v>
      </c>
    </row>
    <row r="564" spans="1:19" x14ac:dyDescent="0.3">
      <c r="A564"/>
      <c r="B564"/>
      <c r="C564"/>
      <c r="D564"/>
      <c r="E564"/>
      <c r="F564"/>
      <c r="G564"/>
      <c r="H564"/>
      <c r="I564"/>
      <c r="J564" s="1">
        <f t="shared" si="67"/>
        <v>2</v>
      </c>
      <c r="N564"/>
      <c r="O564"/>
      <c r="P564" s="1">
        <f t="shared" si="68"/>
        <v>0.79928861788617889</v>
      </c>
      <c r="Q564" s="1">
        <f t="shared" si="69"/>
        <v>0.79928861788617889</v>
      </c>
      <c r="R564" s="1">
        <f t="shared" si="70"/>
        <v>0.82624655858060569</v>
      </c>
      <c r="S564" s="1">
        <f t="shared" si="71"/>
        <v>0.94496726677577736</v>
      </c>
    </row>
    <row r="565" spans="1:19" x14ac:dyDescent="0.3">
      <c r="A565"/>
      <c r="B565"/>
      <c r="C565"/>
      <c r="D565"/>
      <c r="E565"/>
      <c r="F565"/>
      <c r="G565"/>
      <c r="H565"/>
      <c r="I565"/>
      <c r="J565" s="1">
        <f t="shared" si="67"/>
        <v>2</v>
      </c>
      <c r="N565"/>
      <c r="O565"/>
      <c r="P565" s="1">
        <f t="shared" si="68"/>
        <v>0.79928861788617889</v>
      </c>
      <c r="Q565" s="1">
        <f t="shared" si="69"/>
        <v>0.79928861788617889</v>
      </c>
      <c r="R565" s="1">
        <f t="shared" si="70"/>
        <v>0.82624655858060569</v>
      </c>
      <c r="S565" s="1">
        <f t="shared" si="71"/>
        <v>0.94496726677577736</v>
      </c>
    </row>
    <row r="566" spans="1:19" x14ac:dyDescent="0.3">
      <c r="A566"/>
      <c r="B566"/>
      <c r="C566"/>
      <c r="D566"/>
      <c r="E566"/>
      <c r="F566"/>
      <c r="G566"/>
      <c r="H566"/>
      <c r="I566"/>
      <c r="J566" s="1">
        <f t="shared" si="67"/>
        <v>2</v>
      </c>
      <c r="N566"/>
      <c r="O566"/>
      <c r="P566" s="1">
        <f t="shared" si="68"/>
        <v>0.79928861788617889</v>
      </c>
      <c r="Q566" s="1">
        <f t="shared" si="69"/>
        <v>0.79928861788617889</v>
      </c>
      <c r="R566" s="1">
        <f t="shared" si="70"/>
        <v>0.82624655858060569</v>
      </c>
      <c r="S566" s="1">
        <f t="shared" si="71"/>
        <v>0.94496726677577736</v>
      </c>
    </row>
    <row r="567" spans="1:19" x14ac:dyDescent="0.3">
      <c r="A567"/>
      <c r="B567"/>
      <c r="C567"/>
      <c r="D567"/>
      <c r="E567"/>
      <c r="F567"/>
      <c r="G567"/>
      <c r="H567"/>
      <c r="I567"/>
      <c r="J567" s="1">
        <f t="shared" si="67"/>
        <v>2</v>
      </c>
      <c r="N567"/>
      <c r="O567"/>
      <c r="P567" s="1">
        <f t="shared" si="68"/>
        <v>0.79928861788617889</v>
      </c>
      <c r="Q567" s="1">
        <f t="shared" si="69"/>
        <v>0.79928861788617889</v>
      </c>
      <c r="R567" s="1">
        <f t="shared" si="70"/>
        <v>0.82624655858060569</v>
      </c>
      <c r="S567" s="1">
        <f t="shared" si="71"/>
        <v>0.94496726677577736</v>
      </c>
    </row>
    <row r="568" spans="1:19" x14ac:dyDescent="0.3">
      <c r="A568"/>
      <c r="B568"/>
      <c r="C568"/>
      <c r="D568"/>
      <c r="E568"/>
      <c r="F568"/>
      <c r="G568"/>
      <c r="H568"/>
      <c r="I568"/>
      <c r="J568" s="1">
        <f t="shared" si="67"/>
        <v>2</v>
      </c>
      <c r="N568"/>
      <c r="O568"/>
      <c r="P568" s="1">
        <f t="shared" si="68"/>
        <v>0.79928861788617889</v>
      </c>
      <c r="Q568" s="1">
        <f t="shared" si="69"/>
        <v>0.79928861788617889</v>
      </c>
      <c r="R568" s="1">
        <f t="shared" si="70"/>
        <v>0.82624655858060569</v>
      </c>
      <c r="S568" s="1">
        <f t="shared" si="71"/>
        <v>0.94496726677577736</v>
      </c>
    </row>
    <row r="569" spans="1:19" x14ac:dyDescent="0.3">
      <c r="A569"/>
      <c r="B569"/>
      <c r="C569"/>
      <c r="D569"/>
      <c r="E569"/>
      <c r="F569"/>
      <c r="G569"/>
      <c r="H569"/>
      <c r="I569"/>
      <c r="J569" s="1">
        <f t="shared" si="67"/>
        <v>2</v>
      </c>
      <c r="N569"/>
      <c r="O569"/>
      <c r="P569" s="1">
        <f t="shared" si="68"/>
        <v>0.79928861788617889</v>
      </c>
      <c r="Q569" s="1">
        <f t="shared" si="69"/>
        <v>0.79928861788617889</v>
      </c>
      <c r="R569" s="1">
        <f t="shared" si="70"/>
        <v>0.82624655858060569</v>
      </c>
      <c r="S569" s="1">
        <f t="shared" si="71"/>
        <v>0.94496726677577736</v>
      </c>
    </row>
    <row r="570" spans="1:19" x14ac:dyDescent="0.3">
      <c r="A570"/>
      <c r="B570"/>
      <c r="C570"/>
      <c r="D570"/>
      <c r="E570"/>
      <c r="F570"/>
      <c r="G570"/>
      <c r="H570"/>
      <c r="I570"/>
      <c r="J570" s="1">
        <f t="shared" si="67"/>
        <v>2</v>
      </c>
      <c r="N570"/>
      <c r="O570"/>
      <c r="P570" s="1">
        <f t="shared" si="68"/>
        <v>0.79928861788617889</v>
      </c>
      <c r="Q570" s="1">
        <f t="shared" si="69"/>
        <v>0.79928861788617889</v>
      </c>
      <c r="R570" s="1">
        <f t="shared" si="70"/>
        <v>0.82624655858060569</v>
      </c>
      <c r="S570" s="1">
        <f t="shared" si="71"/>
        <v>0.94496726677577736</v>
      </c>
    </row>
    <row r="571" spans="1:19" x14ac:dyDescent="0.3">
      <c r="A571"/>
      <c r="B571"/>
      <c r="C571"/>
      <c r="D571"/>
      <c r="E571"/>
      <c r="F571"/>
      <c r="G571"/>
      <c r="H571"/>
      <c r="I571"/>
      <c r="J571" s="1">
        <f t="shared" si="67"/>
        <v>2</v>
      </c>
      <c r="N571"/>
      <c r="O571"/>
      <c r="P571" s="1">
        <f t="shared" si="68"/>
        <v>0.79928861788617889</v>
      </c>
      <c r="Q571" s="1">
        <f t="shared" si="69"/>
        <v>0.79928861788617889</v>
      </c>
      <c r="R571" s="1">
        <f t="shared" si="70"/>
        <v>0.82624655858060569</v>
      </c>
      <c r="S571" s="1">
        <f t="shared" si="71"/>
        <v>0.94496726677577736</v>
      </c>
    </row>
    <row r="572" spans="1:19" x14ac:dyDescent="0.3">
      <c r="A572"/>
      <c r="B572"/>
      <c r="C572"/>
      <c r="D572"/>
      <c r="E572"/>
      <c r="F572"/>
      <c r="G572"/>
      <c r="H572"/>
      <c r="I572"/>
      <c r="J572" s="1">
        <f t="shared" si="67"/>
        <v>2</v>
      </c>
      <c r="N572"/>
      <c r="O572"/>
      <c r="P572" s="1">
        <f t="shared" si="68"/>
        <v>0.79928861788617889</v>
      </c>
      <c r="Q572" s="1">
        <f t="shared" si="69"/>
        <v>0.79928861788617889</v>
      </c>
      <c r="R572" s="1">
        <f t="shared" si="70"/>
        <v>0.82624655858060569</v>
      </c>
      <c r="S572" s="1">
        <f t="shared" si="71"/>
        <v>0.94496726677577736</v>
      </c>
    </row>
    <row r="573" spans="1:19" x14ac:dyDescent="0.3">
      <c r="A573"/>
      <c r="B573"/>
      <c r="C573"/>
      <c r="D573"/>
      <c r="E573"/>
      <c r="F573"/>
      <c r="G573"/>
      <c r="H573"/>
      <c r="I573"/>
      <c r="J573" s="1">
        <f t="shared" si="67"/>
        <v>2</v>
      </c>
      <c r="N573"/>
      <c r="O573"/>
      <c r="P573" s="1">
        <f t="shared" si="68"/>
        <v>0.79928861788617889</v>
      </c>
      <c r="Q573" s="1">
        <f t="shared" si="69"/>
        <v>0.79928861788617889</v>
      </c>
      <c r="R573" s="1">
        <f t="shared" si="70"/>
        <v>0.82624655858060569</v>
      </c>
      <c r="S573" s="1">
        <f t="shared" si="71"/>
        <v>0.94496726677577736</v>
      </c>
    </row>
    <row r="574" spans="1:19" x14ac:dyDescent="0.3">
      <c r="A574"/>
      <c r="B574"/>
      <c r="C574"/>
      <c r="D574"/>
      <c r="E574"/>
      <c r="F574"/>
      <c r="G574"/>
      <c r="H574"/>
      <c r="I574"/>
      <c r="J574" s="1">
        <f t="shared" si="67"/>
        <v>2</v>
      </c>
      <c r="N574"/>
      <c r="O574"/>
      <c r="P574" s="1">
        <f t="shared" si="68"/>
        <v>0.79928861788617889</v>
      </c>
      <c r="Q574" s="1">
        <f t="shared" si="69"/>
        <v>0.79928861788617889</v>
      </c>
      <c r="R574" s="1">
        <f t="shared" si="70"/>
        <v>0.82624655858060569</v>
      </c>
      <c r="S574" s="1">
        <f t="shared" si="71"/>
        <v>0.94496726677577736</v>
      </c>
    </row>
    <row r="575" spans="1:19" x14ac:dyDescent="0.3">
      <c r="A575"/>
      <c r="B575"/>
      <c r="C575"/>
      <c r="D575"/>
      <c r="E575"/>
      <c r="F575"/>
      <c r="G575"/>
      <c r="H575"/>
      <c r="I575"/>
      <c r="J575" s="1">
        <f t="shared" si="67"/>
        <v>2</v>
      </c>
      <c r="N575"/>
      <c r="O575"/>
      <c r="P575" s="1">
        <f t="shared" si="68"/>
        <v>0.79928861788617889</v>
      </c>
      <c r="Q575" s="1">
        <f t="shared" si="69"/>
        <v>0.79928861788617889</v>
      </c>
      <c r="R575" s="1">
        <f t="shared" si="70"/>
        <v>0.82624655858060569</v>
      </c>
      <c r="S575" s="1">
        <f t="shared" si="71"/>
        <v>0.94496726677577736</v>
      </c>
    </row>
    <row r="576" spans="1:19" x14ac:dyDescent="0.3">
      <c r="A576"/>
      <c r="B576"/>
      <c r="C576"/>
      <c r="D576"/>
      <c r="E576"/>
      <c r="F576"/>
      <c r="G576"/>
      <c r="H576"/>
      <c r="I576"/>
      <c r="J576" s="1">
        <f t="shared" si="67"/>
        <v>2</v>
      </c>
      <c r="N576"/>
      <c r="O576"/>
      <c r="P576" s="1">
        <f t="shared" si="68"/>
        <v>0.79928861788617889</v>
      </c>
      <c r="Q576" s="1">
        <f t="shared" si="69"/>
        <v>0.79928861788617889</v>
      </c>
      <c r="R576" s="1">
        <f t="shared" si="70"/>
        <v>0.82624655858060569</v>
      </c>
      <c r="S576" s="1">
        <f t="shared" si="71"/>
        <v>0.94496726677577736</v>
      </c>
    </row>
    <row r="577" spans="1:19" x14ac:dyDescent="0.3">
      <c r="A577"/>
      <c r="B577"/>
      <c r="C577"/>
      <c r="D577"/>
      <c r="E577"/>
      <c r="F577"/>
      <c r="G577"/>
      <c r="H577"/>
      <c r="I577"/>
      <c r="J577" s="1">
        <f t="shared" si="67"/>
        <v>2</v>
      </c>
      <c r="N577"/>
      <c r="O577"/>
      <c r="P577" s="1">
        <f t="shared" si="68"/>
        <v>0.79928861788617889</v>
      </c>
      <c r="Q577" s="1">
        <f t="shared" si="69"/>
        <v>0.79928861788617889</v>
      </c>
      <c r="R577" s="1">
        <f t="shared" si="70"/>
        <v>0.82624655858060569</v>
      </c>
      <c r="S577" s="1">
        <f t="shared" si="71"/>
        <v>0.94496726677577736</v>
      </c>
    </row>
    <row r="578" spans="1:19" x14ac:dyDescent="0.3">
      <c r="A578"/>
      <c r="B578"/>
      <c r="C578"/>
      <c r="D578"/>
      <c r="E578"/>
      <c r="F578"/>
      <c r="G578"/>
      <c r="H578"/>
      <c r="I578"/>
      <c r="J578" s="1">
        <f t="shared" si="67"/>
        <v>2</v>
      </c>
      <c r="N578"/>
      <c r="O578"/>
      <c r="P578" s="1">
        <f t="shared" si="68"/>
        <v>0.79928861788617889</v>
      </c>
      <c r="Q578" s="1">
        <f t="shared" si="69"/>
        <v>0.79928861788617889</v>
      </c>
      <c r="R578" s="1">
        <f t="shared" si="70"/>
        <v>0.82624655858060569</v>
      </c>
      <c r="S578" s="1">
        <f t="shared" si="71"/>
        <v>0.94496726677577736</v>
      </c>
    </row>
    <row r="579" spans="1:19" x14ac:dyDescent="0.3">
      <c r="A579"/>
      <c r="B579"/>
      <c r="C579"/>
      <c r="D579"/>
      <c r="E579"/>
      <c r="F579"/>
      <c r="G579"/>
      <c r="H579"/>
      <c r="I579"/>
      <c r="J579" s="1">
        <f t="shared" si="67"/>
        <v>2</v>
      </c>
      <c r="N579"/>
      <c r="O579"/>
      <c r="P579" s="1">
        <f t="shared" si="68"/>
        <v>0.79928861788617889</v>
      </c>
      <c r="Q579" s="1">
        <f t="shared" si="69"/>
        <v>0.79928861788617889</v>
      </c>
      <c r="R579" s="1">
        <f t="shared" si="70"/>
        <v>0.82624655858060569</v>
      </c>
      <c r="S579" s="1">
        <f t="shared" si="71"/>
        <v>0.94496726677577736</v>
      </c>
    </row>
    <row r="580" spans="1:19" x14ac:dyDescent="0.3">
      <c r="A580"/>
      <c r="B580"/>
      <c r="C580"/>
      <c r="D580"/>
      <c r="E580"/>
      <c r="F580"/>
      <c r="G580"/>
      <c r="H580"/>
      <c r="I580"/>
      <c r="J580" s="1">
        <f t="shared" si="67"/>
        <v>2</v>
      </c>
      <c r="N580"/>
      <c r="O580"/>
      <c r="P580" s="1">
        <f t="shared" si="68"/>
        <v>0.79928861788617889</v>
      </c>
      <c r="Q580" s="1">
        <f t="shared" si="69"/>
        <v>0.79928861788617889</v>
      </c>
      <c r="R580" s="1">
        <f t="shared" si="70"/>
        <v>0.82624655858060569</v>
      </c>
      <c r="S580" s="1">
        <f t="shared" si="71"/>
        <v>0.94496726677577736</v>
      </c>
    </row>
    <row r="581" spans="1:19" x14ac:dyDescent="0.3">
      <c r="A581"/>
      <c r="B581"/>
      <c r="C581"/>
      <c r="D581"/>
      <c r="E581"/>
      <c r="F581"/>
      <c r="G581"/>
      <c r="H581"/>
      <c r="I581"/>
      <c r="J581" s="1">
        <f t="shared" si="67"/>
        <v>2</v>
      </c>
      <c r="N581"/>
      <c r="O581"/>
      <c r="P581" s="1">
        <f t="shared" si="68"/>
        <v>0.79928861788617889</v>
      </c>
      <c r="Q581" s="1">
        <f t="shared" si="69"/>
        <v>0.79928861788617889</v>
      </c>
      <c r="R581" s="1">
        <f t="shared" si="70"/>
        <v>0.82624655858060569</v>
      </c>
      <c r="S581" s="1">
        <f t="shared" si="71"/>
        <v>0.94496726677577736</v>
      </c>
    </row>
    <row r="582" spans="1:19" x14ac:dyDescent="0.3">
      <c r="A582"/>
      <c r="B582"/>
      <c r="C582"/>
      <c r="D582"/>
      <c r="E582"/>
      <c r="F582"/>
      <c r="G582"/>
      <c r="H582"/>
      <c r="I582"/>
      <c r="J582" s="1">
        <f t="shared" si="67"/>
        <v>2</v>
      </c>
      <c r="N582"/>
      <c r="O582"/>
      <c r="P582" s="1">
        <f t="shared" si="68"/>
        <v>0.79928861788617889</v>
      </c>
      <c r="Q582" s="1">
        <f t="shared" si="69"/>
        <v>0.79928861788617889</v>
      </c>
      <c r="R582" s="1">
        <f t="shared" si="70"/>
        <v>0.82624655858060569</v>
      </c>
      <c r="S582" s="1">
        <f t="shared" si="71"/>
        <v>0.94496726677577736</v>
      </c>
    </row>
    <row r="583" spans="1:19" x14ac:dyDescent="0.3">
      <c r="A583"/>
      <c r="B583"/>
      <c r="C583"/>
      <c r="D583"/>
      <c r="E583"/>
      <c r="F583"/>
      <c r="G583"/>
      <c r="H583"/>
      <c r="I583"/>
      <c r="J583" s="1">
        <f t="shared" si="67"/>
        <v>2</v>
      </c>
      <c r="N583"/>
      <c r="O583"/>
      <c r="P583" s="1">
        <f t="shared" si="68"/>
        <v>0.79928861788617889</v>
      </c>
      <c r="Q583" s="1">
        <f t="shared" si="69"/>
        <v>0.79928861788617889</v>
      </c>
      <c r="R583" s="1">
        <f t="shared" si="70"/>
        <v>0.82624655858060569</v>
      </c>
      <c r="S583" s="1">
        <f t="shared" si="71"/>
        <v>0.94496726677577736</v>
      </c>
    </row>
    <row r="584" spans="1:19" x14ac:dyDescent="0.3">
      <c r="A584"/>
      <c r="B584"/>
      <c r="C584"/>
      <c r="D584"/>
      <c r="E584"/>
      <c r="F584"/>
      <c r="G584"/>
      <c r="H584"/>
      <c r="I584"/>
      <c r="J584" s="1">
        <f t="shared" si="67"/>
        <v>2</v>
      </c>
      <c r="N584"/>
      <c r="O584"/>
      <c r="P584" s="1">
        <f t="shared" si="68"/>
        <v>0.79928861788617889</v>
      </c>
      <c r="Q584" s="1">
        <f t="shared" si="69"/>
        <v>0.79928861788617889</v>
      </c>
      <c r="R584" s="1">
        <f t="shared" si="70"/>
        <v>0.82624655858060569</v>
      </c>
      <c r="S584" s="1">
        <f t="shared" si="71"/>
        <v>0.94496726677577736</v>
      </c>
    </row>
    <row r="585" spans="1:19" x14ac:dyDescent="0.3">
      <c r="A585"/>
      <c r="B585"/>
      <c r="C585"/>
      <c r="D585"/>
      <c r="E585"/>
      <c r="F585"/>
      <c r="G585"/>
      <c r="H585"/>
      <c r="I585"/>
      <c r="J585" s="1">
        <f t="shared" si="67"/>
        <v>2</v>
      </c>
      <c r="N585"/>
      <c r="O585"/>
      <c r="P585" s="1">
        <f t="shared" si="68"/>
        <v>0.79928861788617889</v>
      </c>
      <c r="Q585" s="1">
        <f t="shared" si="69"/>
        <v>0.79928861788617889</v>
      </c>
      <c r="R585" s="1">
        <f t="shared" si="70"/>
        <v>0.82624655858060569</v>
      </c>
      <c r="S585" s="1">
        <f t="shared" si="71"/>
        <v>0.94496726677577736</v>
      </c>
    </row>
    <row r="586" spans="1:19" x14ac:dyDescent="0.3">
      <c r="A586"/>
      <c r="B586"/>
      <c r="C586"/>
      <c r="D586"/>
      <c r="E586"/>
      <c r="F586"/>
      <c r="G586"/>
      <c r="H586"/>
      <c r="I586"/>
      <c r="J586" s="1">
        <f t="shared" si="67"/>
        <v>2</v>
      </c>
      <c r="N586"/>
      <c r="O586"/>
      <c r="P586" s="1">
        <f t="shared" si="68"/>
        <v>0.79928861788617889</v>
      </c>
      <c r="Q586" s="1">
        <f t="shared" si="69"/>
        <v>0.79928861788617889</v>
      </c>
      <c r="R586" s="1">
        <f t="shared" si="70"/>
        <v>0.82624655858060569</v>
      </c>
      <c r="S586" s="1">
        <f t="shared" si="71"/>
        <v>0.94496726677577736</v>
      </c>
    </row>
    <row r="587" spans="1:19" x14ac:dyDescent="0.3">
      <c r="A587"/>
      <c r="B587"/>
      <c r="C587"/>
      <c r="D587"/>
      <c r="E587"/>
      <c r="F587"/>
      <c r="G587"/>
      <c r="H587"/>
      <c r="I587"/>
      <c r="J587" s="1">
        <f t="shared" si="67"/>
        <v>2</v>
      </c>
      <c r="N587"/>
      <c r="O587"/>
      <c r="P587" s="1">
        <f t="shared" si="68"/>
        <v>0.79928861788617889</v>
      </c>
      <c r="Q587" s="1">
        <f t="shared" si="69"/>
        <v>0.79928861788617889</v>
      </c>
      <c r="R587" s="1">
        <f t="shared" si="70"/>
        <v>0.82624655858060569</v>
      </c>
      <c r="S587" s="1">
        <f t="shared" si="71"/>
        <v>0.94496726677577736</v>
      </c>
    </row>
    <row r="588" spans="1:19" x14ac:dyDescent="0.3">
      <c r="A588"/>
      <c r="B588"/>
      <c r="C588"/>
      <c r="D588"/>
      <c r="E588"/>
      <c r="F588"/>
      <c r="G588"/>
      <c r="H588"/>
      <c r="I588"/>
      <c r="J588" s="1">
        <f t="shared" si="67"/>
        <v>2</v>
      </c>
      <c r="N588"/>
      <c r="O588"/>
      <c r="P588" s="1">
        <f t="shared" si="68"/>
        <v>0.79928861788617889</v>
      </c>
      <c r="Q588" s="1">
        <f t="shared" si="69"/>
        <v>0.79928861788617889</v>
      </c>
      <c r="R588" s="1">
        <f t="shared" si="70"/>
        <v>0.82624655858060569</v>
      </c>
      <c r="S588" s="1">
        <f t="shared" si="71"/>
        <v>0.94496726677577736</v>
      </c>
    </row>
    <row r="589" spans="1:19" x14ac:dyDescent="0.3">
      <c r="A589"/>
      <c r="B589"/>
      <c r="C589"/>
      <c r="D589"/>
      <c r="E589"/>
      <c r="F589"/>
      <c r="G589"/>
      <c r="H589"/>
      <c r="I589"/>
      <c r="J589" s="1">
        <f t="shared" si="67"/>
        <v>2</v>
      </c>
      <c r="N589"/>
      <c r="O589"/>
      <c r="P589" s="1">
        <f t="shared" si="68"/>
        <v>0.79928861788617889</v>
      </c>
      <c r="Q589" s="1">
        <f t="shared" si="69"/>
        <v>0.79928861788617889</v>
      </c>
      <c r="R589" s="1">
        <f t="shared" si="70"/>
        <v>0.82624655858060569</v>
      </c>
      <c r="S589" s="1">
        <f t="shared" si="71"/>
        <v>0.94496726677577736</v>
      </c>
    </row>
    <row r="590" spans="1:19" x14ac:dyDescent="0.3">
      <c r="A590"/>
      <c r="B590"/>
      <c r="C590"/>
      <c r="D590"/>
      <c r="E590"/>
      <c r="F590"/>
      <c r="G590"/>
      <c r="H590"/>
      <c r="I590"/>
      <c r="J590" s="1">
        <f t="shared" si="67"/>
        <v>2</v>
      </c>
      <c r="N590"/>
      <c r="O590"/>
      <c r="P590" s="1">
        <f t="shared" si="68"/>
        <v>0.79928861788617889</v>
      </c>
      <c r="Q590" s="1">
        <f t="shared" si="69"/>
        <v>0.79928861788617889</v>
      </c>
      <c r="R590" s="1">
        <f t="shared" si="70"/>
        <v>0.82624655858060569</v>
      </c>
      <c r="S590" s="1">
        <f t="shared" si="71"/>
        <v>0.94496726677577736</v>
      </c>
    </row>
    <row r="591" spans="1:19" x14ac:dyDescent="0.3">
      <c r="A591"/>
      <c r="B591"/>
      <c r="C591"/>
      <c r="D591"/>
      <c r="E591"/>
      <c r="F591"/>
      <c r="G591"/>
      <c r="H591"/>
      <c r="I591"/>
      <c r="J591" s="1">
        <f t="shared" si="67"/>
        <v>2</v>
      </c>
      <c r="N591"/>
      <c r="O591"/>
      <c r="P591" s="1">
        <f t="shared" si="68"/>
        <v>0.79928861788617889</v>
      </c>
      <c r="Q591" s="1">
        <f t="shared" si="69"/>
        <v>0.79928861788617889</v>
      </c>
      <c r="R591" s="1">
        <f t="shared" si="70"/>
        <v>0.82624655858060569</v>
      </c>
      <c r="S591" s="1">
        <f t="shared" si="71"/>
        <v>0.94496726677577736</v>
      </c>
    </row>
    <row r="592" spans="1:19" x14ac:dyDescent="0.3">
      <c r="A592"/>
      <c r="B592"/>
      <c r="C592"/>
      <c r="D592"/>
      <c r="E592"/>
      <c r="F592"/>
      <c r="G592"/>
      <c r="H592"/>
      <c r="I592"/>
      <c r="J592" s="1">
        <f t="shared" si="67"/>
        <v>2</v>
      </c>
      <c r="N592"/>
      <c r="O592"/>
      <c r="P592" s="1">
        <f t="shared" si="68"/>
        <v>0.79928861788617889</v>
      </c>
      <c r="Q592" s="1">
        <f t="shared" si="69"/>
        <v>0.79928861788617889</v>
      </c>
      <c r="R592" s="1">
        <f t="shared" si="70"/>
        <v>0.82624655858060569</v>
      </c>
      <c r="S592" s="1">
        <f t="shared" si="71"/>
        <v>0.94496726677577736</v>
      </c>
    </row>
    <row r="593" spans="1:19" x14ac:dyDescent="0.3">
      <c r="A593"/>
      <c r="B593"/>
      <c r="C593"/>
      <c r="D593"/>
      <c r="E593"/>
      <c r="F593"/>
      <c r="G593"/>
      <c r="H593"/>
      <c r="I593"/>
      <c r="J593" s="1">
        <f t="shared" si="67"/>
        <v>2</v>
      </c>
      <c r="N593"/>
      <c r="O593"/>
      <c r="P593" s="1">
        <f t="shared" si="68"/>
        <v>0.79928861788617889</v>
      </c>
      <c r="Q593" s="1">
        <f t="shared" si="69"/>
        <v>0.79928861788617889</v>
      </c>
      <c r="R593" s="1">
        <f t="shared" si="70"/>
        <v>0.82624655858060569</v>
      </c>
      <c r="S593" s="1">
        <f t="shared" si="71"/>
        <v>0.94496726677577736</v>
      </c>
    </row>
    <row r="594" spans="1:19" x14ac:dyDescent="0.3">
      <c r="A594"/>
      <c r="B594"/>
      <c r="C594"/>
      <c r="D594"/>
      <c r="E594"/>
      <c r="F594"/>
      <c r="G594"/>
      <c r="H594"/>
      <c r="I594"/>
      <c r="J594" s="1">
        <f t="shared" si="67"/>
        <v>2</v>
      </c>
      <c r="N594"/>
      <c r="O594"/>
      <c r="P594" s="1">
        <f t="shared" si="68"/>
        <v>0.79928861788617889</v>
      </c>
      <c r="Q594" s="1">
        <f t="shared" si="69"/>
        <v>0.79928861788617889</v>
      </c>
      <c r="R594" s="1">
        <f t="shared" si="70"/>
        <v>0.82624655858060569</v>
      </c>
      <c r="S594" s="1">
        <f t="shared" si="71"/>
        <v>0.94496726677577736</v>
      </c>
    </row>
    <row r="595" spans="1:19" x14ac:dyDescent="0.3">
      <c r="A595"/>
      <c r="B595"/>
      <c r="C595"/>
      <c r="D595"/>
      <c r="E595"/>
      <c r="F595"/>
      <c r="G595"/>
      <c r="H595"/>
      <c r="I595"/>
      <c r="J595" s="1">
        <f t="shared" si="67"/>
        <v>2</v>
      </c>
      <c r="N595"/>
      <c r="O595"/>
      <c r="P595" s="1">
        <f t="shared" si="68"/>
        <v>0.79928861788617889</v>
      </c>
      <c r="Q595" s="1">
        <f t="shared" si="69"/>
        <v>0.79928861788617889</v>
      </c>
      <c r="R595" s="1">
        <f t="shared" si="70"/>
        <v>0.82624655858060569</v>
      </c>
      <c r="S595" s="1">
        <f t="shared" si="71"/>
        <v>0.94496726677577736</v>
      </c>
    </row>
    <row r="596" spans="1:19" x14ac:dyDescent="0.3">
      <c r="A596"/>
      <c r="B596"/>
      <c r="C596"/>
      <c r="D596"/>
      <c r="E596"/>
      <c r="F596"/>
      <c r="G596"/>
      <c r="H596"/>
      <c r="I596"/>
      <c r="J596" s="1">
        <f t="shared" ref="J596:J659" si="72">E596+2</f>
        <v>2</v>
      </c>
      <c r="N596"/>
      <c r="O596"/>
      <c r="P596" s="1">
        <f t="shared" si="68"/>
        <v>0.79928861788617889</v>
      </c>
      <c r="Q596" s="1">
        <f t="shared" si="69"/>
        <v>0.79928861788617889</v>
      </c>
      <c r="R596" s="1">
        <f t="shared" si="70"/>
        <v>0.82624655858060569</v>
      </c>
      <c r="S596" s="1">
        <f t="shared" si="71"/>
        <v>0.94496726677577736</v>
      </c>
    </row>
    <row r="597" spans="1:19" x14ac:dyDescent="0.3">
      <c r="A597"/>
      <c r="B597"/>
      <c r="C597"/>
      <c r="D597"/>
      <c r="E597"/>
      <c r="F597"/>
      <c r="G597"/>
      <c r="H597"/>
      <c r="I597"/>
      <c r="J597" s="1">
        <f t="shared" si="72"/>
        <v>2</v>
      </c>
      <c r="N597"/>
      <c r="O597"/>
      <c r="P597" s="1">
        <f t="shared" si="68"/>
        <v>0.79928861788617889</v>
      </c>
      <c r="Q597" s="1">
        <f t="shared" si="69"/>
        <v>0.79928861788617889</v>
      </c>
      <c r="R597" s="1">
        <f t="shared" si="70"/>
        <v>0.82624655858060569</v>
      </c>
      <c r="S597" s="1">
        <f t="shared" si="71"/>
        <v>0.94496726677577736</v>
      </c>
    </row>
    <row r="598" spans="1:19" x14ac:dyDescent="0.3">
      <c r="A598"/>
      <c r="B598"/>
      <c r="C598"/>
      <c r="D598"/>
      <c r="E598"/>
      <c r="F598"/>
      <c r="G598"/>
      <c r="H598"/>
      <c r="I598"/>
      <c r="J598" s="1">
        <f t="shared" si="72"/>
        <v>2</v>
      </c>
      <c r="N598"/>
      <c r="O598"/>
      <c r="P598" s="1">
        <f t="shared" si="68"/>
        <v>0.79928861788617889</v>
      </c>
      <c r="Q598" s="1">
        <f t="shared" si="69"/>
        <v>0.79928861788617889</v>
      </c>
      <c r="R598" s="1">
        <f t="shared" si="70"/>
        <v>0.82624655858060569</v>
      </c>
      <c r="S598" s="1">
        <f t="shared" si="71"/>
        <v>0.94496726677577736</v>
      </c>
    </row>
    <row r="599" spans="1:19" x14ac:dyDescent="0.3">
      <c r="A599"/>
      <c r="B599"/>
      <c r="C599"/>
      <c r="D599"/>
      <c r="E599"/>
      <c r="F599"/>
      <c r="G599"/>
      <c r="H599"/>
      <c r="I599"/>
      <c r="J599" s="1">
        <f t="shared" si="72"/>
        <v>2</v>
      </c>
      <c r="N599"/>
      <c r="O599"/>
      <c r="P599" s="1">
        <f t="shared" si="68"/>
        <v>0.79928861788617889</v>
      </c>
      <c r="Q599" s="1">
        <f t="shared" si="69"/>
        <v>0.79928861788617889</v>
      </c>
      <c r="R599" s="1">
        <f t="shared" si="70"/>
        <v>0.82624655858060569</v>
      </c>
      <c r="S599" s="1">
        <f t="shared" si="71"/>
        <v>0.94496726677577736</v>
      </c>
    </row>
    <row r="600" spans="1:19" x14ac:dyDescent="0.3">
      <c r="A600"/>
      <c r="B600"/>
      <c r="C600"/>
      <c r="D600"/>
      <c r="E600"/>
      <c r="F600"/>
      <c r="G600"/>
      <c r="H600"/>
      <c r="I600"/>
      <c r="J600" s="1">
        <f t="shared" si="72"/>
        <v>2</v>
      </c>
      <c r="N600"/>
      <c r="O600"/>
      <c r="P600" s="1">
        <f t="shared" si="68"/>
        <v>0.79928861788617889</v>
      </c>
      <c r="Q600" s="1">
        <f t="shared" si="69"/>
        <v>0.79928861788617889</v>
      </c>
      <c r="R600" s="1">
        <f t="shared" si="70"/>
        <v>0.82624655858060569</v>
      </c>
      <c r="S600" s="1">
        <f t="shared" si="71"/>
        <v>0.94496726677577736</v>
      </c>
    </row>
    <row r="601" spans="1:19" x14ac:dyDescent="0.3">
      <c r="A601"/>
      <c r="B601"/>
      <c r="C601"/>
      <c r="D601"/>
      <c r="E601"/>
      <c r="F601"/>
      <c r="G601"/>
      <c r="H601"/>
      <c r="I601"/>
      <c r="J601" s="1">
        <f t="shared" si="72"/>
        <v>2</v>
      </c>
      <c r="N601"/>
      <c r="O601"/>
      <c r="P601" s="1">
        <f t="shared" si="68"/>
        <v>0.79928861788617889</v>
      </c>
      <c r="Q601" s="1">
        <f t="shared" si="69"/>
        <v>0.79928861788617889</v>
      </c>
      <c r="R601" s="1">
        <f t="shared" si="70"/>
        <v>0.82624655858060569</v>
      </c>
      <c r="S601" s="1">
        <f t="shared" si="71"/>
        <v>0.94496726677577736</v>
      </c>
    </row>
    <row r="602" spans="1:19" x14ac:dyDescent="0.3">
      <c r="A602"/>
      <c r="B602"/>
      <c r="C602"/>
      <c r="D602"/>
      <c r="E602"/>
      <c r="F602"/>
      <c r="G602"/>
      <c r="H602"/>
      <c r="I602"/>
      <c r="J602" s="1">
        <f t="shared" si="72"/>
        <v>2</v>
      </c>
      <c r="N602"/>
      <c r="O602"/>
      <c r="P602" s="1">
        <f t="shared" si="68"/>
        <v>0.79928861788617889</v>
      </c>
      <c r="Q602" s="1">
        <f t="shared" si="69"/>
        <v>0.79928861788617889</v>
      </c>
      <c r="R602" s="1">
        <f t="shared" si="70"/>
        <v>0.82624655858060569</v>
      </c>
      <c r="S602" s="1">
        <f t="shared" si="71"/>
        <v>0.94496726677577736</v>
      </c>
    </row>
    <row r="603" spans="1:19" x14ac:dyDescent="0.3">
      <c r="A603"/>
      <c r="B603"/>
      <c r="C603"/>
      <c r="D603"/>
      <c r="E603"/>
      <c r="F603"/>
      <c r="G603"/>
      <c r="H603"/>
      <c r="I603"/>
      <c r="J603" s="1">
        <f t="shared" si="72"/>
        <v>2</v>
      </c>
      <c r="N603"/>
      <c r="O603"/>
      <c r="P603" s="1">
        <f t="shared" si="68"/>
        <v>0.79928861788617889</v>
      </c>
      <c r="Q603" s="1">
        <f t="shared" si="69"/>
        <v>0.79928861788617889</v>
      </c>
      <c r="R603" s="1">
        <f t="shared" si="70"/>
        <v>0.82624655858060569</v>
      </c>
      <c r="S603" s="1">
        <f t="shared" si="71"/>
        <v>0.94496726677577736</v>
      </c>
    </row>
    <row r="604" spans="1:19" x14ac:dyDescent="0.3">
      <c r="A604"/>
      <c r="B604"/>
      <c r="C604"/>
      <c r="D604"/>
      <c r="E604"/>
      <c r="F604"/>
      <c r="G604"/>
      <c r="H604"/>
      <c r="I604"/>
      <c r="J604" s="1">
        <f t="shared" si="72"/>
        <v>2</v>
      </c>
      <c r="N604"/>
      <c r="O604"/>
      <c r="P604" s="1">
        <f t="shared" si="68"/>
        <v>0.79928861788617889</v>
      </c>
      <c r="Q604" s="1">
        <f t="shared" si="69"/>
        <v>0.79928861788617889</v>
      </c>
      <c r="R604" s="1">
        <f t="shared" si="70"/>
        <v>0.82624655858060569</v>
      </c>
      <c r="S604" s="1">
        <f t="shared" si="71"/>
        <v>0.94496726677577736</v>
      </c>
    </row>
    <row r="605" spans="1:19" x14ac:dyDescent="0.3">
      <c r="A605"/>
      <c r="B605"/>
      <c r="C605"/>
      <c r="D605"/>
      <c r="E605"/>
      <c r="F605"/>
      <c r="G605"/>
      <c r="H605"/>
      <c r="I605"/>
      <c r="J605" s="1">
        <f t="shared" si="72"/>
        <v>2</v>
      </c>
      <c r="N605"/>
      <c r="O605"/>
      <c r="P605" s="1">
        <f t="shared" si="68"/>
        <v>0.79928861788617889</v>
      </c>
      <c r="Q605" s="1">
        <f t="shared" si="69"/>
        <v>0.79928861788617889</v>
      </c>
      <c r="R605" s="1">
        <f t="shared" si="70"/>
        <v>0.82624655858060569</v>
      </c>
      <c r="S605" s="1">
        <f t="shared" si="71"/>
        <v>0.94496726677577736</v>
      </c>
    </row>
    <row r="606" spans="1:19" x14ac:dyDescent="0.3">
      <c r="A606"/>
      <c r="B606"/>
      <c r="C606"/>
      <c r="D606"/>
      <c r="E606"/>
      <c r="F606"/>
      <c r="G606"/>
      <c r="H606"/>
      <c r="I606"/>
      <c r="J606" s="1">
        <f t="shared" si="72"/>
        <v>2</v>
      </c>
      <c r="N606"/>
      <c r="O606"/>
      <c r="P606" s="1">
        <f t="shared" si="68"/>
        <v>0.79928861788617889</v>
      </c>
      <c r="Q606" s="1">
        <f t="shared" si="69"/>
        <v>0.79928861788617889</v>
      </c>
      <c r="R606" s="1">
        <f t="shared" si="70"/>
        <v>0.82624655858060569</v>
      </c>
      <c r="S606" s="1">
        <f t="shared" si="71"/>
        <v>0.94496726677577736</v>
      </c>
    </row>
    <row r="607" spans="1:19" x14ac:dyDescent="0.3">
      <c r="A607"/>
      <c r="B607"/>
      <c r="C607"/>
      <c r="D607"/>
      <c r="E607"/>
      <c r="F607"/>
      <c r="G607"/>
      <c r="H607"/>
      <c r="I607"/>
      <c r="J607" s="1">
        <f t="shared" si="72"/>
        <v>2</v>
      </c>
      <c r="N607"/>
      <c r="O607"/>
      <c r="P607" s="1">
        <f t="shared" si="68"/>
        <v>0.79928861788617889</v>
      </c>
      <c r="Q607" s="1">
        <f t="shared" si="69"/>
        <v>0.79928861788617889</v>
      </c>
      <c r="R607" s="1">
        <f t="shared" si="70"/>
        <v>0.82624655858060569</v>
      </c>
      <c r="S607" s="1">
        <f t="shared" si="71"/>
        <v>0.94496726677577736</v>
      </c>
    </row>
    <row r="608" spans="1:19" x14ac:dyDescent="0.3">
      <c r="A608"/>
      <c r="B608"/>
      <c r="C608"/>
      <c r="D608"/>
      <c r="E608"/>
      <c r="F608"/>
      <c r="G608"/>
      <c r="H608"/>
      <c r="I608"/>
      <c r="J608" s="1">
        <f t="shared" si="72"/>
        <v>2</v>
      </c>
      <c r="N608"/>
      <c r="O608"/>
      <c r="P608" s="1">
        <f t="shared" si="68"/>
        <v>0.79928861788617889</v>
      </c>
      <c r="Q608" s="1">
        <f t="shared" si="69"/>
        <v>0.79928861788617889</v>
      </c>
      <c r="R608" s="1">
        <f t="shared" si="70"/>
        <v>0.82624655858060569</v>
      </c>
      <c r="S608" s="1">
        <f t="shared" si="71"/>
        <v>0.94496726677577736</v>
      </c>
    </row>
    <row r="609" spans="1:19" x14ac:dyDescent="0.3">
      <c r="A609"/>
      <c r="B609"/>
      <c r="C609"/>
      <c r="D609"/>
      <c r="E609"/>
      <c r="F609"/>
      <c r="G609"/>
      <c r="H609"/>
      <c r="I609"/>
      <c r="J609" s="1">
        <f t="shared" si="72"/>
        <v>2</v>
      </c>
      <c r="N609"/>
      <c r="O609"/>
      <c r="P609" s="1">
        <f t="shared" si="68"/>
        <v>0.79928861788617889</v>
      </c>
      <c r="Q609" s="1">
        <f t="shared" si="69"/>
        <v>0.79928861788617889</v>
      </c>
      <c r="R609" s="1">
        <f t="shared" si="70"/>
        <v>0.82624655858060569</v>
      </c>
      <c r="S609" s="1">
        <f t="shared" si="71"/>
        <v>0.94496726677577736</v>
      </c>
    </row>
    <row r="610" spans="1:19" x14ac:dyDescent="0.3">
      <c r="A610"/>
      <c r="B610"/>
      <c r="C610"/>
      <c r="D610"/>
      <c r="E610"/>
      <c r="F610"/>
      <c r="G610"/>
      <c r="H610"/>
      <c r="I610"/>
      <c r="J610" s="1">
        <f t="shared" si="72"/>
        <v>2</v>
      </c>
      <c r="N610"/>
      <c r="O610"/>
      <c r="P610" s="1">
        <f t="shared" si="68"/>
        <v>0.79928861788617889</v>
      </c>
      <c r="Q610" s="1">
        <f t="shared" si="69"/>
        <v>0.79928861788617889</v>
      </c>
      <c r="R610" s="1">
        <f t="shared" si="70"/>
        <v>0.82624655858060569</v>
      </c>
      <c r="S610" s="1">
        <f t="shared" si="71"/>
        <v>0.94496726677577736</v>
      </c>
    </row>
    <row r="611" spans="1:19" x14ac:dyDescent="0.3">
      <c r="A611"/>
      <c r="B611"/>
      <c r="C611"/>
      <c r="D611"/>
      <c r="E611"/>
      <c r="F611"/>
      <c r="G611"/>
      <c r="H611"/>
      <c r="I611"/>
      <c r="J611" s="1">
        <f t="shared" si="72"/>
        <v>2</v>
      </c>
      <c r="N611"/>
      <c r="O611"/>
      <c r="P611" s="1">
        <f t="shared" si="68"/>
        <v>0.79928861788617889</v>
      </c>
      <c r="Q611" s="1">
        <f t="shared" si="69"/>
        <v>0.79928861788617889</v>
      </c>
      <c r="R611" s="1">
        <f t="shared" si="70"/>
        <v>0.82624655858060569</v>
      </c>
      <c r="S611" s="1">
        <f t="shared" si="71"/>
        <v>0.94496726677577736</v>
      </c>
    </row>
    <row r="612" spans="1:19" x14ac:dyDescent="0.3">
      <c r="A612"/>
      <c r="B612"/>
      <c r="C612"/>
      <c r="D612"/>
      <c r="E612"/>
      <c r="F612"/>
      <c r="G612"/>
      <c r="H612"/>
      <c r="I612"/>
      <c r="J612" s="1">
        <f t="shared" si="72"/>
        <v>2</v>
      </c>
      <c r="N612"/>
      <c r="O612"/>
      <c r="P612" s="1">
        <f t="shared" si="68"/>
        <v>0.79928861788617889</v>
      </c>
      <c r="Q612" s="1">
        <f t="shared" si="69"/>
        <v>0.79928861788617889</v>
      </c>
      <c r="R612" s="1">
        <f t="shared" si="70"/>
        <v>0.82624655858060569</v>
      </c>
      <c r="S612" s="1">
        <f t="shared" si="71"/>
        <v>0.94496726677577736</v>
      </c>
    </row>
    <row r="613" spans="1:19" x14ac:dyDescent="0.3">
      <c r="A613"/>
      <c r="B613"/>
      <c r="C613"/>
      <c r="D613"/>
      <c r="E613"/>
      <c r="F613"/>
      <c r="G613"/>
      <c r="H613"/>
      <c r="I613"/>
      <c r="J613" s="1">
        <f t="shared" si="72"/>
        <v>2</v>
      </c>
      <c r="N613"/>
      <c r="O613"/>
      <c r="P613" s="1">
        <f t="shared" si="68"/>
        <v>0.79928861788617889</v>
      </c>
      <c r="Q613" s="1">
        <f t="shared" si="69"/>
        <v>0.79928861788617889</v>
      </c>
      <c r="R613" s="1">
        <f t="shared" si="70"/>
        <v>0.82624655858060569</v>
      </c>
      <c r="S613" s="1">
        <f t="shared" si="71"/>
        <v>0.94496726677577736</v>
      </c>
    </row>
    <row r="614" spans="1:19" x14ac:dyDescent="0.3">
      <c r="A614"/>
      <c r="B614"/>
      <c r="C614"/>
      <c r="D614"/>
      <c r="E614"/>
      <c r="F614"/>
      <c r="G614"/>
      <c r="H614"/>
      <c r="I614"/>
      <c r="J614" s="1">
        <f t="shared" si="72"/>
        <v>2</v>
      </c>
      <c r="N614"/>
      <c r="O614"/>
      <c r="P614" s="1">
        <f t="shared" si="68"/>
        <v>0.79928861788617889</v>
      </c>
      <c r="Q614" s="1">
        <f t="shared" si="69"/>
        <v>0.79928861788617889</v>
      </c>
      <c r="R614" s="1">
        <f t="shared" si="70"/>
        <v>0.82624655858060569</v>
      </c>
      <c r="S614" s="1">
        <f t="shared" si="71"/>
        <v>0.94496726677577736</v>
      </c>
    </row>
    <row r="615" spans="1:19" x14ac:dyDescent="0.3">
      <c r="A615"/>
      <c r="B615"/>
      <c r="C615"/>
      <c r="D615"/>
      <c r="E615"/>
      <c r="F615"/>
      <c r="G615"/>
      <c r="H615"/>
      <c r="I615"/>
      <c r="J615" s="1">
        <f t="shared" si="72"/>
        <v>2</v>
      </c>
      <c r="N615"/>
      <c r="O615"/>
      <c r="P615" s="1">
        <f t="shared" si="68"/>
        <v>0.79928861788617889</v>
      </c>
      <c r="Q615" s="1">
        <f t="shared" si="69"/>
        <v>0.79928861788617889</v>
      </c>
      <c r="R615" s="1">
        <f t="shared" si="70"/>
        <v>0.82624655858060569</v>
      </c>
      <c r="S615" s="1">
        <f t="shared" si="71"/>
        <v>0.94496726677577736</v>
      </c>
    </row>
    <row r="616" spans="1:19" x14ac:dyDescent="0.3">
      <c r="A616"/>
      <c r="B616"/>
      <c r="C616"/>
      <c r="D616"/>
      <c r="E616"/>
      <c r="F616"/>
      <c r="G616"/>
      <c r="H616"/>
      <c r="I616"/>
      <c r="J616" s="1">
        <f t="shared" si="72"/>
        <v>2</v>
      </c>
      <c r="N616"/>
      <c r="O616"/>
      <c r="P616" s="1">
        <f t="shared" si="68"/>
        <v>0.79928861788617889</v>
      </c>
      <c r="Q616" s="1">
        <f t="shared" si="69"/>
        <v>0.79928861788617889</v>
      </c>
      <c r="R616" s="1">
        <f t="shared" si="70"/>
        <v>0.82624655858060569</v>
      </c>
      <c r="S616" s="1">
        <f t="shared" si="71"/>
        <v>0.94496726677577736</v>
      </c>
    </row>
    <row r="617" spans="1:19" x14ac:dyDescent="0.3">
      <c r="A617"/>
      <c r="B617"/>
      <c r="C617"/>
      <c r="D617"/>
      <c r="E617"/>
      <c r="F617"/>
      <c r="G617"/>
      <c r="H617"/>
      <c r="I617"/>
      <c r="J617" s="1">
        <f t="shared" si="72"/>
        <v>2</v>
      </c>
      <c r="N617"/>
      <c r="O617"/>
      <c r="P617" s="1">
        <f t="shared" si="68"/>
        <v>0.79928861788617889</v>
      </c>
      <c r="Q617" s="1">
        <f t="shared" si="69"/>
        <v>0.79928861788617889</v>
      </c>
      <c r="R617" s="1">
        <f t="shared" si="70"/>
        <v>0.82624655858060569</v>
      </c>
      <c r="S617" s="1">
        <f t="shared" si="71"/>
        <v>0.94496726677577736</v>
      </c>
    </row>
    <row r="618" spans="1:19" x14ac:dyDescent="0.3">
      <c r="A618"/>
      <c r="B618"/>
      <c r="C618"/>
      <c r="D618"/>
      <c r="E618"/>
      <c r="F618"/>
      <c r="G618"/>
      <c r="H618"/>
      <c r="I618"/>
      <c r="J618" s="1">
        <f t="shared" si="72"/>
        <v>2</v>
      </c>
      <c r="N618"/>
      <c r="O618"/>
      <c r="P618" s="1">
        <f t="shared" si="68"/>
        <v>0.79928861788617889</v>
      </c>
      <c r="Q618" s="1">
        <f t="shared" si="69"/>
        <v>0.79928861788617889</v>
      </c>
      <c r="R618" s="1">
        <f t="shared" si="70"/>
        <v>0.82624655858060569</v>
      </c>
      <c r="S618" s="1">
        <f t="shared" si="71"/>
        <v>0.94496726677577736</v>
      </c>
    </row>
    <row r="619" spans="1:19" x14ac:dyDescent="0.3">
      <c r="A619"/>
      <c r="B619"/>
      <c r="C619"/>
      <c r="D619"/>
      <c r="E619"/>
      <c r="F619"/>
      <c r="G619"/>
      <c r="H619"/>
      <c r="I619"/>
      <c r="J619" s="1">
        <f t="shared" si="72"/>
        <v>2</v>
      </c>
      <c r="N619"/>
      <c r="O619"/>
      <c r="P619" s="1">
        <f t="shared" ref="P619:P682" si="73">(B601+Q$36)/P$36</f>
        <v>0.79928861788617889</v>
      </c>
      <c r="Q619" s="1">
        <f t="shared" ref="Q619:Q682" si="74">(C601+Q$36)/P$36</f>
        <v>0.79928861788617889</v>
      </c>
      <c r="R619" s="1">
        <f t="shared" ref="R619:R682" si="75">(D601+Q$38)/P$38</f>
        <v>0.82624655858060569</v>
      </c>
      <c r="S619" s="1">
        <f t="shared" ref="S619:S682" si="76">(E601+Q$39)/P$39</f>
        <v>0.94496726677577736</v>
      </c>
    </row>
    <row r="620" spans="1:19" x14ac:dyDescent="0.3">
      <c r="A620"/>
      <c r="B620"/>
      <c r="C620"/>
      <c r="D620"/>
      <c r="E620"/>
      <c r="F620"/>
      <c r="G620"/>
      <c r="H620"/>
      <c r="I620"/>
      <c r="J620" s="1">
        <f t="shared" si="72"/>
        <v>2</v>
      </c>
      <c r="N620"/>
      <c r="O620"/>
      <c r="P620" s="1">
        <f t="shared" si="73"/>
        <v>0.79928861788617889</v>
      </c>
      <c r="Q620" s="1">
        <f t="shared" si="74"/>
        <v>0.79928861788617889</v>
      </c>
      <c r="R620" s="1">
        <f t="shared" si="75"/>
        <v>0.82624655858060569</v>
      </c>
      <c r="S620" s="1">
        <f t="shared" si="76"/>
        <v>0.94496726677577736</v>
      </c>
    </row>
    <row r="621" spans="1:19" x14ac:dyDescent="0.3">
      <c r="A621"/>
      <c r="B621"/>
      <c r="C621"/>
      <c r="D621"/>
      <c r="E621"/>
      <c r="F621"/>
      <c r="G621"/>
      <c r="H621"/>
      <c r="I621"/>
      <c r="J621" s="1">
        <f t="shared" si="72"/>
        <v>2</v>
      </c>
      <c r="N621"/>
      <c r="O621"/>
      <c r="P621" s="1">
        <f t="shared" si="73"/>
        <v>0.79928861788617889</v>
      </c>
      <c r="Q621" s="1">
        <f t="shared" si="74"/>
        <v>0.79928861788617889</v>
      </c>
      <c r="R621" s="1">
        <f t="shared" si="75"/>
        <v>0.82624655858060569</v>
      </c>
      <c r="S621" s="1">
        <f t="shared" si="76"/>
        <v>0.94496726677577736</v>
      </c>
    </row>
    <row r="622" spans="1:19" x14ac:dyDescent="0.3">
      <c r="A622"/>
      <c r="B622"/>
      <c r="C622"/>
      <c r="D622"/>
      <c r="E622"/>
      <c r="F622"/>
      <c r="G622"/>
      <c r="H622"/>
      <c r="I622"/>
      <c r="J622" s="1">
        <f t="shared" si="72"/>
        <v>2</v>
      </c>
      <c r="N622"/>
      <c r="O622"/>
      <c r="P622" s="1">
        <f t="shared" si="73"/>
        <v>0.79928861788617889</v>
      </c>
      <c r="Q622" s="1">
        <f t="shared" si="74"/>
        <v>0.79928861788617889</v>
      </c>
      <c r="R622" s="1">
        <f t="shared" si="75"/>
        <v>0.82624655858060569</v>
      </c>
      <c r="S622" s="1">
        <f t="shared" si="76"/>
        <v>0.94496726677577736</v>
      </c>
    </row>
    <row r="623" spans="1:19" x14ac:dyDescent="0.3">
      <c r="A623"/>
      <c r="B623"/>
      <c r="C623"/>
      <c r="D623"/>
      <c r="E623"/>
      <c r="F623"/>
      <c r="G623"/>
      <c r="H623"/>
      <c r="I623"/>
      <c r="J623" s="1">
        <f t="shared" si="72"/>
        <v>2</v>
      </c>
      <c r="N623"/>
      <c r="O623"/>
      <c r="P623" s="1">
        <f t="shared" si="73"/>
        <v>0.79928861788617889</v>
      </c>
      <c r="Q623" s="1">
        <f t="shared" si="74"/>
        <v>0.79928861788617889</v>
      </c>
      <c r="R623" s="1">
        <f t="shared" si="75"/>
        <v>0.82624655858060569</v>
      </c>
      <c r="S623" s="1">
        <f t="shared" si="76"/>
        <v>0.94496726677577736</v>
      </c>
    </row>
    <row r="624" spans="1:19" x14ac:dyDescent="0.3">
      <c r="A624"/>
      <c r="B624"/>
      <c r="C624"/>
      <c r="D624"/>
      <c r="E624"/>
      <c r="F624"/>
      <c r="G624"/>
      <c r="H624"/>
      <c r="I624"/>
      <c r="J624" s="1">
        <f t="shared" si="72"/>
        <v>2</v>
      </c>
      <c r="N624"/>
      <c r="O624"/>
      <c r="P624" s="1">
        <f t="shared" si="73"/>
        <v>0.79928861788617889</v>
      </c>
      <c r="Q624" s="1">
        <f t="shared" si="74"/>
        <v>0.79928861788617889</v>
      </c>
      <c r="R624" s="1">
        <f t="shared" si="75"/>
        <v>0.82624655858060569</v>
      </c>
      <c r="S624" s="1">
        <f t="shared" si="76"/>
        <v>0.94496726677577736</v>
      </c>
    </row>
    <row r="625" spans="1:19" x14ac:dyDescent="0.3">
      <c r="A625"/>
      <c r="B625"/>
      <c r="C625"/>
      <c r="D625"/>
      <c r="E625"/>
      <c r="F625"/>
      <c r="G625"/>
      <c r="H625"/>
      <c r="I625"/>
      <c r="J625" s="1">
        <f t="shared" si="72"/>
        <v>2</v>
      </c>
      <c r="N625"/>
      <c r="O625"/>
      <c r="P625" s="1">
        <f t="shared" si="73"/>
        <v>0.79928861788617889</v>
      </c>
      <c r="Q625" s="1">
        <f t="shared" si="74"/>
        <v>0.79928861788617889</v>
      </c>
      <c r="R625" s="1">
        <f t="shared" si="75"/>
        <v>0.82624655858060569</v>
      </c>
      <c r="S625" s="1">
        <f t="shared" si="76"/>
        <v>0.94496726677577736</v>
      </c>
    </row>
    <row r="626" spans="1:19" x14ac:dyDescent="0.3">
      <c r="A626"/>
      <c r="B626"/>
      <c r="C626"/>
      <c r="D626"/>
      <c r="E626"/>
      <c r="F626"/>
      <c r="G626"/>
      <c r="H626"/>
      <c r="I626"/>
      <c r="J626" s="1">
        <f t="shared" si="72"/>
        <v>2</v>
      </c>
      <c r="N626"/>
      <c r="O626"/>
      <c r="P626" s="1">
        <f t="shared" si="73"/>
        <v>0.79928861788617889</v>
      </c>
      <c r="Q626" s="1">
        <f t="shared" si="74"/>
        <v>0.79928861788617889</v>
      </c>
      <c r="R626" s="1">
        <f t="shared" si="75"/>
        <v>0.82624655858060569</v>
      </c>
      <c r="S626" s="1">
        <f t="shared" si="76"/>
        <v>0.94496726677577736</v>
      </c>
    </row>
    <row r="627" spans="1:19" x14ac:dyDescent="0.3">
      <c r="A627"/>
      <c r="B627"/>
      <c r="C627"/>
      <c r="D627"/>
      <c r="E627"/>
      <c r="F627"/>
      <c r="G627"/>
      <c r="H627"/>
      <c r="I627"/>
      <c r="J627" s="1">
        <f t="shared" si="72"/>
        <v>2</v>
      </c>
      <c r="N627"/>
      <c r="O627"/>
      <c r="P627" s="1">
        <f t="shared" si="73"/>
        <v>0.79928861788617889</v>
      </c>
      <c r="Q627" s="1">
        <f t="shared" si="74"/>
        <v>0.79928861788617889</v>
      </c>
      <c r="R627" s="1">
        <f t="shared" si="75"/>
        <v>0.82624655858060569</v>
      </c>
      <c r="S627" s="1">
        <f t="shared" si="76"/>
        <v>0.94496726677577736</v>
      </c>
    </row>
    <row r="628" spans="1:19" x14ac:dyDescent="0.3">
      <c r="A628"/>
      <c r="B628"/>
      <c r="C628"/>
      <c r="D628"/>
      <c r="E628"/>
      <c r="F628"/>
      <c r="G628"/>
      <c r="H628"/>
      <c r="I628"/>
      <c r="J628" s="1">
        <f t="shared" si="72"/>
        <v>2</v>
      </c>
      <c r="N628"/>
      <c r="O628"/>
      <c r="P628" s="1">
        <f t="shared" si="73"/>
        <v>0.79928861788617889</v>
      </c>
      <c r="Q628" s="1">
        <f t="shared" si="74"/>
        <v>0.79928861788617889</v>
      </c>
      <c r="R628" s="1">
        <f t="shared" si="75"/>
        <v>0.82624655858060569</v>
      </c>
      <c r="S628" s="1">
        <f t="shared" si="76"/>
        <v>0.94496726677577736</v>
      </c>
    </row>
    <row r="629" spans="1:19" x14ac:dyDescent="0.3">
      <c r="A629"/>
      <c r="B629"/>
      <c r="C629"/>
      <c r="D629"/>
      <c r="E629"/>
      <c r="F629"/>
      <c r="G629"/>
      <c r="H629"/>
      <c r="I629"/>
      <c r="J629" s="1">
        <f t="shared" si="72"/>
        <v>2</v>
      </c>
      <c r="N629"/>
      <c r="O629"/>
      <c r="P629" s="1">
        <f t="shared" si="73"/>
        <v>0.79928861788617889</v>
      </c>
      <c r="Q629" s="1">
        <f t="shared" si="74"/>
        <v>0.79928861788617889</v>
      </c>
      <c r="R629" s="1">
        <f t="shared" si="75"/>
        <v>0.82624655858060569</v>
      </c>
      <c r="S629" s="1">
        <f t="shared" si="76"/>
        <v>0.94496726677577736</v>
      </c>
    </row>
    <row r="630" spans="1:19" x14ac:dyDescent="0.3">
      <c r="A630"/>
      <c r="B630"/>
      <c r="C630"/>
      <c r="D630"/>
      <c r="E630"/>
      <c r="F630"/>
      <c r="G630"/>
      <c r="H630"/>
      <c r="I630"/>
      <c r="J630" s="1">
        <f t="shared" si="72"/>
        <v>2</v>
      </c>
      <c r="N630"/>
      <c r="O630"/>
      <c r="P630" s="1">
        <f t="shared" si="73"/>
        <v>0.79928861788617889</v>
      </c>
      <c r="Q630" s="1">
        <f t="shared" si="74"/>
        <v>0.79928861788617889</v>
      </c>
      <c r="R630" s="1">
        <f t="shared" si="75"/>
        <v>0.82624655858060569</v>
      </c>
      <c r="S630" s="1">
        <f t="shared" si="76"/>
        <v>0.94496726677577736</v>
      </c>
    </row>
    <row r="631" spans="1:19" x14ac:dyDescent="0.3">
      <c r="A631"/>
      <c r="B631"/>
      <c r="C631"/>
      <c r="D631"/>
      <c r="E631"/>
      <c r="F631"/>
      <c r="G631"/>
      <c r="H631"/>
      <c r="I631"/>
      <c r="J631" s="1">
        <f t="shared" si="72"/>
        <v>2</v>
      </c>
      <c r="N631"/>
      <c r="O631"/>
      <c r="P631" s="1">
        <f t="shared" si="73"/>
        <v>0.79928861788617889</v>
      </c>
      <c r="Q631" s="1">
        <f t="shared" si="74"/>
        <v>0.79928861788617889</v>
      </c>
      <c r="R631" s="1">
        <f t="shared" si="75"/>
        <v>0.82624655858060569</v>
      </c>
      <c r="S631" s="1">
        <f t="shared" si="76"/>
        <v>0.94496726677577736</v>
      </c>
    </row>
    <row r="632" spans="1:19" x14ac:dyDescent="0.3">
      <c r="A632"/>
      <c r="B632"/>
      <c r="C632"/>
      <c r="D632"/>
      <c r="E632"/>
      <c r="F632"/>
      <c r="G632"/>
      <c r="H632"/>
      <c r="I632"/>
      <c r="J632" s="1">
        <f t="shared" si="72"/>
        <v>2</v>
      </c>
      <c r="N632"/>
      <c r="O632"/>
      <c r="P632" s="1">
        <f t="shared" si="73"/>
        <v>0.79928861788617889</v>
      </c>
      <c r="Q632" s="1">
        <f t="shared" si="74"/>
        <v>0.79928861788617889</v>
      </c>
      <c r="R632" s="1">
        <f t="shared" si="75"/>
        <v>0.82624655858060569</v>
      </c>
      <c r="S632" s="1">
        <f t="shared" si="76"/>
        <v>0.94496726677577736</v>
      </c>
    </row>
    <row r="633" spans="1:19" x14ac:dyDescent="0.3">
      <c r="A633"/>
      <c r="B633"/>
      <c r="C633"/>
      <c r="D633"/>
      <c r="E633"/>
      <c r="F633"/>
      <c r="G633"/>
      <c r="H633"/>
      <c r="I633"/>
      <c r="J633" s="1">
        <f t="shared" si="72"/>
        <v>2</v>
      </c>
      <c r="N633"/>
      <c r="O633"/>
      <c r="P633" s="1">
        <f t="shared" si="73"/>
        <v>0.79928861788617889</v>
      </c>
      <c r="Q633" s="1">
        <f t="shared" si="74"/>
        <v>0.79928861788617889</v>
      </c>
      <c r="R633" s="1">
        <f t="shared" si="75"/>
        <v>0.82624655858060569</v>
      </c>
      <c r="S633" s="1">
        <f t="shared" si="76"/>
        <v>0.94496726677577736</v>
      </c>
    </row>
    <row r="634" spans="1:19" x14ac:dyDescent="0.3">
      <c r="A634"/>
      <c r="B634"/>
      <c r="C634"/>
      <c r="D634"/>
      <c r="E634"/>
      <c r="F634"/>
      <c r="G634"/>
      <c r="H634"/>
      <c r="I634"/>
      <c r="J634" s="1">
        <f t="shared" si="72"/>
        <v>2</v>
      </c>
      <c r="N634"/>
      <c r="O634"/>
      <c r="P634" s="1">
        <f t="shared" si="73"/>
        <v>0.79928861788617889</v>
      </c>
      <c r="Q634" s="1">
        <f t="shared" si="74"/>
        <v>0.79928861788617889</v>
      </c>
      <c r="R634" s="1">
        <f t="shared" si="75"/>
        <v>0.82624655858060569</v>
      </c>
      <c r="S634" s="1">
        <f t="shared" si="76"/>
        <v>0.94496726677577736</v>
      </c>
    </row>
    <row r="635" spans="1:19" x14ac:dyDescent="0.3">
      <c r="A635"/>
      <c r="B635"/>
      <c r="C635"/>
      <c r="D635"/>
      <c r="E635"/>
      <c r="F635"/>
      <c r="G635"/>
      <c r="H635"/>
      <c r="I635"/>
      <c r="J635" s="1">
        <f t="shared" si="72"/>
        <v>2</v>
      </c>
      <c r="N635"/>
      <c r="O635"/>
      <c r="P635" s="1">
        <f t="shared" si="73"/>
        <v>0.79928861788617889</v>
      </c>
      <c r="Q635" s="1">
        <f t="shared" si="74"/>
        <v>0.79928861788617889</v>
      </c>
      <c r="R635" s="1">
        <f t="shared" si="75"/>
        <v>0.82624655858060569</v>
      </c>
      <c r="S635" s="1">
        <f t="shared" si="76"/>
        <v>0.94496726677577736</v>
      </c>
    </row>
    <row r="636" spans="1:19" x14ac:dyDescent="0.3">
      <c r="A636"/>
      <c r="B636"/>
      <c r="C636"/>
      <c r="D636"/>
      <c r="E636"/>
      <c r="F636"/>
      <c r="G636"/>
      <c r="H636"/>
      <c r="I636"/>
      <c r="J636" s="1">
        <f t="shared" si="72"/>
        <v>2</v>
      </c>
      <c r="N636"/>
      <c r="O636"/>
      <c r="P636" s="1">
        <f t="shared" si="73"/>
        <v>0.79928861788617889</v>
      </c>
      <c r="Q636" s="1">
        <f t="shared" si="74"/>
        <v>0.79928861788617889</v>
      </c>
      <c r="R636" s="1">
        <f t="shared" si="75"/>
        <v>0.82624655858060569</v>
      </c>
      <c r="S636" s="1">
        <f t="shared" si="76"/>
        <v>0.94496726677577736</v>
      </c>
    </row>
    <row r="637" spans="1:19" x14ac:dyDescent="0.3">
      <c r="A637"/>
      <c r="B637"/>
      <c r="C637"/>
      <c r="D637"/>
      <c r="E637"/>
      <c r="F637"/>
      <c r="G637"/>
      <c r="H637"/>
      <c r="I637"/>
      <c r="J637" s="1">
        <f t="shared" si="72"/>
        <v>2</v>
      </c>
      <c r="N637"/>
      <c r="O637"/>
      <c r="P637" s="1">
        <f t="shared" si="73"/>
        <v>0.79928861788617889</v>
      </c>
      <c r="Q637" s="1">
        <f t="shared" si="74"/>
        <v>0.79928861788617889</v>
      </c>
      <c r="R637" s="1">
        <f t="shared" si="75"/>
        <v>0.82624655858060569</v>
      </c>
      <c r="S637" s="1">
        <f t="shared" si="76"/>
        <v>0.94496726677577736</v>
      </c>
    </row>
    <row r="638" spans="1:19" x14ac:dyDescent="0.3">
      <c r="A638"/>
      <c r="B638"/>
      <c r="C638"/>
      <c r="D638"/>
      <c r="E638"/>
      <c r="F638"/>
      <c r="G638"/>
      <c r="H638"/>
      <c r="I638"/>
      <c r="J638" s="1">
        <f t="shared" si="72"/>
        <v>2</v>
      </c>
      <c r="N638"/>
      <c r="O638"/>
      <c r="P638" s="1">
        <f t="shared" si="73"/>
        <v>0.79928861788617889</v>
      </c>
      <c r="Q638" s="1">
        <f t="shared" si="74"/>
        <v>0.79928861788617889</v>
      </c>
      <c r="R638" s="1">
        <f t="shared" si="75"/>
        <v>0.82624655858060569</v>
      </c>
      <c r="S638" s="1">
        <f t="shared" si="76"/>
        <v>0.94496726677577736</v>
      </c>
    </row>
    <row r="639" spans="1:19" x14ac:dyDescent="0.3">
      <c r="A639"/>
      <c r="B639"/>
      <c r="C639"/>
      <c r="D639"/>
      <c r="E639"/>
      <c r="F639"/>
      <c r="G639"/>
      <c r="H639"/>
      <c r="I639"/>
      <c r="J639" s="1">
        <f t="shared" si="72"/>
        <v>2</v>
      </c>
      <c r="N639"/>
      <c r="O639"/>
      <c r="P639" s="1">
        <f t="shared" si="73"/>
        <v>0.79928861788617889</v>
      </c>
      <c r="Q639" s="1">
        <f t="shared" si="74"/>
        <v>0.79928861788617889</v>
      </c>
      <c r="R639" s="1">
        <f t="shared" si="75"/>
        <v>0.82624655858060569</v>
      </c>
      <c r="S639" s="1">
        <f t="shared" si="76"/>
        <v>0.94496726677577736</v>
      </c>
    </row>
    <row r="640" spans="1:19" x14ac:dyDescent="0.3">
      <c r="A640"/>
      <c r="B640"/>
      <c r="C640"/>
      <c r="D640"/>
      <c r="E640"/>
      <c r="F640"/>
      <c r="G640"/>
      <c r="H640"/>
      <c r="I640"/>
      <c r="J640" s="1">
        <f t="shared" si="72"/>
        <v>2</v>
      </c>
      <c r="N640"/>
      <c r="O640"/>
      <c r="P640" s="1">
        <f t="shared" si="73"/>
        <v>0.79928861788617889</v>
      </c>
      <c r="Q640" s="1">
        <f t="shared" si="74"/>
        <v>0.79928861788617889</v>
      </c>
      <c r="R640" s="1">
        <f t="shared" si="75"/>
        <v>0.82624655858060569</v>
      </c>
      <c r="S640" s="1">
        <f t="shared" si="76"/>
        <v>0.94496726677577736</v>
      </c>
    </row>
    <row r="641" spans="1:19" x14ac:dyDescent="0.3">
      <c r="A641"/>
      <c r="B641"/>
      <c r="C641"/>
      <c r="D641"/>
      <c r="E641"/>
      <c r="F641"/>
      <c r="G641"/>
      <c r="H641"/>
      <c r="I641"/>
      <c r="J641" s="1">
        <f t="shared" si="72"/>
        <v>2</v>
      </c>
      <c r="N641"/>
      <c r="O641"/>
      <c r="P641" s="1">
        <f t="shared" si="73"/>
        <v>0.79928861788617889</v>
      </c>
      <c r="Q641" s="1">
        <f t="shared" si="74"/>
        <v>0.79928861788617889</v>
      </c>
      <c r="R641" s="1">
        <f t="shared" si="75"/>
        <v>0.82624655858060569</v>
      </c>
      <c r="S641" s="1">
        <f t="shared" si="76"/>
        <v>0.94496726677577736</v>
      </c>
    </row>
    <row r="642" spans="1:19" x14ac:dyDescent="0.3">
      <c r="A642"/>
      <c r="B642"/>
      <c r="C642"/>
      <c r="D642"/>
      <c r="E642"/>
      <c r="F642"/>
      <c r="G642"/>
      <c r="H642"/>
      <c r="I642"/>
      <c r="J642" s="1">
        <f t="shared" si="72"/>
        <v>2</v>
      </c>
      <c r="N642"/>
      <c r="O642"/>
      <c r="P642" s="1">
        <f t="shared" si="73"/>
        <v>0.79928861788617889</v>
      </c>
      <c r="Q642" s="1">
        <f t="shared" si="74"/>
        <v>0.79928861788617889</v>
      </c>
      <c r="R642" s="1">
        <f t="shared" si="75"/>
        <v>0.82624655858060569</v>
      </c>
      <c r="S642" s="1">
        <f t="shared" si="76"/>
        <v>0.94496726677577736</v>
      </c>
    </row>
    <row r="643" spans="1:19" x14ac:dyDescent="0.3">
      <c r="A643"/>
      <c r="B643"/>
      <c r="C643"/>
      <c r="D643"/>
      <c r="E643"/>
      <c r="F643"/>
      <c r="G643"/>
      <c r="H643"/>
      <c r="I643"/>
      <c r="J643" s="1">
        <f t="shared" si="72"/>
        <v>2</v>
      </c>
      <c r="N643"/>
      <c r="O643"/>
      <c r="P643" s="1">
        <f t="shared" si="73"/>
        <v>0.79928861788617889</v>
      </c>
      <c r="Q643" s="1">
        <f t="shared" si="74"/>
        <v>0.79928861788617889</v>
      </c>
      <c r="R643" s="1">
        <f t="shared" si="75"/>
        <v>0.82624655858060569</v>
      </c>
      <c r="S643" s="1">
        <f t="shared" si="76"/>
        <v>0.94496726677577736</v>
      </c>
    </row>
    <row r="644" spans="1:19" x14ac:dyDescent="0.3">
      <c r="A644"/>
      <c r="B644"/>
      <c r="C644"/>
      <c r="D644"/>
      <c r="E644"/>
      <c r="F644"/>
      <c r="G644"/>
      <c r="H644"/>
      <c r="I644"/>
      <c r="J644" s="1">
        <f t="shared" si="72"/>
        <v>2</v>
      </c>
      <c r="N644"/>
      <c r="O644"/>
      <c r="P644" s="1">
        <f t="shared" si="73"/>
        <v>0.79928861788617889</v>
      </c>
      <c r="Q644" s="1">
        <f t="shared" si="74"/>
        <v>0.79928861788617889</v>
      </c>
      <c r="R644" s="1">
        <f t="shared" si="75"/>
        <v>0.82624655858060569</v>
      </c>
      <c r="S644" s="1">
        <f t="shared" si="76"/>
        <v>0.94496726677577736</v>
      </c>
    </row>
    <row r="645" spans="1:19" x14ac:dyDescent="0.3">
      <c r="A645"/>
      <c r="B645"/>
      <c r="C645"/>
      <c r="D645"/>
      <c r="E645"/>
      <c r="F645"/>
      <c r="G645"/>
      <c r="H645"/>
      <c r="I645"/>
      <c r="J645" s="1">
        <f t="shared" si="72"/>
        <v>2</v>
      </c>
      <c r="N645"/>
      <c r="O645"/>
      <c r="P645" s="1">
        <f t="shared" si="73"/>
        <v>0.79928861788617889</v>
      </c>
      <c r="Q645" s="1">
        <f t="shared" si="74"/>
        <v>0.79928861788617889</v>
      </c>
      <c r="R645" s="1">
        <f t="shared" si="75"/>
        <v>0.82624655858060569</v>
      </c>
      <c r="S645" s="1">
        <f t="shared" si="76"/>
        <v>0.94496726677577736</v>
      </c>
    </row>
    <row r="646" spans="1:19" x14ac:dyDescent="0.3">
      <c r="A646"/>
      <c r="B646"/>
      <c r="C646"/>
      <c r="D646"/>
      <c r="E646"/>
      <c r="F646"/>
      <c r="G646"/>
      <c r="H646"/>
      <c r="I646"/>
      <c r="J646" s="1">
        <f t="shared" si="72"/>
        <v>2</v>
      </c>
      <c r="N646"/>
      <c r="O646"/>
      <c r="P646" s="1">
        <f t="shared" si="73"/>
        <v>0.79928861788617889</v>
      </c>
      <c r="Q646" s="1">
        <f t="shared" si="74"/>
        <v>0.79928861788617889</v>
      </c>
      <c r="R646" s="1">
        <f t="shared" si="75"/>
        <v>0.82624655858060569</v>
      </c>
      <c r="S646" s="1">
        <f t="shared" si="76"/>
        <v>0.94496726677577736</v>
      </c>
    </row>
    <row r="647" spans="1:19" x14ac:dyDescent="0.3">
      <c r="A647"/>
      <c r="B647"/>
      <c r="C647"/>
      <c r="D647"/>
      <c r="E647"/>
      <c r="F647"/>
      <c r="G647"/>
      <c r="H647"/>
      <c r="I647"/>
      <c r="J647" s="1">
        <f t="shared" si="72"/>
        <v>2</v>
      </c>
      <c r="N647"/>
      <c r="O647"/>
      <c r="P647" s="1">
        <f t="shared" si="73"/>
        <v>0.79928861788617889</v>
      </c>
      <c r="Q647" s="1">
        <f t="shared" si="74"/>
        <v>0.79928861788617889</v>
      </c>
      <c r="R647" s="1">
        <f t="shared" si="75"/>
        <v>0.82624655858060569</v>
      </c>
      <c r="S647" s="1">
        <f t="shared" si="76"/>
        <v>0.94496726677577736</v>
      </c>
    </row>
    <row r="648" spans="1:19" x14ac:dyDescent="0.3">
      <c r="A648"/>
      <c r="B648"/>
      <c r="C648"/>
      <c r="D648"/>
      <c r="E648"/>
      <c r="F648"/>
      <c r="G648"/>
      <c r="H648"/>
      <c r="I648"/>
      <c r="J648" s="1">
        <f t="shared" si="72"/>
        <v>2</v>
      </c>
      <c r="N648"/>
      <c r="O648"/>
      <c r="P648" s="1">
        <f t="shared" si="73"/>
        <v>0.79928861788617889</v>
      </c>
      <c r="Q648" s="1">
        <f t="shared" si="74"/>
        <v>0.79928861788617889</v>
      </c>
      <c r="R648" s="1">
        <f t="shared" si="75"/>
        <v>0.82624655858060569</v>
      </c>
      <c r="S648" s="1">
        <f t="shared" si="76"/>
        <v>0.94496726677577736</v>
      </c>
    </row>
    <row r="649" spans="1:19" x14ac:dyDescent="0.3">
      <c r="A649"/>
      <c r="B649"/>
      <c r="C649"/>
      <c r="D649"/>
      <c r="E649"/>
      <c r="F649"/>
      <c r="G649"/>
      <c r="H649"/>
      <c r="I649"/>
      <c r="J649" s="1">
        <f t="shared" si="72"/>
        <v>2</v>
      </c>
      <c r="N649"/>
      <c r="O649"/>
      <c r="P649" s="1">
        <f t="shared" si="73"/>
        <v>0.79928861788617889</v>
      </c>
      <c r="Q649" s="1">
        <f t="shared" si="74"/>
        <v>0.79928861788617889</v>
      </c>
      <c r="R649" s="1">
        <f t="shared" si="75"/>
        <v>0.82624655858060569</v>
      </c>
      <c r="S649" s="1">
        <f t="shared" si="76"/>
        <v>0.94496726677577736</v>
      </c>
    </row>
    <row r="650" spans="1:19" x14ac:dyDescent="0.3">
      <c r="A650"/>
      <c r="B650"/>
      <c r="C650"/>
      <c r="D650"/>
      <c r="E650"/>
      <c r="F650"/>
      <c r="G650"/>
      <c r="H650"/>
      <c r="I650"/>
      <c r="J650" s="1">
        <f t="shared" si="72"/>
        <v>2</v>
      </c>
      <c r="N650"/>
      <c r="O650"/>
      <c r="P650" s="1">
        <f t="shared" si="73"/>
        <v>0.79928861788617889</v>
      </c>
      <c r="Q650" s="1">
        <f t="shared" si="74"/>
        <v>0.79928861788617889</v>
      </c>
      <c r="R650" s="1">
        <f t="shared" si="75"/>
        <v>0.82624655858060569</v>
      </c>
      <c r="S650" s="1">
        <f t="shared" si="76"/>
        <v>0.94496726677577736</v>
      </c>
    </row>
    <row r="651" spans="1:19" x14ac:dyDescent="0.3">
      <c r="A651"/>
      <c r="B651"/>
      <c r="C651"/>
      <c r="D651"/>
      <c r="E651"/>
      <c r="F651"/>
      <c r="G651"/>
      <c r="H651"/>
      <c r="I651"/>
      <c r="J651" s="1">
        <f t="shared" si="72"/>
        <v>2</v>
      </c>
      <c r="N651"/>
      <c r="O651"/>
      <c r="P651" s="1">
        <f t="shared" si="73"/>
        <v>0.79928861788617889</v>
      </c>
      <c r="Q651" s="1">
        <f t="shared" si="74"/>
        <v>0.79928861788617889</v>
      </c>
      <c r="R651" s="1">
        <f t="shared" si="75"/>
        <v>0.82624655858060569</v>
      </c>
      <c r="S651" s="1">
        <f t="shared" si="76"/>
        <v>0.94496726677577736</v>
      </c>
    </row>
    <row r="652" spans="1:19" x14ac:dyDescent="0.3">
      <c r="A652"/>
      <c r="B652"/>
      <c r="C652"/>
      <c r="D652"/>
      <c r="E652"/>
      <c r="F652"/>
      <c r="G652"/>
      <c r="H652"/>
      <c r="I652"/>
      <c r="J652" s="1">
        <f t="shared" si="72"/>
        <v>2</v>
      </c>
      <c r="N652"/>
      <c r="O652"/>
      <c r="P652" s="1">
        <f t="shared" si="73"/>
        <v>0.79928861788617889</v>
      </c>
      <c r="Q652" s="1">
        <f t="shared" si="74"/>
        <v>0.79928861788617889</v>
      </c>
      <c r="R652" s="1">
        <f t="shared" si="75"/>
        <v>0.82624655858060569</v>
      </c>
      <c r="S652" s="1">
        <f t="shared" si="76"/>
        <v>0.94496726677577736</v>
      </c>
    </row>
    <row r="653" spans="1:19" x14ac:dyDescent="0.3">
      <c r="A653"/>
      <c r="B653"/>
      <c r="C653"/>
      <c r="D653"/>
      <c r="E653"/>
      <c r="F653"/>
      <c r="G653"/>
      <c r="H653"/>
      <c r="I653"/>
      <c r="J653" s="1">
        <f t="shared" si="72"/>
        <v>2</v>
      </c>
      <c r="N653"/>
      <c r="O653"/>
      <c r="P653" s="1">
        <f t="shared" si="73"/>
        <v>0.79928861788617889</v>
      </c>
      <c r="Q653" s="1">
        <f t="shared" si="74"/>
        <v>0.79928861788617889</v>
      </c>
      <c r="R653" s="1">
        <f t="shared" si="75"/>
        <v>0.82624655858060569</v>
      </c>
      <c r="S653" s="1">
        <f t="shared" si="76"/>
        <v>0.94496726677577736</v>
      </c>
    </row>
    <row r="654" spans="1:19" x14ac:dyDescent="0.3">
      <c r="A654"/>
      <c r="B654"/>
      <c r="C654"/>
      <c r="D654"/>
      <c r="E654"/>
      <c r="F654"/>
      <c r="G654"/>
      <c r="H654"/>
      <c r="I654"/>
      <c r="J654" s="1">
        <f t="shared" si="72"/>
        <v>2</v>
      </c>
      <c r="N654"/>
      <c r="O654"/>
      <c r="P654" s="1">
        <f t="shared" si="73"/>
        <v>0.79928861788617889</v>
      </c>
      <c r="Q654" s="1">
        <f t="shared" si="74"/>
        <v>0.79928861788617889</v>
      </c>
      <c r="R654" s="1">
        <f t="shared" si="75"/>
        <v>0.82624655858060569</v>
      </c>
      <c r="S654" s="1">
        <f t="shared" si="76"/>
        <v>0.94496726677577736</v>
      </c>
    </row>
    <row r="655" spans="1:19" x14ac:dyDescent="0.3">
      <c r="A655"/>
      <c r="B655"/>
      <c r="C655"/>
      <c r="D655"/>
      <c r="E655"/>
      <c r="F655"/>
      <c r="G655"/>
      <c r="H655"/>
      <c r="I655"/>
      <c r="J655" s="1">
        <f t="shared" si="72"/>
        <v>2</v>
      </c>
      <c r="N655"/>
      <c r="O655"/>
      <c r="P655" s="1">
        <f t="shared" si="73"/>
        <v>0.79928861788617889</v>
      </c>
      <c r="Q655" s="1">
        <f t="shared" si="74"/>
        <v>0.79928861788617889</v>
      </c>
      <c r="R655" s="1">
        <f t="shared" si="75"/>
        <v>0.82624655858060569</v>
      </c>
      <c r="S655" s="1">
        <f t="shared" si="76"/>
        <v>0.94496726677577736</v>
      </c>
    </row>
    <row r="656" spans="1:19" x14ac:dyDescent="0.3">
      <c r="A656"/>
      <c r="B656"/>
      <c r="C656"/>
      <c r="D656"/>
      <c r="E656"/>
      <c r="F656"/>
      <c r="G656"/>
      <c r="H656"/>
      <c r="I656"/>
      <c r="J656" s="1">
        <f t="shared" si="72"/>
        <v>2</v>
      </c>
      <c r="N656"/>
      <c r="O656"/>
      <c r="P656" s="1">
        <f t="shared" si="73"/>
        <v>0.79928861788617889</v>
      </c>
      <c r="Q656" s="1">
        <f t="shared" si="74"/>
        <v>0.79928861788617889</v>
      </c>
      <c r="R656" s="1">
        <f t="shared" si="75"/>
        <v>0.82624655858060569</v>
      </c>
      <c r="S656" s="1">
        <f t="shared" si="76"/>
        <v>0.94496726677577736</v>
      </c>
    </row>
    <row r="657" spans="1:19" x14ac:dyDescent="0.3">
      <c r="A657"/>
      <c r="B657"/>
      <c r="C657"/>
      <c r="D657"/>
      <c r="E657"/>
      <c r="F657"/>
      <c r="G657"/>
      <c r="H657"/>
      <c r="I657"/>
      <c r="J657" s="1">
        <f t="shared" si="72"/>
        <v>2</v>
      </c>
      <c r="N657"/>
      <c r="O657"/>
      <c r="P657" s="1">
        <f t="shared" si="73"/>
        <v>0.79928861788617889</v>
      </c>
      <c r="Q657" s="1">
        <f t="shared" si="74"/>
        <v>0.79928861788617889</v>
      </c>
      <c r="R657" s="1">
        <f t="shared" si="75"/>
        <v>0.82624655858060569</v>
      </c>
      <c r="S657" s="1">
        <f t="shared" si="76"/>
        <v>0.94496726677577736</v>
      </c>
    </row>
    <row r="658" spans="1:19" x14ac:dyDescent="0.3">
      <c r="A658"/>
      <c r="B658"/>
      <c r="C658"/>
      <c r="D658"/>
      <c r="E658"/>
      <c r="F658"/>
      <c r="G658"/>
      <c r="H658"/>
      <c r="I658"/>
      <c r="J658" s="1">
        <f t="shared" si="72"/>
        <v>2</v>
      </c>
      <c r="N658"/>
      <c r="O658"/>
      <c r="P658" s="1">
        <f t="shared" si="73"/>
        <v>0.79928861788617889</v>
      </c>
      <c r="Q658" s="1">
        <f t="shared" si="74"/>
        <v>0.79928861788617889</v>
      </c>
      <c r="R658" s="1">
        <f t="shared" si="75"/>
        <v>0.82624655858060569</v>
      </c>
      <c r="S658" s="1">
        <f t="shared" si="76"/>
        <v>0.94496726677577736</v>
      </c>
    </row>
    <row r="659" spans="1:19" x14ac:dyDescent="0.3">
      <c r="A659"/>
      <c r="B659"/>
      <c r="C659"/>
      <c r="D659"/>
      <c r="E659"/>
      <c r="F659"/>
      <c r="G659"/>
      <c r="H659"/>
      <c r="I659"/>
      <c r="J659" s="1">
        <f t="shared" si="72"/>
        <v>2</v>
      </c>
      <c r="N659"/>
      <c r="O659"/>
      <c r="P659" s="1">
        <f t="shared" si="73"/>
        <v>0.79928861788617889</v>
      </c>
      <c r="Q659" s="1">
        <f t="shared" si="74"/>
        <v>0.79928861788617889</v>
      </c>
      <c r="R659" s="1">
        <f t="shared" si="75"/>
        <v>0.82624655858060569</v>
      </c>
      <c r="S659" s="1">
        <f t="shared" si="76"/>
        <v>0.94496726677577736</v>
      </c>
    </row>
    <row r="660" spans="1:19" x14ac:dyDescent="0.3">
      <c r="A660"/>
      <c r="B660"/>
      <c r="C660"/>
      <c r="D660"/>
      <c r="E660"/>
      <c r="F660"/>
      <c r="G660"/>
      <c r="H660"/>
      <c r="I660"/>
      <c r="J660" s="1">
        <f t="shared" ref="J660:J674" si="77">E660+2</f>
        <v>2</v>
      </c>
      <c r="N660"/>
      <c r="O660"/>
      <c r="P660" s="1">
        <f t="shared" si="73"/>
        <v>0.79928861788617889</v>
      </c>
      <c r="Q660" s="1">
        <f t="shared" si="74"/>
        <v>0.79928861788617889</v>
      </c>
      <c r="R660" s="1">
        <f t="shared" si="75"/>
        <v>0.82624655858060569</v>
      </c>
      <c r="S660" s="1">
        <f t="shared" si="76"/>
        <v>0.94496726677577736</v>
      </c>
    </row>
    <row r="661" spans="1:19" x14ac:dyDescent="0.3">
      <c r="A661"/>
      <c r="B661"/>
      <c r="C661"/>
      <c r="D661"/>
      <c r="E661"/>
      <c r="F661"/>
      <c r="G661"/>
      <c r="H661"/>
      <c r="I661"/>
      <c r="J661" s="1">
        <f t="shared" si="77"/>
        <v>2</v>
      </c>
      <c r="N661"/>
      <c r="O661"/>
      <c r="P661" s="1">
        <f t="shared" si="73"/>
        <v>0.79928861788617889</v>
      </c>
      <c r="Q661" s="1">
        <f t="shared" si="74"/>
        <v>0.79928861788617889</v>
      </c>
      <c r="R661" s="1">
        <f t="shared" si="75"/>
        <v>0.82624655858060569</v>
      </c>
      <c r="S661" s="1">
        <f t="shared" si="76"/>
        <v>0.94496726677577736</v>
      </c>
    </row>
    <row r="662" spans="1:19" x14ac:dyDescent="0.3">
      <c r="A662"/>
      <c r="B662"/>
      <c r="C662"/>
      <c r="D662"/>
      <c r="E662"/>
      <c r="F662"/>
      <c r="G662"/>
      <c r="H662"/>
      <c r="I662"/>
      <c r="J662" s="1">
        <f t="shared" si="77"/>
        <v>2</v>
      </c>
      <c r="N662"/>
      <c r="O662"/>
      <c r="P662" s="1">
        <f t="shared" si="73"/>
        <v>0.79928861788617889</v>
      </c>
      <c r="Q662" s="1">
        <f t="shared" si="74"/>
        <v>0.79928861788617889</v>
      </c>
      <c r="R662" s="1">
        <f t="shared" si="75"/>
        <v>0.82624655858060569</v>
      </c>
      <c r="S662" s="1">
        <f t="shared" si="76"/>
        <v>0.94496726677577736</v>
      </c>
    </row>
    <row r="663" spans="1:19" x14ac:dyDescent="0.3">
      <c r="A663"/>
      <c r="B663"/>
      <c r="C663"/>
      <c r="D663"/>
      <c r="E663"/>
      <c r="F663"/>
      <c r="G663"/>
      <c r="H663"/>
      <c r="I663"/>
      <c r="J663" s="1">
        <f t="shared" si="77"/>
        <v>2</v>
      </c>
      <c r="N663"/>
      <c r="O663"/>
      <c r="P663" s="1">
        <f t="shared" si="73"/>
        <v>0.79928861788617889</v>
      </c>
      <c r="Q663" s="1">
        <f t="shared" si="74"/>
        <v>0.79928861788617889</v>
      </c>
      <c r="R663" s="1">
        <f t="shared" si="75"/>
        <v>0.82624655858060569</v>
      </c>
      <c r="S663" s="1">
        <f t="shared" si="76"/>
        <v>0.94496726677577736</v>
      </c>
    </row>
    <row r="664" spans="1:19" x14ac:dyDescent="0.3">
      <c r="A664"/>
      <c r="B664"/>
      <c r="C664"/>
      <c r="D664"/>
      <c r="E664"/>
      <c r="F664"/>
      <c r="G664"/>
      <c r="H664"/>
      <c r="I664"/>
      <c r="J664" s="1">
        <f t="shared" si="77"/>
        <v>2</v>
      </c>
      <c r="N664"/>
      <c r="O664"/>
      <c r="P664" s="1">
        <f t="shared" si="73"/>
        <v>0.79928861788617889</v>
      </c>
      <c r="Q664" s="1">
        <f t="shared" si="74"/>
        <v>0.79928861788617889</v>
      </c>
      <c r="R664" s="1">
        <f t="shared" si="75"/>
        <v>0.82624655858060569</v>
      </c>
      <c r="S664" s="1">
        <f t="shared" si="76"/>
        <v>0.94496726677577736</v>
      </c>
    </row>
    <row r="665" spans="1:19" x14ac:dyDescent="0.3">
      <c r="A665"/>
      <c r="B665"/>
      <c r="C665"/>
      <c r="D665"/>
      <c r="E665"/>
      <c r="F665"/>
      <c r="G665"/>
      <c r="H665"/>
      <c r="I665"/>
      <c r="J665" s="1">
        <f t="shared" si="77"/>
        <v>2</v>
      </c>
      <c r="N665"/>
      <c r="O665"/>
      <c r="P665" s="1">
        <f t="shared" si="73"/>
        <v>0.79928861788617889</v>
      </c>
      <c r="Q665" s="1">
        <f t="shared" si="74"/>
        <v>0.79928861788617889</v>
      </c>
      <c r="R665" s="1">
        <f t="shared" si="75"/>
        <v>0.82624655858060569</v>
      </c>
      <c r="S665" s="1">
        <f t="shared" si="76"/>
        <v>0.94496726677577736</v>
      </c>
    </row>
    <row r="666" spans="1:19" x14ac:dyDescent="0.3">
      <c r="A666"/>
      <c r="B666"/>
      <c r="C666"/>
      <c r="D666"/>
      <c r="E666"/>
      <c r="F666"/>
      <c r="G666"/>
      <c r="H666"/>
      <c r="I666"/>
      <c r="J666" s="1">
        <f t="shared" si="77"/>
        <v>2</v>
      </c>
      <c r="N666"/>
      <c r="O666"/>
      <c r="P666" s="1">
        <f t="shared" si="73"/>
        <v>0.79928861788617889</v>
      </c>
      <c r="Q666" s="1">
        <f t="shared" si="74"/>
        <v>0.79928861788617889</v>
      </c>
      <c r="R666" s="1">
        <f t="shared" si="75"/>
        <v>0.82624655858060569</v>
      </c>
      <c r="S666" s="1">
        <f t="shared" si="76"/>
        <v>0.94496726677577736</v>
      </c>
    </row>
    <row r="667" spans="1:19" x14ac:dyDescent="0.3">
      <c r="A667"/>
      <c r="B667"/>
      <c r="C667"/>
      <c r="D667"/>
      <c r="E667"/>
      <c r="F667"/>
      <c r="G667"/>
      <c r="H667"/>
      <c r="I667"/>
      <c r="J667" s="1">
        <f t="shared" si="77"/>
        <v>2</v>
      </c>
      <c r="N667"/>
      <c r="O667"/>
      <c r="P667" s="1">
        <f t="shared" si="73"/>
        <v>0.79928861788617889</v>
      </c>
      <c r="Q667" s="1">
        <f t="shared" si="74"/>
        <v>0.79928861788617889</v>
      </c>
      <c r="R667" s="1">
        <f t="shared" si="75"/>
        <v>0.82624655858060569</v>
      </c>
      <c r="S667" s="1">
        <f t="shared" si="76"/>
        <v>0.94496726677577736</v>
      </c>
    </row>
    <row r="668" spans="1:19" x14ac:dyDescent="0.3">
      <c r="A668"/>
      <c r="B668"/>
      <c r="C668"/>
      <c r="D668"/>
      <c r="E668"/>
      <c r="F668"/>
      <c r="G668"/>
      <c r="H668"/>
      <c r="I668"/>
      <c r="J668" s="1">
        <f t="shared" si="77"/>
        <v>2</v>
      </c>
      <c r="N668"/>
      <c r="O668"/>
      <c r="P668" s="1">
        <f t="shared" si="73"/>
        <v>0.79928861788617889</v>
      </c>
      <c r="Q668" s="1">
        <f t="shared" si="74"/>
        <v>0.79928861788617889</v>
      </c>
      <c r="R668" s="1">
        <f t="shared" si="75"/>
        <v>0.82624655858060569</v>
      </c>
      <c r="S668" s="1">
        <f t="shared" si="76"/>
        <v>0.94496726677577736</v>
      </c>
    </row>
    <row r="669" spans="1:19" x14ac:dyDescent="0.3">
      <c r="A669"/>
      <c r="B669"/>
      <c r="C669"/>
      <c r="D669"/>
      <c r="E669"/>
      <c r="F669"/>
      <c r="G669"/>
      <c r="H669"/>
      <c r="I669"/>
      <c r="J669" s="1">
        <f t="shared" si="77"/>
        <v>2</v>
      </c>
      <c r="N669"/>
      <c r="O669"/>
      <c r="P669" s="1">
        <f t="shared" si="73"/>
        <v>0.79928861788617889</v>
      </c>
      <c r="Q669" s="1">
        <f t="shared" si="74"/>
        <v>0.79928861788617889</v>
      </c>
      <c r="R669" s="1">
        <f t="shared" si="75"/>
        <v>0.82624655858060569</v>
      </c>
      <c r="S669" s="1">
        <f t="shared" si="76"/>
        <v>0.94496726677577736</v>
      </c>
    </row>
    <row r="670" spans="1:19" x14ac:dyDescent="0.3">
      <c r="A670"/>
      <c r="B670"/>
      <c r="C670"/>
      <c r="D670"/>
      <c r="E670"/>
      <c r="F670"/>
      <c r="G670"/>
      <c r="H670"/>
      <c r="I670"/>
      <c r="J670" s="1">
        <f t="shared" si="77"/>
        <v>2</v>
      </c>
      <c r="N670"/>
      <c r="O670"/>
      <c r="P670" s="1">
        <f t="shared" si="73"/>
        <v>0.79928861788617889</v>
      </c>
      <c r="Q670" s="1">
        <f t="shared" si="74"/>
        <v>0.79928861788617889</v>
      </c>
      <c r="R670" s="1">
        <f t="shared" si="75"/>
        <v>0.82624655858060569</v>
      </c>
      <c r="S670" s="1">
        <f t="shared" si="76"/>
        <v>0.94496726677577736</v>
      </c>
    </row>
    <row r="671" spans="1:19" x14ac:dyDescent="0.3">
      <c r="A671"/>
      <c r="B671"/>
      <c r="C671"/>
      <c r="D671"/>
      <c r="E671"/>
      <c r="F671"/>
      <c r="G671"/>
      <c r="H671"/>
      <c r="I671"/>
      <c r="J671" s="1">
        <f t="shared" si="77"/>
        <v>2</v>
      </c>
      <c r="N671"/>
      <c r="O671"/>
      <c r="P671" s="1">
        <f t="shared" si="73"/>
        <v>0.79928861788617889</v>
      </c>
      <c r="Q671" s="1">
        <f t="shared" si="74"/>
        <v>0.79928861788617889</v>
      </c>
      <c r="R671" s="1">
        <f t="shared" si="75"/>
        <v>0.82624655858060569</v>
      </c>
      <c r="S671" s="1">
        <f t="shared" si="76"/>
        <v>0.94496726677577736</v>
      </c>
    </row>
    <row r="672" spans="1:19" x14ac:dyDescent="0.3">
      <c r="A672"/>
      <c r="B672"/>
      <c r="C672"/>
      <c r="D672"/>
      <c r="E672"/>
      <c r="F672"/>
      <c r="G672"/>
      <c r="H672"/>
      <c r="I672"/>
      <c r="J672" s="1">
        <f t="shared" si="77"/>
        <v>2</v>
      </c>
      <c r="N672"/>
      <c r="O672"/>
      <c r="P672" s="1">
        <f t="shared" si="73"/>
        <v>0.79928861788617889</v>
      </c>
      <c r="Q672" s="1">
        <f t="shared" si="74"/>
        <v>0.79928861788617889</v>
      </c>
      <c r="R672" s="1">
        <f t="shared" si="75"/>
        <v>0.82624655858060569</v>
      </c>
      <c r="S672" s="1">
        <f t="shared" si="76"/>
        <v>0.94496726677577736</v>
      </c>
    </row>
    <row r="673" spans="1:19" x14ac:dyDescent="0.3">
      <c r="A673"/>
      <c r="B673"/>
      <c r="C673"/>
      <c r="D673"/>
      <c r="E673"/>
      <c r="F673"/>
      <c r="G673"/>
      <c r="H673"/>
      <c r="I673"/>
      <c r="J673" s="1">
        <f t="shared" si="77"/>
        <v>2</v>
      </c>
      <c r="N673"/>
      <c r="O673"/>
      <c r="P673" s="1">
        <f t="shared" si="73"/>
        <v>0.79928861788617889</v>
      </c>
      <c r="Q673" s="1">
        <f t="shared" si="74"/>
        <v>0.79928861788617889</v>
      </c>
      <c r="R673" s="1">
        <f t="shared" si="75"/>
        <v>0.82624655858060569</v>
      </c>
      <c r="S673" s="1">
        <f t="shared" si="76"/>
        <v>0.94496726677577736</v>
      </c>
    </row>
    <row r="674" spans="1:19" x14ac:dyDescent="0.3">
      <c r="A674"/>
      <c r="B674"/>
      <c r="C674"/>
      <c r="D674"/>
      <c r="E674"/>
      <c r="F674"/>
      <c r="G674"/>
      <c r="H674"/>
      <c r="I674"/>
      <c r="J674" s="1">
        <f t="shared" si="77"/>
        <v>2</v>
      </c>
      <c r="N674"/>
      <c r="O674"/>
      <c r="P674" s="1">
        <f t="shared" si="73"/>
        <v>0.79928861788617889</v>
      </c>
      <c r="Q674" s="1">
        <f t="shared" si="74"/>
        <v>0.79928861788617889</v>
      </c>
      <c r="R674" s="1">
        <f t="shared" si="75"/>
        <v>0.82624655858060569</v>
      </c>
      <c r="S674" s="1">
        <f t="shared" si="76"/>
        <v>0.94496726677577736</v>
      </c>
    </row>
    <row r="675" spans="1:19" x14ac:dyDescent="0.3">
      <c r="A675"/>
      <c r="B675"/>
      <c r="C675"/>
      <c r="D675"/>
      <c r="E675"/>
      <c r="F675"/>
      <c r="G675"/>
      <c r="H675"/>
      <c r="I675"/>
      <c r="J675" s="1">
        <f>E675-5</f>
        <v>-5</v>
      </c>
      <c r="K675" s="1">
        <f>G675-17</f>
        <v>-17</v>
      </c>
      <c r="L675" s="1">
        <f>H675-17</f>
        <v>-17</v>
      </c>
      <c r="N675"/>
      <c r="O675"/>
      <c r="P675" s="1">
        <f t="shared" si="73"/>
        <v>0.79928861788617889</v>
      </c>
      <c r="Q675" s="1">
        <f t="shared" si="74"/>
        <v>0.79928861788617889</v>
      </c>
      <c r="R675" s="1">
        <f t="shared" si="75"/>
        <v>0.82624655858060569</v>
      </c>
      <c r="S675" s="1">
        <f t="shared" si="76"/>
        <v>0.94496726677577736</v>
      </c>
    </row>
    <row r="676" spans="1:19" x14ac:dyDescent="0.3">
      <c r="A676"/>
      <c r="B676"/>
      <c r="C676"/>
      <c r="D676"/>
      <c r="E676"/>
      <c r="F676"/>
      <c r="G676"/>
      <c r="H676"/>
      <c r="I676"/>
      <c r="J676" s="1">
        <f t="shared" ref="J676:J739" si="78">E676-5</f>
        <v>-5</v>
      </c>
      <c r="K676" s="1">
        <f t="shared" ref="K676:L739" si="79">G676-17</f>
        <v>-17</v>
      </c>
      <c r="L676" s="1">
        <f t="shared" si="79"/>
        <v>-17</v>
      </c>
      <c r="N676"/>
      <c r="O676"/>
      <c r="P676" s="1">
        <f t="shared" si="73"/>
        <v>0.79928861788617889</v>
      </c>
      <c r="Q676" s="1">
        <f t="shared" si="74"/>
        <v>0.79928861788617889</v>
      </c>
      <c r="R676" s="1">
        <f t="shared" si="75"/>
        <v>0.82624655858060569</v>
      </c>
      <c r="S676" s="1">
        <f t="shared" si="76"/>
        <v>0.94496726677577736</v>
      </c>
    </row>
    <row r="677" spans="1:19" x14ac:dyDescent="0.3">
      <c r="A677"/>
      <c r="B677"/>
      <c r="C677"/>
      <c r="D677"/>
      <c r="E677"/>
      <c r="F677"/>
      <c r="G677"/>
      <c r="H677"/>
      <c r="I677"/>
      <c r="J677" s="1">
        <f t="shared" si="78"/>
        <v>-5</v>
      </c>
      <c r="K677" s="1">
        <f t="shared" si="79"/>
        <v>-17</v>
      </c>
      <c r="L677" s="1">
        <f t="shared" si="79"/>
        <v>-17</v>
      </c>
      <c r="N677"/>
      <c r="O677"/>
      <c r="P677" s="1">
        <f t="shared" si="73"/>
        <v>0.79928861788617889</v>
      </c>
      <c r="Q677" s="1">
        <f t="shared" si="74"/>
        <v>0.79928861788617889</v>
      </c>
      <c r="R677" s="1">
        <f t="shared" si="75"/>
        <v>0.82624655858060569</v>
      </c>
      <c r="S677" s="1">
        <f t="shared" si="76"/>
        <v>0.94496726677577736</v>
      </c>
    </row>
    <row r="678" spans="1:19" x14ac:dyDescent="0.3">
      <c r="A678"/>
      <c r="B678"/>
      <c r="C678"/>
      <c r="D678"/>
      <c r="E678"/>
      <c r="F678"/>
      <c r="G678"/>
      <c r="H678"/>
      <c r="I678"/>
      <c r="J678" s="1">
        <f t="shared" si="78"/>
        <v>-5</v>
      </c>
      <c r="K678" s="1">
        <f t="shared" si="79"/>
        <v>-17</v>
      </c>
      <c r="L678" s="1">
        <f t="shared" si="79"/>
        <v>-17</v>
      </c>
      <c r="N678"/>
      <c r="O678"/>
      <c r="P678" s="1">
        <f t="shared" si="73"/>
        <v>0.79928861788617889</v>
      </c>
      <c r="Q678" s="1">
        <f t="shared" si="74"/>
        <v>0.79928861788617889</v>
      </c>
      <c r="R678" s="1">
        <f t="shared" si="75"/>
        <v>0.82624655858060569</v>
      </c>
      <c r="S678" s="1">
        <f t="shared" si="76"/>
        <v>0.94496726677577736</v>
      </c>
    </row>
    <row r="679" spans="1:19" x14ac:dyDescent="0.3">
      <c r="A679"/>
      <c r="B679"/>
      <c r="C679"/>
      <c r="D679"/>
      <c r="E679"/>
      <c r="F679"/>
      <c r="G679"/>
      <c r="H679"/>
      <c r="I679"/>
      <c r="J679" s="1">
        <f t="shared" si="78"/>
        <v>-5</v>
      </c>
      <c r="K679" s="1">
        <f t="shared" si="79"/>
        <v>-17</v>
      </c>
      <c r="L679" s="1">
        <f t="shared" si="79"/>
        <v>-17</v>
      </c>
      <c r="N679"/>
      <c r="O679"/>
      <c r="P679" s="1">
        <f t="shared" si="73"/>
        <v>0.79928861788617889</v>
      </c>
      <c r="Q679" s="1">
        <f t="shared" si="74"/>
        <v>0.79928861788617889</v>
      </c>
      <c r="R679" s="1">
        <f t="shared" si="75"/>
        <v>0.82624655858060569</v>
      </c>
      <c r="S679" s="1">
        <f t="shared" si="76"/>
        <v>0.94496726677577736</v>
      </c>
    </row>
    <row r="680" spans="1:19" x14ac:dyDescent="0.3">
      <c r="A680"/>
      <c r="B680"/>
      <c r="C680"/>
      <c r="D680"/>
      <c r="E680"/>
      <c r="F680"/>
      <c r="G680"/>
      <c r="H680"/>
      <c r="I680"/>
      <c r="J680" s="1">
        <f t="shared" si="78"/>
        <v>-5</v>
      </c>
      <c r="K680" s="1">
        <f t="shared" si="79"/>
        <v>-17</v>
      </c>
      <c r="L680" s="1">
        <f t="shared" si="79"/>
        <v>-17</v>
      </c>
      <c r="N680"/>
      <c r="O680"/>
      <c r="P680" s="1">
        <f t="shared" si="73"/>
        <v>0.79928861788617889</v>
      </c>
      <c r="Q680" s="1">
        <f t="shared" si="74"/>
        <v>0.79928861788617889</v>
      </c>
      <c r="R680" s="1">
        <f t="shared" si="75"/>
        <v>0.82624655858060569</v>
      </c>
      <c r="S680" s="1">
        <f t="shared" si="76"/>
        <v>0.94496726677577736</v>
      </c>
    </row>
    <row r="681" spans="1:19" x14ac:dyDescent="0.3">
      <c r="A681"/>
      <c r="B681"/>
      <c r="C681"/>
      <c r="D681"/>
      <c r="E681"/>
      <c r="F681"/>
      <c r="G681"/>
      <c r="H681"/>
      <c r="I681"/>
      <c r="J681" s="1">
        <f t="shared" si="78"/>
        <v>-5</v>
      </c>
      <c r="K681" s="1">
        <f t="shared" si="79"/>
        <v>-17</v>
      </c>
      <c r="L681" s="1">
        <f t="shared" si="79"/>
        <v>-17</v>
      </c>
      <c r="N681"/>
      <c r="O681"/>
      <c r="P681" s="1">
        <f t="shared" si="73"/>
        <v>0.79928861788617889</v>
      </c>
      <c r="Q681" s="1">
        <f t="shared" si="74"/>
        <v>0.79928861788617889</v>
      </c>
      <c r="R681" s="1">
        <f t="shared" si="75"/>
        <v>0.82624655858060569</v>
      </c>
      <c r="S681" s="1">
        <f t="shared" si="76"/>
        <v>0.94496726677577736</v>
      </c>
    </row>
    <row r="682" spans="1:19" x14ac:dyDescent="0.3">
      <c r="A682"/>
      <c r="B682"/>
      <c r="C682"/>
      <c r="D682"/>
      <c r="E682"/>
      <c r="F682"/>
      <c r="G682"/>
      <c r="H682"/>
      <c r="I682"/>
      <c r="J682" s="1">
        <f t="shared" si="78"/>
        <v>-5</v>
      </c>
      <c r="K682" s="1">
        <f t="shared" si="79"/>
        <v>-17</v>
      </c>
      <c r="L682" s="1">
        <f t="shared" si="79"/>
        <v>-17</v>
      </c>
      <c r="N682"/>
      <c r="O682"/>
      <c r="P682" s="1">
        <f t="shared" si="73"/>
        <v>0.79928861788617889</v>
      </c>
      <c r="Q682" s="1">
        <f t="shared" si="74"/>
        <v>0.79928861788617889</v>
      </c>
      <c r="R682" s="1">
        <f t="shared" si="75"/>
        <v>0.82624655858060569</v>
      </c>
      <c r="S682" s="1">
        <f t="shared" si="76"/>
        <v>0.94496726677577736</v>
      </c>
    </row>
    <row r="683" spans="1:19" x14ac:dyDescent="0.3">
      <c r="A683"/>
      <c r="B683"/>
      <c r="C683"/>
      <c r="D683"/>
      <c r="E683"/>
      <c r="F683"/>
      <c r="G683"/>
      <c r="H683"/>
      <c r="I683"/>
      <c r="J683" s="1">
        <f t="shared" si="78"/>
        <v>-5</v>
      </c>
      <c r="K683" s="1">
        <f t="shared" si="79"/>
        <v>-17</v>
      </c>
      <c r="L683" s="1">
        <f t="shared" si="79"/>
        <v>-17</v>
      </c>
      <c r="N683"/>
      <c r="O683"/>
      <c r="P683" s="1">
        <f t="shared" ref="P683:P746" si="80">(B665+Q$36)/P$36</f>
        <v>0.79928861788617889</v>
      </c>
      <c r="Q683" s="1">
        <f t="shared" ref="Q683:Q746" si="81">(C665+Q$36)/P$36</f>
        <v>0.79928861788617889</v>
      </c>
      <c r="R683" s="1">
        <f t="shared" ref="R683:R746" si="82">(D665+Q$38)/P$38</f>
        <v>0.82624655858060569</v>
      </c>
      <c r="S683" s="1">
        <f t="shared" ref="S683:S746" si="83">(E665+Q$39)/P$39</f>
        <v>0.94496726677577736</v>
      </c>
    </row>
    <row r="684" spans="1:19" x14ac:dyDescent="0.3">
      <c r="A684"/>
      <c r="B684"/>
      <c r="C684"/>
      <c r="D684"/>
      <c r="E684"/>
      <c r="F684"/>
      <c r="G684"/>
      <c r="H684"/>
      <c r="I684"/>
      <c r="J684" s="1">
        <f t="shared" si="78"/>
        <v>-5</v>
      </c>
      <c r="K684" s="1">
        <f t="shared" si="79"/>
        <v>-17</v>
      </c>
      <c r="L684" s="1">
        <f t="shared" si="79"/>
        <v>-17</v>
      </c>
      <c r="N684"/>
      <c r="O684"/>
      <c r="P684" s="1">
        <f t="shared" si="80"/>
        <v>0.79928861788617889</v>
      </c>
      <c r="Q684" s="1">
        <f t="shared" si="81"/>
        <v>0.79928861788617889</v>
      </c>
      <c r="R684" s="1">
        <f t="shared" si="82"/>
        <v>0.82624655858060569</v>
      </c>
      <c r="S684" s="1">
        <f t="shared" si="83"/>
        <v>0.94496726677577736</v>
      </c>
    </row>
    <row r="685" spans="1:19" x14ac:dyDescent="0.3">
      <c r="A685"/>
      <c r="B685"/>
      <c r="C685"/>
      <c r="D685"/>
      <c r="E685"/>
      <c r="F685"/>
      <c r="G685"/>
      <c r="H685"/>
      <c r="I685"/>
      <c r="J685" s="1">
        <f t="shared" si="78"/>
        <v>-5</v>
      </c>
      <c r="K685" s="1">
        <f t="shared" si="79"/>
        <v>-17</v>
      </c>
      <c r="L685" s="1">
        <f t="shared" si="79"/>
        <v>-17</v>
      </c>
      <c r="N685"/>
      <c r="O685"/>
      <c r="P685" s="1">
        <f t="shared" si="80"/>
        <v>0.79928861788617889</v>
      </c>
      <c r="Q685" s="1">
        <f t="shared" si="81"/>
        <v>0.79928861788617889</v>
      </c>
      <c r="R685" s="1">
        <f t="shared" si="82"/>
        <v>0.82624655858060569</v>
      </c>
      <c r="S685" s="1">
        <f t="shared" si="83"/>
        <v>0.94496726677577736</v>
      </c>
    </row>
    <row r="686" spans="1:19" x14ac:dyDescent="0.3">
      <c r="A686"/>
      <c r="B686"/>
      <c r="C686"/>
      <c r="D686"/>
      <c r="E686"/>
      <c r="F686"/>
      <c r="G686"/>
      <c r="H686"/>
      <c r="I686"/>
      <c r="J686" s="1">
        <f t="shared" si="78"/>
        <v>-5</v>
      </c>
      <c r="K686" s="1">
        <f t="shared" si="79"/>
        <v>-17</v>
      </c>
      <c r="L686" s="1">
        <f t="shared" si="79"/>
        <v>-17</v>
      </c>
      <c r="N686"/>
      <c r="O686"/>
      <c r="P686" s="1">
        <f t="shared" si="80"/>
        <v>0.79928861788617889</v>
      </c>
      <c r="Q686" s="1">
        <f t="shared" si="81"/>
        <v>0.79928861788617889</v>
      </c>
      <c r="R686" s="1">
        <f t="shared" si="82"/>
        <v>0.82624655858060569</v>
      </c>
      <c r="S686" s="1">
        <f t="shared" si="83"/>
        <v>0.94496726677577736</v>
      </c>
    </row>
    <row r="687" spans="1:19" x14ac:dyDescent="0.3">
      <c r="A687"/>
      <c r="B687"/>
      <c r="C687"/>
      <c r="D687"/>
      <c r="E687"/>
      <c r="F687"/>
      <c r="G687"/>
      <c r="H687"/>
      <c r="I687"/>
      <c r="J687" s="1">
        <f t="shared" si="78"/>
        <v>-5</v>
      </c>
      <c r="K687" s="1">
        <f t="shared" si="79"/>
        <v>-17</v>
      </c>
      <c r="L687" s="1">
        <f t="shared" si="79"/>
        <v>-17</v>
      </c>
      <c r="N687"/>
      <c r="O687"/>
      <c r="P687" s="1">
        <f t="shared" si="80"/>
        <v>0.79928861788617889</v>
      </c>
      <c r="Q687" s="1">
        <f t="shared" si="81"/>
        <v>0.79928861788617889</v>
      </c>
      <c r="R687" s="1">
        <f t="shared" si="82"/>
        <v>0.82624655858060569</v>
      </c>
      <c r="S687" s="1">
        <f t="shared" si="83"/>
        <v>0.94496726677577736</v>
      </c>
    </row>
    <row r="688" spans="1:19" x14ac:dyDescent="0.3">
      <c r="A688"/>
      <c r="B688"/>
      <c r="C688"/>
      <c r="D688"/>
      <c r="E688"/>
      <c r="F688"/>
      <c r="G688"/>
      <c r="H688"/>
      <c r="I688"/>
      <c r="J688" s="1">
        <f t="shared" si="78"/>
        <v>-5</v>
      </c>
      <c r="K688" s="1">
        <f t="shared" si="79"/>
        <v>-17</v>
      </c>
      <c r="L688" s="1">
        <f t="shared" si="79"/>
        <v>-17</v>
      </c>
      <c r="N688"/>
      <c r="O688"/>
      <c r="P688" s="1">
        <f t="shared" si="80"/>
        <v>0.79928861788617889</v>
      </c>
      <c r="Q688" s="1">
        <f t="shared" si="81"/>
        <v>0.79928861788617889</v>
      </c>
      <c r="R688" s="1">
        <f t="shared" si="82"/>
        <v>0.82624655858060569</v>
      </c>
      <c r="S688" s="1">
        <f t="shared" si="83"/>
        <v>0.94496726677577736</v>
      </c>
    </row>
    <row r="689" spans="1:19" x14ac:dyDescent="0.3">
      <c r="A689"/>
      <c r="B689"/>
      <c r="C689"/>
      <c r="D689"/>
      <c r="E689"/>
      <c r="F689"/>
      <c r="G689"/>
      <c r="H689"/>
      <c r="I689"/>
      <c r="J689" s="1">
        <f t="shared" si="78"/>
        <v>-5</v>
      </c>
      <c r="K689" s="1">
        <f t="shared" si="79"/>
        <v>-17</v>
      </c>
      <c r="L689" s="1">
        <f t="shared" si="79"/>
        <v>-17</v>
      </c>
      <c r="N689"/>
      <c r="O689"/>
      <c r="P689" s="1">
        <f t="shared" si="80"/>
        <v>0.79928861788617889</v>
      </c>
      <c r="Q689" s="1">
        <f t="shared" si="81"/>
        <v>0.79928861788617889</v>
      </c>
      <c r="R689" s="1">
        <f t="shared" si="82"/>
        <v>0.82624655858060569</v>
      </c>
      <c r="S689" s="1">
        <f t="shared" si="83"/>
        <v>0.94496726677577736</v>
      </c>
    </row>
    <row r="690" spans="1:19" x14ac:dyDescent="0.3">
      <c r="A690"/>
      <c r="B690"/>
      <c r="C690"/>
      <c r="D690"/>
      <c r="E690"/>
      <c r="F690"/>
      <c r="G690"/>
      <c r="H690"/>
      <c r="I690"/>
      <c r="J690" s="1">
        <f t="shared" si="78"/>
        <v>-5</v>
      </c>
      <c r="K690" s="1">
        <f t="shared" si="79"/>
        <v>-17</v>
      </c>
      <c r="L690" s="1">
        <f t="shared" si="79"/>
        <v>-17</v>
      </c>
      <c r="N690"/>
      <c r="O690"/>
      <c r="P690" s="1">
        <f t="shared" si="80"/>
        <v>0.79928861788617889</v>
      </c>
      <c r="Q690" s="1">
        <f t="shared" si="81"/>
        <v>0.79928861788617889</v>
      </c>
      <c r="R690" s="1">
        <f t="shared" si="82"/>
        <v>0.82624655858060569</v>
      </c>
      <c r="S690" s="1">
        <f t="shared" si="83"/>
        <v>0.94496726677577736</v>
      </c>
    </row>
    <row r="691" spans="1:19" x14ac:dyDescent="0.3">
      <c r="A691"/>
      <c r="B691"/>
      <c r="C691"/>
      <c r="D691"/>
      <c r="E691"/>
      <c r="F691"/>
      <c r="G691"/>
      <c r="H691"/>
      <c r="I691"/>
      <c r="J691" s="1">
        <f t="shared" si="78"/>
        <v>-5</v>
      </c>
      <c r="K691" s="1">
        <f t="shared" si="79"/>
        <v>-17</v>
      </c>
      <c r="L691" s="1">
        <f t="shared" si="79"/>
        <v>-17</v>
      </c>
      <c r="N691"/>
      <c r="O691"/>
      <c r="P691" s="1">
        <f t="shared" si="80"/>
        <v>0.79928861788617889</v>
      </c>
      <c r="Q691" s="1">
        <f t="shared" si="81"/>
        <v>0.79928861788617889</v>
      </c>
      <c r="R691" s="1">
        <f t="shared" si="82"/>
        <v>0.82624655858060569</v>
      </c>
      <c r="S691" s="1">
        <f t="shared" si="83"/>
        <v>0.94496726677577736</v>
      </c>
    </row>
    <row r="692" spans="1:19" x14ac:dyDescent="0.3">
      <c r="A692"/>
      <c r="B692"/>
      <c r="C692"/>
      <c r="D692"/>
      <c r="E692"/>
      <c r="F692"/>
      <c r="G692"/>
      <c r="H692"/>
      <c r="I692"/>
      <c r="J692" s="1">
        <f t="shared" si="78"/>
        <v>-5</v>
      </c>
      <c r="K692" s="1">
        <f t="shared" si="79"/>
        <v>-17</v>
      </c>
      <c r="L692" s="1">
        <f t="shared" si="79"/>
        <v>-17</v>
      </c>
      <c r="N692"/>
      <c r="O692"/>
      <c r="P692" s="1">
        <f t="shared" si="80"/>
        <v>0.79928861788617889</v>
      </c>
      <c r="Q692" s="1">
        <f t="shared" si="81"/>
        <v>0.79928861788617889</v>
      </c>
      <c r="R692" s="1">
        <f t="shared" si="82"/>
        <v>0.82624655858060569</v>
      </c>
      <c r="S692" s="1">
        <f t="shared" si="83"/>
        <v>0.94496726677577736</v>
      </c>
    </row>
    <row r="693" spans="1:19" x14ac:dyDescent="0.3">
      <c r="A693"/>
      <c r="B693"/>
      <c r="C693"/>
      <c r="D693"/>
      <c r="E693"/>
      <c r="F693"/>
      <c r="G693"/>
      <c r="H693"/>
      <c r="I693"/>
      <c r="J693" s="1">
        <f t="shared" si="78"/>
        <v>-5</v>
      </c>
      <c r="K693" s="1">
        <f t="shared" si="79"/>
        <v>-17</v>
      </c>
      <c r="L693" s="1">
        <f t="shared" si="79"/>
        <v>-17</v>
      </c>
      <c r="N693"/>
      <c r="O693"/>
      <c r="P693" s="1">
        <f t="shared" si="80"/>
        <v>0.79928861788617889</v>
      </c>
      <c r="Q693" s="1">
        <f t="shared" si="81"/>
        <v>0.79928861788617889</v>
      </c>
      <c r="R693" s="1">
        <f t="shared" si="82"/>
        <v>0.82624655858060569</v>
      </c>
      <c r="S693" s="1">
        <f t="shared" si="83"/>
        <v>0.94496726677577736</v>
      </c>
    </row>
    <row r="694" spans="1:19" x14ac:dyDescent="0.3">
      <c r="A694"/>
      <c r="B694"/>
      <c r="C694"/>
      <c r="D694"/>
      <c r="E694"/>
      <c r="F694"/>
      <c r="G694"/>
      <c r="H694"/>
      <c r="I694"/>
      <c r="J694" s="1">
        <f t="shared" si="78"/>
        <v>-5</v>
      </c>
      <c r="K694" s="1">
        <f t="shared" si="79"/>
        <v>-17</v>
      </c>
      <c r="L694" s="1">
        <f t="shared" si="79"/>
        <v>-17</v>
      </c>
      <c r="N694"/>
      <c r="O694"/>
      <c r="P694" s="1">
        <f t="shared" si="80"/>
        <v>0.79928861788617889</v>
      </c>
      <c r="Q694" s="1">
        <f t="shared" si="81"/>
        <v>0.79928861788617889</v>
      </c>
      <c r="R694" s="1">
        <f t="shared" si="82"/>
        <v>0.82624655858060569</v>
      </c>
      <c r="S694" s="1">
        <f t="shared" si="83"/>
        <v>0.94496726677577736</v>
      </c>
    </row>
    <row r="695" spans="1:19" x14ac:dyDescent="0.3">
      <c r="A695"/>
      <c r="B695"/>
      <c r="C695"/>
      <c r="D695"/>
      <c r="E695"/>
      <c r="F695"/>
      <c r="G695"/>
      <c r="H695"/>
      <c r="I695"/>
      <c r="J695" s="1">
        <f t="shared" si="78"/>
        <v>-5</v>
      </c>
      <c r="K695" s="1">
        <f t="shared" si="79"/>
        <v>-17</v>
      </c>
      <c r="L695" s="1">
        <f t="shared" si="79"/>
        <v>-17</v>
      </c>
      <c r="N695"/>
      <c r="O695"/>
      <c r="P695" s="1">
        <f t="shared" si="80"/>
        <v>0.79928861788617889</v>
      </c>
      <c r="Q695" s="1">
        <f t="shared" si="81"/>
        <v>0.79928861788617889</v>
      </c>
      <c r="R695" s="1">
        <f t="shared" si="82"/>
        <v>0.82624655858060569</v>
      </c>
      <c r="S695" s="1">
        <f t="shared" si="83"/>
        <v>0.94496726677577736</v>
      </c>
    </row>
    <row r="696" spans="1:19" x14ac:dyDescent="0.3">
      <c r="A696"/>
      <c r="B696"/>
      <c r="C696"/>
      <c r="D696"/>
      <c r="E696"/>
      <c r="F696"/>
      <c r="G696"/>
      <c r="H696"/>
      <c r="I696"/>
      <c r="J696" s="1">
        <f t="shared" si="78"/>
        <v>-5</v>
      </c>
      <c r="K696" s="1">
        <f t="shared" si="79"/>
        <v>-17</v>
      </c>
      <c r="L696" s="1">
        <f t="shared" si="79"/>
        <v>-17</v>
      </c>
      <c r="N696"/>
      <c r="O696"/>
      <c r="P696" s="1">
        <f t="shared" si="80"/>
        <v>0.79928861788617889</v>
      </c>
      <c r="Q696" s="1">
        <f t="shared" si="81"/>
        <v>0.79928861788617889</v>
      </c>
      <c r="R696" s="1">
        <f t="shared" si="82"/>
        <v>0.82624655858060569</v>
      </c>
      <c r="S696" s="1">
        <f t="shared" si="83"/>
        <v>0.94496726677577736</v>
      </c>
    </row>
    <row r="697" spans="1:19" x14ac:dyDescent="0.3">
      <c r="A697"/>
      <c r="B697"/>
      <c r="C697"/>
      <c r="D697"/>
      <c r="E697"/>
      <c r="F697"/>
      <c r="G697"/>
      <c r="H697"/>
      <c r="I697"/>
      <c r="J697" s="1">
        <f t="shared" si="78"/>
        <v>-5</v>
      </c>
      <c r="K697" s="1">
        <f t="shared" si="79"/>
        <v>-17</v>
      </c>
      <c r="L697" s="1">
        <f t="shared" si="79"/>
        <v>-17</v>
      </c>
      <c r="N697"/>
      <c r="O697"/>
      <c r="P697" s="1">
        <f t="shared" si="80"/>
        <v>0.79928861788617889</v>
      </c>
      <c r="Q697" s="1">
        <f t="shared" si="81"/>
        <v>0.79928861788617889</v>
      </c>
      <c r="R697" s="1">
        <f t="shared" si="82"/>
        <v>0.82624655858060569</v>
      </c>
      <c r="S697" s="1">
        <f t="shared" si="83"/>
        <v>0.94496726677577736</v>
      </c>
    </row>
    <row r="698" spans="1:19" x14ac:dyDescent="0.3">
      <c r="A698"/>
      <c r="B698"/>
      <c r="C698"/>
      <c r="D698"/>
      <c r="E698"/>
      <c r="F698"/>
      <c r="G698"/>
      <c r="H698"/>
      <c r="I698"/>
      <c r="J698" s="1">
        <f t="shared" si="78"/>
        <v>-5</v>
      </c>
      <c r="K698" s="1">
        <f t="shared" si="79"/>
        <v>-17</v>
      </c>
      <c r="L698" s="1">
        <f t="shared" si="79"/>
        <v>-17</v>
      </c>
      <c r="N698"/>
      <c r="O698"/>
      <c r="P698" s="1">
        <f t="shared" si="80"/>
        <v>0.79928861788617889</v>
      </c>
      <c r="Q698" s="1">
        <f t="shared" si="81"/>
        <v>0.79928861788617889</v>
      </c>
      <c r="R698" s="1">
        <f t="shared" si="82"/>
        <v>0.82624655858060569</v>
      </c>
      <c r="S698" s="1">
        <f t="shared" si="83"/>
        <v>0.94496726677577736</v>
      </c>
    </row>
    <row r="699" spans="1:19" x14ac:dyDescent="0.3">
      <c r="A699"/>
      <c r="B699"/>
      <c r="C699"/>
      <c r="D699"/>
      <c r="E699"/>
      <c r="F699"/>
      <c r="G699"/>
      <c r="H699"/>
      <c r="I699"/>
      <c r="J699" s="1">
        <f t="shared" si="78"/>
        <v>-5</v>
      </c>
      <c r="K699" s="1">
        <f t="shared" si="79"/>
        <v>-17</v>
      </c>
      <c r="L699" s="1">
        <f t="shared" si="79"/>
        <v>-17</v>
      </c>
      <c r="N699"/>
      <c r="O699"/>
      <c r="P699" s="1">
        <f t="shared" si="80"/>
        <v>0.79928861788617889</v>
      </c>
      <c r="Q699" s="1">
        <f t="shared" si="81"/>
        <v>0.79928861788617889</v>
      </c>
      <c r="R699" s="1">
        <f t="shared" si="82"/>
        <v>0.82624655858060569</v>
      </c>
      <c r="S699" s="1">
        <f t="shared" si="83"/>
        <v>0.94496726677577736</v>
      </c>
    </row>
    <row r="700" spans="1:19" x14ac:dyDescent="0.3">
      <c r="A700"/>
      <c r="B700"/>
      <c r="C700"/>
      <c r="D700"/>
      <c r="E700"/>
      <c r="F700"/>
      <c r="G700"/>
      <c r="H700"/>
      <c r="I700"/>
      <c r="J700" s="1">
        <f t="shared" si="78"/>
        <v>-5</v>
      </c>
      <c r="K700" s="1">
        <f t="shared" si="79"/>
        <v>-17</v>
      </c>
      <c r="L700" s="1">
        <f t="shared" si="79"/>
        <v>-17</v>
      </c>
      <c r="N700"/>
      <c r="O700"/>
      <c r="P700" s="1">
        <f t="shared" si="80"/>
        <v>0.79928861788617889</v>
      </c>
      <c r="Q700" s="1">
        <f t="shared" si="81"/>
        <v>0.79928861788617889</v>
      </c>
      <c r="R700" s="1">
        <f t="shared" si="82"/>
        <v>0.82624655858060569</v>
      </c>
      <c r="S700" s="1">
        <f t="shared" si="83"/>
        <v>0.94496726677577736</v>
      </c>
    </row>
    <row r="701" spans="1:19" x14ac:dyDescent="0.3">
      <c r="A701"/>
      <c r="B701"/>
      <c r="C701"/>
      <c r="D701"/>
      <c r="E701"/>
      <c r="F701"/>
      <c r="G701"/>
      <c r="H701"/>
      <c r="I701"/>
      <c r="J701" s="1">
        <f t="shared" si="78"/>
        <v>-5</v>
      </c>
      <c r="K701" s="1">
        <f t="shared" si="79"/>
        <v>-17</v>
      </c>
      <c r="L701" s="1">
        <f t="shared" si="79"/>
        <v>-17</v>
      </c>
      <c r="N701"/>
      <c r="O701"/>
      <c r="P701" s="1">
        <f t="shared" si="80"/>
        <v>0.79928861788617889</v>
      </c>
      <c r="Q701" s="1">
        <f t="shared" si="81"/>
        <v>0.79928861788617889</v>
      </c>
      <c r="R701" s="1">
        <f t="shared" si="82"/>
        <v>0.82624655858060569</v>
      </c>
      <c r="S701" s="1">
        <f t="shared" si="83"/>
        <v>0.94496726677577736</v>
      </c>
    </row>
    <row r="702" spans="1:19" x14ac:dyDescent="0.3">
      <c r="A702"/>
      <c r="B702"/>
      <c r="C702"/>
      <c r="D702"/>
      <c r="E702"/>
      <c r="F702"/>
      <c r="G702"/>
      <c r="H702"/>
      <c r="I702"/>
      <c r="J702" s="1">
        <f t="shared" si="78"/>
        <v>-5</v>
      </c>
      <c r="K702" s="1">
        <f t="shared" si="79"/>
        <v>-17</v>
      </c>
      <c r="L702" s="1">
        <f t="shared" si="79"/>
        <v>-17</v>
      </c>
      <c r="N702"/>
      <c r="O702"/>
      <c r="P702" s="1">
        <f t="shared" si="80"/>
        <v>0.79928861788617889</v>
      </c>
      <c r="Q702" s="1">
        <f t="shared" si="81"/>
        <v>0.79928861788617889</v>
      </c>
      <c r="R702" s="1">
        <f t="shared" si="82"/>
        <v>0.82624655858060569</v>
      </c>
      <c r="S702" s="1">
        <f t="shared" si="83"/>
        <v>0.94496726677577736</v>
      </c>
    </row>
    <row r="703" spans="1:19" x14ac:dyDescent="0.3">
      <c r="A703"/>
      <c r="B703"/>
      <c r="C703"/>
      <c r="D703"/>
      <c r="E703"/>
      <c r="F703"/>
      <c r="G703"/>
      <c r="H703"/>
      <c r="I703"/>
      <c r="J703" s="1">
        <f t="shared" si="78"/>
        <v>-5</v>
      </c>
      <c r="K703" s="1">
        <f t="shared" si="79"/>
        <v>-17</v>
      </c>
      <c r="L703" s="1">
        <f t="shared" si="79"/>
        <v>-17</v>
      </c>
      <c r="N703"/>
      <c r="O703"/>
      <c r="P703" s="1">
        <f t="shared" si="80"/>
        <v>0.79928861788617889</v>
      </c>
      <c r="Q703" s="1">
        <f t="shared" si="81"/>
        <v>0.79928861788617889</v>
      </c>
      <c r="R703" s="1">
        <f t="shared" si="82"/>
        <v>0.82624655858060569</v>
      </c>
      <c r="S703" s="1">
        <f t="shared" si="83"/>
        <v>0.94496726677577736</v>
      </c>
    </row>
    <row r="704" spans="1:19" x14ac:dyDescent="0.3">
      <c r="A704"/>
      <c r="B704"/>
      <c r="C704"/>
      <c r="D704"/>
      <c r="E704"/>
      <c r="F704"/>
      <c r="G704"/>
      <c r="H704"/>
      <c r="I704"/>
      <c r="J704" s="1">
        <f t="shared" si="78"/>
        <v>-5</v>
      </c>
      <c r="K704" s="1">
        <f t="shared" si="79"/>
        <v>-17</v>
      </c>
      <c r="L704" s="1">
        <f t="shared" si="79"/>
        <v>-17</v>
      </c>
      <c r="N704"/>
      <c r="O704"/>
      <c r="P704" s="1">
        <f t="shared" si="80"/>
        <v>0.79928861788617889</v>
      </c>
      <c r="Q704" s="1">
        <f t="shared" si="81"/>
        <v>0.79928861788617889</v>
      </c>
      <c r="R704" s="1">
        <f t="shared" si="82"/>
        <v>0.82624655858060569</v>
      </c>
      <c r="S704" s="1">
        <f t="shared" si="83"/>
        <v>0.94496726677577736</v>
      </c>
    </row>
    <row r="705" spans="1:19" x14ac:dyDescent="0.3">
      <c r="A705"/>
      <c r="B705"/>
      <c r="C705"/>
      <c r="D705"/>
      <c r="E705"/>
      <c r="F705"/>
      <c r="G705"/>
      <c r="H705"/>
      <c r="I705"/>
      <c r="J705" s="1">
        <f t="shared" si="78"/>
        <v>-5</v>
      </c>
      <c r="K705" s="1">
        <f t="shared" si="79"/>
        <v>-17</v>
      </c>
      <c r="L705" s="1">
        <f t="shared" si="79"/>
        <v>-17</v>
      </c>
      <c r="N705"/>
      <c r="O705"/>
      <c r="P705" s="1">
        <f t="shared" si="80"/>
        <v>0.79928861788617889</v>
      </c>
      <c r="Q705" s="1">
        <f t="shared" si="81"/>
        <v>0.79928861788617889</v>
      </c>
      <c r="R705" s="1">
        <f t="shared" si="82"/>
        <v>0.82624655858060569</v>
      </c>
      <c r="S705" s="1">
        <f t="shared" si="83"/>
        <v>0.94496726677577736</v>
      </c>
    </row>
    <row r="706" spans="1:19" x14ac:dyDescent="0.3">
      <c r="A706"/>
      <c r="B706"/>
      <c r="C706"/>
      <c r="D706"/>
      <c r="E706"/>
      <c r="F706"/>
      <c r="G706"/>
      <c r="H706"/>
      <c r="I706"/>
      <c r="J706" s="1">
        <f t="shared" si="78"/>
        <v>-5</v>
      </c>
      <c r="K706" s="1">
        <f t="shared" si="79"/>
        <v>-17</v>
      </c>
      <c r="L706" s="1">
        <f t="shared" si="79"/>
        <v>-17</v>
      </c>
      <c r="N706"/>
      <c r="O706"/>
      <c r="P706" s="1">
        <f t="shared" si="80"/>
        <v>0.79928861788617889</v>
      </c>
      <c r="Q706" s="1">
        <f t="shared" si="81"/>
        <v>0.79928861788617889</v>
      </c>
      <c r="R706" s="1">
        <f t="shared" si="82"/>
        <v>0.82624655858060569</v>
      </c>
      <c r="S706" s="1">
        <f t="shared" si="83"/>
        <v>0.94496726677577736</v>
      </c>
    </row>
    <row r="707" spans="1:19" x14ac:dyDescent="0.3">
      <c r="A707"/>
      <c r="B707"/>
      <c r="C707"/>
      <c r="D707"/>
      <c r="E707"/>
      <c r="F707"/>
      <c r="G707"/>
      <c r="H707"/>
      <c r="I707"/>
      <c r="J707" s="1">
        <f t="shared" si="78"/>
        <v>-5</v>
      </c>
      <c r="K707" s="1">
        <f t="shared" si="79"/>
        <v>-17</v>
      </c>
      <c r="L707" s="1">
        <f t="shared" si="79"/>
        <v>-17</v>
      </c>
      <c r="N707"/>
      <c r="O707"/>
      <c r="P707" s="1">
        <f t="shared" si="80"/>
        <v>0.79928861788617889</v>
      </c>
      <c r="Q707" s="1">
        <f t="shared" si="81"/>
        <v>0.79928861788617889</v>
      </c>
      <c r="R707" s="1">
        <f t="shared" si="82"/>
        <v>0.82624655858060569</v>
      </c>
      <c r="S707" s="1">
        <f t="shared" si="83"/>
        <v>0.94496726677577736</v>
      </c>
    </row>
    <row r="708" spans="1:19" x14ac:dyDescent="0.3">
      <c r="A708"/>
      <c r="B708"/>
      <c r="C708"/>
      <c r="D708"/>
      <c r="E708"/>
      <c r="F708"/>
      <c r="G708"/>
      <c r="H708"/>
      <c r="I708"/>
      <c r="J708" s="1">
        <f t="shared" si="78"/>
        <v>-5</v>
      </c>
      <c r="K708" s="1">
        <f t="shared" si="79"/>
        <v>-17</v>
      </c>
      <c r="L708" s="1">
        <f t="shared" si="79"/>
        <v>-17</v>
      </c>
      <c r="N708"/>
      <c r="O708"/>
      <c r="P708" s="1">
        <f t="shared" si="80"/>
        <v>0.79928861788617889</v>
      </c>
      <c r="Q708" s="1">
        <f t="shared" si="81"/>
        <v>0.79928861788617889</v>
      </c>
      <c r="R708" s="1">
        <f t="shared" si="82"/>
        <v>0.82624655858060569</v>
      </c>
      <c r="S708" s="1">
        <f t="shared" si="83"/>
        <v>0.94496726677577736</v>
      </c>
    </row>
    <row r="709" spans="1:19" x14ac:dyDescent="0.3">
      <c r="A709"/>
      <c r="B709"/>
      <c r="C709"/>
      <c r="D709"/>
      <c r="E709"/>
      <c r="F709"/>
      <c r="G709"/>
      <c r="H709"/>
      <c r="I709"/>
      <c r="J709" s="1">
        <f t="shared" si="78"/>
        <v>-5</v>
      </c>
      <c r="K709" s="1">
        <f t="shared" si="79"/>
        <v>-17</v>
      </c>
      <c r="L709" s="1">
        <f t="shared" si="79"/>
        <v>-17</v>
      </c>
      <c r="N709"/>
      <c r="O709"/>
      <c r="P709" s="1">
        <f t="shared" si="80"/>
        <v>0.79928861788617889</v>
      </c>
      <c r="Q709" s="1">
        <f t="shared" si="81"/>
        <v>0.79928861788617889</v>
      </c>
      <c r="R709" s="1">
        <f t="shared" si="82"/>
        <v>0.82624655858060569</v>
      </c>
      <c r="S709" s="1">
        <f t="shared" si="83"/>
        <v>0.94496726677577736</v>
      </c>
    </row>
    <row r="710" spans="1:19" x14ac:dyDescent="0.3">
      <c r="A710"/>
      <c r="B710"/>
      <c r="C710"/>
      <c r="D710"/>
      <c r="E710"/>
      <c r="F710"/>
      <c r="G710"/>
      <c r="H710"/>
      <c r="I710"/>
      <c r="J710" s="1">
        <f t="shared" si="78"/>
        <v>-5</v>
      </c>
      <c r="K710" s="1">
        <f t="shared" si="79"/>
        <v>-17</v>
      </c>
      <c r="L710" s="1">
        <f t="shared" si="79"/>
        <v>-17</v>
      </c>
      <c r="N710"/>
      <c r="O710"/>
      <c r="P710" s="1">
        <f t="shared" si="80"/>
        <v>0.79928861788617889</v>
      </c>
      <c r="Q710" s="1">
        <f t="shared" si="81"/>
        <v>0.79928861788617889</v>
      </c>
      <c r="R710" s="1">
        <f t="shared" si="82"/>
        <v>0.82624655858060569</v>
      </c>
      <c r="S710" s="1">
        <f t="shared" si="83"/>
        <v>0.94496726677577736</v>
      </c>
    </row>
    <row r="711" spans="1:19" x14ac:dyDescent="0.3">
      <c r="A711"/>
      <c r="B711"/>
      <c r="C711"/>
      <c r="D711"/>
      <c r="E711"/>
      <c r="F711"/>
      <c r="G711"/>
      <c r="H711"/>
      <c r="I711"/>
      <c r="J711" s="1">
        <f t="shared" si="78"/>
        <v>-5</v>
      </c>
      <c r="K711" s="1">
        <f t="shared" si="79"/>
        <v>-17</v>
      </c>
      <c r="L711" s="1">
        <f t="shared" si="79"/>
        <v>-17</v>
      </c>
      <c r="N711"/>
      <c r="O711"/>
      <c r="P711" s="1">
        <f t="shared" si="80"/>
        <v>0.79928861788617889</v>
      </c>
      <c r="Q711" s="1">
        <f t="shared" si="81"/>
        <v>0.79928861788617889</v>
      </c>
      <c r="R711" s="1">
        <f t="shared" si="82"/>
        <v>0.82624655858060569</v>
      </c>
      <c r="S711" s="1">
        <f t="shared" si="83"/>
        <v>0.94496726677577736</v>
      </c>
    </row>
    <row r="712" spans="1:19" x14ac:dyDescent="0.3">
      <c r="A712"/>
      <c r="B712"/>
      <c r="C712"/>
      <c r="D712"/>
      <c r="E712"/>
      <c r="F712"/>
      <c r="G712"/>
      <c r="H712"/>
      <c r="I712"/>
      <c r="J712" s="1">
        <f t="shared" si="78"/>
        <v>-5</v>
      </c>
      <c r="K712" s="1">
        <f t="shared" si="79"/>
        <v>-17</v>
      </c>
      <c r="L712" s="1">
        <f t="shared" si="79"/>
        <v>-17</v>
      </c>
      <c r="N712"/>
      <c r="O712"/>
      <c r="P712" s="1">
        <f t="shared" si="80"/>
        <v>0.79928861788617889</v>
      </c>
      <c r="Q712" s="1">
        <f t="shared" si="81"/>
        <v>0.79928861788617889</v>
      </c>
      <c r="R712" s="1">
        <f t="shared" si="82"/>
        <v>0.82624655858060569</v>
      </c>
      <c r="S712" s="1">
        <f t="shared" si="83"/>
        <v>0.94496726677577736</v>
      </c>
    </row>
    <row r="713" spans="1:19" x14ac:dyDescent="0.3">
      <c r="A713"/>
      <c r="B713"/>
      <c r="C713"/>
      <c r="D713"/>
      <c r="E713"/>
      <c r="F713"/>
      <c r="G713"/>
      <c r="H713"/>
      <c r="I713"/>
      <c r="J713" s="1">
        <f t="shared" si="78"/>
        <v>-5</v>
      </c>
      <c r="K713" s="1">
        <f t="shared" si="79"/>
        <v>-17</v>
      </c>
      <c r="L713" s="1">
        <f t="shared" si="79"/>
        <v>-17</v>
      </c>
      <c r="N713"/>
      <c r="O713"/>
      <c r="P713" s="1">
        <f t="shared" si="80"/>
        <v>0.79928861788617889</v>
      </c>
      <c r="Q713" s="1">
        <f t="shared" si="81"/>
        <v>0.79928861788617889</v>
      </c>
      <c r="R713" s="1">
        <f t="shared" si="82"/>
        <v>0.82624655858060569</v>
      </c>
      <c r="S713" s="1">
        <f t="shared" si="83"/>
        <v>0.94496726677577736</v>
      </c>
    </row>
    <row r="714" spans="1:19" x14ac:dyDescent="0.3">
      <c r="A714"/>
      <c r="B714"/>
      <c r="C714"/>
      <c r="D714"/>
      <c r="E714"/>
      <c r="F714"/>
      <c r="G714"/>
      <c r="H714"/>
      <c r="I714"/>
      <c r="J714" s="1">
        <f t="shared" si="78"/>
        <v>-5</v>
      </c>
      <c r="K714" s="1">
        <f t="shared" si="79"/>
        <v>-17</v>
      </c>
      <c r="L714" s="1">
        <f t="shared" si="79"/>
        <v>-17</v>
      </c>
      <c r="N714"/>
      <c r="O714"/>
      <c r="P714" s="1">
        <f t="shared" si="80"/>
        <v>0.79928861788617889</v>
      </c>
      <c r="Q714" s="1">
        <f t="shared" si="81"/>
        <v>0.79928861788617889</v>
      </c>
      <c r="R714" s="1">
        <f t="shared" si="82"/>
        <v>0.82624655858060569</v>
      </c>
      <c r="S714" s="1">
        <f t="shared" si="83"/>
        <v>0.94496726677577736</v>
      </c>
    </row>
    <row r="715" spans="1:19" x14ac:dyDescent="0.3">
      <c r="A715"/>
      <c r="B715"/>
      <c r="C715"/>
      <c r="D715"/>
      <c r="E715"/>
      <c r="F715"/>
      <c r="G715"/>
      <c r="H715"/>
      <c r="I715"/>
      <c r="J715" s="1">
        <f t="shared" si="78"/>
        <v>-5</v>
      </c>
      <c r="K715" s="1">
        <f t="shared" si="79"/>
        <v>-17</v>
      </c>
      <c r="L715" s="1">
        <f t="shared" si="79"/>
        <v>-17</v>
      </c>
      <c r="N715"/>
      <c r="O715"/>
      <c r="P715" s="1">
        <f t="shared" si="80"/>
        <v>0.79928861788617889</v>
      </c>
      <c r="Q715" s="1">
        <f t="shared" si="81"/>
        <v>0.79928861788617889</v>
      </c>
      <c r="R715" s="1">
        <f t="shared" si="82"/>
        <v>0.82624655858060569</v>
      </c>
      <c r="S715" s="1">
        <f t="shared" si="83"/>
        <v>0.94496726677577736</v>
      </c>
    </row>
    <row r="716" spans="1:19" x14ac:dyDescent="0.3">
      <c r="A716"/>
      <c r="B716"/>
      <c r="C716"/>
      <c r="D716"/>
      <c r="E716"/>
      <c r="F716"/>
      <c r="G716"/>
      <c r="H716"/>
      <c r="I716"/>
      <c r="J716" s="1">
        <f t="shared" si="78"/>
        <v>-5</v>
      </c>
      <c r="K716" s="1">
        <f t="shared" si="79"/>
        <v>-17</v>
      </c>
      <c r="L716" s="1">
        <f t="shared" si="79"/>
        <v>-17</v>
      </c>
      <c r="N716"/>
      <c r="O716"/>
      <c r="P716" s="1">
        <f t="shared" si="80"/>
        <v>0.79928861788617889</v>
      </c>
      <c r="Q716" s="1">
        <f t="shared" si="81"/>
        <v>0.79928861788617889</v>
      </c>
      <c r="R716" s="1">
        <f t="shared" si="82"/>
        <v>0.82624655858060569</v>
      </c>
      <c r="S716" s="1">
        <f t="shared" si="83"/>
        <v>0.94496726677577736</v>
      </c>
    </row>
    <row r="717" spans="1:19" x14ac:dyDescent="0.3">
      <c r="A717"/>
      <c r="B717"/>
      <c r="C717"/>
      <c r="D717"/>
      <c r="E717"/>
      <c r="F717"/>
      <c r="G717"/>
      <c r="H717"/>
      <c r="I717"/>
      <c r="J717" s="1">
        <f t="shared" si="78"/>
        <v>-5</v>
      </c>
      <c r="K717" s="1">
        <f t="shared" si="79"/>
        <v>-17</v>
      </c>
      <c r="L717" s="1">
        <f t="shared" si="79"/>
        <v>-17</v>
      </c>
      <c r="N717"/>
      <c r="O717"/>
      <c r="P717" s="1">
        <f t="shared" si="80"/>
        <v>0.79928861788617889</v>
      </c>
      <c r="Q717" s="1">
        <f t="shared" si="81"/>
        <v>0.79928861788617889</v>
      </c>
      <c r="R717" s="1">
        <f t="shared" si="82"/>
        <v>0.82624655858060569</v>
      </c>
      <c r="S717" s="1">
        <f t="shared" si="83"/>
        <v>0.94496726677577736</v>
      </c>
    </row>
    <row r="718" spans="1:19" x14ac:dyDescent="0.3">
      <c r="A718"/>
      <c r="B718"/>
      <c r="C718"/>
      <c r="D718"/>
      <c r="E718"/>
      <c r="F718"/>
      <c r="G718"/>
      <c r="H718"/>
      <c r="I718"/>
      <c r="J718" s="1">
        <f t="shared" si="78"/>
        <v>-5</v>
      </c>
      <c r="K718" s="1">
        <f t="shared" si="79"/>
        <v>-17</v>
      </c>
      <c r="L718" s="1">
        <f t="shared" si="79"/>
        <v>-17</v>
      </c>
      <c r="N718"/>
      <c r="O718"/>
      <c r="P718" s="1">
        <f t="shared" si="80"/>
        <v>0.79928861788617889</v>
      </c>
      <c r="Q718" s="1">
        <f t="shared" si="81"/>
        <v>0.79928861788617889</v>
      </c>
      <c r="R718" s="1">
        <f t="shared" si="82"/>
        <v>0.82624655858060569</v>
      </c>
      <c r="S718" s="1">
        <f t="shared" si="83"/>
        <v>0.94496726677577736</v>
      </c>
    </row>
    <row r="719" spans="1:19" x14ac:dyDescent="0.3">
      <c r="A719"/>
      <c r="B719"/>
      <c r="C719"/>
      <c r="D719"/>
      <c r="E719"/>
      <c r="F719"/>
      <c r="G719"/>
      <c r="H719"/>
      <c r="I719"/>
      <c r="J719" s="1">
        <f t="shared" si="78"/>
        <v>-5</v>
      </c>
      <c r="K719" s="1">
        <f t="shared" si="79"/>
        <v>-17</v>
      </c>
      <c r="L719" s="1">
        <f t="shared" si="79"/>
        <v>-17</v>
      </c>
      <c r="N719"/>
      <c r="O719"/>
      <c r="P719" s="1">
        <f t="shared" si="80"/>
        <v>0.79928861788617889</v>
      </c>
      <c r="Q719" s="1">
        <f t="shared" si="81"/>
        <v>0.79928861788617889</v>
      </c>
      <c r="R719" s="1">
        <f t="shared" si="82"/>
        <v>0.82624655858060569</v>
      </c>
      <c r="S719" s="1">
        <f t="shared" si="83"/>
        <v>0.94496726677577736</v>
      </c>
    </row>
    <row r="720" spans="1:19" x14ac:dyDescent="0.3">
      <c r="A720"/>
      <c r="B720"/>
      <c r="C720"/>
      <c r="D720"/>
      <c r="E720"/>
      <c r="F720"/>
      <c r="G720"/>
      <c r="H720"/>
      <c r="I720"/>
      <c r="J720" s="1">
        <f t="shared" si="78"/>
        <v>-5</v>
      </c>
      <c r="K720" s="1">
        <f t="shared" si="79"/>
        <v>-17</v>
      </c>
      <c r="L720" s="1">
        <f t="shared" si="79"/>
        <v>-17</v>
      </c>
      <c r="N720"/>
      <c r="O720"/>
      <c r="P720" s="1">
        <f t="shared" si="80"/>
        <v>0.79928861788617889</v>
      </c>
      <c r="Q720" s="1">
        <f t="shared" si="81"/>
        <v>0.79928861788617889</v>
      </c>
      <c r="R720" s="1">
        <f t="shared" si="82"/>
        <v>0.82624655858060569</v>
      </c>
      <c r="S720" s="1">
        <f t="shared" si="83"/>
        <v>0.94496726677577736</v>
      </c>
    </row>
    <row r="721" spans="1:19" x14ac:dyDescent="0.3">
      <c r="A721"/>
      <c r="B721"/>
      <c r="C721"/>
      <c r="D721"/>
      <c r="E721"/>
      <c r="F721"/>
      <c r="G721"/>
      <c r="H721"/>
      <c r="I721"/>
      <c r="J721" s="1">
        <f t="shared" si="78"/>
        <v>-5</v>
      </c>
      <c r="K721" s="1">
        <f t="shared" si="79"/>
        <v>-17</v>
      </c>
      <c r="L721" s="1">
        <f t="shared" si="79"/>
        <v>-17</v>
      </c>
      <c r="N721"/>
      <c r="O721"/>
      <c r="P721" s="1">
        <f t="shared" si="80"/>
        <v>0.79928861788617889</v>
      </c>
      <c r="Q721" s="1">
        <f t="shared" si="81"/>
        <v>0.79928861788617889</v>
      </c>
      <c r="R721" s="1">
        <f t="shared" si="82"/>
        <v>0.82624655858060569</v>
      </c>
      <c r="S721" s="1">
        <f t="shared" si="83"/>
        <v>0.94496726677577736</v>
      </c>
    </row>
    <row r="722" spans="1:19" x14ac:dyDescent="0.3">
      <c r="A722"/>
      <c r="B722"/>
      <c r="C722"/>
      <c r="D722"/>
      <c r="E722"/>
      <c r="F722"/>
      <c r="G722"/>
      <c r="H722"/>
      <c r="I722"/>
      <c r="J722" s="1">
        <f t="shared" si="78"/>
        <v>-5</v>
      </c>
      <c r="K722" s="1">
        <f t="shared" si="79"/>
        <v>-17</v>
      </c>
      <c r="L722" s="1">
        <f t="shared" si="79"/>
        <v>-17</v>
      </c>
      <c r="N722"/>
      <c r="O722"/>
      <c r="P722" s="1">
        <f t="shared" si="80"/>
        <v>0.79928861788617889</v>
      </c>
      <c r="Q722" s="1">
        <f t="shared" si="81"/>
        <v>0.79928861788617889</v>
      </c>
      <c r="R722" s="1">
        <f t="shared" si="82"/>
        <v>0.82624655858060569</v>
      </c>
      <c r="S722" s="1">
        <f t="shared" si="83"/>
        <v>0.94496726677577736</v>
      </c>
    </row>
    <row r="723" spans="1:19" x14ac:dyDescent="0.3">
      <c r="A723"/>
      <c r="B723"/>
      <c r="C723"/>
      <c r="D723"/>
      <c r="E723"/>
      <c r="F723"/>
      <c r="G723"/>
      <c r="H723"/>
      <c r="I723"/>
      <c r="J723" s="1">
        <f t="shared" si="78"/>
        <v>-5</v>
      </c>
      <c r="K723" s="1">
        <f t="shared" si="79"/>
        <v>-17</v>
      </c>
      <c r="L723" s="1">
        <f t="shared" si="79"/>
        <v>-17</v>
      </c>
      <c r="N723"/>
      <c r="O723"/>
      <c r="P723" s="1">
        <f t="shared" si="80"/>
        <v>0.79928861788617889</v>
      </c>
      <c r="Q723" s="1">
        <f t="shared" si="81"/>
        <v>0.79928861788617889</v>
      </c>
      <c r="R723" s="1">
        <f t="shared" si="82"/>
        <v>0.82624655858060569</v>
      </c>
      <c r="S723" s="1">
        <f t="shared" si="83"/>
        <v>0.94496726677577736</v>
      </c>
    </row>
    <row r="724" spans="1:19" x14ac:dyDescent="0.3">
      <c r="A724"/>
      <c r="B724"/>
      <c r="C724"/>
      <c r="D724"/>
      <c r="E724"/>
      <c r="F724"/>
      <c r="G724"/>
      <c r="H724"/>
      <c r="I724"/>
      <c r="J724" s="1">
        <f t="shared" si="78"/>
        <v>-5</v>
      </c>
      <c r="K724" s="1">
        <f t="shared" si="79"/>
        <v>-17</v>
      </c>
      <c r="L724" s="1">
        <f t="shared" si="79"/>
        <v>-17</v>
      </c>
      <c r="N724"/>
      <c r="O724"/>
      <c r="P724" s="1">
        <f t="shared" si="80"/>
        <v>0.79928861788617889</v>
      </c>
      <c r="Q724" s="1">
        <f t="shared" si="81"/>
        <v>0.79928861788617889</v>
      </c>
      <c r="R724" s="1">
        <f t="shared" si="82"/>
        <v>0.82624655858060569</v>
      </c>
      <c r="S724" s="1">
        <f t="shared" si="83"/>
        <v>0.94496726677577736</v>
      </c>
    </row>
    <row r="725" spans="1:19" x14ac:dyDescent="0.3">
      <c r="A725"/>
      <c r="B725"/>
      <c r="C725"/>
      <c r="D725"/>
      <c r="E725"/>
      <c r="F725"/>
      <c r="G725"/>
      <c r="H725"/>
      <c r="I725"/>
      <c r="J725" s="1">
        <f t="shared" si="78"/>
        <v>-5</v>
      </c>
      <c r="K725" s="1">
        <f t="shared" si="79"/>
        <v>-17</v>
      </c>
      <c r="L725" s="1">
        <f t="shared" si="79"/>
        <v>-17</v>
      </c>
      <c r="N725"/>
      <c r="O725"/>
      <c r="P725" s="1">
        <f t="shared" si="80"/>
        <v>0.79928861788617889</v>
      </c>
      <c r="Q725" s="1">
        <f t="shared" si="81"/>
        <v>0.79928861788617889</v>
      </c>
      <c r="R725" s="1">
        <f t="shared" si="82"/>
        <v>0.82624655858060569</v>
      </c>
      <c r="S725" s="1">
        <f t="shared" si="83"/>
        <v>0.94496726677577736</v>
      </c>
    </row>
    <row r="726" spans="1:19" x14ac:dyDescent="0.3">
      <c r="A726"/>
      <c r="B726"/>
      <c r="C726"/>
      <c r="D726"/>
      <c r="E726"/>
      <c r="F726"/>
      <c r="G726"/>
      <c r="H726"/>
      <c r="I726"/>
      <c r="J726" s="1">
        <f t="shared" si="78"/>
        <v>-5</v>
      </c>
      <c r="K726" s="1">
        <f t="shared" si="79"/>
        <v>-17</v>
      </c>
      <c r="L726" s="1">
        <f t="shared" si="79"/>
        <v>-17</v>
      </c>
      <c r="N726"/>
      <c r="O726"/>
      <c r="P726" s="1">
        <f t="shared" si="80"/>
        <v>0.79928861788617889</v>
      </c>
      <c r="Q726" s="1">
        <f t="shared" si="81"/>
        <v>0.79928861788617889</v>
      </c>
      <c r="R726" s="1">
        <f t="shared" si="82"/>
        <v>0.82624655858060569</v>
      </c>
      <c r="S726" s="1">
        <f t="shared" si="83"/>
        <v>0.94496726677577736</v>
      </c>
    </row>
    <row r="727" spans="1:19" x14ac:dyDescent="0.3">
      <c r="A727"/>
      <c r="B727"/>
      <c r="C727"/>
      <c r="D727"/>
      <c r="E727"/>
      <c r="F727"/>
      <c r="G727"/>
      <c r="H727"/>
      <c r="I727"/>
      <c r="J727" s="1">
        <f t="shared" si="78"/>
        <v>-5</v>
      </c>
      <c r="K727" s="1">
        <f t="shared" si="79"/>
        <v>-17</v>
      </c>
      <c r="L727" s="1">
        <f t="shared" si="79"/>
        <v>-17</v>
      </c>
      <c r="N727"/>
      <c r="O727"/>
      <c r="P727" s="1">
        <f t="shared" si="80"/>
        <v>0.79928861788617889</v>
      </c>
      <c r="Q727" s="1">
        <f t="shared" si="81"/>
        <v>0.79928861788617889</v>
      </c>
      <c r="R727" s="1">
        <f t="shared" si="82"/>
        <v>0.82624655858060569</v>
      </c>
      <c r="S727" s="1">
        <f t="shared" si="83"/>
        <v>0.94496726677577736</v>
      </c>
    </row>
    <row r="728" spans="1:19" x14ac:dyDescent="0.3">
      <c r="A728"/>
      <c r="B728"/>
      <c r="C728"/>
      <c r="D728"/>
      <c r="E728"/>
      <c r="F728"/>
      <c r="G728"/>
      <c r="H728"/>
      <c r="I728"/>
      <c r="J728" s="1">
        <f t="shared" si="78"/>
        <v>-5</v>
      </c>
      <c r="K728" s="1">
        <f t="shared" si="79"/>
        <v>-17</v>
      </c>
      <c r="L728" s="1">
        <f t="shared" si="79"/>
        <v>-17</v>
      </c>
      <c r="N728"/>
      <c r="O728"/>
      <c r="P728" s="1">
        <f t="shared" si="80"/>
        <v>0.79928861788617889</v>
      </c>
      <c r="Q728" s="1">
        <f t="shared" si="81"/>
        <v>0.79928861788617889</v>
      </c>
      <c r="R728" s="1">
        <f t="shared" si="82"/>
        <v>0.82624655858060569</v>
      </c>
      <c r="S728" s="1">
        <f t="shared" si="83"/>
        <v>0.94496726677577736</v>
      </c>
    </row>
    <row r="729" spans="1:19" x14ac:dyDescent="0.3">
      <c r="A729"/>
      <c r="B729"/>
      <c r="C729"/>
      <c r="D729"/>
      <c r="E729"/>
      <c r="F729"/>
      <c r="G729"/>
      <c r="H729"/>
      <c r="I729"/>
      <c r="J729" s="1">
        <f t="shared" si="78"/>
        <v>-5</v>
      </c>
      <c r="K729" s="1">
        <f t="shared" si="79"/>
        <v>-17</v>
      </c>
      <c r="L729" s="1">
        <f t="shared" si="79"/>
        <v>-17</v>
      </c>
      <c r="N729"/>
      <c r="O729"/>
      <c r="P729" s="1">
        <f t="shared" si="80"/>
        <v>0.79928861788617889</v>
      </c>
      <c r="Q729" s="1">
        <f t="shared" si="81"/>
        <v>0.79928861788617889</v>
      </c>
      <c r="R729" s="1">
        <f t="shared" si="82"/>
        <v>0.82624655858060569</v>
      </c>
      <c r="S729" s="1">
        <f t="shared" si="83"/>
        <v>0.94496726677577736</v>
      </c>
    </row>
    <row r="730" spans="1:19" x14ac:dyDescent="0.3">
      <c r="A730"/>
      <c r="B730"/>
      <c r="C730"/>
      <c r="D730"/>
      <c r="E730"/>
      <c r="F730"/>
      <c r="G730"/>
      <c r="H730"/>
      <c r="I730"/>
      <c r="J730" s="1">
        <f t="shared" si="78"/>
        <v>-5</v>
      </c>
      <c r="K730" s="1">
        <f t="shared" si="79"/>
        <v>-17</v>
      </c>
      <c r="L730" s="1">
        <f t="shared" si="79"/>
        <v>-17</v>
      </c>
      <c r="N730"/>
      <c r="O730"/>
      <c r="P730" s="1">
        <f t="shared" si="80"/>
        <v>0.79928861788617889</v>
      </c>
      <c r="Q730" s="1">
        <f t="shared" si="81"/>
        <v>0.79928861788617889</v>
      </c>
      <c r="R730" s="1">
        <f t="shared" si="82"/>
        <v>0.82624655858060569</v>
      </c>
      <c r="S730" s="1">
        <f t="shared" si="83"/>
        <v>0.94496726677577736</v>
      </c>
    </row>
    <row r="731" spans="1:19" x14ac:dyDescent="0.3">
      <c r="A731"/>
      <c r="B731"/>
      <c r="C731"/>
      <c r="D731"/>
      <c r="E731"/>
      <c r="F731"/>
      <c r="G731"/>
      <c r="H731"/>
      <c r="I731"/>
      <c r="J731" s="1">
        <f t="shared" si="78"/>
        <v>-5</v>
      </c>
      <c r="K731" s="1">
        <f t="shared" si="79"/>
        <v>-17</v>
      </c>
      <c r="L731" s="1">
        <f t="shared" si="79"/>
        <v>-17</v>
      </c>
      <c r="N731"/>
      <c r="O731"/>
      <c r="P731" s="1">
        <f t="shared" si="80"/>
        <v>0.79928861788617889</v>
      </c>
      <c r="Q731" s="1">
        <f t="shared" si="81"/>
        <v>0.79928861788617889</v>
      </c>
      <c r="R731" s="1">
        <f t="shared" si="82"/>
        <v>0.82624655858060569</v>
      </c>
      <c r="S731" s="1">
        <f t="shared" si="83"/>
        <v>0.94496726677577736</v>
      </c>
    </row>
    <row r="732" spans="1:19" x14ac:dyDescent="0.3">
      <c r="A732"/>
      <c r="B732"/>
      <c r="C732"/>
      <c r="D732"/>
      <c r="E732"/>
      <c r="F732"/>
      <c r="G732"/>
      <c r="H732"/>
      <c r="I732"/>
      <c r="J732" s="1">
        <f t="shared" si="78"/>
        <v>-5</v>
      </c>
      <c r="K732" s="1">
        <f t="shared" si="79"/>
        <v>-17</v>
      </c>
      <c r="L732" s="1">
        <f t="shared" si="79"/>
        <v>-17</v>
      </c>
      <c r="N732"/>
      <c r="O732"/>
      <c r="P732" s="1">
        <f t="shared" si="80"/>
        <v>0.79928861788617889</v>
      </c>
      <c r="Q732" s="1">
        <f t="shared" si="81"/>
        <v>0.79928861788617889</v>
      </c>
      <c r="R732" s="1">
        <f t="shared" si="82"/>
        <v>0.82624655858060569</v>
      </c>
      <c r="S732" s="1">
        <f t="shared" si="83"/>
        <v>0.94496726677577736</v>
      </c>
    </row>
    <row r="733" spans="1:19" x14ac:dyDescent="0.3">
      <c r="A733"/>
      <c r="B733"/>
      <c r="C733"/>
      <c r="D733"/>
      <c r="E733"/>
      <c r="F733"/>
      <c r="G733"/>
      <c r="H733"/>
      <c r="I733"/>
      <c r="J733" s="1">
        <f t="shared" si="78"/>
        <v>-5</v>
      </c>
      <c r="K733" s="1">
        <f t="shared" si="79"/>
        <v>-17</v>
      </c>
      <c r="L733" s="1">
        <f t="shared" si="79"/>
        <v>-17</v>
      </c>
      <c r="N733"/>
      <c r="O733"/>
      <c r="P733" s="1">
        <f t="shared" si="80"/>
        <v>0.79928861788617889</v>
      </c>
      <c r="Q733" s="1">
        <f t="shared" si="81"/>
        <v>0.79928861788617889</v>
      </c>
      <c r="R733" s="1">
        <f t="shared" si="82"/>
        <v>0.82624655858060569</v>
      </c>
      <c r="S733" s="1">
        <f t="shared" si="83"/>
        <v>0.94496726677577736</v>
      </c>
    </row>
    <row r="734" spans="1:19" x14ac:dyDescent="0.3">
      <c r="A734"/>
      <c r="B734"/>
      <c r="C734"/>
      <c r="D734"/>
      <c r="E734"/>
      <c r="F734"/>
      <c r="G734"/>
      <c r="H734"/>
      <c r="I734"/>
      <c r="J734" s="1">
        <f t="shared" si="78"/>
        <v>-5</v>
      </c>
      <c r="K734" s="1">
        <f t="shared" si="79"/>
        <v>-17</v>
      </c>
      <c r="L734" s="1">
        <f t="shared" si="79"/>
        <v>-17</v>
      </c>
      <c r="N734"/>
      <c r="O734"/>
      <c r="P734" s="1">
        <f t="shared" si="80"/>
        <v>0.79928861788617889</v>
      </c>
      <c r="Q734" s="1">
        <f t="shared" si="81"/>
        <v>0.79928861788617889</v>
      </c>
      <c r="R734" s="1">
        <f t="shared" si="82"/>
        <v>0.82624655858060569</v>
      </c>
      <c r="S734" s="1">
        <f t="shared" si="83"/>
        <v>0.94496726677577736</v>
      </c>
    </row>
    <row r="735" spans="1:19" x14ac:dyDescent="0.3">
      <c r="A735"/>
      <c r="B735"/>
      <c r="C735"/>
      <c r="D735"/>
      <c r="E735"/>
      <c r="F735"/>
      <c r="G735"/>
      <c r="H735"/>
      <c r="I735"/>
      <c r="J735" s="1">
        <f t="shared" si="78"/>
        <v>-5</v>
      </c>
      <c r="K735" s="1">
        <f t="shared" si="79"/>
        <v>-17</v>
      </c>
      <c r="L735" s="1">
        <f t="shared" si="79"/>
        <v>-17</v>
      </c>
      <c r="N735"/>
      <c r="O735"/>
      <c r="P735" s="1">
        <f t="shared" si="80"/>
        <v>0.79928861788617889</v>
      </c>
      <c r="Q735" s="1">
        <f t="shared" si="81"/>
        <v>0.79928861788617889</v>
      </c>
      <c r="R735" s="1">
        <f t="shared" si="82"/>
        <v>0.82624655858060569</v>
      </c>
      <c r="S735" s="1">
        <f t="shared" si="83"/>
        <v>0.94496726677577736</v>
      </c>
    </row>
    <row r="736" spans="1:19" x14ac:dyDescent="0.3">
      <c r="A736"/>
      <c r="B736"/>
      <c r="C736"/>
      <c r="D736"/>
      <c r="E736"/>
      <c r="F736"/>
      <c r="G736"/>
      <c r="H736"/>
      <c r="I736"/>
      <c r="J736" s="1">
        <f t="shared" si="78"/>
        <v>-5</v>
      </c>
      <c r="K736" s="1">
        <f t="shared" si="79"/>
        <v>-17</v>
      </c>
      <c r="L736" s="1">
        <f t="shared" si="79"/>
        <v>-17</v>
      </c>
      <c r="N736"/>
      <c r="O736"/>
      <c r="P736" s="1">
        <f t="shared" si="80"/>
        <v>0.79928861788617889</v>
      </c>
      <c r="Q736" s="1">
        <f t="shared" si="81"/>
        <v>0.79928861788617889</v>
      </c>
      <c r="R736" s="1">
        <f t="shared" si="82"/>
        <v>0.82624655858060569</v>
      </c>
      <c r="S736" s="1">
        <f t="shared" si="83"/>
        <v>0.94496726677577736</v>
      </c>
    </row>
    <row r="737" spans="1:19" x14ac:dyDescent="0.3">
      <c r="A737"/>
      <c r="B737"/>
      <c r="C737"/>
      <c r="D737"/>
      <c r="E737"/>
      <c r="F737"/>
      <c r="G737"/>
      <c r="H737"/>
      <c r="I737"/>
      <c r="J737" s="1">
        <f t="shared" si="78"/>
        <v>-5</v>
      </c>
      <c r="K737" s="1">
        <f t="shared" si="79"/>
        <v>-17</v>
      </c>
      <c r="L737" s="1">
        <f t="shared" si="79"/>
        <v>-17</v>
      </c>
      <c r="N737"/>
      <c r="O737"/>
      <c r="P737" s="1">
        <f t="shared" si="80"/>
        <v>0.79928861788617889</v>
      </c>
      <c r="Q737" s="1">
        <f t="shared" si="81"/>
        <v>0.79928861788617889</v>
      </c>
      <c r="R737" s="1">
        <f t="shared" si="82"/>
        <v>0.82624655858060569</v>
      </c>
      <c r="S737" s="1">
        <f t="shared" si="83"/>
        <v>0.94496726677577736</v>
      </c>
    </row>
    <row r="738" spans="1:19" x14ac:dyDescent="0.3">
      <c r="A738"/>
      <c r="B738"/>
      <c r="C738"/>
      <c r="D738"/>
      <c r="E738"/>
      <c r="F738"/>
      <c r="G738"/>
      <c r="H738"/>
      <c r="I738"/>
      <c r="J738" s="1">
        <f t="shared" si="78"/>
        <v>-5</v>
      </c>
      <c r="K738" s="1">
        <f t="shared" si="79"/>
        <v>-17</v>
      </c>
      <c r="L738" s="1">
        <f t="shared" si="79"/>
        <v>-17</v>
      </c>
      <c r="N738"/>
      <c r="O738"/>
      <c r="P738" s="1">
        <f t="shared" si="80"/>
        <v>0.79928861788617889</v>
      </c>
      <c r="Q738" s="1">
        <f t="shared" si="81"/>
        <v>0.79928861788617889</v>
      </c>
      <c r="R738" s="1">
        <f t="shared" si="82"/>
        <v>0.82624655858060569</v>
      </c>
      <c r="S738" s="1">
        <f t="shared" si="83"/>
        <v>0.94496726677577736</v>
      </c>
    </row>
    <row r="739" spans="1:19" x14ac:dyDescent="0.3">
      <c r="A739"/>
      <c r="B739"/>
      <c r="C739"/>
      <c r="D739"/>
      <c r="E739"/>
      <c r="F739"/>
      <c r="G739"/>
      <c r="H739"/>
      <c r="I739"/>
      <c r="J739" s="1">
        <f t="shared" si="78"/>
        <v>-5</v>
      </c>
      <c r="K739" s="1">
        <f t="shared" si="79"/>
        <v>-17</v>
      </c>
      <c r="L739" s="1">
        <f t="shared" si="79"/>
        <v>-17</v>
      </c>
      <c r="N739"/>
      <c r="O739"/>
      <c r="P739" s="1">
        <f t="shared" si="80"/>
        <v>0.79928861788617889</v>
      </c>
      <c r="Q739" s="1">
        <f t="shared" si="81"/>
        <v>0.79928861788617889</v>
      </c>
      <c r="R739" s="1">
        <f t="shared" si="82"/>
        <v>0.82624655858060569</v>
      </c>
      <c r="S739" s="1">
        <f t="shared" si="83"/>
        <v>0.94496726677577736</v>
      </c>
    </row>
    <row r="740" spans="1:19" x14ac:dyDescent="0.3">
      <c r="A740"/>
      <c r="B740"/>
      <c r="C740"/>
      <c r="D740"/>
      <c r="E740"/>
      <c r="F740"/>
      <c r="G740"/>
      <c r="H740"/>
      <c r="I740"/>
      <c r="J740" s="1">
        <f t="shared" ref="J740:J803" si="84">E740-5</f>
        <v>-5</v>
      </c>
      <c r="K740" s="1">
        <f t="shared" ref="K740:L803" si="85">G740-17</f>
        <v>-17</v>
      </c>
      <c r="L740" s="1">
        <f t="shared" si="85"/>
        <v>-17</v>
      </c>
      <c r="N740"/>
      <c r="O740"/>
      <c r="P740" s="1">
        <f t="shared" si="80"/>
        <v>0.79928861788617889</v>
      </c>
      <c r="Q740" s="1">
        <f t="shared" si="81"/>
        <v>0.79928861788617889</v>
      </c>
      <c r="R740" s="1">
        <f t="shared" si="82"/>
        <v>0.82624655858060569</v>
      </c>
      <c r="S740" s="1">
        <f t="shared" si="83"/>
        <v>0.94496726677577736</v>
      </c>
    </row>
    <row r="741" spans="1:19" x14ac:dyDescent="0.3">
      <c r="A741"/>
      <c r="B741"/>
      <c r="C741"/>
      <c r="D741"/>
      <c r="E741"/>
      <c r="F741"/>
      <c r="G741"/>
      <c r="H741"/>
      <c r="I741"/>
      <c r="J741" s="1">
        <f t="shared" si="84"/>
        <v>-5</v>
      </c>
      <c r="K741" s="1">
        <f t="shared" si="85"/>
        <v>-17</v>
      </c>
      <c r="L741" s="1">
        <f t="shared" si="85"/>
        <v>-17</v>
      </c>
      <c r="N741"/>
      <c r="O741"/>
      <c r="P741" s="1">
        <f t="shared" si="80"/>
        <v>0.79928861788617889</v>
      </c>
      <c r="Q741" s="1">
        <f t="shared" si="81"/>
        <v>0.79928861788617889</v>
      </c>
      <c r="R741" s="1">
        <f t="shared" si="82"/>
        <v>0.82624655858060569</v>
      </c>
      <c r="S741" s="1">
        <f t="shared" si="83"/>
        <v>0.94496726677577736</v>
      </c>
    </row>
    <row r="742" spans="1:19" x14ac:dyDescent="0.3">
      <c r="A742"/>
      <c r="B742"/>
      <c r="C742"/>
      <c r="D742"/>
      <c r="E742"/>
      <c r="F742"/>
      <c r="G742"/>
      <c r="H742"/>
      <c r="I742"/>
      <c r="J742" s="1">
        <f t="shared" si="84"/>
        <v>-5</v>
      </c>
      <c r="K742" s="1">
        <f t="shared" si="85"/>
        <v>-17</v>
      </c>
      <c r="L742" s="1">
        <f t="shared" si="85"/>
        <v>-17</v>
      </c>
      <c r="N742"/>
      <c r="O742"/>
      <c r="P742" s="1">
        <f t="shared" si="80"/>
        <v>0.79928861788617889</v>
      </c>
      <c r="Q742" s="1">
        <f t="shared" si="81"/>
        <v>0.79928861788617889</v>
      </c>
      <c r="R742" s="1">
        <f t="shared" si="82"/>
        <v>0.82624655858060569</v>
      </c>
      <c r="S742" s="1">
        <f t="shared" si="83"/>
        <v>0.94496726677577736</v>
      </c>
    </row>
    <row r="743" spans="1:19" x14ac:dyDescent="0.3">
      <c r="A743"/>
      <c r="B743"/>
      <c r="C743"/>
      <c r="D743"/>
      <c r="E743"/>
      <c r="F743"/>
      <c r="G743"/>
      <c r="H743"/>
      <c r="I743"/>
      <c r="J743" s="1">
        <f t="shared" si="84"/>
        <v>-5</v>
      </c>
      <c r="K743" s="1">
        <f t="shared" si="85"/>
        <v>-17</v>
      </c>
      <c r="L743" s="1">
        <f t="shared" si="85"/>
        <v>-17</v>
      </c>
      <c r="N743"/>
      <c r="O743"/>
      <c r="P743" s="1">
        <f t="shared" si="80"/>
        <v>0.79928861788617889</v>
      </c>
      <c r="Q743" s="1">
        <f t="shared" si="81"/>
        <v>0.79928861788617889</v>
      </c>
      <c r="R743" s="1">
        <f t="shared" si="82"/>
        <v>0.82624655858060569</v>
      </c>
      <c r="S743" s="1">
        <f t="shared" si="83"/>
        <v>0.94496726677577736</v>
      </c>
    </row>
    <row r="744" spans="1:19" x14ac:dyDescent="0.3">
      <c r="A744"/>
      <c r="B744"/>
      <c r="C744"/>
      <c r="D744"/>
      <c r="E744"/>
      <c r="F744"/>
      <c r="G744"/>
      <c r="H744"/>
      <c r="I744"/>
      <c r="J744" s="1">
        <f t="shared" si="84"/>
        <v>-5</v>
      </c>
      <c r="K744" s="1">
        <f t="shared" si="85"/>
        <v>-17</v>
      </c>
      <c r="L744" s="1">
        <f t="shared" si="85"/>
        <v>-17</v>
      </c>
      <c r="N744"/>
      <c r="O744"/>
      <c r="P744" s="1">
        <f t="shared" si="80"/>
        <v>0.79928861788617889</v>
      </c>
      <c r="Q744" s="1">
        <f t="shared" si="81"/>
        <v>0.79928861788617889</v>
      </c>
      <c r="R744" s="1">
        <f t="shared" si="82"/>
        <v>0.82624655858060569</v>
      </c>
      <c r="S744" s="1">
        <f t="shared" si="83"/>
        <v>0.94496726677577736</v>
      </c>
    </row>
    <row r="745" spans="1:19" x14ac:dyDescent="0.3">
      <c r="A745"/>
      <c r="B745"/>
      <c r="C745"/>
      <c r="D745"/>
      <c r="E745"/>
      <c r="F745"/>
      <c r="G745"/>
      <c r="H745"/>
      <c r="I745"/>
      <c r="J745" s="1">
        <f t="shared" si="84"/>
        <v>-5</v>
      </c>
      <c r="K745" s="1">
        <f t="shared" si="85"/>
        <v>-17</v>
      </c>
      <c r="L745" s="1">
        <f t="shared" si="85"/>
        <v>-17</v>
      </c>
      <c r="N745"/>
      <c r="O745"/>
      <c r="P745" s="1">
        <f t="shared" si="80"/>
        <v>0.79928861788617889</v>
      </c>
      <c r="Q745" s="1">
        <f t="shared" si="81"/>
        <v>0.79928861788617889</v>
      </c>
      <c r="R745" s="1">
        <f t="shared" si="82"/>
        <v>0.82624655858060569</v>
      </c>
      <c r="S745" s="1">
        <f t="shared" si="83"/>
        <v>0.94496726677577736</v>
      </c>
    </row>
    <row r="746" spans="1:19" x14ac:dyDescent="0.3">
      <c r="A746"/>
      <c r="B746"/>
      <c r="C746"/>
      <c r="D746"/>
      <c r="E746"/>
      <c r="F746"/>
      <c r="G746"/>
      <c r="H746"/>
      <c r="I746"/>
      <c r="J746" s="1">
        <f t="shared" si="84"/>
        <v>-5</v>
      </c>
      <c r="K746" s="1">
        <f t="shared" si="85"/>
        <v>-17</v>
      </c>
      <c r="L746" s="1">
        <f t="shared" si="85"/>
        <v>-17</v>
      </c>
      <c r="N746"/>
      <c r="O746"/>
      <c r="P746" s="1">
        <f t="shared" si="80"/>
        <v>0.79928861788617889</v>
      </c>
      <c r="Q746" s="1">
        <f t="shared" si="81"/>
        <v>0.79928861788617889</v>
      </c>
      <c r="R746" s="1">
        <f t="shared" si="82"/>
        <v>0.82624655858060569</v>
      </c>
      <c r="S746" s="1">
        <f t="shared" si="83"/>
        <v>0.94496726677577736</v>
      </c>
    </row>
    <row r="747" spans="1:19" x14ac:dyDescent="0.3">
      <c r="A747"/>
      <c r="B747"/>
      <c r="C747"/>
      <c r="D747"/>
      <c r="E747"/>
      <c r="F747"/>
      <c r="G747"/>
      <c r="H747"/>
      <c r="I747"/>
      <c r="J747" s="1">
        <f t="shared" si="84"/>
        <v>-5</v>
      </c>
      <c r="K747" s="1">
        <f t="shared" si="85"/>
        <v>-17</v>
      </c>
      <c r="L747" s="1">
        <f t="shared" si="85"/>
        <v>-17</v>
      </c>
      <c r="N747"/>
      <c r="O747"/>
      <c r="P747" s="1">
        <f t="shared" ref="P747:P810" si="86">(B729+Q$36)/P$36</f>
        <v>0.79928861788617889</v>
      </c>
      <c r="Q747" s="1">
        <f t="shared" ref="Q747:Q810" si="87">(C729+Q$36)/P$36</f>
        <v>0.79928861788617889</v>
      </c>
      <c r="R747" s="1">
        <f t="shared" ref="R747:R810" si="88">(D729+Q$38)/P$38</f>
        <v>0.82624655858060569</v>
      </c>
      <c r="S747" s="1">
        <f t="shared" ref="S747:S810" si="89">(E729+Q$39)/P$39</f>
        <v>0.94496726677577736</v>
      </c>
    </row>
    <row r="748" spans="1:19" x14ac:dyDescent="0.3">
      <c r="A748"/>
      <c r="B748"/>
      <c r="C748"/>
      <c r="D748"/>
      <c r="E748"/>
      <c r="F748"/>
      <c r="G748"/>
      <c r="H748"/>
      <c r="I748"/>
      <c r="J748" s="1">
        <f t="shared" si="84"/>
        <v>-5</v>
      </c>
      <c r="K748" s="1">
        <f t="shared" si="85"/>
        <v>-17</v>
      </c>
      <c r="L748" s="1">
        <f t="shared" si="85"/>
        <v>-17</v>
      </c>
      <c r="N748"/>
      <c r="O748"/>
      <c r="P748" s="1">
        <f t="shared" si="86"/>
        <v>0.79928861788617889</v>
      </c>
      <c r="Q748" s="1">
        <f t="shared" si="87"/>
        <v>0.79928861788617889</v>
      </c>
      <c r="R748" s="1">
        <f t="shared" si="88"/>
        <v>0.82624655858060569</v>
      </c>
      <c r="S748" s="1">
        <f t="shared" si="89"/>
        <v>0.94496726677577736</v>
      </c>
    </row>
    <row r="749" spans="1:19" x14ac:dyDescent="0.3">
      <c r="A749"/>
      <c r="B749"/>
      <c r="C749"/>
      <c r="D749"/>
      <c r="E749"/>
      <c r="F749"/>
      <c r="G749"/>
      <c r="H749"/>
      <c r="I749"/>
      <c r="J749" s="1">
        <f t="shared" si="84"/>
        <v>-5</v>
      </c>
      <c r="K749" s="1">
        <f t="shared" si="85"/>
        <v>-17</v>
      </c>
      <c r="L749" s="1">
        <f t="shared" si="85"/>
        <v>-17</v>
      </c>
      <c r="N749"/>
      <c r="O749"/>
      <c r="P749" s="1">
        <f t="shared" si="86"/>
        <v>0.79928861788617889</v>
      </c>
      <c r="Q749" s="1">
        <f t="shared" si="87"/>
        <v>0.79928861788617889</v>
      </c>
      <c r="R749" s="1">
        <f t="shared" si="88"/>
        <v>0.82624655858060569</v>
      </c>
      <c r="S749" s="1">
        <f t="shared" si="89"/>
        <v>0.94496726677577736</v>
      </c>
    </row>
    <row r="750" spans="1:19" x14ac:dyDescent="0.3">
      <c r="A750"/>
      <c r="B750"/>
      <c r="C750"/>
      <c r="D750"/>
      <c r="E750"/>
      <c r="F750"/>
      <c r="G750"/>
      <c r="H750"/>
      <c r="I750"/>
      <c r="J750" s="1">
        <f t="shared" si="84"/>
        <v>-5</v>
      </c>
      <c r="K750" s="1">
        <f t="shared" si="85"/>
        <v>-17</v>
      </c>
      <c r="L750" s="1">
        <f t="shared" si="85"/>
        <v>-17</v>
      </c>
      <c r="N750"/>
      <c r="O750"/>
      <c r="P750" s="1">
        <f t="shared" si="86"/>
        <v>0.79928861788617889</v>
      </c>
      <c r="Q750" s="1">
        <f t="shared" si="87"/>
        <v>0.79928861788617889</v>
      </c>
      <c r="R750" s="1">
        <f t="shared" si="88"/>
        <v>0.82624655858060569</v>
      </c>
      <c r="S750" s="1">
        <f t="shared" si="89"/>
        <v>0.94496726677577736</v>
      </c>
    </row>
    <row r="751" spans="1:19" x14ac:dyDescent="0.3">
      <c r="A751"/>
      <c r="B751"/>
      <c r="C751"/>
      <c r="D751"/>
      <c r="E751"/>
      <c r="F751"/>
      <c r="G751"/>
      <c r="H751"/>
      <c r="I751"/>
      <c r="J751" s="1">
        <f t="shared" si="84"/>
        <v>-5</v>
      </c>
      <c r="K751" s="1">
        <f t="shared" si="85"/>
        <v>-17</v>
      </c>
      <c r="L751" s="1">
        <f t="shared" si="85"/>
        <v>-17</v>
      </c>
      <c r="N751"/>
      <c r="O751"/>
      <c r="P751" s="1">
        <f t="shared" si="86"/>
        <v>0.79928861788617889</v>
      </c>
      <c r="Q751" s="1">
        <f t="shared" si="87"/>
        <v>0.79928861788617889</v>
      </c>
      <c r="R751" s="1">
        <f t="shared" si="88"/>
        <v>0.82624655858060569</v>
      </c>
      <c r="S751" s="1">
        <f t="shared" si="89"/>
        <v>0.94496726677577736</v>
      </c>
    </row>
    <row r="752" spans="1:19" x14ac:dyDescent="0.3">
      <c r="A752"/>
      <c r="B752"/>
      <c r="C752"/>
      <c r="D752"/>
      <c r="E752"/>
      <c r="F752"/>
      <c r="G752"/>
      <c r="H752"/>
      <c r="I752"/>
      <c r="J752" s="1">
        <f t="shared" si="84"/>
        <v>-5</v>
      </c>
      <c r="K752" s="1">
        <f t="shared" si="85"/>
        <v>-17</v>
      </c>
      <c r="L752" s="1">
        <f t="shared" si="85"/>
        <v>-17</v>
      </c>
      <c r="N752"/>
      <c r="O752"/>
      <c r="P752" s="1">
        <f t="shared" si="86"/>
        <v>0.79928861788617889</v>
      </c>
      <c r="Q752" s="1">
        <f t="shared" si="87"/>
        <v>0.79928861788617889</v>
      </c>
      <c r="R752" s="1">
        <f t="shared" si="88"/>
        <v>0.82624655858060569</v>
      </c>
      <c r="S752" s="1">
        <f t="shared" si="89"/>
        <v>0.94496726677577736</v>
      </c>
    </row>
    <row r="753" spans="1:19" x14ac:dyDescent="0.3">
      <c r="A753"/>
      <c r="B753"/>
      <c r="C753"/>
      <c r="D753"/>
      <c r="E753"/>
      <c r="F753"/>
      <c r="G753"/>
      <c r="H753"/>
      <c r="I753"/>
      <c r="J753" s="1">
        <f t="shared" si="84"/>
        <v>-5</v>
      </c>
      <c r="K753" s="1">
        <f t="shared" si="85"/>
        <v>-17</v>
      </c>
      <c r="L753" s="1">
        <f t="shared" si="85"/>
        <v>-17</v>
      </c>
      <c r="N753"/>
      <c r="O753"/>
      <c r="P753" s="1">
        <f t="shared" si="86"/>
        <v>0.79928861788617889</v>
      </c>
      <c r="Q753" s="1">
        <f t="shared" si="87"/>
        <v>0.79928861788617889</v>
      </c>
      <c r="R753" s="1">
        <f t="shared" si="88"/>
        <v>0.82624655858060569</v>
      </c>
      <c r="S753" s="1">
        <f t="shared" si="89"/>
        <v>0.94496726677577736</v>
      </c>
    </row>
    <row r="754" spans="1:19" x14ac:dyDescent="0.3">
      <c r="A754"/>
      <c r="B754"/>
      <c r="C754"/>
      <c r="D754"/>
      <c r="E754"/>
      <c r="F754"/>
      <c r="G754"/>
      <c r="H754"/>
      <c r="I754"/>
      <c r="J754" s="1">
        <f t="shared" si="84"/>
        <v>-5</v>
      </c>
      <c r="K754" s="1">
        <f t="shared" si="85"/>
        <v>-17</v>
      </c>
      <c r="L754" s="1">
        <f t="shared" si="85"/>
        <v>-17</v>
      </c>
      <c r="N754"/>
      <c r="O754"/>
      <c r="P754" s="1">
        <f t="shared" si="86"/>
        <v>0.79928861788617889</v>
      </c>
      <c r="Q754" s="1">
        <f t="shared" si="87"/>
        <v>0.79928861788617889</v>
      </c>
      <c r="R754" s="1">
        <f t="shared" si="88"/>
        <v>0.82624655858060569</v>
      </c>
      <c r="S754" s="1">
        <f t="shared" si="89"/>
        <v>0.94496726677577736</v>
      </c>
    </row>
    <row r="755" spans="1:19" x14ac:dyDescent="0.3">
      <c r="A755"/>
      <c r="B755"/>
      <c r="C755"/>
      <c r="D755"/>
      <c r="E755"/>
      <c r="F755"/>
      <c r="G755"/>
      <c r="H755"/>
      <c r="I755"/>
      <c r="J755" s="1">
        <f t="shared" si="84"/>
        <v>-5</v>
      </c>
      <c r="K755" s="1">
        <f t="shared" si="85"/>
        <v>-17</v>
      </c>
      <c r="L755" s="1">
        <f t="shared" si="85"/>
        <v>-17</v>
      </c>
      <c r="N755"/>
      <c r="O755"/>
      <c r="P755" s="1">
        <f t="shared" si="86"/>
        <v>0.79928861788617889</v>
      </c>
      <c r="Q755" s="1">
        <f t="shared" si="87"/>
        <v>0.79928861788617889</v>
      </c>
      <c r="R755" s="1">
        <f t="shared" si="88"/>
        <v>0.82624655858060569</v>
      </c>
      <c r="S755" s="1">
        <f t="shared" si="89"/>
        <v>0.94496726677577736</v>
      </c>
    </row>
    <row r="756" spans="1:19" x14ac:dyDescent="0.3">
      <c r="A756"/>
      <c r="B756"/>
      <c r="C756"/>
      <c r="D756"/>
      <c r="E756"/>
      <c r="F756"/>
      <c r="G756"/>
      <c r="H756"/>
      <c r="I756"/>
      <c r="J756" s="1">
        <f t="shared" si="84"/>
        <v>-5</v>
      </c>
      <c r="K756" s="1">
        <f t="shared" si="85"/>
        <v>-17</v>
      </c>
      <c r="L756" s="1">
        <f t="shared" si="85"/>
        <v>-17</v>
      </c>
      <c r="N756"/>
      <c r="O756"/>
      <c r="P756" s="1">
        <f t="shared" si="86"/>
        <v>0.79928861788617889</v>
      </c>
      <c r="Q756" s="1">
        <f t="shared" si="87"/>
        <v>0.79928861788617889</v>
      </c>
      <c r="R756" s="1">
        <f t="shared" si="88"/>
        <v>0.82624655858060569</v>
      </c>
      <c r="S756" s="1">
        <f t="shared" si="89"/>
        <v>0.94496726677577736</v>
      </c>
    </row>
    <row r="757" spans="1:19" x14ac:dyDescent="0.3">
      <c r="A757"/>
      <c r="B757"/>
      <c r="C757"/>
      <c r="D757"/>
      <c r="E757"/>
      <c r="F757"/>
      <c r="G757"/>
      <c r="H757"/>
      <c r="I757"/>
      <c r="J757" s="1">
        <f t="shared" si="84"/>
        <v>-5</v>
      </c>
      <c r="K757" s="1">
        <f t="shared" si="85"/>
        <v>-17</v>
      </c>
      <c r="L757" s="1">
        <f t="shared" si="85"/>
        <v>-17</v>
      </c>
      <c r="N757"/>
      <c r="O757"/>
      <c r="P757" s="1">
        <f t="shared" si="86"/>
        <v>0.79928861788617889</v>
      </c>
      <c r="Q757" s="1">
        <f t="shared" si="87"/>
        <v>0.79928861788617889</v>
      </c>
      <c r="R757" s="1">
        <f t="shared" si="88"/>
        <v>0.82624655858060569</v>
      </c>
      <c r="S757" s="1">
        <f t="shared" si="89"/>
        <v>0.94496726677577736</v>
      </c>
    </row>
    <row r="758" spans="1:19" x14ac:dyDescent="0.3">
      <c r="A758"/>
      <c r="B758"/>
      <c r="C758"/>
      <c r="D758"/>
      <c r="E758"/>
      <c r="F758"/>
      <c r="G758"/>
      <c r="H758"/>
      <c r="I758"/>
      <c r="J758" s="1">
        <f t="shared" si="84"/>
        <v>-5</v>
      </c>
      <c r="K758" s="1">
        <f t="shared" si="85"/>
        <v>-17</v>
      </c>
      <c r="L758" s="1">
        <f t="shared" si="85"/>
        <v>-17</v>
      </c>
      <c r="N758"/>
      <c r="O758"/>
      <c r="P758" s="1">
        <f t="shared" si="86"/>
        <v>0.79928861788617889</v>
      </c>
      <c r="Q758" s="1">
        <f t="shared" si="87"/>
        <v>0.79928861788617889</v>
      </c>
      <c r="R758" s="1">
        <f t="shared" si="88"/>
        <v>0.82624655858060569</v>
      </c>
      <c r="S758" s="1">
        <f t="shared" si="89"/>
        <v>0.94496726677577736</v>
      </c>
    </row>
    <row r="759" spans="1:19" x14ac:dyDescent="0.3">
      <c r="A759"/>
      <c r="B759"/>
      <c r="C759"/>
      <c r="D759"/>
      <c r="E759"/>
      <c r="F759"/>
      <c r="G759"/>
      <c r="H759"/>
      <c r="I759"/>
      <c r="J759" s="1">
        <f t="shared" si="84"/>
        <v>-5</v>
      </c>
      <c r="K759" s="1">
        <f t="shared" si="85"/>
        <v>-17</v>
      </c>
      <c r="L759" s="1">
        <f t="shared" si="85"/>
        <v>-17</v>
      </c>
      <c r="N759"/>
      <c r="O759"/>
      <c r="P759" s="1">
        <f t="shared" si="86"/>
        <v>0.79928861788617889</v>
      </c>
      <c r="Q759" s="1">
        <f t="shared" si="87"/>
        <v>0.79928861788617889</v>
      </c>
      <c r="R759" s="1">
        <f t="shared" si="88"/>
        <v>0.82624655858060569</v>
      </c>
      <c r="S759" s="1">
        <f t="shared" si="89"/>
        <v>0.94496726677577736</v>
      </c>
    </row>
    <row r="760" spans="1:19" x14ac:dyDescent="0.3">
      <c r="A760"/>
      <c r="B760"/>
      <c r="C760"/>
      <c r="D760"/>
      <c r="E760"/>
      <c r="F760"/>
      <c r="G760"/>
      <c r="H760"/>
      <c r="I760"/>
      <c r="J760" s="1">
        <f t="shared" si="84"/>
        <v>-5</v>
      </c>
      <c r="K760" s="1">
        <f t="shared" si="85"/>
        <v>-17</v>
      </c>
      <c r="L760" s="1">
        <f t="shared" si="85"/>
        <v>-17</v>
      </c>
      <c r="N760"/>
      <c r="O760"/>
      <c r="P760" s="1">
        <f t="shared" si="86"/>
        <v>0.79928861788617889</v>
      </c>
      <c r="Q760" s="1">
        <f t="shared" si="87"/>
        <v>0.79928861788617889</v>
      </c>
      <c r="R760" s="1">
        <f t="shared" si="88"/>
        <v>0.82624655858060569</v>
      </c>
      <c r="S760" s="1">
        <f t="shared" si="89"/>
        <v>0.94496726677577736</v>
      </c>
    </row>
    <row r="761" spans="1:19" x14ac:dyDescent="0.3">
      <c r="A761"/>
      <c r="B761"/>
      <c r="C761"/>
      <c r="D761"/>
      <c r="E761"/>
      <c r="F761"/>
      <c r="G761"/>
      <c r="H761"/>
      <c r="I761"/>
      <c r="J761" s="1">
        <f t="shared" si="84"/>
        <v>-5</v>
      </c>
      <c r="K761" s="1">
        <f t="shared" si="85"/>
        <v>-17</v>
      </c>
      <c r="L761" s="1">
        <f t="shared" si="85"/>
        <v>-17</v>
      </c>
      <c r="N761"/>
      <c r="O761"/>
      <c r="P761" s="1">
        <f t="shared" si="86"/>
        <v>0.79928861788617889</v>
      </c>
      <c r="Q761" s="1">
        <f t="shared" si="87"/>
        <v>0.79928861788617889</v>
      </c>
      <c r="R761" s="1">
        <f t="shared" si="88"/>
        <v>0.82624655858060569</v>
      </c>
      <c r="S761" s="1">
        <f t="shared" si="89"/>
        <v>0.94496726677577736</v>
      </c>
    </row>
    <row r="762" spans="1:19" x14ac:dyDescent="0.3">
      <c r="A762"/>
      <c r="B762"/>
      <c r="C762"/>
      <c r="D762"/>
      <c r="E762"/>
      <c r="F762"/>
      <c r="G762"/>
      <c r="H762"/>
      <c r="I762"/>
      <c r="J762" s="1">
        <f t="shared" si="84"/>
        <v>-5</v>
      </c>
      <c r="K762" s="1">
        <f t="shared" si="85"/>
        <v>-17</v>
      </c>
      <c r="L762" s="1">
        <f t="shared" si="85"/>
        <v>-17</v>
      </c>
      <c r="N762"/>
      <c r="O762"/>
      <c r="P762" s="1">
        <f t="shared" si="86"/>
        <v>0.79928861788617889</v>
      </c>
      <c r="Q762" s="1">
        <f t="shared" si="87"/>
        <v>0.79928861788617889</v>
      </c>
      <c r="R762" s="1">
        <f t="shared" si="88"/>
        <v>0.82624655858060569</v>
      </c>
      <c r="S762" s="1">
        <f t="shared" si="89"/>
        <v>0.94496726677577736</v>
      </c>
    </row>
    <row r="763" spans="1:19" x14ac:dyDescent="0.3">
      <c r="A763"/>
      <c r="B763"/>
      <c r="C763"/>
      <c r="D763"/>
      <c r="E763"/>
      <c r="F763"/>
      <c r="G763"/>
      <c r="H763"/>
      <c r="I763"/>
      <c r="J763" s="1">
        <f t="shared" si="84"/>
        <v>-5</v>
      </c>
      <c r="K763" s="1">
        <f t="shared" si="85"/>
        <v>-17</v>
      </c>
      <c r="L763" s="1">
        <f t="shared" si="85"/>
        <v>-17</v>
      </c>
      <c r="N763"/>
      <c r="O763"/>
      <c r="P763" s="1">
        <f t="shared" si="86"/>
        <v>0.79928861788617889</v>
      </c>
      <c r="Q763" s="1">
        <f t="shared" si="87"/>
        <v>0.79928861788617889</v>
      </c>
      <c r="R763" s="1">
        <f t="shared" si="88"/>
        <v>0.82624655858060569</v>
      </c>
      <c r="S763" s="1">
        <f t="shared" si="89"/>
        <v>0.94496726677577736</v>
      </c>
    </row>
    <row r="764" spans="1:19" x14ac:dyDescent="0.3">
      <c r="A764"/>
      <c r="B764"/>
      <c r="C764"/>
      <c r="D764"/>
      <c r="E764"/>
      <c r="F764"/>
      <c r="G764"/>
      <c r="H764"/>
      <c r="I764"/>
      <c r="J764" s="1">
        <f t="shared" si="84"/>
        <v>-5</v>
      </c>
      <c r="K764" s="1">
        <f t="shared" si="85"/>
        <v>-17</v>
      </c>
      <c r="L764" s="1">
        <f t="shared" si="85"/>
        <v>-17</v>
      </c>
      <c r="N764"/>
      <c r="O764"/>
      <c r="P764" s="1">
        <f t="shared" si="86"/>
        <v>0.79928861788617889</v>
      </c>
      <c r="Q764" s="1">
        <f t="shared" si="87"/>
        <v>0.79928861788617889</v>
      </c>
      <c r="R764" s="1">
        <f t="shared" si="88"/>
        <v>0.82624655858060569</v>
      </c>
      <c r="S764" s="1">
        <f t="shared" si="89"/>
        <v>0.94496726677577736</v>
      </c>
    </row>
    <row r="765" spans="1:19" x14ac:dyDescent="0.3">
      <c r="A765"/>
      <c r="B765"/>
      <c r="C765"/>
      <c r="D765"/>
      <c r="E765"/>
      <c r="F765"/>
      <c r="G765"/>
      <c r="H765"/>
      <c r="I765"/>
      <c r="J765" s="1">
        <f t="shared" si="84"/>
        <v>-5</v>
      </c>
      <c r="K765" s="1">
        <f t="shared" si="85"/>
        <v>-17</v>
      </c>
      <c r="L765" s="1">
        <f t="shared" si="85"/>
        <v>-17</v>
      </c>
      <c r="N765"/>
      <c r="O765"/>
      <c r="P765" s="1">
        <f t="shared" si="86"/>
        <v>0.79928861788617889</v>
      </c>
      <c r="Q765" s="1">
        <f t="shared" si="87"/>
        <v>0.79928861788617889</v>
      </c>
      <c r="R765" s="1">
        <f t="shared" si="88"/>
        <v>0.82624655858060569</v>
      </c>
      <c r="S765" s="1">
        <f t="shared" si="89"/>
        <v>0.94496726677577736</v>
      </c>
    </row>
    <row r="766" spans="1:19" x14ac:dyDescent="0.3">
      <c r="A766"/>
      <c r="B766"/>
      <c r="C766"/>
      <c r="D766"/>
      <c r="E766"/>
      <c r="F766"/>
      <c r="G766"/>
      <c r="H766"/>
      <c r="I766"/>
      <c r="J766" s="1">
        <f t="shared" si="84"/>
        <v>-5</v>
      </c>
      <c r="K766" s="1">
        <f t="shared" si="85"/>
        <v>-17</v>
      </c>
      <c r="L766" s="1">
        <f t="shared" si="85"/>
        <v>-17</v>
      </c>
      <c r="N766"/>
      <c r="O766"/>
      <c r="P766" s="1">
        <f t="shared" si="86"/>
        <v>0.79928861788617889</v>
      </c>
      <c r="Q766" s="1">
        <f t="shared" si="87"/>
        <v>0.79928861788617889</v>
      </c>
      <c r="R766" s="1">
        <f t="shared" si="88"/>
        <v>0.82624655858060569</v>
      </c>
      <c r="S766" s="1">
        <f t="shared" si="89"/>
        <v>0.94496726677577736</v>
      </c>
    </row>
    <row r="767" spans="1:19" x14ac:dyDescent="0.3">
      <c r="A767"/>
      <c r="B767"/>
      <c r="C767"/>
      <c r="D767"/>
      <c r="E767"/>
      <c r="F767"/>
      <c r="G767"/>
      <c r="H767"/>
      <c r="I767"/>
      <c r="J767" s="1">
        <f t="shared" si="84"/>
        <v>-5</v>
      </c>
      <c r="K767" s="1">
        <f t="shared" si="85"/>
        <v>-17</v>
      </c>
      <c r="L767" s="1">
        <f t="shared" si="85"/>
        <v>-17</v>
      </c>
      <c r="N767"/>
      <c r="O767"/>
      <c r="P767" s="1">
        <f t="shared" si="86"/>
        <v>0.79928861788617889</v>
      </c>
      <c r="Q767" s="1">
        <f t="shared" si="87"/>
        <v>0.79928861788617889</v>
      </c>
      <c r="R767" s="1">
        <f t="shared" si="88"/>
        <v>0.82624655858060569</v>
      </c>
      <c r="S767" s="1">
        <f t="shared" si="89"/>
        <v>0.94496726677577736</v>
      </c>
    </row>
    <row r="768" spans="1:19" x14ac:dyDescent="0.3">
      <c r="A768"/>
      <c r="B768"/>
      <c r="C768"/>
      <c r="D768"/>
      <c r="E768"/>
      <c r="F768"/>
      <c r="G768"/>
      <c r="H768"/>
      <c r="I768"/>
      <c r="J768" s="1">
        <f t="shared" si="84"/>
        <v>-5</v>
      </c>
      <c r="K768" s="1">
        <f t="shared" si="85"/>
        <v>-17</v>
      </c>
      <c r="L768" s="1">
        <f t="shared" si="85"/>
        <v>-17</v>
      </c>
      <c r="N768"/>
      <c r="O768"/>
      <c r="P768" s="1">
        <f t="shared" si="86"/>
        <v>0.79928861788617889</v>
      </c>
      <c r="Q768" s="1">
        <f t="shared" si="87"/>
        <v>0.79928861788617889</v>
      </c>
      <c r="R768" s="1">
        <f t="shared" si="88"/>
        <v>0.82624655858060569</v>
      </c>
      <c r="S768" s="1">
        <f t="shared" si="89"/>
        <v>0.94496726677577736</v>
      </c>
    </row>
    <row r="769" spans="1:19" x14ac:dyDescent="0.3">
      <c r="A769"/>
      <c r="B769"/>
      <c r="C769"/>
      <c r="D769"/>
      <c r="E769"/>
      <c r="F769"/>
      <c r="G769"/>
      <c r="H769"/>
      <c r="I769"/>
      <c r="J769" s="1">
        <f t="shared" si="84"/>
        <v>-5</v>
      </c>
      <c r="K769" s="1">
        <f t="shared" si="85"/>
        <v>-17</v>
      </c>
      <c r="L769" s="1">
        <f t="shared" si="85"/>
        <v>-17</v>
      </c>
      <c r="N769"/>
      <c r="O769"/>
      <c r="P769" s="1">
        <f t="shared" si="86"/>
        <v>0.79928861788617889</v>
      </c>
      <c r="Q769" s="1">
        <f t="shared" si="87"/>
        <v>0.79928861788617889</v>
      </c>
      <c r="R769" s="1">
        <f t="shared" si="88"/>
        <v>0.82624655858060569</v>
      </c>
      <c r="S769" s="1">
        <f t="shared" si="89"/>
        <v>0.94496726677577736</v>
      </c>
    </row>
    <row r="770" spans="1:19" x14ac:dyDescent="0.3">
      <c r="A770"/>
      <c r="B770"/>
      <c r="C770"/>
      <c r="D770"/>
      <c r="E770"/>
      <c r="F770"/>
      <c r="G770"/>
      <c r="H770"/>
      <c r="I770"/>
      <c r="J770" s="1">
        <f t="shared" si="84"/>
        <v>-5</v>
      </c>
      <c r="K770" s="1">
        <f t="shared" si="85"/>
        <v>-17</v>
      </c>
      <c r="L770" s="1">
        <f t="shared" si="85"/>
        <v>-17</v>
      </c>
      <c r="N770"/>
      <c r="O770"/>
      <c r="P770" s="1">
        <f t="shared" si="86"/>
        <v>0.79928861788617889</v>
      </c>
      <c r="Q770" s="1">
        <f t="shared" si="87"/>
        <v>0.79928861788617889</v>
      </c>
      <c r="R770" s="1">
        <f t="shared" si="88"/>
        <v>0.82624655858060569</v>
      </c>
      <c r="S770" s="1">
        <f t="shared" si="89"/>
        <v>0.94496726677577736</v>
      </c>
    </row>
    <row r="771" spans="1:19" x14ac:dyDescent="0.3">
      <c r="A771"/>
      <c r="B771"/>
      <c r="C771"/>
      <c r="D771"/>
      <c r="E771"/>
      <c r="F771"/>
      <c r="G771"/>
      <c r="H771"/>
      <c r="I771"/>
      <c r="J771" s="1">
        <f t="shared" si="84"/>
        <v>-5</v>
      </c>
      <c r="K771" s="1">
        <f t="shared" si="85"/>
        <v>-17</v>
      </c>
      <c r="L771" s="1">
        <f t="shared" si="85"/>
        <v>-17</v>
      </c>
      <c r="N771"/>
      <c r="O771"/>
      <c r="P771" s="1">
        <f t="shared" si="86"/>
        <v>0.79928861788617889</v>
      </c>
      <c r="Q771" s="1">
        <f t="shared" si="87"/>
        <v>0.79928861788617889</v>
      </c>
      <c r="R771" s="1">
        <f t="shared" si="88"/>
        <v>0.82624655858060569</v>
      </c>
      <c r="S771" s="1">
        <f t="shared" si="89"/>
        <v>0.94496726677577736</v>
      </c>
    </row>
    <row r="772" spans="1:19" x14ac:dyDescent="0.3">
      <c r="A772"/>
      <c r="B772"/>
      <c r="C772"/>
      <c r="D772"/>
      <c r="E772"/>
      <c r="F772"/>
      <c r="G772"/>
      <c r="H772"/>
      <c r="I772"/>
      <c r="J772" s="1">
        <f t="shared" si="84"/>
        <v>-5</v>
      </c>
      <c r="K772" s="1">
        <f t="shared" si="85"/>
        <v>-17</v>
      </c>
      <c r="L772" s="1">
        <f t="shared" si="85"/>
        <v>-17</v>
      </c>
      <c r="N772"/>
      <c r="O772"/>
      <c r="P772" s="1">
        <f t="shared" si="86"/>
        <v>0.79928861788617889</v>
      </c>
      <c r="Q772" s="1">
        <f t="shared" si="87"/>
        <v>0.79928861788617889</v>
      </c>
      <c r="R772" s="1">
        <f t="shared" si="88"/>
        <v>0.82624655858060569</v>
      </c>
      <c r="S772" s="1">
        <f t="shared" si="89"/>
        <v>0.94496726677577736</v>
      </c>
    </row>
    <row r="773" spans="1:19" x14ac:dyDescent="0.3">
      <c r="A773"/>
      <c r="B773"/>
      <c r="C773"/>
      <c r="D773"/>
      <c r="E773"/>
      <c r="F773"/>
      <c r="G773"/>
      <c r="H773"/>
      <c r="I773"/>
      <c r="J773" s="1">
        <f t="shared" si="84"/>
        <v>-5</v>
      </c>
      <c r="K773" s="1">
        <f t="shared" si="85"/>
        <v>-17</v>
      </c>
      <c r="L773" s="1">
        <f t="shared" si="85"/>
        <v>-17</v>
      </c>
      <c r="N773"/>
      <c r="O773"/>
      <c r="P773" s="1">
        <f t="shared" si="86"/>
        <v>0.79928861788617889</v>
      </c>
      <c r="Q773" s="1">
        <f t="shared" si="87"/>
        <v>0.79928861788617889</v>
      </c>
      <c r="R773" s="1">
        <f t="shared" si="88"/>
        <v>0.82624655858060569</v>
      </c>
      <c r="S773" s="1">
        <f t="shared" si="89"/>
        <v>0.94496726677577736</v>
      </c>
    </row>
    <row r="774" spans="1:19" x14ac:dyDescent="0.3">
      <c r="A774"/>
      <c r="B774"/>
      <c r="C774"/>
      <c r="D774"/>
      <c r="E774"/>
      <c r="F774"/>
      <c r="G774"/>
      <c r="H774"/>
      <c r="I774"/>
      <c r="J774" s="1">
        <f t="shared" si="84"/>
        <v>-5</v>
      </c>
      <c r="K774" s="1">
        <f t="shared" si="85"/>
        <v>-17</v>
      </c>
      <c r="L774" s="1">
        <f t="shared" si="85"/>
        <v>-17</v>
      </c>
      <c r="N774"/>
      <c r="O774"/>
      <c r="P774" s="1">
        <f t="shared" si="86"/>
        <v>0.79928861788617889</v>
      </c>
      <c r="Q774" s="1">
        <f t="shared" si="87"/>
        <v>0.79928861788617889</v>
      </c>
      <c r="R774" s="1">
        <f t="shared" si="88"/>
        <v>0.82624655858060569</v>
      </c>
      <c r="S774" s="1">
        <f t="shared" si="89"/>
        <v>0.94496726677577736</v>
      </c>
    </row>
    <row r="775" spans="1:19" x14ac:dyDescent="0.3">
      <c r="A775"/>
      <c r="B775"/>
      <c r="C775"/>
      <c r="D775"/>
      <c r="E775"/>
      <c r="F775"/>
      <c r="G775"/>
      <c r="H775"/>
      <c r="I775"/>
      <c r="J775" s="1">
        <f t="shared" si="84"/>
        <v>-5</v>
      </c>
      <c r="K775" s="1">
        <f t="shared" si="85"/>
        <v>-17</v>
      </c>
      <c r="L775" s="1">
        <f t="shared" si="85"/>
        <v>-17</v>
      </c>
      <c r="N775"/>
      <c r="O775"/>
      <c r="P775" s="1">
        <f t="shared" si="86"/>
        <v>0.79928861788617889</v>
      </c>
      <c r="Q775" s="1">
        <f t="shared" si="87"/>
        <v>0.79928861788617889</v>
      </c>
      <c r="R775" s="1">
        <f t="shared" si="88"/>
        <v>0.82624655858060569</v>
      </c>
      <c r="S775" s="1">
        <f t="shared" si="89"/>
        <v>0.94496726677577736</v>
      </c>
    </row>
    <row r="776" spans="1:19" x14ac:dyDescent="0.3">
      <c r="A776"/>
      <c r="B776"/>
      <c r="C776"/>
      <c r="D776"/>
      <c r="E776"/>
      <c r="F776"/>
      <c r="G776"/>
      <c r="H776"/>
      <c r="I776"/>
      <c r="J776" s="1">
        <f t="shared" si="84"/>
        <v>-5</v>
      </c>
      <c r="K776" s="1">
        <f t="shared" si="85"/>
        <v>-17</v>
      </c>
      <c r="L776" s="1">
        <f t="shared" si="85"/>
        <v>-17</v>
      </c>
      <c r="N776"/>
      <c r="O776"/>
      <c r="P776" s="1">
        <f t="shared" si="86"/>
        <v>0.79928861788617889</v>
      </c>
      <c r="Q776" s="1">
        <f t="shared" si="87"/>
        <v>0.79928861788617889</v>
      </c>
      <c r="R776" s="1">
        <f t="shared" si="88"/>
        <v>0.82624655858060569</v>
      </c>
      <c r="S776" s="1">
        <f t="shared" si="89"/>
        <v>0.94496726677577736</v>
      </c>
    </row>
    <row r="777" spans="1:19" x14ac:dyDescent="0.3">
      <c r="A777"/>
      <c r="B777"/>
      <c r="C777"/>
      <c r="D777"/>
      <c r="E777"/>
      <c r="F777"/>
      <c r="G777"/>
      <c r="H777"/>
      <c r="I777"/>
      <c r="J777" s="1">
        <f t="shared" si="84"/>
        <v>-5</v>
      </c>
      <c r="K777" s="1">
        <f t="shared" si="85"/>
        <v>-17</v>
      </c>
      <c r="L777" s="1">
        <f t="shared" si="85"/>
        <v>-17</v>
      </c>
      <c r="N777"/>
      <c r="O777"/>
      <c r="P777" s="1">
        <f t="shared" si="86"/>
        <v>0.79928861788617889</v>
      </c>
      <c r="Q777" s="1">
        <f t="shared" si="87"/>
        <v>0.79928861788617889</v>
      </c>
      <c r="R777" s="1">
        <f t="shared" si="88"/>
        <v>0.82624655858060569</v>
      </c>
      <c r="S777" s="1">
        <f t="shared" si="89"/>
        <v>0.94496726677577736</v>
      </c>
    </row>
    <row r="778" spans="1:19" x14ac:dyDescent="0.3">
      <c r="A778"/>
      <c r="B778"/>
      <c r="C778"/>
      <c r="D778"/>
      <c r="E778"/>
      <c r="F778"/>
      <c r="G778"/>
      <c r="H778"/>
      <c r="I778"/>
      <c r="J778" s="1">
        <f t="shared" si="84"/>
        <v>-5</v>
      </c>
      <c r="K778" s="1">
        <f t="shared" si="85"/>
        <v>-17</v>
      </c>
      <c r="L778" s="1">
        <f t="shared" si="85"/>
        <v>-17</v>
      </c>
      <c r="N778"/>
      <c r="O778"/>
      <c r="P778" s="1">
        <f t="shared" si="86"/>
        <v>0.79928861788617889</v>
      </c>
      <c r="Q778" s="1">
        <f t="shared" si="87"/>
        <v>0.79928861788617889</v>
      </c>
      <c r="R778" s="1">
        <f t="shared" si="88"/>
        <v>0.82624655858060569</v>
      </c>
      <c r="S778" s="1">
        <f t="shared" si="89"/>
        <v>0.94496726677577736</v>
      </c>
    </row>
    <row r="779" spans="1:19" x14ac:dyDescent="0.3">
      <c r="A779"/>
      <c r="B779"/>
      <c r="C779"/>
      <c r="D779"/>
      <c r="E779"/>
      <c r="F779"/>
      <c r="G779"/>
      <c r="H779"/>
      <c r="I779"/>
      <c r="J779" s="1">
        <f t="shared" si="84"/>
        <v>-5</v>
      </c>
      <c r="K779" s="1">
        <f t="shared" si="85"/>
        <v>-17</v>
      </c>
      <c r="L779" s="1">
        <f t="shared" si="85"/>
        <v>-17</v>
      </c>
      <c r="N779"/>
      <c r="O779"/>
      <c r="P779" s="1">
        <f t="shared" si="86"/>
        <v>0.79928861788617889</v>
      </c>
      <c r="Q779" s="1">
        <f t="shared" si="87"/>
        <v>0.79928861788617889</v>
      </c>
      <c r="R779" s="1">
        <f t="shared" si="88"/>
        <v>0.82624655858060569</v>
      </c>
      <c r="S779" s="1">
        <f t="shared" si="89"/>
        <v>0.94496726677577736</v>
      </c>
    </row>
    <row r="780" spans="1:19" x14ac:dyDescent="0.3">
      <c r="A780"/>
      <c r="B780"/>
      <c r="C780"/>
      <c r="D780"/>
      <c r="E780"/>
      <c r="F780"/>
      <c r="G780"/>
      <c r="H780"/>
      <c r="I780"/>
      <c r="J780" s="1">
        <f t="shared" si="84"/>
        <v>-5</v>
      </c>
      <c r="K780" s="1">
        <f t="shared" si="85"/>
        <v>-17</v>
      </c>
      <c r="L780" s="1">
        <f t="shared" si="85"/>
        <v>-17</v>
      </c>
      <c r="N780"/>
      <c r="O780"/>
      <c r="P780" s="1">
        <f t="shared" si="86"/>
        <v>0.79928861788617889</v>
      </c>
      <c r="Q780" s="1">
        <f t="shared" si="87"/>
        <v>0.79928861788617889</v>
      </c>
      <c r="R780" s="1">
        <f t="shared" si="88"/>
        <v>0.82624655858060569</v>
      </c>
      <c r="S780" s="1">
        <f t="shared" si="89"/>
        <v>0.94496726677577736</v>
      </c>
    </row>
    <row r="781" spans="1:19" x14ac:dyDescent="0.3">
      <c r="A781"/>
      <c r="B781"/>
      <c r="C781"/>
      <c r="D781"/>
      <c r="E781"/>
      <c r="F781"/>
      <c r="G781"/>
      <c r="H781"/>
      <c r="I781"/>
      <c r="J781" s="1">
        <f t="shared" si="84"/>
        <v>-5</v>
      </c>
      <c r="K781" s="1">
        <f t="shared" si="85"/>
        <v>-17</v>
      </c>
      <c r="L781" s="1">
        <f t="shared" si="85"/>
        <v>-17</v>
      </c>
      <c r="N781"/>
      <c r="O781"/>
      <c r="P781" s="1">
        <f t="shared" si="86"/>
        <v>0.79928861788617889</v>
      </c>
      <c r="Q781" s="1">
        <f t="shared" si="87"/>
        <v>0.79928861788617889</v>
      </c>
      <c r="R781" s="1">
        <f t="shared" si="88"/>
        <v>0.82624655858060569</v>
      </c>
      <c r="S781" s="1">
        <f t="shared" si="89"/>
        <v>0.94496726677577736</v>
      </c>
    </row>
    <row r="782" spans="1:19" x14ac:dyDescent="0.3">
      <c r="A782"/>
      <c r="B782"/>
      <c r="C782"/>
      <c r="D782"/>
      <c r="E782"/>
      <c r="F782"/>
      <c r="G782"/>
      <c r="H782"/>
      <c r="I782"/>
      <c r="J782" s="1">
        <f t="shared" si="84"/>
        <v>-5</v>
      </c>
      <c r="K782" s="1">
        <f t="shared" si="85"/>
        <v>-17</v>
      </c>
      <c r="L782" s="1">
        <f t="shared" si="85"/>
        <v>-17</v>
      </c>
      <c r="N782"/>
      <c r="O782"/>
      <c r="P782" s="1">
        <f t="shared" si="86"/>
        <v>0.79928861788617889</v>
      </c>
      <c r="Q782" s="1">
        <f t="shared" si="87"/>
        <v>0.79928861788617889</v>
      </c>
      <c r="R782" s="1">
        <f t="shared" si="88"/>
        <v>0.82624655858060569</v>
      </c>
      <c r="S782" s="1">
        <f t="shared" si="89"/>
        <v>0.94496726677577736</v>
      </c>
    </row>
    <row r="783" spans="1:19" x14ac:dyDescent="0.3">
      <c r="A783"/>
      <c r="B783"/>
      <c r="C783"/>
      <c r="D783"/>
      <c r="E783"/>
      <c r="F783"/>
      <c r="G783"/>
      <c r="H783"/>
      <c r="I783"/>
      <c r="J783" s="1">
        <f t="shared" si="84"/>
        <v>-5</v>
      </c>
      <c r="K783" s="1">
        <f t="shared" si="85"/>
        <v>-17</v>
      </c>
      <c r="L783" s="1">
        <f t="shared" si="85"/>
        <v>-17</v>
      </c>
      <c r="N783"/>
      <c r="O783"/>
      <c r="P783" s="1">
        <f t="shared" si="86"/>
        <v>0.79928861788617889</v>
      </c>
      <c r="Q783" s="1">
        <f t="shared" si="87"/>
        <v>0.79928861788617889</v>
      </c>
      <c r="R783" s="1">
        <f t="shared" si="88"/>
        <v>0.82624655858060569</v>
      </c>
      <c r="S783" s="1">
        <f t="shared" si="89"/>
        <v>0.94496726677577736</v>
      </c>
    </row>
    <row r="784" spans="1:19" x14ac:dyDescent="0.3">
      <c r="A784"/>
      <c r="B784"/>
      <c r="C784"/>
      <c r="D784"/>
      <c r="E784"/>
      <c r="F784"/>
      <c r="G784"/>
      <c r="H784"/>
      <c r="I784"/>
      <c r="J784" s="1">
        <f t="shared" si="84"/>
        <v>-5</v>
      </c>
      <c r="K784" s="1">
        <f t="shared" si="85"/>
        <v>-17</v>
      </c>
      <c r="L784" s="1">
        <f t="shared" si="85"/>
        <v>-17</v>
      </c>
      <c r="N784"/>
      <c r="O784"/>
      <c r="P784" s="1">
        <f t="shared" si="86"/>
        <v>0.79928861788617889</v>
      </c>
      <c r="Q784" s="1">
        <f t="shared" si="87"/>
        <v>0.79928861788617889</v>
      </c>
      <c r="R784" s="1">
        <f t="shared" si="88"/>
        <v>0.82624655858060569</v>
      </c>
      <c r="S784" s="1">
        <f t="shared" si="89"/>
        <v>0.94496726677577736</v>
      </c>
    </row>
    <row r="785" spans="1:19" x14ac:dyDescent="0.3">
      <c r="A785"/>
      <c r="B785"/>
      <c r="C785"/>
      <c r="D785"/>
      <c r="E785"/>
      <c r="F785"/>
      <c r="G785"/>
      <c r="H785"/>
      <c r="I785"/>
      <c r="J785" s="1">
        <f t="shared" si="84"/>
        <v>-5</v>
      </c>
      <c r="K785" s="1">
        <f t="shared" si="85"/>
        <v>-17</v>
      </c>
      <c r="L785" s="1">
        <f t="shared" si="85"/>
        <v>-17</v>
      </c>
      <c r="N785"/>
      <c r="O785"/>
      <c r="P785" s="1">
        <f t="shared" si="86"/>
        <v>0.79928861788617889</v>
      </c>
      <c r="Q785" s="1">
        <f t="shared" si="87"/>
        <v>0.79928861788617889</v>
      </c>
      <c r="R785" s="1">
        <f t="shared" si="88"/>
        <v>0.82624655858060569</v>
      </c>
      <c r="S785" s="1">
        <f t="shared" si="89"/>
        <v>0.94496726677577736</v>
      </c>
    </row>
    <row r="786" spans="1:19" x14ac:dyDescent="0.3">
      <c r="A786"/>
      <c r="B786"/>
      <c r="C786"/>
      <c r="D786"/>
      <c r="E786"/>
      <c r="F786"/>
      <c r="G786"/>
      <c r="H786"/>
      <c r="I786"/>
      <c r="J786" s="1">
        <f t="shared" si="84"/>
        <v>-5</v>
      </c>
      <c r="K786" s="1">
        <f t="shared" si="85"/>
        <v>-17</v>
      </c>
      <c r="L786" s="1">
        <f t="shared" si="85"/>
        <v>-17</v>
      </c>
      <c r="N786"/>
      <c r="O786"/>
      <c r="P786" s="1">
        <f t="shared" si="86"/>
        <v>0.79928861788617889</v>
      </c>
      <c r="Q786" s="1">
        <f t="shared" si="87"/>
        <v>0.79928861788617889</v>
      </c>
      <c r="R786" s="1">
        <f t="shared" si="88"/>
        <v>0.82624655858060569</v>
      </c>
      <c r="S786" s="1">
        <f t="shared" si="89"/>
        <v>0.94496726677577736</v>
      </c>
    </row>
    <row r="787" spans="1:19" x14ac:dyDescent="0.3">
      <c r="A787"/>
      <c r="B787"/>
      <c r="C787"/>
      <c r="D787"/>
      <c r="E787"/>
      <c r="F787"/>
      <c r="G787"/>
      <c r="H787"/>
      <c r="I787"/>
      <c r="J787" s="1">
        <f t="shared" si="84"/>
        <v>-5</v>
      </c>
      <c r="K787" s="1">
        <f t="shared" si="85"/>
        <v>-17</v>
      </c>
      <c r="L787" s="1">
        <f t="shared" si="85"/>
        <v>-17</v>
      </c>
      <c r="N787"/>
      <c r="O787"/>
      <c r="P787" s="1">
        <f t="shared" si="86"/>
        <v>0.79928861788617889</v>
      </c>
      <c r="Q787" s="1">
        <f t="shared" si="87"/>
        <v>0.79928861788617889</v>
      </c>
      <c r="R787" s="1">
        <f t="shared" si="88"/>
        <v>0.82624655858060569</v>
      </c>
      <c r="S787" s="1">
        <f t="shared" si="89"/>
        <v>0.94496726677577736</v>
      </c>
    </row>
    <row r="788" spans="1:19" x14ac:dyDescent="0.3">
      <c r="A788"/>
      <c r="B788"/>
      <c r="C788"/>
      <c r="D788"/>
      <c r="E788"/>
      <c r="F788"/>
      <c r="G788"/>
      <c r="H788"/>
      <c r="I788"/>
      <c r="J788" s="1">
        <f t="shared" si="84"/>
        <v>-5</v>
      </c>
      <c r="K788" s="1">
        <f t="shared" si="85"/>
        <v>-17</v>
      </c>
      <c r="L788" s="1">
        <f t="shared" si="85"/>
        <v>-17</v>
      </c>
      <c r="N788"/>
      <c r="O788"/>
      <c r="P788" s="1">
        <f t="shared" si="86"/>
        <v>0.79928861788617889</v>
      </c>
      <c r="Q788" s="1">
        <f t="shared" si="87"/>
        <v>0.79928861788617889</v>
      </c>
      <c r="R788" s="1">
        <f t="shared" si="88"/>
        <v>0.82624655858060569</v>
      </c>
      <c r="S788" s="1">
        <f t="shared" si="89"/>
        <v>0.94496726677577736</v>
      </c>
    </row>
    <row r="789" spans="1:19" x14ac:dyDescent="0.3">
      <c r="A789"/>
      <c r="B789"/>
      <c r="C789"/>
      <c r="D789"/>
      <c r="E789"/>
      <c r="F789"/>
      <c r="G789"/>
      <c r="H789"/>
      <c r="I789"/>
      <c r="J789" s="1">
        <f t="shared" si="84"/>
        <v>-5</v>
      </c>
      <c r="K789" s="1">
        <f t="shared" si="85"/>
        <v>-17</v>
      </c>
      <c r="L789" s="1">
        <f t="shared" si="85"/>
        <v>-17</v>
      </c>
      <c r="N789"/>
      <c r="O789"/>
      <c r="P789" s="1">
        <f t="shared" si="86"/>
        <v>0.79928861788617889</v>
      </c>
      <c r="Q789" s="1">
        <f t="shared" si="87"/>
        <v>0.79928861788617889</v>
      </c>
      <c r="R789" s="1">
        <f t="shared" si="88"/>
        <v>0.82624655858060569</v>
      </c>
      <c r="S789" s="1">
        <f t="shared" si="89"/>
        <v>0.94496726677577736</v>
      </c>
    </row>
    <row r="790" spans="1:19" x14ac:dyDescent="0.3">
      <c r="A790"/>
      <c r="B790"/>
      <c r="C790"/>
      <c r="D790"/>
      <c r="E790"/>
      <c r="F790"/>
      <c r="G790"/>
      <c r="H790"/>
      <c r="I790"/>
      <c r="J790" s="1">
        <f t="shared" si="84"/>
        <v>-5</v>
      </c>
      <c r="K790" s="1">
        <f t="shared" si="85"/>
        <v>-17</v>
      </c>
      <c r="L790" s="1">
        <f t="shared" si="85"/>
        <v>-17</v>
      </c>
      <c r="N790"/>
      <c r="O790"/>
      <c r="P790" s="1">
        <f t="shared" si="86"/>
        <v>0.79928861788617889</v>
      </c>
      <c r="Q790" s="1">
        <f t="shared" si="87"/>
        <v>0.79928861788617889</v>
      </c>
      <c r="R790" s="1">
        <f t="shared" si="88"/>
        <v>0.82624655858060569</v>
      </c>
      <c r="S790" s="1">
        <f t="shared" si="89"/>
        <v>0.94496726677577736</v>
      </c>
    </row>
    <row r="791" spans="1:19" x14ac:dyDescent="0.3">
      <c r="A791"/>
      <c r="B791"/>
      <c r="C791"/>
      <c r="D791"/>
      <c r="E791"/>
      <c r="F791"/>
      <c r="G791"/>
      <c r="H791"/>
      <c r="I791"/>
      <c r="J791" s="1">
        <f t="shared" si="84"/>
        <v>-5</v>
      </c>
      <c r="K791" s="1">
        <f t="shared" si="85"/>
        <v>-17</v>
      </c>
      <c r="L791" s="1">
        <f t="shared" si="85"/>
        <v>-17</v>
      </c>
      <c r="N791"/>
      <c r="O791"/>
      <c r="P791" s="1">
        <f t="shared" si="86"/>
        <v>0.79928861788617889</v>
      </c>
      <c r="Q791" s="1">
        <f t="shared" si="87"/>
        <v>0.79928861788617889</v>
      </c>
      <c r="R791" s="1">
        <f t="shared" si="88"/>
        <v>0.82624655858060569</v>
      </c>
      <c r="S791" s="1">
        <f t="shared" si="89"/>
        <v>0.94496726677577736</v>
      </c>
    </row>
    <row r="792" spans="1:19" x14ac:dyDescent="0.3">
      <c r="A792"/>
      <c r="B792"/>
      <c r="C792"/>
      <c r="D792"/>
      <c r="E792"/>
      <c r="F792"/>
      <c r="G792"/>
      <c r="H792"/>
      <c r="I792"/>
      <c r="J792" s="1">
        <f t="shared" si="84"/>
        <v>-5</v>
      </c>
      <c r="K792" s="1">
        <f t="shared" si="85"/>
        <v>-17</v>
      </c>
      <c r="L792" s="1">
        <f t="shared" si="85"/>
        <v>-17</v>
      </c>
      <c r="N792"/>
      <c r="O792"/>
      <c r="P792" s="1">
        <f t="shared" si="86"/>
        <v>0.79928861788617889</v>
      </c>
      <c r="Q792" s="1">
        <f t="shared" si="87"/>
        <v>0.79928861788617889</v>
      </c>
      <c r="R792" s="1">
        <f t="shared" si="88"/>
        <v>0.82624655858060569</v>
      </c>
      <c r="S792" s="1">
        <f t="shared" si="89"/>
        <v>0.94496726677577736</v>
      </c>
    </row>
    <row r="793" spans="1:19" x14ac:dyDescent="0.3">
      <c r="A793"/>
      <c r="B793"/>
      <c r="C793"/>
      <c r="D793"/>
      <c r="E793"/>
      <c r="F793"/>
      <c r="G793"/>
      <c r="H793"/>
      <c r="I793"/>
      <c r="J793" s="1">
        <f t="shared" si="84"/>
        <v>-5</v>
      </c>
      <c r="K793" s="1">
        <f t="shared" si="85"/>
        <v>-17</v>
      </c>
      <c r="L793" s="1">
        <f t="shared" si="85"/>
        <v>-17</v>
      </c>
      <c r="N793"/>
      <c r="O793"/>
      <c r="P793" s="1">
        <f t="shared" si="86"/>
        <v>0.79928861788617889</v>
      </c>
      <c r="Q793" s="1">
        <f t="shared" si="87"/>
        <v>0.79928861788617889</v>
      </c>
      <c r="R793" s="1">
        <f t="shared" si="88"/>
        <v>0.82624655858060569</v>
      </c>
      <c r="S793" s="1">
        <f t="shared" si="89"/>
        <v>0.94496726677577736</v>
      </c>
    </row>
    <row r="794" spans="1:19" x14ac:dyDescent="0.3">
      <c r="A794"/>
      <c r="B794"/>
      <c r="C794"/>
      <c r="D794"/>
      <c r="E794"/>
      <c r="F794"/>
      <c r="G794"/>
      <c r="H794"/>
      <c r="I794"/>
      <c r="J794" s="1">
        <f t="shared" si="84"/>
        <v>-5</v>
      </c>
      <c r="K794" s="1">
        <f t="shared" si="85"/>
        <v>-17</v>
      </c>
      <c r="L794" s="1">
        <f t="shared" si="85"/>
        <v>-17</v>
      </c>
      <c r="N794"/>
      <c r="O794"/>
      <c r="P794" s="1">
        <f t="shared" si="86"/>
        <v>0.79928861788617889</v>
      </c>
      <c r="Q794" s="1">
        <f t="shared" si="87"/>
        <v>0.79928861788617889</v>
      </c>
      <c r="R794" s="1">
        <f t="shared" si="88"/>
        <v>0.82624655858060569</v>
      </c>
      <c r="S794" s="1">
        <f t="shared" si="89"/>
        <v>0.94496726677577736</v>
      </c>
    </row>
    <row r="795" spans="1:19" x14ac:dyDescent="0.3">
      <c r="A795"/>
      <c r="B795"/>
      <c r="C795"/>
      <c r="D795"/>
      <c r="E795"/>
      <c r="F795"/>
      <c r="G795"/>
      <c r="H795"/>
      <c r="I795"/>
      <c r="J795" s="1">
        <f t="shared" si="84"/>
        <v>-5</v>
      </c>
      <c r="K795" s="1">
        <f t="shared" si="85"/>
        <v>-17</v>
      </c>
      <c r="L795" s="1">
        <f t="shared" si="85"/>
        <v>-17</v>
      </c>
      <c r="N795"/>
      <c r="O795"/>
      <c r="P795" s="1">
        <f t="shared" si="86"/>
        <v>0.79928861788617889</v>
      </c>
      <c r="Q795" s="1">
        <f t="shared" si="87"/>
        <v>0.79928861788617889</v>
      </c>
      <c r="R795" s="1">
        <f t="shared" si="88"/>
        <v>0.82624655858060569</v>
      </c>
      <c r="S795" s="1">
        <f t="shared" si="89"/>
        <v>0.94496726677577736</v>
      </c>
    </row>
    <row r="796" spans="1:19" x14ac:dyDescent="0.3">
      <c r="A796"/>
      <c r="B796"/>
      <c r="C796"/>
      <c r="D796"/>
      <c r="E796"/>
      <c r="F796"/>
      <c r="G796"/>
      <c r="H796"/>
      <c r="I796"/>
      <c r="J796" s="1">
        <f t="shared" si="84"/>
        <v>-5</v>
      </c>
      <c r="K796" s="1">
        <f t="shared" si="85"/>
        <v>-17</v>
      </c>
      <c r="L796" s="1">
        <f t="shared" si="85"/>
        <v>-17</v>
      </c>
      <c r="N796"/>
      <c r="O796"/>
      <c r="P796" s="1">
        <f t="shared" si="86"/>
        <v>0.79928861788617889</v>
      </c>
      <c r="Q796" s="1">
        <f t="shared" si="87"/>
        <v>0.79928861788617889</v>
      </c>
      <c r="R796" s="1">
        <f t="shared" si="88"/>
        <v>0.82624655858060569</v>
      </c>
      <c r="S796" s="1">
        <f t="shared" si="89"/>
        <v>0.94496726677577736</v>
      </c>
    </row>
    <row r="797" spans="1:19" x14ac:dyDescent="0.3">
      <c r="A797"/>
      <c r="B797"/>
      <c r="C797"/>
      <c r="D797"/>
      <c r="E797"/>
      <c r="F797"/>
      <c r="G797"/>
      <c r="H797"/>
      <c r="I797"/>
      <c r="J797" s="1">
        <f t="shared" si="84"/>
        <v>-5</v>
      </c>
      <c r="K797" s="1">
        <f t="shared" si="85"/>
        <v>-17</v>
      </c>
      <c r="L797" s="1">
        <f t="shared" si="85"/>
        <v>-17</v>
      </c>
      <c r="N797"/>
      <c r="O797"/>
      <c r="P797" s="1">
        <f t="shared" si="86"/>
        <v>0.79928861788617889</v>
      </c>
      <c r="Q797" s="1">
        <f t="shared" si="87"/>
        <v>0.79928861788617889</v>
      </c>
      <c r="R797" s="1">
        <f t="shared" si="88"/>
        <v>0.82624655858060569</v>
      </c>
      <c r="S797" s="1">
        <f t="shared" si="89"/>
        <v>0.94496726677577736</v>
      </c>
    </row>
    <row r="798" spans="1:19" x14ac:dyDescent="0.3">
      <c r="A798"/>
      <c r="B798"/>
      <c r="C798"/>
      <c r="D798"/>
      <c r="E798"/>
      <c r="F798"/>
      <c r="G798"/>
      <c r="H798"/>
      <c r="I798"/>
      <c r="J798" s="1">
        <f t="shared" si="84"/>
        <v>-5</v>
      </c>
      <c r="K798" s="1">
        <f t="shared" si="85"/>
        <v>-17</v>
      </c>
      <c r="L798" s="1">
        <f t="shared" si="85"/>
        <v>-17</v>
      </c>
      <c r="N798"/>
      <c r="O798"/>
      <c r="P798" s="1">
        <f t="shared" si="86"/>
        <v>0.79928861788617889</v>
      </c>
      <c r="Q798" s="1">
        <f t="shared" si="87"/>
        <v>0.79928861788617889</v>
      </c>
      <c r="R798" s="1">
        <f t="shared" si="88"/>
        <v>0.82624655858060569</v>
      </c>
      <c r="S798" s="1">
        <f t="shared" si="89"/>
        <v>0.94496726677577736</v>
      </c>
    </row>
    <row r="799" spans="1:19" x14ac:dyDescent="0.3">
      <c r="A799"/>
      <c r="B799"/>
      <c r="C799"/>
      <c r="D799"/>
      <c r="E799"/>
      <c r="F799"/>
      <c r="G799"/>
      <c r="H799"/>
      <c r="I799"/>
      <c r="J799" s="1">
        <f t="shared" si="84"/>
        <v>-5</v>
      </c>
      <c r="K799" s="1">
        <f t="shared" si="85"/>
        <v>-17</v>
      </c>
      <c r="L799" s="1">
        <f t="shared" si="85"/>
        <v>-17</v>
      </c>
      <c r="N799"/>
      <c r="O799"/>
      <c r="P799" s="1">
        <f t="shared" si="86"/>
        <v>0.79928861788617889</v>
      </c>
      <c r="Q799" s="1">
        <f t="shared" si="87"/>
        <v>0.79928861788617889</v>
      </c>
      <c r="R799" s="1">
        <f t="shared" si="88"/>
        <v>0.82624655858060569</v>
      </c>
      <c r="S799" s="1">
        <f t="shared" si="89"/>
        <v>0.94496726677577736</v>
      </c>
    </row>
    <row r="800" spans="1:19" x14ac:dyDescent="0.3">
      <c r="A800"/>
      <c r="B800"/>
      <c r="C800"/>
      <c r="D800"/>
      <c r="E800"/>
      <c r="F800"/>
      <c r="G800"/>
      <c r="H800"/>
      <c r="I800"/>
      <c r="J800" s="1">
        <f t="shared" si="84"/>
        <v>-5</v>
      </c>
      <c r="K800" s="1">
        <f t="shared" si="85"/>
        <v>-17</v>
      </c>
      <c r="L800" s="1">
        <f t="shared" si="85"/>
        <v>-17</v>
      </c>
      <c r="N800"/>
      <c r="O800"/>
      <c r="P800" s="1">
        <f t="shared" si="86"/>
        <v>0.79928861788617889</v>
      </c>
      <c r="Q800" s="1">
        <f t="shared" si="87"/>
        <v>0.79928861788617889</v>
      </c>
      <c r="R800" s="1">
        <f t="shared" si="88"/>
        <v>0.82624655858060569</v>
      </c>
      <c r="S800" s="1">
        <f t="shared" si="89"/>
        <v>0.94496726677577736</v>
      </c>
    </row>
    <row r="801" spans="1:19" x14ac:dyDescent="0.3">
      <c r="A801"/>
      <c r="B801"/>
      <c r="C801"/>
      <c r="D801"/>
      <c r="E801"/>
      <c r="F801"/>
      <c r="G801"/>
      <c r="H801"/>
      <c r="I801"/>
      <c r="J801" s="1">
        <f t="shared" si="84"/>
        <v>-5</v>
      </c>
      <c r="K801" s="1">
        <f t="shared" si="85"/>
        <v>-17</v>
      </c>
      <c r="L801" s="1">
        <f t="shared" si="85"/>
        <v>-17</v>
      </c>
      <c r="N801"/>
      <c r="O801"/>
      <c r="P801" s="1">
        <f t="shared" si="86"/>
        <v>0.79928861788617889</v>
      </c>
      <c r="Q801" s="1">
        <f t="shared" si="87"/>
        <v>0.79928861788617889</v>
      </c>
      <c r="R801" s="1">
        <f t="shared" si="88"/>
        <v>0.82624655858060569</v>
      </c>
      <c r="S801" s="1">
        <f t="shared" si="89"/>
        <v>0.94496726677577736</v>
      </c>
    </row>
    <row r="802" spans="1:19" x14ac:dyDescent="0.3">
      <c r="A802"/>
      <c r="B802"/>
      <c r="C802"/>
      <c r="D802"/>
      <c r="E802"/>
      <c r="F802"/>
      <c r="G802"/>
      <c r="H802"/>
      <c r="I802"/>
      <c r="J802" s="1">
        <f t="shared" si="84"/>
        <v>-5</v>
      </c>
      <c r="K802" s="1">
        <f t="shared" si="85"/>
        <v>-17</v>
      </c>
      <c r="L802" s="1">
        <f t="shared" si="85"/>
        <v>-17</v>
      </c>
      <c r="N802"/>
      <c r="O802"/>
      <c r="P802" s="1">
        <f t="shared" si="86"/>
        <v>0.79928861788617889</v>
      </c>
      <c r="Q802" s="1">
        <f t="shared" si="87"/>
        <v>0.79928861788617889</v>
      </c>
      <c r="R802" s="1">
        <f t="shared" si="88"/>
        <v>0.82624655858060569</v>
      </c>
      <c r="S802" s="1">
        <f t="shared" si="89"/>
        <v>0.94496726677577736</v>
      </c>
    </row>
    <row r="803" spans="1:19" x14ac:dyDescent="0.3">
      <c r="A803"/>
      <c r="B803"/>
      <c r="C803"/>
      <c r="D803"/>
      <c r="E803"/>
      <c r="F803"/>
      <c r="G803"/>
      <c r="H803"/>
      <c r="I803"/>
      <c r="J803" s="1">
        <f t="shared" si="84"/>
        <v>-5</v>
      </c>
      <c r="K803" s="1">
        <f t="shared" si="85"/>
        <v>-17</v>
      </c>
      <c r="L803" s="1">
        <f t="shared" si="85"/>
        <v>-17</v>
      </c>
      <c r="N803"/>
      <c r="O803"/>
      <c r="P803" s="1">
        <f t="shared" si="86"/>
        <v>0.79928861788617889</v>
      </c>
      <c r="Q803" s="1">
        <f t="shared" si="87"/>
        <v>0.79928861788617889</v>
      </c>
      <c r="R803" s="1">
        <f t="shared" si="88"/>
        <v>0.82624655858060569</v>
      </c>
      <c r="S803" s="1">
        <f t="shared" si="89"/>
        <v>0.94496726677577736</v>
      </c>
    </row>
    <row r="804" spans="1:19" x14ac:dyDescent="0.3">
      <c r="A804"/>
      <c r="B804"/>
      <c r="C804"/>
      <c r="D804"/>
      <c r="E804"/>
      <c r="F804"/>
      <c r="G804"/>
      <c r="H804"/>
      <c r="I804"/>
      <c r="J804" s="1">
        <f t="shared" ref="J804:J867" si="90">E804-5</f>
        <v>-5</v>
      </c>
      <c r="K804" s="1">
        <f t="shared" ref="K804:L867" si="91">G804-17</f>
        <v>-17</v>
      </c>
      <c r="L804" s="1">
        <f t="shared" si="91"/>
        <v>-17</v>
      </c>
      <c r="N804"/>
      <c r="O804"/>
      <c r="P804" s="1">
        <f t="shared" si="86"/>
        <v>0.79928861788617889</v>
      </c>
      <c r="Q804" s="1">
        <f t="shared" si="87"/>
        <v>0.79928861788617889</v>
      </c>
      <c r="R804" s="1">
        <f t="shared" si="88"/>
        <v>0.82624655858060569</v>
      </c>
      <c r="S804" s="1">
        <f t="shared" si="89"/>
        <v>0.94496726677577736</v>
      </c>
    </row>
    <row r="805" spans="1:19" x14ac:dyDescent="0.3">
      <c r="A805"/>
      <c r="B805"/>
      <c r="C805"/>
      <c r="D805"/>
      <c r="E805"/>
      <c r="F805"/>
      <c r="G805"/>
      <c r="H805"/>
      <c r="I805"/>
      <c r="J805" s="1">
        <f t="shared" si="90"/>
        <v>-5</v>
      </c>
      <c r="K805" s="1">
        <f t="shared" si="91"/>
        <v>-17</v>
      </c>
      <c r="L805" s="1">
        <f t="shared" si="91"/>
        <v>-17</v>
      </c>
      <c r="N805"/>
      <c r="O805"/>
      <c r="P805" s="1">
        <f t="shared" si="86"/>
        <v>0.79928861788617889</v>
      </c>
      <c r="Q805" s="1">
        <f t="shared" si="87"/>
        <v>0.79928861788617889</v>
      </c>
      <c r="R805" s="1">
        <f t="shared" si="88"/>
        <v>0.82624655858060569</v>
      </c>
      <c r="S805" s="1">
        <f t="shared" si="89"/>
        <v>0.94496726677577736</v>
      </c>
    </row>
    <row r="806" spans="1:19" x14ac:dyDescent="0.3">
      <c r="A806"/>
      <c r="B806"/>
      <c r="C806"/>
      <c r="D806"/>
      <c r="E806"/>
      <c r="F806"/>
      <c r="G806"/>
      <c r="H806"/>
      <c r="I806"/>
      <c r="J806" s="1">
        <f t="shared" si="90"/>
        <v>-5</v>
      </c>
      <c r="K806" s="1">
        <f t="shared" si="91"/>
        <v>-17</v>
      </c>
      <c r="L806" s="1">
        <f t="shared" si="91"/>
        <v>-17</v>
      </c>
      <c r="N806"/>
      <c r="O806"/>
      <c r="P806" s="1">
        <f t="shared" si="86"/>
        <v>0.79928861788617889</v>
      </c>
      <c r="Q806" s="1">
        <f t="shared" si="87"/>
        <v>0.79928861788617889</v>
      </c>
      <c r="R806" s="1">
        <f t="shared" si="88"/>
        <v>0.82624655858060569</v>
      </c>
      <c r="S806" s="1">
        <f t="shared" si="89"/>
        <v>0.94496726677577736</v>
      </c>
    </row>
    <row r="807" spans="1:19" x14ac:dyDescent="0.3">
      <c r="A807"/>
      <c r="B807"/>
      <c r="C807"/>
      <c r="D807"/>
      <c r="E807"/>
      <c r="F807"/>
      <c r="G807"/>
      <c r="H807"/>
      <c r="I807"/>
      <c r="J807" s="1">
        <f t="shared" si="90"/>
        <v>-5</v>
      </c>
      <c r="K807" s="1">
        <f t="shared" si="91"/>
        <v>-17</v>
      </c>
      <c r="L807" s="1">
        <f t="shared" si="91"/>
        <v>-17</v>
      </c>
      <c r="N807"/>
      <c r="O807"/>
      <c r="P807" s="1">
        <f t="shared" si="86"/>
        <v>0.79928861788617889</v>
      </c>
      <c r="Q807" s="1">
        <f t="shared" si="87"/>
        <v>0.79928861788617889</v>
      </c>
      <c r="R807" s="1">
        <f t="shared" si="88"/>
        <v>0.82624655858060569</v>
      </c>
      <c r="S807" s="1">
        <f t="shared" si="89"/>
        <v>0.94496726677577736</v>
      </c>
    </row>
    <row r="808" spans="1:19" x14ac:dyDescent="0.3">
      <c r="A808"/>
      <c r="B808"/>
      <c r="C808"/>
      <c r="D808"/>
      <c r="E808"/>
      <c r="F808"/>
      <c r="G808"/>
      <c r="H808"/>
      <c r="I808"/>
      <c r="J808" s="1">
        <f t="shared" si="90"/>
        <v>-5</v>
      </c>
      <c r="K808" s="1">
        <f t="shared" si="91"/>
        <v>-17</v>
      </c>
      <c r="L808" s="1">
        <f t="shared" si="91"/>
        <v>-17</v>
      </c>
      <c r="N808"/>
      <c r="O808"/>
      <c r="P808" s="1">
        <f t="shared" si="86"/>
        <v>0.79928861788617889</v>
      </c>
      <c r="Q808" s="1">
        <f t="shared" si="87"/>
        <v>0.79928861788617889</v>
      </c>
      <c r="R808" s="1">
        <f t="shared" si="88"/>
        <v>0.82624655858060569</v>
      </c>
      <c r="S808" s="1">
        <f t="shared" si="89"/>
        <v>0.94496726677577736</v>
      </c>
    </row>
    <row r="809" spans="1:19" x14ac:dyDescent="0.3">
      <c r="A809"/>
      <c r="B809"/>
      <c r="C809"/>
      <c r="D809"/>
      <c r="E809"/>
      <c r="F809"/>
      <c r="G809"/>
      <c r="H809"/>
      <c r="I809"/>
      <c r="J809" s="1">
        <f t="shared" si="90"/>
        <v>-5</v>
      </c>
      <c r="K809" s="1">
        <f t="shared" si="91"/>
        <v>-17</v>
      </c>
      <c r="L809" s="1">
        <f t="shared" si="91"/>
        <v>-17</v>
      </c>
      <c r="N809"/>
      <c r="O809"/>
      <c r="P809" s="1">
        <f t="shared" si="86"/>
        <v>0.79928861788617889</v>
      </c>
      <c r="Q809" s="1">
        <f t="shared" si="87"/>
        <v>0.79928861788617889</v>
      </c>
      <c r="R809" s="1">
        <f t="shared" si="88"/>
        <v>0.82624655858060569</v>
      </c>
      <c r="S809" s="1">
        <f t="shared" si="89"/>
        <v>0.94496726677577736</v>
      </c>
    </row>
    <row r="810" spans="1:19" x14ac:dyDescent="0.3">
      <c r="A810"/>
      <c r="B810"/>
      <c r="C810"/>
      <c r="D810"/>
      <c r="E810"/>
      <c r="F810"/>
      <c r="G810"/>
      <c r="H810"/>
      <c r="I810"/>
      <c r="J810" s="1">
        <f t="shared" si="90"/>
        <v>-5</v>
      </c>
      <c r="K810" s="1">
        <f t="shared" si="91"/>
        <v>-17</v>
      </c>
      <c r="L810" s="1">
        <f t="shared" si="91"/>
        <v>-17</v>
      </c>
      <c r="N810"/>
      <c r="O810"/>
      <c r="P810" s="1">
        <f t="shared" si="86"/>
        <v>0.79928861788617889</v>
      </c>
      <c r="Q810" s="1">
        <f t="shared" si="87"/>
        <v>0.79928861788617889</v>
      </c>
      <c r="R810" s="1">
        <f t="shared" si="88"/>
        <v>0.82624655858060569</v>
      </c>
      <c r="S810" s="1">
        <f t="shared" si="89"/>
        <v>0.94496726677577736</v>
      </c>
    </row>
    <row r="811" spans="1:19" x14ac:dyDescent="0.3">
      <c r="A811"/>
      <c r="B811"/>
      <c r="C811"/>
      <c r="D811"/>
      <c r="E811"/>
      <c r="F811"/>
      <c r="G811"/>
      <c r="H811"/>
      <c r="I811"/>
      <c r="J811" s="1">
        <f t="shared" si="90"/>
        <v>-5</v>
      </c>
      <c r="K811" s="1">
        <f t="shared" si="91"/>
        <v>-17</v>
      </c>
      <c r="L811" s="1">
        <f t="shared" si="91"/>
        <v>-17</v>
      </c>
      <c r="N811"/>
      <c r="O811"/>
      <c r="P811" s="1">
        <f t="shared" ref="P811:P874" si="92">(B793+Q$36)/P$36</f>
        <v>0.79928861788617889</v>
      </c>
      <c r="Q811" s="1">
        <f t="shared" ref="Q811:Q874" si="93">(C793+Q$36)/P$36</f>
        <v>0.79928861788617889</v>
      </c>
      <c r="R811" s="1">
        <f t="shared" ref="R811:R874" si="94">(D793+Q$38)/P$38</f>
        <v>0.82624655858060569</v>
      </c>
      <c r="S811" s="1">
        <f t="shared" ref="S811:S874" si="95">(E793+Q$39)/P$39</f>
        <v>0.94496726677577736</v>
      </c>
    </row>
    <row r="812" spans="1:19" x14ac:dyDescent="0.3">
      <c r="A812"/>
      <c r="B812"/>
      <c r="C812"/>
      <c r="D812"/>
      <c r="E812"/>
      <c r="F812"/>
      <c r="G812"/>
      <c r="H812"/>
      <c r="I812"/>
      <c r="J812" s="1">
        <f t="shared" si="90"/>
        <v>-5</v>
      </c>
      <c r="K812" s="1">
        <f t="shared" si="91"/>
        <v>-17</v>
      </c>
      <c r="L812" s="1">
        <f t="shared" si="91"/>
        <v>-17</v>
      </c>
      <c r="N812"/>
      <c r="O812"/>
      <c r="P812" s="1">
        <f t="shared" si="92"/>
        <v>0.79928861788617889</v>
      </c>
      <c r="Q812" s="1">
        <f t="shared" si="93"/>
        <v>0.79928861788617889</v>
      </c>
      <c r="R812" s="1">
        <f t="shared" si="94"/>
        <v>0.82624655858060569</v>
      </c>
      <c r="S812" s="1">
        <f t="shared" si="95"/>
        <v>0.94496726677577736</v>
      </c>
    </row>
    <row r="813" spans="1:19" x14ac:dyDescent="0.3">
      <c r="A813"/>
      <c r="B813"/>
      <c r="C813"/>
      <c r="D813"/>
      <c r="E813"/>
      <c r="F813"/>
      <c r="G813"/>
      <c r="H813"/>
      <c r="I813"/>
      <c r="J813" s="1">
        <f t="shared" si="90"/>
        <v>-5</v>
      </c>
      <c r="K813" s="1">
        <f t="shared" si="91"/>
        <v>-17</v>
      </c>
      <c r="L813" s="1">
        <f t="shared" si="91"/>
        <v>-17</v>
      </c>
      <c r="N813"/>
      <c r="O813"/>
      <c r="P813" s="1">
        <f t="shared" si="92"/>
        <v>0.79928861788617889</v>
      </c>
      <c r="Q813" s="1">
        <f t="shared" si="93"/>
        <v>0.79928861788617889</v>
      </c>
      <c r="R813" s="1">
        <f t="shared" si="94"/>
        <v>0.82624655858060569</v>
      </c>
      <c r="S813" s="1">
        <f t="shared" si="95"/>
        <v>0.94496726677577736</v>
      </c>
    </row>
    <row r="814" spans="1:19" x14ac:dyDescent="0.3">
      <c r="A814"/>
      <c r="B814"/>
      <c r="C814"/>
      <c r="D814"/>
      <c r="E814"/>
      <c r="F814"/>
      <c r="G814"/>
      <c r="H814"/>
      <c r="I814"/>
      <c r="J814" s="1">
        <f t="shared" si="90"/>
        <v>-5</v>
      </c>
      <c r="K814" s="1">
        <f t="shared" si="91"/>
        <v>-17</v>
      </c>
      <c r="L814" s="1">
        <f t="shared" si="91"/>
        <v>-17</v>
      </c>
      <c r="N814"/>
      <c r="O814"/>
      <c r="P814" s="1">
        <f t="shared" si="92"/>
        <v>0.79928861788617889</v>
      </c>
      <c r="Q814" s="1">
        <f t="shared" si="93"/>
        <v>0.79928861788617889</v>
      </c>
      <c r="R814" s="1">
        <f t="shared" si="94"/>
        <v>0.82624655858060569</v>
      </c>
      <c r="S814" s="1">
        <f t="shared" si="95"/>
        <v>0.94496726677577736</v>
      </c>
    </row>
    <row r="815" spans="1:19" x14ac:dyDescent="0.3">
      <c r="A815"/>
      <c r="B815"/>
      <c r="C815"/>
      <c r="D815"/>
      <c r="E815"/>
      <c r="F815"/>
      <c r="G815"/>
      <c r="H815"/>
      <c r="I815"/>
      <c r="J815" s="1">
        <f t="shared" si="90"/>
        <v>-5</v>
      </c>
      <c r="K815" s="1">
        <f t="shared" si="91"/>
        <v>-17</v>
      </c>
      <c r="L815" s="1">
        <f t="shared" si="91"/>
        <v>-17</v>
      </c>
      <c r="N815"/>
      <c r="O815"/>
      <c r="P815" s="1">
        <f t="shared" si="92"/>
        <v>0.79928861788617889</v>
      </c>
      <c r="Q815" s="1">
        <f t="shared" si="93"/>
        <v>0.79928861788617889</v>
      </c>
      <c r="R815" s="1">
        <f t="shared" si="94"/>
        <v>0.82624655858060569</v>
      </c>
      <c r="S815" s="1">
        <f t="shared" si="95"/>
        <v>0.94496726677577736</v>
      </c>
    </row>
    <row r="816" spans="1:19" x14ac:dyDescent="0.3">
      <c r="A816"/>
      <c r="B816"/>
      <c r="C816"/>
      <c r="D816"/>
      <c r="E816"/>
      <c r="F816"/>
      <c r="G816"/>
      <c r="H816"/>
      <c r="I816"/>
      <c r="J816" s="1">
        <f t="shared" si="90"/>
        <v>-5</v>
      </c>
      <c r="K816" s="1">
        <f t="shared" si="91"/>
        <v>-17</v>
      </c>
      <c r="L816" s="1">
        <f t="shared" si="91"/>
        <v>-17</v>
      </c>
      <c r="N816"/>
      <c r="O816"/>
      <c r="P816" s="1">
        <f t="shared" si="92"/>
        <v>0.79928861788617889</v>
      </c>
      <c r="Q816" s="1">
        <f t="shared" si="93"/>
        <v>0.79928861788617889</v>
      </c>
      <c r="R816" s="1">
        <f t="shared" si="94"/>
        <v>0.82624655858060569</v>
      </c>
      <c r="S816" s="1">
        <f t="shared" si="95"/>
        <v>0.94496726677577736</v>
      </c>
    </row>
    <row r="817" spans="1:19" x14ac:dyDescent="0.3">
      <c r="A817"/>
      <c r="B817"/>
      <c r="C817"/>
      <c r="D817"/>
      <c r="E817"/>
      <c r="F817"/>
      <c r="G817"/>
      <c r="H817"/>
      <c r="I817"/>
      <c r="J817" s="1">
        <f t="shared" si="90"/>
        <v>-5</v>
      </c>
      <c r="K817" s="1">
        <f t="shared" si="91"/>
        <v>-17</v>
      </c>
      <c r="L817" s="1">
        <f t="shared" si="91"/>
        <v>-17</v>
      </c>
      <c r="N817"/>
      <c r="O817"/>
      <c r="P817" s="1">
        <f t="shared" si="92"/>
        <v>0.79928861788617889</v>
      </c>
      <c r="Q817" s="1">
        <f t="shared" si="93"/>
        <v>0.79928861788617889</v>
      </c>
      <c r="R817" s="1">
        <f t="shared" si="94"/>
        <v>0.82624655858060569</v>
      </c>
      <c r="S817" s="1">
        <f t="shared" si="95"/>
        <v>0.94496726677577736</v>
      </c>
    </row>
    <row r="818" spans="1:19" x14ac:dyDescent="0.3">
      <c r="A818"/>
      <c r="B818"/>
      <c r="C818"/>
      <c r="D818"/>
      <c r="E818"/>
      <c r="F818"/>
      <c r="G818"/>
      <c r="H818"/>
      <c r="I818"/>
      <c r="J818" s="1">
        <f t="shared" si="90"/>
        <v>-5</v>
      </c>
      <c r="K818" s="1">
        <f t="shared" si="91"/>
        <v>-17</v>
      </c>
      <c r="L818" s="1">
        <f t="shared" si="91"/>
        <v>-17</v>
      </c>
      <c r="N818"/>
      <c r="O818"/>
      <c r="P818" s="1">
        <f t="shared" si="92"/>
        <v>0.79928861788617889</v>
      </c>
      <c r="Q818" s="1">
        <f t="shared" si="93"/>
        <v>0.79928861788617889</v>
      </c>
      <c r="R818" s="1">
        <f t="shared" si="94"/>
        <v>0.82624655858060569</v>
      </c>
      <c r="S818" s="1">
        <f t="shared" si="95"/>
        <v>0.94496726677577736</v>
      </c>
    </row>
    <row r="819" spans="1:19" x14ac:dyDescent="0.3">
      <c r="A819"/>
      <c r="B819"/>
      <c r="C819"/>
      <c r="D819"/>
      <c r="E819"/>
      <c r="F819"/>
      <c r="G819"/>
      <c r="H819"/>
      <c r="I819"/>
      <c r="J819" s="1">
        <f t="shared" si="90"/>
        <v>-5</v>
      </c>
      <c r="K819" s="1">
        <f t="shared" si="91"/>
        <v>-17</v>
      </c>
      <c r="L819" s="1">
        <f t="shared" si="91"/>
        <v>-17</v>
      </c>
      <c r="N819"/>
      <c r="O819"/>
      <c r="P819" s="1">
        <f t="shared" si="92"/>
        <v>0.79928861788617889</v>
      </c>
      <c r="Q819" s="1">
        <f t="shared" si="93"/>
        <v>0.79928861788617889</v>
      </c>
      <c r="R819" s="1">
        <f t="shared" si="94"/>
        <v>0.82624655858060569</v>
      </c>
      <c r="S819" s="1">
        <f t="shared" si="95"/>
        <v>0.94496726677577736</v>
      </c>
    </row>
    <row r="820" spans="1:19" x14ac:dyDescent="0.3">
      <c r="A820"/>
      <c r="B820"/>
      <c r="C820"/>
      <c r="D820"/>
      <c r="E820"/>
      <c r="F820"/>
      <c r="G820"/>
      <c r="H820"/>
      <c r="I820"/>
      <c r="J820" s="1">
        <f t="shared" si="90"/>
        <v>-5</v>
      </c>
      <c r="K820" s="1">
        <f t="shared" si="91"/>
        <v>-17</v>
      </c>
      <c r="L820" s="1">
        <f t="shared" si="91"/>
        <v>-17</v>
      </c>
      <c r="N820"/>
      <c r="O820"/>
      <c r="P820" s="1">
        <f t="shared" si="92"/>
        <v>0.79928861788617889</v>
      </c>
      <c r="Q820" s="1">
        <f t="shared" si="93"/>
        <v>0.79928861788617889</v>
      </c>
      <c r="R820" s="1">
        <f t="shared" si="94"/>
        <v>0.82624655858060569</v>
      </c>
      <c r="S820" s="1">
        <f t="shared" si="95"/>
        <v>0.94496726677577736</v>
      </c>
    </row>
    <row r="821" spans="1:19" x14ac:dyDescent="0.3">
      <c r="A821"/>
      <c r="B821"/>
      <c r="C821"/>
      <c r="D821"/>
      <c r="E821"/>
      <c r="F821"/>
      <c r="G821"/>
      <c r="H821"/>
      <c r="I821"/>
      <c r="J821" s="1">
        <f t="shared" si="90"/>
        <v>-5</v>
      </c>
      <c r="K821" s="1">
        <f t="shared" si="91"/>
        <v>-17</v>
      </c>
      <c r="L821" s="1">
        <f t="shared" si="91"/>
        <v>-17</v>
      </c>
      <c r="N821"/>
      <c r="O821"/>
      <c r="P821" s="1">
        <f t="shared" si="92"/>
        <v>0.79928861788617889</v>
      </c>
      <c r="Q821" s="1">
        <f t="shared" si="93"/>
        <v>0.79928861788617889</v>
      </c>
      <c r="R821" s="1">
        <f t="shared" si="94"/>
        <v>0.82624655858060569</v>
      </c>
      <c r="S821" s="1">
        <f t="shared" si="95"/>
        <v>0.94496726677577736</v>
      </c>
    </row>
    <row r="822" spans="1:19" x14ac:dyDescent="0.3">
      <c r="A822"/>
      <c r="B822"/>
      <c r="C822"/>
      <c r="D822"/>
      <c r="E822"/>
      <c r="F822"/>
      <c r="G822"/>
      <c r="H822"/>
      <c r="I822"/>
      <c r="J822" s="1">
        <f t="shared" si="90"/>
        <v>-5</v>
      </c>
      <c r="K822" s="1">
        <f t="shared" si="91"/>
        <v>-17</v>
      </c>
      <c r="L822" s="1">
        <f t="shared" si="91"/>
        <v>-17</v>
      </c>
      <c r="N822"/>
      <c r="O822"/>
      <c r="P822" s="1">
        <f t="shared" si="92"/>
        <v>0.79928861788617889</v>
      </c>
      <c r="Q822" s="1">
        <f t="shared" si="93"/>
        <v>0.79928861788617889</v>
      </c>
      <c r="R822" s="1">
        <f t="shared" si="94"/>
        <v>0.82624655858060569</v>
      </c>
      <c r="S822" s="1">
        <f t="shared" si="95"/>
        <v>0.94496726677577736</v>
      </c>
    </row>
    <row r="823" spans="1:19" x14ac:dyDescent="0.3">
      <c r="A823"/>
      <c r="B823"/>
      <c r="C823"/>
      <c r="D823"/>
      <c r="E823"/>
      <c r="F823"/>
      <c r="G823"/>
      <c r="H823"/>
      <c r="I823"/>
      <c r="J823" s="1">
        <f t="shared" si="90"/>
        <v>-5</v>
      </c>
      <c r="K823" s="1">
        <f t="shared" si="91"/>
        <v>-17</v>
      </c>
      <c r="L823" s="1">
        <f t="shared" si="91"/>
        <v>-17</v>
      </c>
      <c r="N823"/>
      <c r="O823"/>
      <c r="P823" s="1">
        <f t="shared" si="92"/>
        <v>0.79928861788617889</v>
      </c>
      <c r="Q823" s="1">
        <f t="shared" si="93"/>
        <v>0.79928861788617889</v>
      </c>
      <c r="R823" s="1">
        <f t="shared" si="94"/>
        <v>0.82624655858060569</v>
      </c>
      <c r="S823" s="1">
        <f t="shared" si="95"/>
        <v>0.94496726677577736</v>
      </c>
    </row>
    <row r="824" spans="1:19" x14ac:dyDescent="0.3">
      <c r="A824"/>
      <c r="B824"/>
      <c r="C824"/>
      <c r="D824"/>
      <c r="E824"/>
      <c r="F824"/>
      <c r="G824"/>
      <c r="H824"/>
      <c r="I824"/>
      <c r="J824" s="1">
        <f t="shared" si="90"/>
        <v>-5</v>
      </c>
      <c r="K824" s="1">
        <f t="shared" si="91"/>
        <v>-17</v>
      </c>
      <c r="L824" s="1">
        <f t="shared" si="91"/>
        <v>-17</v>
      </c>
      <c r="N824"/>
      <c r="O824"/>
      <c r="P824" s="1">
        <f t="shared" si="92"/>
        <v>0.79928861788617889</v>
      </c>
      <c r="Q824" s="1">
        <f t="shared" si="93"/>
        <v>0.79928861788617889</v>
      </c>
      <c r="R824" s="1">
        <f t="shared" si="94"/>
        <v>0.82624655858060569</v>
      </c>
      <c r="S824" s="1">
        <f t="shared" si="95"/>
        <v>0.94496726677577736</v>
      </c>
    </row>
    <row r="825" spans="1:19" x14ac:dyDescent="0.3">
      <c r="A825"/>
      <c r="B825"/>
      <c r="C825"/>
      <c r="D825"/>
      <c r="E825"/>
      <c r="F825"/>
      <c r="G825"/>
      <c r="H825"/>
      <c r="I825"/>
      <c r="J825" s="1">
        <f t="shared" si="90"/>
        <v>-5</v>
      </c>
      <c r="K825" s="1">
        <f t="shared" si="91"/>
        <v>-17</v>
      </c>
      <c r="L825" s="1">
        <f t="shared" si="91"/>
        <v>-17</v>
      </c>
      <c r="N825"/>
      <c r="O825"/>
      <c r="P825" s="1">
        <f t="shared" si="92"/>
        <v>0.79928861788617889</v>
      </c>
      <c r="Q825" s="1">
        <f t="shared" si="93"/>
        <v>0.79928861788617889</v>
      </c>
      <c r="R825" s="1">
        <f t="shared" si="94"/>
        <v>0.82624655858060569</v>
      </c>
      <c r="S825" s="1">
        <f t="shared" si="95"/>
        <v>0.94496726677577736</v>
      </c>
    </row>
    <row r="826" spans="1:19" x14ac:dyDescent="0.3">
      <c r="A826"/>
      <c r="B826"/>
      <c r="C826"/>
      <c r="D826"/>
      <c r="E826"/>
      <c r="F826"/>
      <c r="G826"/>
      <c r="H826"/>
      <c r="I826"/>
      <c r="J826" s="1">
        <f t="shared" si="90"/>
        <v>-5</v>
      </c>
      <c r="K826" s="1">
        <f t="shared" si="91"/>
        <v>-17</v>
      </c>
      <c r="L826" s="1">
        <f t="shared" si="91"/>
        <v>-17</v>
      </c>
      <c r="N826"/>
      <c r="O826"/>
      <c r="P826" s="1">
        <f t="shared" si="92"/>
        <v>0.79928861788617889</v>
      </c>
      <c r="Q826" s="1">
        <f t="shared" si="93"/>
        <v>0.79928861788617889</v>
      </c>
      <c r="R826" s="1">
        <f t="shared" si="94"/>
        <v>0.82624655858060569</v>
      </c>
      <c r="S826" s="1">
        <f t="shared" si="95"/>
        <v>0.94496726677577736</v>
      </c>
    </row>
    <row r="827" spans="1:19" x14ac:dyDescent="0.3">
      <c r="A827"/>
      <c r="B827"/>
      <c r="C827"/>
      <c r="D827"/>
      <c r="E827"/>
      <c r="F827"/>
      <c r="G827"/>
      <c r="H827"/>
      <c r="I827"/>
      <c r="J827" s="1">
        <f t="shared" si="90"/>
        <v>-5</v>
      </c>
      <c r="K827" s="1">
        <f t="shared" si="91"/>
        <v>-17</v>
      </c>
      <c r="L827" s="1">
        <f t="shared" si="91"/>
        <v>-17</v>
      </c>
      <c r="N827"/>
      <c r="O827"/>
      <c r="P827" s="1">
        <f t="shared" si="92"/>
        <v>0.79928861788617889</v>
      </c>
      <c r="Q827" s="1">
        <f t="shared" si="93"/>
        <v>0.79928861788617889</v>
      </c>
      <c r="R827" s="1">
        <f t="shared" si="94"/>
        <v>0.82624655858060569</v>
      </c>
      <c r="S827" s="1">
        <f t="shared" si="95"/>
        <v>0.94496726677577736</v>
      </c>
    </row>
    <row r="828" spans="1:19" x14ac:dyDescent="0.3">
      <c r="A828"/>
      <c r="B828"/>
      <c r="C828"/>
      <c r="D828"/>
      <c r="E828"/>
      <c r="F828"/>
      <c r="G828"/>
      <c r="H828"/>
      <c r="I828"/>
      <c r="J828" s="1">
        <f t="shared" si="90"/>
        <v>-5</v>
      </c>
      <c r="K828" s="1">
        <f t="shared" si="91"/>
        <v>-17</v>
      </c>
      <c r="L828" s="1">
        <f t="shared" si="91"/>
        <v>-17</v>
      </c>
      <c r="N828"/>
      <c r="O828"/>
      <c r="P828" s="1">
        <f t="shared" si="92"/>
        <v>0.79928861788617889</v>
      </c>
      <c r="Q828" s="1">
        <f t="shared" si="93"/>
        <v>0.79928861788617889</v>
      </c>
      <c r="R828" s="1">
        <f t="shared" si="94"/>
        <v>0.82624655858060569</v>
      </c>
      <c r="S828" s="1">
        <f t="shared" si="95"/>
        <v>0.94496726677577736</v>
      </c>
    </row>
    <row r="829" spans="1:19" x14ac:dyDescent="0.3">
      <c r="A829"/>
      <c r="B829"/>
      <c r="C829"/>
      <c r="D829"/>
      <c r="E829"/>
      <c r="F829"/>
      <c r="G829"/>
      <c r="H829"/>
      <c r="I829"/>
      <c r="J829" s="1">
        <f t="shared" si="90"/>
        <v>-5</v>
      </c>
      <c r="K829" s="1">
        <f t="shared" si="91"/>
        <v>-17</v>
      </c>
      <c r="L829" s="1">
        <f t="shared" si="91"/>
        <v>-17</v>
      </c>
      <c r="N829"/>
      <c r="O829"/>
      <c r="P829" s="1">
        <f t="shared" si="92"/>
        <v>0.79928861788617889</v>
      </c>
      <c r="Q829" s="1">
        <f t="shared" si="93"/>
        <v>0.79928861788617889</v>
      </c>
      <c r="R829" s="1">
        <f t="shared" si="94"/>
        <v>0.82624655858060569</v>
      </c>
      <c r="S829" s="1">
        <f t="shared" si="95"/>
        <v>0.94496726677577736</v>
      </c>
    </row>
    <row r="830" spans="1:19" x14ac:dyDescent="0.3">
      <c r="A830"/>
      <c r="B830"/>
      <c r="C830"/>
      <c r="D830"/>
      <c r="E830"/>
      <c r="F830"/>
      <c r="G830"/>
      <c r="H830"/>
      <c r="I830"/>
      <c r="J830" s="1">
        <f t="shared" si="90"/>
        <v>-5</v>
      </c>
      <c r="K830" s="1">
        <f t="shared" si="91"/>
        <v>-17</v>
      </c>
      <c r="L830" s="1">
        <f t="shared" si="91"/>
        <v>-17</v>
      </c>
      <c r="N830"/>
      <c r="O830"/>
      <c r="P830" s="1">
        <f t="shared" si="92"/>
        <v>0.79928861788617889</v>
      </c>
      <c r="Q830" s="1">
        <f t="shared" si="93"/>
        <v>0.79928861788617889</v>
      </c>
      <c r="R830" s="1">
        <f t="shared" si="94"/>
        <v>0.82624655858060569</v>
      </c>
      <c r="S830" s="1">
        <f t="shared" si="95"/>
        <v>0.94496726677577736</v>
      </c>
    </row>
    <row r="831" spans="1:19" x14ac:dyDescent="0.3">
      <c r="A831"/>
      <c r="B831"/>
      <c r="C831"/>
      <c r="D831"/>
      <c r="E831"/>
      <c r="F831"/>
      <c r="G831"/>
      <c r="H831"/>
      <c r="I831"/>
      <c r="J831" s="1">
        <f t="shared" si="90"/>
        <v>-5</v>
      </c>
      <c r="K831" s="1">
        <f t="shared" si="91"/>
        <v>-17</v>
      </c>
      <c r="L831" s="1">
        <f t="shared" si="91"/>
        <v>-17</v>
      </c>
      <c r="N831"/>
      <c r="O831"/>
      <c r="P831" s="1">
        <f t="shared" si="92"/>
        <v>0.79928861788617889</v>
      </c>
      <c r="Q831" s="1">
        <f t="shared" si="93"/>
        <v>0.79928861788617889</v>
      </c>
      <c r="R831" s="1">
        <f t="shared" si="94"/>
        <v>0.82624655858060569</v>
      </c>
      <c r="S831" s="1">
        <f t="shared" si="95"/>
        <v>0.94496726677577736</v>
      </c>
    </row>
    <row r="832" spans="1:19" x14ac:dyDescent="0.3">
      <c r="A832"/>
      <c r="B832"/>
      <c r="C832"/>
      <c r="D832"/>
      <c r="E832"/>
      <c r="F832"/>
      <c r="G832"/>
      <c r="H832"/>
      <c r="I832"/>
      <c r="J832" s="1">
        <f t="shared" si="90"/>
        <v>-5</v>
      </c>
      <c r="K832" s="1">
        <f t="shared" si="91"/>
        <v>-17</v>
      </c>
      <c r="L832" s="1">
        <f t="shared" si="91"/>
        <v>-17</v>
      </c>
      <c r="N832"/>
      <c r="O832"/>
      <c r="P832" s="1">
        <f t="shared" si="92"/>
        <v>0.79928861788617889</v>
      </c>
      <c r="Q832" s="1">
        <f t="shared" si="93"/>
        <v>0.79928861788617889</v>
      </c>
      <c r="R832" s="1">
        <f t="shared" si="94"/>
        <v>0.82624655858060569</v>
      </c>
      <c r="S832" s="1">
        <f t="shared" si="95"/>
        <v>0.94496726677577736</v>
      </c>
    </row>
    <row r="833" spans="1:19" x14ac:dyDescent="0.3">
      <c r="A833"/>
      <c r="B833"/>
      <c r="C833"/>
      <c r="D833"/>
      <c r="E833"/>
      <c r="F833"/>
      <c r="G833"/>
      <c r="H833"/>
      <c r="I833"/>
      <c r="J833" s="1">
        <f t="shared" si="90"/>
        <v>-5</v>
      </c>
      <c r="K833" s="1">
        <f t="shared" si="91"/>
        <v>-17</v>
      </c>
      <c r="L833" s="1">
        <f t="shared" si="91"/>
        <v>-17</v>
      </c>
      <c r="N833"/>
      <c r="O833"/>
      <c r="P833" s="1">
        <f t="shared" si="92"/>
        <v>0.79928861788617889</v>
      </c>
      <c r="Q833" s="1">
        <f t="shared" si="93"/>
        <v>0.79928861788617889</v>
      </c>
      <c r="R833" s="1">
        <f t="shared" si="94"/>
        <v>0.82624655858060569</v>
      </c>
      <c r="S833" s="1">
        <f t="shared" si="95"/>
        <v>0.94496726677577736</v>
      </c>
    </row>
    <row r="834" spans="1:19" x14ac:dyDescent="0.3">
      <c r="A834"/>
      <c r="B834"/>
      <c r="C834"/>
      <c r="D834"/>
      <c r="E834"/>
      <c r="F834"/>
      <c r="G834"/>
      <c r="H834"/>
      <c r="I834"/>
      <c r="J834" s="1">
        <f t="shared" si="90"/>
        <v>-5</v>
      </c>
      <c r="K834" s="1">
        <f t="shared" si="91"/>
        <v>-17</v>
      </c>
      <c r="L834" s="1">
        <f t="shared" si="91"/>
        <v>-17</v>
      </c>
      <c r="N834"/>
      <c r="O834"/>
      <c r="P834" s="1">
        <f t="shared" si="92"/>
        <v>0.79928861788617889</v>
      </c>
      <c r="Q834" s="1">
        <f t="shared" si="93"/>
        <v>0.79928861788617889</v>
      </c>
      <c r="R834" s="1">
        <f t="shared" si="94"/>
        <v>0.82624655858060569</v>
      </c>
      <c r="S834" s="1">
        <f t="shared" si="95"/>
        <v>0.94496726677577736</v>
      </c>
    </row>
    <row r="835" spans="1:19" x14ac:dyDescent="0.3">
      <c r="A835"/>
      <c r="B835"/>
      <c r="C835"/>
      <c r="D835"/>
      <c r="E835"/>
      <c r="F835"/>
      <c r="G835"/>
      <c r="H835"/>
      <c r="I835"/>
      <c r="J835" s="1">
        <f t="shared" si="90"/>
        <v>-5</v>
      </c>
      <c r="K835" s="1">
        <f t="shared" si="91"/>
        <v>-17</v>
      </c>
      <c r="L835" s="1">
        <f t="shared" si="91"/>
        <v>-17</v>
      </c>
      <c r="N835"/>
      <c r="O835"/>
      <c r="P835" s="1">
        <f t="shared" si="92"/>
        <v>0.79928861788617889</v>
      </c>
      <c r="Q835" s="1">
        <f t="shared" si="93"/>
        <v>0.79928861788617889</v>
      </c>
      <c r="R835" s="1">
        <f t="shared" si="94"/>
        <v>0.82624655858060569</v>
      </c>
      <c r="S835" s="1">
        <f t="shared" si="95"/>
        <v>0.94496726677577736</v>
      </c>
    </row>
    <row r="836" spans="1:19" x14ac:dyDescent="0.3">
      <c r="A836"/>
      <c r="B836"/>
      <c r="C836"/>
      <c r="D836"/>
      <c r="E836"/>
      <c r="F836"/>
      <c r="G836"/>
      <c r="H836"/>
      <c r="I836"/>
      <c r="J836" s="1">
        <f t="shared" si="90"/>
        <v>-5</v>
      </c>
      <c r="K836" s="1">
        <f t="shared" si="91"/>
        <v>-17</v>
      </c>
      <c r="L836" s="1">
        <f t="shared" si="91"/>
        <v>-17</v>
      </c>
      <c r="N836"/>
      <c r="O836"/>
      <c r="P836" s="1">
        <f t="shared" si="92"/>
        <v>0.79928861788617889</v>
      </c>
      <c r="Q836" s="1">
        <f t="shared" si="93"/>
        <v>0.79928861788617889</v>
      </c>
      <c r="R836" s="1">
        <f t="shared" si="94"/>
        <v>0.82624655858060569</v>
      </c>
      <c r="S836" s="1">
        <f t="shared" si="95"/>
        <v>0.94496726677577736</v>
      </c>
    </row>
    <row r="837" spans="1:19" x14ac:dyDescent="0.3">
      <c r="A837"/>
      <c r="B837"/>
      <c r="C837"/>
      <c r="D837"/>
      <c r="E837"/>
      <c r="F837"/>
      <c r="G837"/>
      <c r="H837"/>
      <c r="I837"/>
      <c r="J837" s="1">
        <f t="shared" si="90"/>
        <v>-5</v>
      </c>
      <c r="K837" s="1">
        <f t="shared" si="91"/>
        <v>-17</v>
      </c>
      <c r="L837" s="1">
        <f t="shared" si="91"/>
        <v>-17</v>
      </c>
      <c r="N837"/>
      <c r="O837"/>
      <c r="P837" s="1">
        <f t="shared" si="92"/>
        <v>0.79928861788617889</v>
      </c>
      <c r="Q837" s="1">
        <f t="shared" si="93"/>
        <v>0.79928861788617889</v>
      </c>
      <c r="R837" s="1">
        <f t="shared" si="94"/>
        <v>0.82624655858060569</v>
      </c>
      <c r="S837" s="1">
        <f t="shared" si="95"/>
        <v>0.94496726677577736</v>
      </c>
    </row>
    <row r="838" spans="1:19" x14ac:dyDescent="0.3">
      <c r="A838"/>
      <c r="B838"/>
      <c r="C838"/>
      <c r="D838"/>
      <c r="E838"/>
      <c r="F838"/>
      <c r="G838"/>
      <c r="H838"/>
      <c r="I838"/>
      <c r="J838" s="1">
        <f t="shared" si="90"/>
        <v>-5</v>
      </c>
      <c r="K838" s="1">
        <f t="shared" si="91"/>
        <v>-17</v>
      </c>
      <c r="L838" s="1">
        <f t="shared" si="91"/>
        <v>-17</v>
      </c>
      <c r="N838"/>
      <c r="O838"/>
      <c r="P838" s="1">
        <f t="shared" si="92"/>
        <v>0.79928861788617889</v>
      </c>
      <c r="Q838" s="1">
        <f t="shared" si="93"/>
        <v>0.79928861788617889</v>
      </c>
      <c r="R838" s="1">
        <f t="shared" si="94"/>
        <v>0.82624655858060569</v>
      </c>
      <c r="S838" s="1">
        <f t="shared" si="95"/>
        <v>0.94496726677577736</v>
      </c>
    </row>
    <row r="839" spans="1:19" x14ac:dyDescent="0.3">
      <c r="A839"/>
      <c r="B839"/>
      <c r="C839"/>
      <c r="D839"/>
      <c r="E839"/>
      <c r="F839"/>
      <c r="G839"/>
      <c r="H839"/>
      <c r="I839"/>
      <c r="J839" s="1">
        <f t="shared" si="90"/>
        <v>-5</v>
      </c>
      <c r="K839" s="1">
        <f t="shared" si="91"/>
        <v>-17</v>
      </c>
      <c r="L839" s="1">
        <f t="shared" si="91"/>
        <v>-17</v>
      </c>
      <c r="N839"/>
      <c r="O839"/>
      <c r="P839" s="1">
        <f t="shared" si="92"/>
        <v>0.79928861788617889</v>
      </c>
      <c r="Q839" s="1">
        <f t="shared" si="93"/>
        <v>0.79928861788617889</v>
      </c>
      <c r="R839" s="1">
        <f t="shared" si="94"/>
        <v>0.82624655858060569</v>
      </c>
      <c r="S839" s="1">
        <f t="shared" si="95"/>
        <v>0.94496726677577736</v>
      </c>
    </row>
    <row r="840" spans="1:19" x14ac:dyDescent="0.3">
      <c r="A840"/>
      <c r="B840"/>
      <c r="C840"/>
      <c r="D840"/>
      <c r="E840"/>
      <c r="F840"/>
      <c r="G840"/>
      <c r="H840"/>
      <c r="I840"/>
      <c r="J840" s="1">
        <f t="shared" si="90"/>
        <v>-5</v>
      </c>
      <c r="K840" s="1">
        <f t="shared" si="91"/>
        <v>-17</v>
      </c>
      <c r="L840" s="1">
        <f t="shared" si="91"/>
        <v>-17</v>
      </c>
      <c r="N840"/>
      <c r="O840"/>
      <c r="P840" s="1">
        <f t="shared" si="92"/>
        <v>0.79928861788617889</v>
      </c>
      <c r="Q840" s="1">
        <f t="shared" si="93"/>
        <v>0.79928861788617889</v>
      </c>
      <c r="R840" s="1">
        <f t="shared" si="94"/>
        <v>0.82624655858060569</v>
      </c>
      <c r="S840" s="1">
        <f t="shared" si="95"/>
        <v>0.94496726677577736</v>
      </c>
    </row>
    <row r="841" spans="1:19" x14ac:dyDescent="0.3">
      <c r="A841"/>
      <c r="B841"/>
      <c r="C841"/>
      <c r="D841"/>
      <c r="E841"/>
      <c r="F841"/>
      <c r="G841"/>
      <c r="H841"/>
      <c r="I841"/>
      <c r="J841" s="1">
        <f t="shared" si="90"/>
        <v>-5</v>
      </c>
      <c r="K841" s="1">
        <f t="shared" si="91"/>
        <v>-17</v>
      </c>
      <c r="L841" s="1">
        <f t="shared" si="91"/>
        <v>-17</v>
      </c>
      <c r="N841"/>
      <c r="O841"/>
      <c r="P841" s="1">
        <f t="shared" si="92"/>
        <v>0.79928861788617889</v>
      </c>
      <c r="Q841" s="1">
        <f t="shared" si="93"/>
        <v>0.79928861788617889</v>
      </c>
      <c r="R841" s="1">
        <f t="shared" si="94"/>
        <v>0.82624655858060569</v>
      </c>
      <c r="S841" s="1">
        <f t="shared" si="95"/>
        <v>0.94496726677577736</v>
      </c>
    </row>
    <row r="842" spans="1:19" x14ac:dyDescent="0.3">
      <c r="A842"/>
      <c r="B842"/>
      <c r="C842"/>
      <c r="D842"/>
      <c r="E842"/>
      <c r="F842"/>
      <c r="G842"/>
      <c r="H842"/>
      <c r="I842"/>
      <c r="J842" s="1">
        <f t="shared" si="90"/>
        <v>-5</v>
      </c>
      <c r="K842" s="1">
        <f t="shared" si="91"/>
        <v>-17</v>
      </c>
      <c r="L842" s="1">
        <f t="shared" si="91"/>
        <v>-17</v>
      </c>
      <c r="N842"/>
      <c r="O842"/>
      <c r="P842" s="1">
        <f t="shared" si="92"/>
        <v>0.79928861788617889</v>
      </c>
      <c r="Q842" s="1">
        <f t="shared" si="93"/>
        <v>0.79928861788617889</v>
      </c>
      <c r="R842" s="1">
        <f t="shared" si="94"/>
        <v>0.82624655858060569</v>
      </c>
      <c r="S842" s="1">
        <f t="shared" si="95"/>
        <v>0.94496726677577736</v>
      </c>
    </row>
    <row r="843" spans="1:19" x14ac:dyDescent="0.3">
      <c r="A843"/>
      <c r="B843"/>
      <c r="C843"/>
      <c r="D843"/>
      <c r="E843"/>
      <c r="F843"/>
      <c r="G843"/>
      <c r="H843"/>
      <c r="I843"/>
      <c r="J843" s="1">
        <f t="shared" si="90"/>
        <v>-5</v>
      </c>
      <c r="K843" s="1">
        <f t="shared" si="91"/>
        <v>-17</v>
      </c>
      <c r="L843" s="1">
        <f t="shared" si="91"/>
        <v>-17</v>
      </c>
      <c r="N843"/>
      <c r="O843"/>
      <c r="P843" s="1">
        <f t="shared" si="92"/>
        <v>0.79928861788617889</v>
      </c>
      <c r="Q843" s="1">
        <f t="shared" si="93"/>
        <v>0.79928861788617889</v>
      </c>
      <c r="R843" s="1">
        <f t="shared" si="94"/>
        <v>0.82624655858060569</v>
      </c>
      <c r="S843" s="1">
        <f t="shared" si="95"/>
        <v>0.94496726677577736</v>
      </c>
    </row>
    <row r="844" spans="1:19" x14ac:dyDescent="0.3">
      <c r="A844"/>
      <c r="B844"/>
      <c r="C844"/>
      <c r="D844"/>
      <c r="E844"/>
      <c r="F844"/>
      <c r="G844"/>
      <c r="H844"/>
      <c r="I844"/>
      <c r="J844" s="1">
        <f t="shared" si="90"/>
        <v>-5</v>
      </c>
      <c r="K844" s="1">
        <f t="shared" si="91"/>
        <v>-17</v>
      </c>
      <c r="L844" s="1">
        <f t="shared" si="91"/>
        <v>-17</v>
      </c>
      <c r="N844"/>
      <c r="O844"/>
      <c r="P844" s="1">
        <f t="shared" si="92"/>
        <v>0.79928861788617889</v>
      </c>
      <c r="Q844" s="1">
        <f t="shared" si="93"/>
        <v>0.79928861788617889</v>
      </c>
      <c r="R844" s="1">
        <f t="shared" si="94"/>
        <v>0.82624655858060569</v>
      </c>
      <c r="S844" s="1">
        <f t="shared" si="95"/>
        <v>0.94496726677577736</v>
      </c>
    </row>
    <row r="845" spans="1:19" x14ac:dyDescent="0.3">
      <c r="A845"/>
      <c r="B845"/>
      <c r="C845"/>
      <c r="D845"/>
      <c r="E845"/>
      <c r="F845"/>
      <c r="G845"/>
      <c r="H845"/>
      <c r="I845"/>
      <c r="J845" s="1">
        <f t="shared" si="90"/>
        <v>-5</v>
      </c>
      <c r="K845" s="1">
        <f t="shared" si="91"/>
        <v>-17</v>
      </c>
      <c r="L845" s="1">
        <f t="shared" si="91"/>
        <v>-17</v>
      </c>
      <c r="N845"/>
      <c r="O845"/>
      <c r="P845" s="1">
        <f t="shared" si="92"/>
        <v>0.79928861788617889</v>
      </c>
      <c r="Q845" s="1">
        <f t="shared" si="93"/>
        <v>0.79928861788617889</v>
      </c>
      <c r="R845" s="1">
        <f t="shared" si="94"/>
        <v>0.82624655858060569</v>
      </c>
      <c r="S845" s="1">
        <f t="shared" si="95"/>
        <v>0.94496726677577736</v>
      </c>
    </row>
    <row r="846" spans="1:19" x14ac:dyDescent="0.3">
      <c r="A846"/>
      <c r="B846"/>
      <c r="C846"/>
      <c r="D846"/>
      <c r="E846"/>
      <c r="F846"/>
      <c r="G846"/>
      <c r="H846"/>
      <c r="I846"/>
      <c r="J846" s="1">
        <f t="shared" si="90"/>
        <v>-5</v>
      </c>
      <c r="K846" s="1">
        <f t="shared" si="91"/>
        <v>-17</v>
      </c>
      <c r="L846" s="1">
        <f t="shared" si="91"/>
        <v>-17</v>
      </c>
      <c r="N846"/>
      <c r="O846"/>
      <c r="P846" s="1">
        <f t="shared" si="92"/>
        <v>0.79928861788617889</v>
      </c>
      <c r="Q846" s="1">
        <f t="shared" si="93"/>
        <v>0.79928861788617889</v>
      </c>
      <c r="R846" s="1">
        <f t="shared" si="94"/>
        <v>0.82624655858060569</v>
      </c>
      <c r="S846" s="1">
        <f t="shared" si="95"/>
        <v>0.94496726677577736</v>
      </c>
    </row>
    <row r="847" spans="1:19" x14ac:dyDescent="0.3">
      <c r="A847"/>
      <c r="B847"/>
      <c r="C847"/>
      <c r="D847"/>
      <c r="E847"/>
      <c r="F847"/>
      <c r="G847"/>
      <c r="H847"/>
      <c r="I847"/>
      <c r="J847" s="1">
        <f t="shared" si="90"/>
        <v>-5</v>
      </c>
      <c r="K847" s="1">
        <f t="shared" si="91"/>
        <v>-17</v>
      </c>
      <c r="L847" s="1">
        <f t="shared" si="91"/>
        <v>-17</v>
      </c>
      <c r="N847"/>
      <c r="O847"/>
      <c r="P847" s="1">
        <f t="shared" si="92"/>
        <v>0.79928861788617889</v>
      </c>
      <c r="Q847" s="1">
        <f t="shared" si="93"/>
        <v>0.79928861788617889</v>
      </c>
      <c r="R847" s="1">
        <f t="shared" si="94"/>
        <v>0.82624655858060569</v>
      </c>
      <c r="S847" s="1">
        <f t="shared" si="95"/>
        <v>0.94496726677577736</v>
      </c>
    </row>
    <row r="848" spans="1:19" x14ac:dyDescent="0.3">
      <c r="A848"/>
      <c r="B848"/>
      <c r="C848"/>
      <c r="D848"/>
      <c r="E848"/>
      <c r="F848"/>
      <c r="G848"/>
      <c r="H848"/>
      <c r="I848"/>
      <c r="J848" s="1">
        <f t="shared" si="90"/>
        <v>-5</v>
      </c>
      <c r="K848" s="1">
        <f t="shared" si="91"/>
        <v>-17</v>
      </c>
      <c r="L848" s="1">
        <f t="shared" si="91"/>
        <v>-17</v>
      </c>
      <c r="N848"/>
      <c r="O848"/>
      <c r="P848" s="1">
        <f t="shared" si="92"/>
        <v>0.79928861788617889</v>
      </c>
      <c r="Q848" s="1">
        <f t="shared" si="93"/>
        <v>0.79928861788617889</v>
      </c>
      <c r="R848" s="1">
        <f t="shared" si="94"/>
        <v>0.82624655858060569</v>
      </c>
      <c r="S848" s="1">
        <f t="shared" si="95"/>
        <v>0.94496726677577736</v>
      </c>
    </row>
    <row r="849" spans="1:19" x14ac:dyDescent="0.3">
      <c r="A849"/>
      <c r="B849"/>
      <c r="C849"/>
      <c r="D849"/>
      <c r="E849"/>
      <c r="F849"/>
      <c r="G849"/>
      <c r="H849"/>
      <c r="I849"/>
      <c r="J849" s="1">
        <f t="shared" si="90"/>
        <v>-5</v>
      </c>
      <c r="K849" s="1">
        <f t="shared" si="91"/>
        <v>-17</v>
      </c>
      <c r="L849" s="1">
        <f t="shared" si="91"/>
        <v>-17</v>
      </c>
      <c r="N849"/>
      <c r="O849"/>
      <c r="P849" s="1">
        <f t="shared" si="92"/>
        <v>0.79928861788617889</v>
      </c>
      <c r="Q849" s="1">
        <f t="shared" si="93"/>
        <v>0.79928861788617889</v>
      </c>
      <c r="R849" s="1">
        <f t="shared" si="94"/>
        <v>0.82624655858060569</v>
      </c>
      <c r="S849" s="1">
        <f t="shared" si="95"/>
        <v>0.94496726677577736</v>
      </c>
    </row>
    <row r="850" spans="1:19" x14ac:dyDescent="0.3">
      <c r="A850"/>
      <c r="B850"/>
      <c r="C850"/>
      <c r="D850"/>
      <c r="E850"/>
      <c r="F850"/>
      <c r="G850"/>
      <c r="H850"/>
      <c r="I850"/>
      <c r="J850" s="1">
        <f t="shared" si="90"/>
        <v>-5</v>
      </c>
      <c r="K850" s="1">
        <f t="shared" si="91"/>
        <v>-17</v>
      </c>
      <c r="L850" s="1">
        <f t="shared" si="91"/>
        <v>-17</v>
      </c>
      <c r="N850"/>
      <c r="O850"/>
      <c r="P850" s="1">
        <f t="shared" si="92"/>
        <v>0.79928861788617889</v>
      </c>
      <c r="Q850" s="1">
        <f t="shared" si="93"/>
        <v>0.79928861788617889</v>
      </c>
      <c r="R850" s="1">
        <f t="shared" si="94"/>
        <v>0.82624655858060569</v>
      </c>
      <c r="S850" s="1">
        <f t="shared" si="95"/>
        <v>0.94496726677577736</v>
      </c>
    </row>
    <row r="851" spans="1:19" x14ac:dyDescent="0.3">
      <c r="A851"/>
      <c r="B851"/>
      <c r="C851"/>
      <c r="D851"/>
      <c r="E851"/>
      <c r="F851"/>
      <c r="G851"/>
      <c r="H851"/>
      <c r="I851"/>
      <c r="J851" s="1">
        <f t="shared" si="90"/>
        <v>-5</v>
      </c>
      <c r="K851" s="1">
        <f t="shared" si="91"/>
        <v>-17</v>
      </c>
      <c r="L851" s="1">
        <f t="shared" si="91"/>
        <v>-17</v>
      </c>
      <c r="N851"/>
      <c r="O851"/>
      <c r="P851" s="1">
        <f t="shared" si="92"/>
        <v>0.79928861788617889</v>
      </c>
      <c r="Q851" s="1">
        <f t="shared" si="93"/>
        <v>0.79928861788617889</v>
      </c>
      <c r="R851" s="1">
        <f t="shared" si="94"/>
        <v>0.82624655858060569</v>
      </c>
      <c r="S851" s="1">
        <f t="shared" si="95"/>
        <v>0.94496726677577736</v>
      </c>
    </row>
    <row r="852" spans="1:19" x14ac:dyDescent="0.3">
      <c r="A852"/>
      <c r="B852"/>
      <c r="C852"/>
      <c r="D852"/>
      <c r="E852"/>
      <c r="F852"/>
      <c r="G852"/>
      <c r="H852"/>
      <c r="I852"/>
      <c r="J852" s="1">
        <f t="shared" si="90"/>
        <v>-5</v>
      </c>
      <c r="K852" s="1">
        <f t="shared" si="91"/>
        <v>-17</v>
      </c>
      <c r="L852" s="1">
        <f t="shared" si="91"/>
        <v>-17</v>
      </c>
      <c r="N852"/>
      <c r="O852"/>
      <c r="P852" s="1">
        <f t="shared" si="92"/>
        <v>0.79928861788617889</v>
      </c>
      <c r="Q852" s="1">
        <f t="shared" si="93"/>
        <v>0.79928861788617889</v>
      </c>
      <c r="R852" s="1">
        <f t="shared" si="94"/>
        <v>0.82624655858060569</v>
      </c>
      <c r="S852" s="1">
        <f t="shared" si="95"/>
        <v>0.94496726677577736</v>
      </c>
    </row>
    <row r="853" spans="1:19" x14ac:dyDescent="0.3">
      <c r="A853"/>
      <c r="B853"/>
      <c r="C853"/>
      <c r="D853"/>
      <c r="E853"/>
      <c r="F853"/>
      <c r="G853"/>
      <c r="H853"/>
      <c r="I853"/>
      <c r="J853" s="1">
        <f t="shared" si="90"/>
        <v>-5</v>
      </c>
      <c r="K853" s="1">
        <f t="shared" si="91"/>
        <v>-17</v>
      </c>
      <c r="L853" s="1">
        <f t="shared" si="91"/>
        <v>-17</v>
      </c>
      <c r="N853"/>
      <c r="O853"/>
      <c r="P853" s="1">
        <f t="shared" si="92"/>
        <v>0.79928861788617889</v>
      </c>
      <c r="Q853" s="1">
        <f t="shared" si="93"/>
        <v>0.79928861788617889</v>
      </c>
      <c r="R853" s="1">
        <f t="shared" si="94"/>
        <v>0.82624655858060569</v>
      </c>
      <c r="S853" s="1">
        <f t="shared" si="95"/>
        <v>0.94496726677577736</v>
      </c>
    </row>
    <row r="854" spans="1:19" x14ac:dyDescent="0.3">
      <c r="A854"/>
      <c r="B854"/>
      <c r="C854"/>
      <c r="D854"/>
      <c r="E854"/>
      <c r="F854"/>
      <c r="G854"/>
      <c r="H854"/>
      <c r="I854"/>
      <c r="J854" s="1">
        <f t="shared" si="90"/>
        <v>-5</v>
      </c>
      <c r="K854" s="1">
        <f t="shared" si="91"/>
        <v>-17</v>
      </c>
      <c r="L854" s="1">
        <f t="shared" si="91"/>
        <v>-17</v>
      </c>
      <c r="N854"/>
      <c r="O854"/>
      <c r="P854" s="1">
        <f t="shared" si="92"/>
        <v>0.79928861788617889</v>
      </c>
      <c r="Q854" s="1">
        <f t="shared" si="93"/>
        <v>0.79928861788617889</v>
      </c>
      <c r="R854" s="1">
        <f t="shared" si="94"/>
        <v>0.82624655858060569</v>
      </c>
      <c r="S854" s="1">
        <f t="shared" si="95"/>
        <v>0.94496726677577736</v>
      </c>
    </row>
    <row r="855" spans="1:19" x14ac:dyDescent="0.3">
      <c r="A855"/>
      <c r="B855"/>
      <c r="C855"/>
      <c r="D855"/>
      <c r="E855"/>
      <c r="F855"/>
      <c r="G855"/>
      <c r="H855"/>
      <c r="I855"/>
      <c r="J855" s="1">
        <f t="shared" si="90"/>
        <v>-5</v>
      </c>
      <c r="K855" s="1">
        <f t="shared" si="91"/>
        <v>-17</v>
      </c>
      <c r="L855" s="1">
        <f t="shared" si="91"/>
        <v>-17</v>
      </c>
      <c r="N855"/>
      <c r="O855"/>
      <c r="P855" s="1">
        <f t="shared" si="92"/>
        <v>0.79928861788617889</v>
      </c>
      <c r="Q855" s="1">
        <f t="shared" si="93"/>
        <v>0.79928861788617889</v>
      </c>
      <c r="R855" s="1">
        <f t="shared" si="94"/>
        <v>0.82624655858060569</v>
      </c>
      <c r="S855" s="1">
        <f t="shared" si="95"/>
        <v>0.94496726677577736</v>
      </c>
    </row>
    <row r="856" spans="1:19" x14ac:dyDescent="0.3">
      <c r="A856"/>
      <c r="B856"/>
      <c r="C856"/>
      <c r="D856"/>
      <c r="E856"/>
      <c r="F856"/>
      <c r="G856"/>
      <c r="H856"/>
      <c r="I856"/>
      <c r="J856" s="1">
        <f t="shared" si="90"/>
        <v>-5</v>
      </c>
      <c r="K856" s="1">
        <f t="shared" si="91"/>
        <v>-17</v>
      </c>
      <c r="L856" s="1">
        <f t="shared" si="91"/>
        <v>-17</v>
      </c>
      <c r="N856"/>
      <c r="O856"/>
      <c r="P856" s="1">
        <f t="shared" si="92"/>
        <v>0.79928861788617889</v>
      </c>
      <c r="Q856" s="1">
        <f t="shared" si="93"/>
        <v>0.79928861788617889</v>
      </c>
      <c r="R856" s="1">
        <f t="shared" si="94"/>
        <v>0.82624655858060569</v>
      </c>
      <c r="S856" s="1">
        <f t="shared" si="95"/>
        <v>0.94496726677577736</v>
      </c>
    </row>
    <row r="857" spans="1:19" x14ac:dyDescent="0.3">
      <c r="A857"/>
      <c r="B857"/>
      <c r="C857"/>
      <c r="D857"/>
      <c r="E857"/>
      <c r="F857"/>
      <c r="G857"/>
      <c r="H857"/>
      <c r="I857"/>
      <c r="J857" s="1">
        <f t="shared" si="90"/>
        <v>-5</v>
      </c>
      <c r="K857" s="1">
        <f t="shared" si="91"/>
        <v>-17</v>
      </c>
      <c r="L857" s="1">
        <f t="shared" si="91"/>
        <v>-17</v>
      </c>
      <c r="N857"/>
      <c r="O857"/>
      <c r="P857" s="1">
        <f t="shared" si="92"/>
        <v>0.79928861788617889</v>
      </c>
      <c r="Q857" s="1">
        <f t="shared" si="93"/>
        <v>0.79928861788617889</v>
      </c>
      <c r="R857" s="1">
        <f t="shared" si="94"/>
        <v>0.82624655858060569</v>
      </c>
      <c r="S857" s="1">
        <f t="shared" si="95"/>
        <v>0.94496726677577736</v>
      </c>
    </row>
    <row r="858" spans="1:19" x14ac:dyDescent="0.3">
      <c r="A858"/>
      <c r="B858"/>
      <c r="C858"/>
      <c r="D858"/>
      <c r="E858"/>
      <c r="F858"/>
      <c r="G858"/>
      <c r="H858"/>
      <c r="I858"/>
      <c r="J858" s="1">
        <f t="shared" si="90"/>
        <v>-5</v>
      </c>
      <c r="K858" s="1">
        <f t="shared" si="91"/>
        <v>-17</v>
      </c>
      <c r="L858" s="1">
        <f t="shared" si="91"/>
        <v>-17</v>
      </c>
      <c r="N858"/>
      <c r="O858"/>
      <c r="P858" s="1">
        <f t="shared" si="92"/>
        <v>0.79928861788617889</v>
      </c>
      <c r="Q858" s="1">
        <f t="shared" si="93"/>
        <v>0.79928861788617889</v>
      </c>
      <c r="R858" s="1">
        <f t="shared" si="94"/>
        <v>0.82624655858060569</v>
      </c>
      <c r="S858" s="1">
        <f t="shared" si="95"/>
        <v>0.94496726677577736</v>
      </c>
    </row>
    <row r="859" spans="1:19" x14ac:dyDescent="0.3">
      <c r="A859"/>
      <c r="B859"/>
      <c r="C859"/>
      <c r="D859"/>
      <c r="E859"/>
      <c r="F859"/>
      <c r="G859"/>
      <c r="H859"/>
      <c r="I859"/>
      <c r="J859" s="1">
        <f t="shared" si="90"/>
        <v>-5</v>
      </c>
      <c r="K859" s="1">
        <f t="shared" si="91"/>
        <v>-17</v>
      </c>
      <c r="L859" s="1">
        <f t="shared" si="91"/>
        <v>-17</v>
      </c>
      <c r="N859"/>
      <c r="O859"/>
      <c r="P859" s="1">
        <f t="shared" si="92"/>
        <v>0.79928861788617889</v>
      </c>
      <c r="Q859" s="1">
        <f t="shared" si="93"/>
        <v>0.79928861788617889</v>
      </c>
      <c r="R859" s="1">
        <f t="shared" si="94"/>
        <v>0.82624655858060569</v>
      </c>
      <c r="S859" s="1">
        <f t="shared" si="95"/>
        <v>0.94496726677577736</v>
      </c>
    </row>
    <row r="860" spans="1:19" x14ac:dyDescent="0.3">
      <c r="A860"/>
      <c r="B860"/>
      <c r="C860"/>
      <c r="D860"/>
      <c r="E860"/>
      <c r="F860"/>
      <c r="G860"/>
      <c r="H860"/>
      <c r="I860"/>
      <c r="J860" s="1">
        <f t="shared" si="90"/>
        <v>-5</v>
      </c>
      <c r="K860" s="1">
        <f t="shared" si="91"/>
        <v>-17</v>
      </c>
      <c r="L860" s="1">
        <f t="shared" si="91"/>
        <v>-17</v>
      </c>
      <c r="N860"/>
      <c r="O860"/>
      <c r="P860" s="1">
        <f t="shared" si="92"/>
        <v>0.79928861788617889</v>
      </c>
      <c r="Q860" s="1">
        <f t="shared" si="93"/>
        <v>0.79928861788617889</v>
      </c>
      <c r="R860" s="1">
        <f t="shared" si="94"/>
        <v>0.82624655858060569</v>
      </c>
      <c r="S860" s="1">
        <f t="shared" si="95"/>
        <v>0.94496726677577736</v>
      </c>
    </row>
    <row r="861" spans="1:19" x14ac:dyDescent="0.3">
      <c r="A861"/>
      <c r="B861"/>
      <c r="C861"/>
      <c r="D861"/>
      <c r="E861"/>
      <c r="F861"/>
      <c r="G861"/>
      <c r="H861"/>
      <c r="I861"/>
      <c r="J861" s="1">
        <f t="shared" si="90"/>
        <v>-5</v>
      </c>
      <c r="K861" s="1">
        <f t="shared" si="91"/>
        <v>-17</v>
      </c>
      <c r="L861" s="1">
        <f t="shared" si="91"/>
        <v>-17</v>
      </c>
      <c r="N861"/>
      <c r="O861"/>
      <c r="P861" s="1">
        <f t="shared" si="92"/>
        <v>0.79928861788617889</v>
      </c>
      <c r="Q861" s="1">
        <f t="shared" si="93"/>
        <v>0.79928861788617889</v>
      </c>
      <c r="R861" s="1">
        <f t="shared" si="94"/>
        <v>0.82624655858060569</v>
      </c>
      <c r="S861" s="1">
        <f t="shared" si="95"/>
        <v>0.94496726677577736</v>
      </c>
    </row>
    <row r="862" spans="1:19" x14ac:dyDescent="0.3">
      <c r="A862"/>
      <c r="B862"/>
      <c r="C862"/>
      <c r="D862"/>
      <c r="E862"/>
      <c r="F862"/>
      <c r="G862"/>
      <c r="H862"/>
      <c r="I862"/>
      <c r="J862" s="1">
        <f t="shared" si="90"/>
        <v>-5</v>
      </c>
      <c r="K862" s="1">
        <f t="shared" si="91"/>
        <v>-17</v>
      </c>
      <c r="L862" s="1">
        <f t="shared" si="91"/>
        <v>-17</v>
      </c>
      <c r="N862"/>
      <c r="O862"/>
      <c r="P862" s="1">
        <f t="shared" si="92"/>
        <v>0.79928861788617889</v>
      </c>
      <c r="Q862" s="1">
        <f t="shared" si="93"/>
        <v>0.79928861788617889</v>
      </c>
      <c r="R862" s="1">
        <f t="shared" si="94"/>
        <v>0.82624655858060569</v>
      </c>
      <c r="S862" s="1">
        <f t="shared" si="95"/>
        <v>0.94496726677577736</v>
      </c>
    </row>
    <row r="863" spans="1:19" x14ac:dyDescent="0.3">
      <c r="A863"/>
      <c r="B863"/>
      <c r="C863"/>
      <c r="D863"/>
      <c r="E863"/>
      <c r="F863"/>
      <c r="G863"/>
      <c r="H863"/>
      <c r="I863"/>
      <c r="J863" s="1">
        <f t="shared" si="90"/>
        <v>-5</v>
      </c>
      <c r="K863" s="1">
        <f t="shared" si="91"/>
        <v>-17</v>
      </c>
      <c r="L863" s="1">
        <f t="shared" si="91"/>
        <v>-17</v>
      </c>
      <c r="N863"/>
      <c r="O863"/>
      <c r="P863" s="1">
        <f t="shared" si="92"/>
        <v>0.79928861788617889</v>
      </c>
      <c r="Q863" s="1">
        <f t="shared" si="93"/>
        <v>0.79928861788617889</v>
      </c>
      <c r="R863" s="1">
        <f t="shared" si="94"/>
        <v>0.82624655858060569</v>
      </c>
      <c r="S863" s="1">
        <f t="shared" si="95"/>
        <v>0.94496726677577736</v>
      </c>
    </row>
    <row r="864" spans="1:19" x14ac:dyDescent="0.3">
      <c r="A864"/>
      <c r="B864"/>
      <c r="C864"/>
      <c r="D864"/>
      <c r="E864"/>
      <c r="F864"/>
      <c r="G864"/>
      <c r="H864"/>
      <c r="I864"/>
      <c r="J864" s="1">
        <f t="shared" si="90"/>
        <v>-5</v>
      </c>
      <c r="K864" s="1">
        <f t="shared" si="91"/>
        <v>-17</v>
      </c>
      <c r="L864" s="1">
        <f t="shared" si="91"/>
        <v>-17</v>
      </c>
      <c r="N864"/>
      <c r="O864"/>
      <c r="P864" s="1">
        <f t="shared" si="92"/>
        <v>0.79928861788617889</v>
      </c>
      <c r="Q864" s="1">
        <f t="shared" si="93"/>
        <v>0.79928861788617889</v>
      </c>
      <c r="R864" s="1">
        <f t="shared" si="94"/>
        <v>0.82624655858060569</v>
      </c>
      <c r="S864" s="1">
        <f t="shared" si="95"/>
        <v>0.94496726677577736</v>
      </c>
    </row>
    <row r="865" spans="1:19" x14ac:dyDescent="0.3">
      <c r="A865"/>
      <c r="B865"/>
      <c r="C865"/>
      <c r="D865"/>
      <c r="E865"/>
      <c r="F865"/>
      <c r="G865"/>
      <c r="H865"/>
      <c r="I865"/>
      <c r="J865" s="1">
        <f t="shared" si="90"/>
        <v>-5</v>
      </c>
      <c r="K865" s="1">
        <f t="shared" si="91"/>
        <v>-17</v>
      </c>
      <c r="L865" s="1">
        <f t="shared" si="91"/>
        <v>-17</v>
      </c>
      <c r="N865"/>
      <c r="O865"/>
      <c r="P865" s="1">
        <f t="shared" si="92"/>
        <v>0.79928861788617889</v>
      </c>
      <c r="Q865" s="1">
        <f t="shared" si="93"/>
        <v>0.79928861788617889</v>
      </c>
      <c r="R865" s="1">
        <f t="shared" si="94"/>
        <v>0.82624655858060569</v>
      </c>
      <c r="S865" s="1">
        <f t="shared" si="95"/>
        <v>0.94496726677577736</v>
      </c>
    </row>
    <row r="866" spans="1:19" x14ac:dyDescent="0.3">
      <c r="A866"/>
      <c r="B866"/>
      <c r="C866"/>
      <c r="D866"/>
      <c r="E866"/>
      <c r="F866"/>
      <c r="G866"/>
      <c r="H866"/>
      <c r="I866"/>
      <c r="J866" s="1">
        <f t="shared" si="90"/>
        <v>-5</v>
      </c>
      <c r="K866" s="1">
        <f t="shared" si="91"/>
        <v>-17</v>
      </c>
      <c r="L866" s="1">
        <f t="shared" si="91"/>
        <v>-17</v>
      </c>
      <c r="N866"/>
      <c r="O866"/>
      <c r="P866" s="1">
        <f t="shared" si="92"/>
        <v>0.79928861788617889</v>
      </c>
      <c r="Q866" s="1">
        <f t="shared" si="93"/>
        <v>0.79928861788617889</v>
      </c>
      <c r="R866" s="1">
        <f t="shared" si="94"/>
        <v>0.82624655858060569</v>
      </c>
      <c r="S866" s="1">
        <f t="shared" si="95"/>
        <v>0.94496726677577736</v>
      </c>
    </row>
    <row r="867" spans="1:19" x14ac:dyDescent="0.3">
      <c r="A867"/>
      <c r="B867"/>
      <c r="C867"/>
      <c r="D867"/>
      <c r="E867"/>
      <c r="F867"/>
      <c r="G867"/>
      <c r="H867"/>
      <c r="I867"/>
      <c r="J867" s="1">
        <f t="shared" si="90"/>
        <v>-5</v>
      </c>
      <c r="K867" s="1">
        <f t="shared" si="91"/>
        <v>-17</v>
      </c>
      <c r="L867" s="1">
        <f t="shared" si="91"/>
        <v>-17</v>
      </c>
      <c r="N867"/>
      <c r="O867"/>
      <c r="P867" s="1">
        <f t="shared" si="92"/>
        <v>0.79928861788617889</v>
      </c>
      <c r="Q867" s="1">
        <f t="shared" si="93"/>
        <v>0.79928861788617889</v>
      </c>
      <c r="R867" s="1">
        <f t="shared" si="94"/>
        <v>0.82624655858060569</v>
      </c>
      <c r="S867" s="1">
        <f t="shared" si="95"/>
        <v>0.94496726677577736</v>
      </c>
    </row>
    <row r="868" spans="1:19" x14ac:dyDescent="0.3">
      <c r="A868"/>
      <c r="B868"/>
      <c r="C868"/>
      <c r="D868"/>
      <c r="E868"/>
      <c r="F868"/>
      <c r="G868"/>
      <c r="H868"/>
      <c r="I868"/>
      <c r="J868" s="1">
        <f t="shared" ref="J868:J874" si="96">E868-5</f>
        <v>-5</v>
      </c>
      <c r="K868" s="1">
        <f t="shared" ref="K868:L874" si="97">G868-17</f>
        <v>-17</v>
      </c>
      <c r="L868" s="1">
        <f t="shared" si="97"/>
        <v>-17</v>
      </c>
      <c r="N868"/>
      <c r="O868"/>
      <c r="P868" s="1">
        <f t="shared" si="92"/>
        <v>0.79928861788617889</v>
      </c>
      <c r="Q868" s="1">
        <f t="shared" si="93"/>
        <v>0.79928861788617889</v>
      </c>
      <c r="R868" s="1">
        <f t="shared" si="94"/>
        <v>0.82624655858060569</v>
      </c>
      <c r="S868" s="1">
        <f t="shared" si="95"/>
        <v>0.94496726677577736</v>
      </c>
    </row>
    <row r="869" spans="1:19" x14ac:dyDescent="0.3">
      <c r="A869"/>
      <c r="B869"/>
      <c r="C869"/>
      <c r="D869"/>
      <c r="E869"/>
      <c r="F869"/>
      <c r="G869"/>
      <c r="H869"/>
      <c r="I869"/>
      <c r="J869" s="1">
        <f t="shared" si="96"/>
        <v>-5</v>
      </c>
      <c r="K869" s="1">
        <f t="shared" si="97"/>
        <v>-17</v>
      </c>
      <c r="L869" s="1">
        <f t="shared" si="97"/>
        <v>-17</v>
      </c>
      <c r="N869"/>
      <c r="O869"/>
      <c r="P869" s="1">
        <f t="shared" si="92"/>
        <v>0.79928861788617889</v>
      </c>
      <c r="Q869" s="1">
        <f t="shared" si="93"/>
        <v>0.79928861788617889</v>
      </c>
      <c r="R869" s="1">
        <f t="shared" si="94"/>
        <v>0.82624655858060569</v>
      </c>
      <c r="S869" s="1">
        <f t="shared" si="95"/>
        <v>0.94496726677577736</v>
      </c>
    </row>
    <row r="870" spans="1:19" x14ac:dyDescent="0.3">
      <c r="A870"/>
      <c r="B870"/>
      <c r="C870"/>
      <c r="D870"/>
      <c r="E870"/>
      <c r="F870"/>
      <c r="G870"/>
      <c r="H870"/>
      <c r="I870"/>
      <c r="J870" s="1">
        <f t="shared" si="96"/>
        <v>-5</v>
      </c>
      <c r="K870" s="1">
        <f t="shared" si="97"/>
        <v>-17</v>
      </c>
      <c r="L870" s="1">
        <f t="shared" si="97"/>
        <v>-17</v>
      </c>
      <c r="N870"/>
      <c r="O870"/>
      <c r="P870" s="1">
        <f t="shared" si="92"/>
        <v>0.79928861788617889</v>
      </c>
      <c r="Q870" s="1">
        <f t="shared" si="93"/>
        <v>0.79928861788617889</v>
      </c>
      <c r="R870" s="1">
        <f t="shared" si="94"/>
        <v>0.82624655858060569</v>
      </c>
      <c r="S870" s="1">
        <f t="shared" si="95"/>
        <v>0.94496726677577736</v>
      </c>
    </row>
    <row r="871" spans="1:19" x14ac:dyDescent="0.3">
      <c r="A871"/>
      <c r="B871"/>
      <c r="C871"/>
      <c r="D871"/>
      <c r="E871"/>
      <c r="F871"/>
      <c r="G871"/>
      <c r="H871"/>
      <c r="I871"/>
      <c r="J871" s="1">
        <f t="shared" si="96"/>
        <v>-5</v>
      </c>
      <c r="K871" s="1">
        <f t="shared" si="97"/>
        <v>-17</v>
      </c>
      <c r="L871" s="1">
        <f t="shared" si="97"/>
        <v>-17</v>
      </c>
      <c r="N871"/>
      <c r="O871"/>
      <c r="P871" s="1">
        <f t="shared" si="92"/>
        <v>0.79928861788617889</v>
      </c>
      <c r="Q871" s="1">
        <f t="shared" si="93"/>
        <v>0.79928861788617889</v>
      </c>
      <c r="R871" s="1">
        <f t="shared" si="94"/>
        <v>0.82624655858060569</v>
      </c>
      <c r="S871" s="1">
        <f t="shared" si="95"/>
        <v>0.94496726677577736</v>
      </c>
    </row>
    <row r="872" spans="1:19" x14ac:dyDescent="0.3">
      <c r="A872"/>
      <c r="B872"/>
      <c r="C872"/>
      <c r="D872"/>
      <c r="E872"/>
      <c r="F872"/>
      <c r="G872"/>
      <c r="H872"/>
      <c r="I872"/>
      <c r="J872" s="1">
        <f t="shared" si="96"/>
        <v>-5</v>
      </c>
      <c r="K872" s="1">
        <f t="shared" si="97"/>
        <v>-17</v>
      </c>
      <c r="L872" s="1">
        <f t="shared" si="97"/>
        <v>-17</v>
      </c>
      <c r="N872"/>
      <c r="O872"/>
      <c r="P872" s="1">
        <f t="shared" si="92"/>
        <v>0.79928861788617889</v>
      </c>
      <c r="Q872" s="1">
        <f t="shared" si="93"/>
        <v>0.79928861788617889</v>
      </c>
      <c r="R872" s="1">
        <f t="shared" si="94"/>
        <v>0.82624655858060569</v>
      </c>
      <c r="S872" s="1">
        <f t="shared" si="95"/>
        <v>0.94496726677577736</v>
      </c>
    </row>
    <row r="873" spans="1:19" x14ac:dyDescent="0.3">
      <c r="A873"/>
      <c r="B873"/>
      <c r="C873"/>
      <c r="D873"/>
      <c r="E873"/>
      <c r="F873"/>
      <c r="G873"/>
      <c r="H873"/>
      <c r="I873"/>
      <c r="J873" s="1">
        <f t="shared" si="96"/>
        <v>-5</v>
      </c>
      <c r="K873" s="1">
        <f t="shared" si="97"/>
        <v>-17</v>
      </c>
      <c r="L873" s="1">
        <f t="shared" si="97"/>
        <v>-17</v>
      </c>
      <c r="N873"/>
      <c r="O873"/>
      <c r="P873" s="1">
        <f t="shared" si="92"/>
        <v>0.79928861788617889</v>
      </c>
      <c r="Q873" s="1">
        <f t="shared" si="93"/>
        <v>0.79928861788617889</v>
      </c>
      <c r="R873" s="1">
        <f t="shared" si="94"/>
        <v>0.82624655858060569</v>
      </c>
      <c r="S873" s="1">
        <f t="shared" si="95"/>
        <v>0.94496726677577736</v>
      </c>
    </row>
    <row r="874" spans="1:19" x14ac:dyDescent="0.3">
      <c r="A874"/>
      <c r="B874"/>
      <c r="C874"/>
      <c r="D874"/>
      <c r="E874"/>
      <c r="F874"/>
      <c r="G874"/>
      <c r="H874"/>
      <c r="I874"/>
      <c r="J874" s="1">
        <f t="shared" si="96"/>
        <v>-5</v>
      </c>
      <c r="K874" s="1">
        <f t="shared" si="97"/>
        <v>-17</v>
      </c>
      <c r="L874" s="1">
        <f t="shared" si="97"/>
        <v>-17</v>
      </c>
      <c r="N874"/>
      <c r="O874"/>
      <c r="P874" s="1">
        <f t="shared" si="92"/>
        <v>0.79928861788617889</v>
      </c>
      <c r="Q874" s="1">
        <f t="shared" si="93"/>
        <v>0.79928861788617889</v>
      </c>
      <c r="R874" s="1">
        <f t="shared" si="94"/>
        <v>0.82624655858060569</v>
      </c>
      <c r="S874" s="1">
        <f t="shared" si="95"/>
        <v>0.94496726677577736</v>
      </c>
    </row>
    <row r="875" spans="1:19" x14ac:dyDescent="0.3">
      <c r="A875"/>
      <c r="B875"/>
      <c r="C875"/>
      <c r="D875"/>
      <c r="E875"/>
      <c r="F875"/>
      <c r="G875"/>
      <c r="H875"/>
      <c r="I875"/>
      <c r="N875"/>
      <c r="O875"/>
      <c r="P875" s="1">
        <f t="shared" ref="P875:P924" si="98">(B857+Q$36)/P$36</f>
        <v>0.79928861788617889</v>
      </c>
      <c r="Q875" s="1">
        <f t="shared" ref="Q875:Q924" si="99">(C857+Q$36)/P$36</f>
        <v>0.79928861788617889</v>
      </c>
      <c r="R875" s="1">
        <f t="shared" ref="R875:R924" si="100">(D857+Q$38)/P$38</f>
        <v>0.82624655858060569</v>
      </c>
      <c r="S875" s="1">
        <f t="shared" ref="S875:S924" si="101">(E857+Q$39)/P$39</f>
        <v>0.94496726677577736</v>
      </c>
    </row>
    <row r="876" spans="1:19" x14ac:dyDescent="0.3">
      <c r="A876"/>
      <c r="B876"/>
      <c r="C876"/>
      <c r="D876"/>
      <c r="E876"/>
      <c r="F876"/>
      <c r="G876"/>
      <c r="H876"/>
      <c r="I876"/>
      <c r="N876"/>
      <c r="O876"/>
      <c r="P876" s="1">
        <f t="shared" si="98"/>
        <v>0.79928861788617889</v>
      </c>
      <c r="Q876" s="1">
        <f t="shared" si="99"/>
        <v>0.79928861788617889</v>
      </c>
      <c r="R876" s="1">
        <f t="shared" si="100"/>
        <v>0.82624655858060569</v>
      </c>
      <c r="S876" s="1">
        <f t="shared" si="101"/>
        <v>0.94496726677577736</v>
      </c>
    </row>
    <row r="877" spans="1:19" x14ac:dyDescent="0.3">
      <c r="A877"/>
      <c r="B877"/>
      <c r="C877"/>
      <c r="D877"/>
      <c r="E877"/>
      <c r="F877"/>
      <c r="G877"/>
      <c r="H877"/>
      <c r="I877"/>
      <c r="N877"/>
      <c r="O877"/>
      <c r="P877" s="1">
        <f t="shared" si="98"/>
        <v>0.79928861788617889</v>
      </c>
      <c r="Q877" s="1">
        <f t="shared" si="99"/>
        <v>0.79928861788617889</v>
      </c>
      <c r="R877" s="1">
        <f t="shared" si="100"/>
        <v>0.82624655858060569</v>
      </c>
      <c r="S877" s="1">
        <f t="shared" si="101"/>
        <v>0.94496726677577736</v>
      </c>
    </row>
    <row r="878" spans="1:19" x14ac:dyDescent="0.3">
      <c r="A878"/>
      <c r="B878"/>
      <c r="C878"/>
      <c r="D878"/>
      <c r="E878"/>
      <c r="F878"/>
      <c r="G878"/>
      <c r="H878"/>
      <c r="I878"/>
      <c r="N878"/>
      <c r="O878"/>
      <c r="P878" s="1">
        <f t="shared" si="98"/>
        <v>0.79928861788617889</v>
      </c>
      <c r="Q878" s="1">
        <f t="shared" si="99"/>
        <v>0.79928861788617889</v>
      </c>
      <c r="R878" s="1">
        <f t="shared" si="100"/>
        <v>0.82624655858060569</v>
      </c>
      <c r="S878" s="1">
        <f t="shared" si="101"/>
        <v>0.94496726677577736</v>
      </c>
    </row>
    <row r="879" spans="1:19" x14ac:dyDescent="0.3">
      <c r="A879"/>
      <c r="B879"/>
      <c r="C879"/>
      <c r="D879"/>
      <c r="E879"/>
      <c r="F879"/>
      <c r="G879"/>
      <c r="H879"/>
      <c r="I879"/>
      <c r="N879"/>
      <c r="O879"/>
      <c r="P879" s="1">
        <f t="shared" si="98"/>
        <v>0.79928861788617889</v>
      </c>
      <c r="Q879" s="1">
        <f t="shared" si="99"/>
        <v>0.79928861788617889</v>
      </c>
      <c r="R879" s="1">
        <f t="shared" si="100"/>
        <v>0.82624655858060569</v>
      </c>
      <c r="S879" s="1">
        <f t="shared" si="101"/>
        <v>0.94496726677577736</v>
      </c>
    </row>
    <row r="880" spans="1:19" x14ac:dyDescent="0.3">
      <c r="A880"/>
      <c r="B880"/>
      <c r="C880"/>
      <c r="D880"/>
      <c r="E880"/>
      <c r="F880"/>
      <c r="G880"/>
      <c r="H880"/>
      <c r="I880"/>
      <c r="N880"/>
      <c r="O880"/>
      <c r="P880" s="1">
        <f t="shared" si="98"/>
        <v>0.79928861788617889</v>
      </c>
      <c r="Q880" s="1">
        <f t="shared" si="99"/>
        <v>0.79928861788617889</v>
      </c>
      <c r="R880" s="1">
        <f t="shared" si="100"/>
        <v>0.82624655858060569</v>
      </c>
      <c r="S880" s="1">
        <f t="shared" si="101"/>
        <v>0.94496726677577736</v>
      </c>
    </row>
    <row r="881" spans="1:19" x14ac:dyDescent="0.3">
      <c r="A881"/>
      <c r="B881"/>
      <c r="C881"/>
      <c r="D881"/>
      <c r="E881"/>
      <c r="F881"/>
      <c r="G881"/>
      <c r="H881"/>
      <c r="I881"/>
      <c r="N881"/>
      <c r="O881"/>
      <c r="P881" s="1">
        <f t="shared" si="98"/>
        <v>0.79928861788617889</v>
      </c>
      <c r="Q881" s="1">
        <f t="shared" si="99"/>
        <v>0.79928861788617889</v>
      </c>
      <c r="R881" s="1">
        <f t="shared" si="100"/>
        <v>0.82624655858060569</v>
      </c>
      <c r="S881" s="1">
        <f t="shared" si="101"/>
        <v>0.94496726677577736</v>
      </c>
    </row>
    <row r="882" spans="1:19" x14ac:dyDescent="0.3">
      <c r="A882"/>
      <c r="B882"/>
      <c r="C882"/>
      <c r="D882"/>
      <c r="E882"/>
      <c r="F882"/>
      <c r="G882"/>
      <c r="H882"/>
      <c r="I882"/>
      <c r="N882"/>
      <c r="O882"/>
      <c r="P882" s="1">
        <f t="shared" si="98"/>
        <v>0.79928861788617889</v>
      </c>
      <c r="Q882" s="1">
        <f t="shared" si="99"/>
        <v>0.79928861788617889</v>
      </c>
      <c r="R882" s="1">
        <f t="shared" si="100"/>
        <v>0.82624655858060569</v>
      </c>
      <c r="S882" s="1">
        <f t="shared" si="101"/>
        <v>0.94496726677577736</v>
      </c>
    </row>
    <row r="883" spans="1:19" x14ac:dyDescent="0.3">
      <c r="A883"/>
      <c r="B883"/>
      <c r="C883"/>
      <c r="D883"/>
      <c r="E883"/>
      <c r="F883"/>
      <c r="G883"/>
      <c r="H883"/>
      <c r="I883"/>
      <c r="N883"/>
      <c r="O883"/>
      <c r="P883" s="1">
        <f t="shared" si="98"/>
        <v>0.79928861788617889</v>
      </c>
      <c r="Q883" s="1">
        <f t="shared" si="99"/>
        <v>0.79928861788617889</v>
      </c>
      <c r="R883" s="1">
        <f t="shared" si="100"/>
        <v>0.82624655858060569</v>
      </c>
      <c r="S883" s="1">
        <f t="shared" si="101"/>
        <v>0.94496726677577736</v>
      </c>
    </row>
    <row r="884" spans="1:19" x14ac:dyDescent="0.3">
      <c r="A884"/>
      <c r="B884"/>
      <c r="C884"/>
      <c r="D884"/>
      <c r="E884"/>
      <c r="F884"/>
      <c r="G884"/>
      <c r="H884"/>
      <c r="I884"/>
      <c r="N884"/>
      <c r="O884"/>
      <c r="P884" s="1">
        <f t="shared" si="98"/>
        <v>0.79928861788617889</v>
      </c>
      <c r="Q884" s="1">
        <f t="shared" si="99"/>
        <v>0.79928861788617889</v>
      </c>
      <c r="R884" s="1">
        <f t="shared" si="100"/>
        <v>0.82624655858060569</v>
      </c>
      <c r="S884" s="1">
        <f t="shared" si="101"/>
        <v>0.94496726677577736</v>
      </c>
    </row>
    <row r="885" spans="1:19" x14ac:dyDescent="0.3">
      <c r="A885"/>
      <c r="B885"/>
      <c r="C885"/>
      <c r="D885"/>
      <c r="E885"/>
      <c r="F885"/>
      <c r="G885"/>
      <c r="H885"/>
      <c r="I885"/>
      <c r="N885"/>
      <c r="O885"/>
      <c r="P885" s="1">
        <f t="shared" si="98"/>
        <v>0.79928861788617889</v>
      </c>
      <c r="Q885" s="1">
        <f t="shared" si="99"/>
        <v>0.79928861788617889</v>
      </c>
      <c r="R885" s="1">
        <f t="shared" si="100"/>
        <v>0.82624655858060569</v>
      </c>
      <c r="S885" s="1">
        <f t="shared" si="101"/>
        <v>0.94496726677577736</v>
      </c>
    </row>
    <row r="886" spans="1:19" x14ac:dyDescent="0.3">
      <c r="A886"/>
      <c r="B886"/>
      <c r="C886"/>
      <c r="D886"/>
      <c r="E886"/>
      <c r="F886"/>
      <c r="G886"/>
      <c r="H886"/>
      <c r="I886"/>
      <c r="N886"/>
      <c r="O886"/>
      <c r="P886" s="1">
        <f t="shared" si="98"/>
        <v>0.79928861788617889</v>
      </c>
      <c r="Q886" s="1">
        <f t="shared" si="99"/>
        <v>0.79928861788617889</v>
      </c>
      <c r="R886" s="1">
        <f t="shared" si="100"/>
        <v>0.82624655858060569</v>
      </c>
      <c r="S886" s="1">
        <f t="shared" si="101"/>
        <v>0.94496726677577736</v>
      </c>
    </row>
    <row r="887" spans="1:19" x14ac:dyDescent="0.3">
      <c r="A887"/>
      <c r="B887"/>
      <c r="C887"/>
      <c r="D887"/>
      <c r="E887"/>
      <c r="F887"/>
      <c r="G887"/>
      <c r="H887"/>
      <c r="I887"/>
      <c r="N887"/>
      <c r="O887"/>
      <c r="P887" s="1">
        <f t="shared" si="98"/>
        <v>0.79928861788617889</v>
      </c>
      <c r="Q887" s="1">
        <f t="shared" si="99"/>
        <v>0.79928861788617889</v>
      </c>
      <c r="R887" s="1">
        <f t="shared" si="100"/>
        <v>0.82624655858060569</v>
      </c>
      <c r="S887" s="1">
        <f t="shared" si="101"/>
        <v>0.94496726677577736</v>
      </c>
    </row>
    <row r="888" spans="1:19" x14ac:dyDescent="0.3">
      <c r="A888"/>
      <c r="B888"/>
      <c r="C888"/>
      <c r="D888"/>
      <c r="E888"/>
      <c r="F888"/>
      <c r="G888"/>
      <c r="H888"/>
      <c r="I888"/>
      <c r="N888"/>
      <c r="O888"/>
      <c r="P888" s="1">
        <f t="shared" si="98"/>
        <v>0.79928861788617889</v>
      </c>
      <c r="Q888" s="1">
        <f t="shared" si="99"/>
        <v>0.79928861788617889</v>
      </c>
      <c r="R888" s="1">
        <f t="shared" si="100"/>
        <v>0.82624655858060569</v>
      </c>
      <c r="S888" s="1">
        <f t="shared" si="101"/>
        <v>0.94496726677577736</v>
      </c>
    </row>
    <row r="889" spans="1:19" x14ac:dyDescent="0.3">
      <c r="A889"/>
      <c r="B889"/>
      <c r="C889"/>
      <c r="D889"/>
      <c r="E889"/>
      <c r="F889"/>
      <c r="G889"/>
      <c r="H889"/>
      <c r="I889"/>
      <c r="N889"/>
      <c r="O889"/>
      <c r="P889" s="1">
        <f t="shared" si="98"/>
        <v>0.79928861788617889</v>
      </c>
      <c r="Q889" s="1">
        <f t="shared" si="99"/>
        <v>0.79928861788617889</v>
      </c>
      <c r="R889" s="1">
        <f t="shared" si="100"/>
        <v>0.82624655858060569</v>
      </c>
      <c r="S889" s="1">
        <f t="shared" si="101"/>
        <v>0.94496726677577736</v>
      </c>
    </row>
    <row r="890" spans="1:19" x14ac:dyDescent="0.3">
      <c r="A890"/>
      <c r="B890"/>
      <c r="C890"/>
      <c r="D890"/>
      <c r="E890"/>
      <c r="F890"/>
      <c r="G890"/>
      <c r="H890"/>
      <c r="I890"/>
      <c r="N890"/>
      <c r="O890"/>
      <c r="P890" s="1">
        <f t="shared" si="98"/>
        <v>0.79928861788617889</v>
      </c>
      <c r="Q890" s="1">
        <f t="shared" si="99"/>
        <v>0.79928861788617889</v>
      </c>
      <c r="R890" s="1">
        <f t="shared" si="100"/>
        <v>0.82624655858060569</v>
      </c>
      <c r="S890" s="1">
        <f t="shared" si="101"/>
        <v>0.94496726677577736</v>
      </c>
    </row>
    <row r="891" spans="1:19" x14ac:dyDescent="0.3">
      <c r="A891"/>
      <c r="B891"/>
      <c r="C891"/>
      <c r="D891"/>
      <c r="E891"/>
      <c r="F891"/>
      <c r="G891"/>
      <c r="H891"/>
      <c r="I891"/>
      <c r="N891"/>
      <c r="O891"/>
      <c r="P891" s="1">
        <f t="shared" si="98"/>
        <v>0.79928861788617889</v>
      </c>
      <c r="Q891" s="1">
        <f t="shared" si="99"/>
        <v>0.79928861788617889</v>
      </c>
      <c r="R891" s="1">
        <f t="shared" si="100"/>
        <v>0.82624655858060569</v>
      </c>
      <c r="S891" s="1">
        <f t="shared" si="101"/>
        <v>0.94496726677577736</v>
      </c>
    </row>
    <row r="892" spans="1:19" x14ac:dyDescent="0.3">
      <c r="A892"/>
      <c r="B892"/>
      <c r="C892"/>
      <c r="D892"/>
      <c r="E892"/>
      <c r="F892"/>
      <c r="G892"/>
      <c r="H892"/>
      <c r="I892"/>
      <c r="N892"/>
      <c r="O892"/>
      <c r="P892" s="1">
        <f t="shared" si="98"/>
        <v>0.79928861788617889</v>
      </c>
      <c r="Q892" s="1">
        <f t="shared" si="99"/>
        <v>0.79928861788617889</v>
      </c>
      <c r="R892" s="1">
        <f t="shared" si="100"/>
        <v>0.82624655858060569</v>
      </c>
      <c r="S892" s="1">
        <f t="shared" si="101"/>
        <v>0.94496726677577736</v>
      </c>
    </row>
    <row r="893" spans="1:19" x14ac:dyDescent="0.3">
      <c r="A893"/>
      <c r="B893"/>
      <c r="C893"/>
      <c r="D893"/>
      <c r="E893"/>
      <c r="F893"/>
      <c r="G893"/>
      <c r="H893"/>
      <c r="I893"/>
      <c r="N893"/>
      <c r="P893" s="1">
        <f t="shared" si="98"/>
        <v>0.79928861788617889</v>
      </c>
      <c r="Q893" s="1">
        <f t="shared" si="99"/>
        <v>0.79928861788617889</v>
      </c>
      <c r="R893" s="1">
        <f t="shared" si="100"/>
        <v>0.82624655858060569</v>
      </c>
      <c r="S893" s="1">
        <f t="shared" si="101"/>
        <v>0.94496726677577736</v>
      </c>
    </row>
    <row r="894" spans="1:19" x14ac:dyDescent="0.3">
      <c r="A894"/>
      <c r="B894"/>
      <c r="C894"/>
      <c r="D894"/>
      <c r="E894"/>
      <c r="F894"/>
      <c r="G894"/>
      <c r="H894"/>
      <c r="I894"/>
      <c r="N894"/>
      <c r="O894" s="30"/>
      <c r="P894" s="1">
        <f t="shared" si="98"/>
        <v>0.79928861788617889</v>
      </c>
      <c r="Q894" s="1">
        <f t="shared" si="99"/>
        <v>0.79928861788617889</v>
      </c>
      <c r="R894" s="1">
        <f t="shared" si="100"/>
        <v>0.82624655858060569</v>
      </c>
      <c r="S894" s="1">
        <f t="shared" si="101"/>
        <v>0.94496726677577736</v>
      </c>
    </row>
    <row r="895" spans="1:19" x14ac:dyDescent="0.3">
      <c r="A895"/>
      <c r="B895"/>
      <c r="C895"/>
      <c r="D895"/>
      <c r="E895"/>
      <c r="F895"/>
      <c r="G895"/>
      <c r="H895"/>
      <c r="I895"/>
      <c r="N895"/>
      <c r="O895" s="30"/>
      <c r="P895" s="1">
        <f t="shared" si="98"/>
        <v>0.79928861788617889</v>
      </c>
      <c r="Q895" s="1">
        <f t="shared" si="99"/>
        <v>0.79928861788617889</v>
      </c>
      <c r="R895" s="1">
        <f t="shared" si="100"/>
        <v>0.82624655858060569</v>
      </c>
      <c r="S895" s="1">
        <f t="shared" si="101"/>
        <v>0.94496726677577736</v>
      </c>
    </row>
    <row r="896" spans="1:19" x14ac:dyDescent="0.3">
      <c r="A896"/>
      <c r="B896"/>
      <c r="C896"/>
      <c r="D896"/>
      <c r="E896"/>
      <c r="F896"/>
      <c r="G896"/>
      <c r="H896"/>
      <c r="I896"/>
      <c r="N896"/>
      <c r="O896" s="30"/>
      <c r="P896" s="1">
        <f t="shared" si="98"/>
        <v>0.79928861788617889</v>
      </c>
      <c r="Q896" s="1">
        <f t="shared" si="99"/>
        <v>0.79928861788617889</v>
      </c>
      <c r="R896" s="1">
        <f t="shared" si="100"/>
        <v>0.82624655858060569</v>
      </c>
      <c r="S896" s="1">
        <f t="shared" si="101"/>
        <v>0.94496726677577736</v>
      </c>
    </row>
    <row r="897" spans="1:19" x14ac:dyDescent="0.3">
      <c r="A897"/>
      <c r="B897"/>
      <c r="C897"/>
      <c r="D897"/>
      <c r="E897"/>
      <c r="F897"/>
      <c r="G897"/>
      <c r="H897"/>
      <c r="I897"/>
      <c r="N897"/>
      <c r="O897" s="30"/>
      <c r="P897" s="1">
        <f t="shared" si="98"/>
        <v>0.79928861788617889</v>
      </c>
      <c r="Q897" s="1">
        <f t="shared" si="99"/>
        <v>0.79928861788617889</v>
      </c>
      <c r="R897" s="1">
        <f t="shared" si="100"/>
        <v>0.82624655858060569</v>
      </c>
      <c r="S897" s="1">
        <f t="shared" si="101"/>
        <v>0.94496726677577736</v>
      </c>
    </row>
    <row r="898" spans="1:19" x14ac:dyDescent="0.3">
      <c r="A898"/>
      <c r="B898"/>
      <c r="C898"/>
      <c r="D898"/>
      <c r="E898"/>
      <c r="F898"/>
      <c r="G898"/>
      <c r="H898"/>
      <c r="I898"/>
      <c r="N898"/>
      <c r="O898"/>
      <c r="P898" s="1">
        <f t="shared" si="98"/>
        <v>0.79928861788617889</v>
      </c>
      <c r="Q898" s="1">
        <f t="shared" si="99"/>
        <v>0.79928861788617889</v>
      </c>
      <c r="R898" s="1">
        <f t="shared" si="100"/>
        <v>0.82624655858060569</v>
      </c>
      <c r="S898" s="1">
        <f t="shared" si="101"/>
        <v>0.94496726677577736</v>
      </c>
    </row>
    <row r="899" spans="1:19" x14ac:dyDescent="0.3">
      <c r="A899"/>
      <c r="B899"/>
      <c r="C899"/>
      <c r="D899"/>
      <c r="E899"/>
      <c r="F899"/>
      <c r="G899"/>
      <c r="H899"/>
      <c r="I899"/>
      <c r="N899"/>
      <c r="O899"/>
      <c r="P899" s="1">
        <f t="shared" si="98"/>
        <v>0.79928861788617889</v>
      </c>
      <c r="Q899" s="1">
        <f t="shared" si="99"/>
        <v>0.79928861788617889</v>
      </c>
      <c r="R899" s="1">
        <f t="shared" si="100"/>
        <v>0.82624655858060569</v>
      </c>
      <c r="S899" s="1">
        <f t="shared" si="101"/>
        <v>0.94496726677577736</v>
      </c>
    </row>
    <row r="900" spans="1:19" x14ac:dyDescent="0.3">
      <c r="A900"/>
      <c r="B900"/>
      <c r="C900"/>
      <c r="D900"/>
      <c r="E900"/>
      <c r="F900"/>
      <c r="G900"/>
      <c r="H900"/>
      <c r="I900"/>
      <c r="N900"/>
      <c r="O900"/>
      <c r="P900" s="1">
        <f t="shared" si="98"/>
        <v>0.79928861788617889</v>
      </c>
      <c r="Q900" s="1">
        <f t="shared" si="99"/>
        <v>0.79928861788617889</v>
      </c>
      <c r="R900" s="1">
        <f t="shared" si="100"/>
        <v>0.82624655858060569</v>
      </c>
      <c r="S900" s="1">
        <f t="shared" si="101"/>
        <v>0.94496726677577736</v>
      </c>
    </row>
    <row r="901" spans="1:19" x14ac:dyDescent="0.3">
      <c r="A901"/>
      <c r="B901"/>
      <c r="C901"/>
      <c r="D901"/>
      <c r="E901"/>
      <c r="F901"/>
      <c r="G901"/>
      <c r="H901"/>
      <c r="I901"/>
      <c r="N901"/>
      <c r="O901"/>
      <c r="P901" s="1">
        <f t="shared" si="98"/>
        <v>0.79928861788617889</v>
      </c>
      <c r="Q901" s="1">
        <f t="shared" si="99"/>
        <v>0.79928861788617889</v>
      </c>
      <c r="R901" s="1">
        <f t="shared" si="100"/>
        <v>0.82624655858060569</v>
      </c>
      <c r="S901" s="1">
        <f t="shared" si="101"/>
        <v>0.94496726677577736</v>
      </c>
    </row>
    <row r="902" spans="1:19" x14ac:dyDescent="0.3">
      <c r="A902"/>
      <c r="B902"/>
      <c r="C902"/>
      <c r="D902"/>
      <c r="E902"/>
      <c r="F902"/>
      <c r="G902"/>
      <c r="H902"/>
      <c r="I902"/>
      <c r="N902"/>
      <c r="O902"/>
      <c r="P902" s="1">
        <f t="shared" si="98"/>
        <v>0.79928861788617889</v>
      </c>
      <c r="Q902" s="1">
        <f t="shared" si="99"/>
        <v>0.79928861788617889</v>
      </c>
      <c r="R902" s="1">
        <f t="shared" si="100"/>
        <v>0.82624655858060569</v>
      </c>
      <c r="S902" s="1">
        <f t="shared" si="101"/>
        <v>0.94496726677577736</v>
      </c>
    </row>
    <row r="903" spans="1:19" x14ac:dyDescent="0.3">
      <c r="A903"/>
      <c r="B903"/>
      <c r="C903"/>
      <c r="D903"/>
      <c r="E903"/>
      <c r="F903"/>
      <c r="G903"/>
      <c r="H903"/>
      <c r="I903"/>
      <c r="N903"/>
      <c r="O903"/>
      <c r="P903" s="1">
        <f t="shared" si="98"/>
        <v>0.79928861788617889</v>
      </c>
      <c r="Q903" s="1">
        <f t="shared" si="99"/>
        <v>0.79928861788617889</v>
      </c>
      <c r="R903" s="1">
        <f t="shared" si="100"/>
        <v>0.82624655858060569</v>
      </c>
      <c r="S903" s="1">
        <f t="shared" si="101"/>
        <v>0.94496726677577736</v>
      </c>
    </row>
    <row r="904" spans="1:19" x14ac:dyDescent="0.3">
      <c r="A904"/>
      <c r="B904"/>
      <c r="C904"/>
      <c r="D904"/>
      <c r="E904"/>
      <c r="F904"/>
      <c r="G904"/>
      <c r="H904"/>
      <c r="I904"/>
      <c r="N904"/>
      <c r="O904"/>
      <c r="P904" s="1">
        <f t="shared" si="98"/>
        <v>0.79928861788617889</v>
      </c>
      <c r="Q904" s="1">
        <f t="shared" si="99"/>
        <v>0.79928861788617889</v>
      </c>
      <c r="R904" s="1">
        <f t="shared" si="100"/>
        <v>0.82624655858060569</v>
      </c>
      <c r="S904" s="1">
        <f t="shared" si="101"/>
        <v>0.94496726677577736</v>
      </c>
    </row>
    <row r="905" spans="1:19" x14ac:dyDescent="0.3">
      <c r="A905"/>
      <c r="B905"/>
      <c r="C905"/>
      <c r="D905"/>
      <c r="E905"/>
      <c r="F905"/>
      <c r="G905"/>
      <c r="H905"/>
      <c r="I905"/>
      <c r="N905"/>
      <c r="O905"/>
      <c r="P905" s="1">
        <f t="shared" si="98"/>
        <v>0.79928861788617889</v>
      </c>
      <c r="Q905" s="1">
        <f t="shared" si="99"/>
        <v>0.79928861788617889</v>
      </c>
      <c r="R905" s="1">
        <f t="shared" si="100"/>
        <v>0.82624655858060569</v>
      </c>
      <c r="S905" s="1">
        <f t="shared" si="101"/>
        <v>0.94496726677577736</v>
      </c>
    </row>
    <row r="906" spans="1:19" x14ac:dyDescent="0.3">
      <c r="A906"/>
      <c r="B906"/>
      <c r="C906"/>
      <c r="D906"/>
      <c r="E906"/>
      <c r="F906"/>
      <c r="G906"/>
      <c r="H906"/>
      <c r="I906"/>
      <c r="N906"/>
      <c r="O906"/>
      <c r="P906" s="1">
        <f t="shared" si="98"/>
        <v>0.79928861788617889</v>
      </c>
      <c r="Q906" s="1">
        <f t="shared" si="99"/>
        <v>0.79928861788617889</v>
      </c>
      <c r="R906" s="1">
        <f t="shared" si="100"/>
        <v>0.82624655858060569</v>
      </c>
      <c r="S906" s="1">
        <f t="shared" si="101"/>
        <v>0.94496726677577736</v>
      </c>
    </row>
    <row r="907" spans="1:19" x14ac:dyDescent="0.3">
      <c r="A907"/>
      <c r="B907"/>
      <c r="C907"/>
      <c r="D907"/>
      <c r="E907"/>
      <c r="F907"/>
      <c r="G907"/>
      <c r="H907"/>
      <c r="I907"/>
      <c r="N907"/>
      <c r="O907"/>
      <c r="P907" s="1">
        <f t="shared" si="98"/>
        <v>0.79928861788617889</v>
      </c>
      <c r="Q907" s="1">
        <f t="shared" si="99"/>
        <v>0.79928861788617889</v>
      </c>
      <c r="R907" s="1">
        <f t="shared" si="100"/>
        <v>0.82624655858060569</v>
      </c>
      <c r="S907" s="1">
        <f t="shared" si="101"/>
        <v>0.94496726677577736</v>
      </c>
    </row>
    <row r="908" spans="1:19" x14ac:dyDescent="0.3">
      <c r="A908"/>
      <c r="B908"/>
      <c r="C908"/>
      <c r="D908"/>
      <c r="E908"/>
      <c r="F908"/>
      <c r="G908"/>
      <c r="H908"/>
      <c r="I908"/>
      <c r="N908"/>
      <c r="O908"/>
      <c r="P908" s="1">
        <f t="shared" si="98"/>
        <v>0.79928861788617889</v>
      </c>
      <c r="Q908" s="1">
        <f t="shared" si="99"/>
        <v>0.79928861788617889</v>
      </c>
      <c r="R908" s="1">
        <f t="shared" si="100"/>
        <v>0.82624655858060569</v>
      </c>
      <c r="S908" s="1">
        <f t="shared" si="101"/>
        <v>0.94496726677577736</v>
      </c>
    </row>
    <row r="909" spans="1:19" x14ac:dyDescent="0.3">
      <c r="A909"/>
      <c r="B909"/>
      <c r="C909"/>
      <c r="D909"/>
      <c r="E909"/>
      <c r="F909"/>
      <c r="G909"/>
      <c r="H909"/>
      <c r="I909"/>
      <c r="N909"/>
      <c r="O909"/>
      <c r="P909" s="1">
        <f t="shared" si="98"/>
        <v>0.79928861788617889</v>
      </c>
      <c r="Q909" s="1">
        <f t="shared" si="99"/>
        <v>0.79928861788617889</v>
      </c>
      <c r="R909" s="1">
        <f t="shared" si="100"/>
        <v>0.82624655858060569</v>
      </c>
      <c r="S909" s="1">
        <f t="shared" si="101"/>
        <v>0.94496726677577736</v>
      </c>
    </row>
    <row r="910" spans="1:19" x14ac:dyDescent="0.3">
      <c r="A910"/>
      <c r="B910"/>
      <c r="C910"/>
      <c r="D910"/>
      <c r="E910"/>
      <c r="F910"/>
      <c r="G910"/>
      <c r="H910"/>
      <c r="I910"/>
      <c r="N910"/>
      <c r="O910"/>
      <c r="P910" s="1">
        <f t="shared" si="98"/>
        <v>0.79928861788617889</v>
      </c>
      <c r="Q910" s="1">
        <f t="shared" si="99"/>
        <v>0.79928861788617889</v>
      </c>
      <c r="R910" s="1">
        <f t="shared" si="100"/>
        <v>0.82624655858060569</v>
      </c>
      <c r="S910" s="1">
        <f t="shared" si="101"/>
        <v>0.94496726677577736</v>
      </c>
    </row>
    <row r="911" spans="1:19" x14ac:dyDescent="0.3">
      <c r="A911"/>
      <c r="B911"/>
      <c r="C911"/>
      <c r="D911"/>
      <c r="E911"/>
      <c r="F911"/>
      <c r="G911"/>
      <c r="H911"/>
      <c r="I911"/>
      <c r="N911"/>
      <c r="O911"/>
      <c r="P911" s="1">
        <f t="shared" si="98"/>
        <v>0.79928861788617889</v>
      </c>
      <c r="Q911" s="1">
        <f t="shared" si="99"/>
        <v>0.79928861788617889</v>
      </c>
      <c r="R911" s="1">
        <f t="shared" si="100"/>
        <v>0.82624655858060569</v>
      </c>
      <c r="S911" s="1">
        <f t="shared" si="101"/>
        <v>0.94496726677577736</v>
      </c>
    </row>
    <row r="912" spans="1:19" x14ac:dyDescent="0.3">
      <c r="A912"/>
      <c r="B912"/>
      <c r="C912"/>
      <c r="D912"/>
      <c r="E912"/>
      <c r="F912"/>
      <c r="G912"/>
      <c r="H912"/>
      <c r="I912"/>
      <c r="N912"/>
      <c r="O912"/>
      <c r="P912" s="1">
        <f t="shared" si="98"/>
        <v>0.79928861788617889</v>
      </c>
      <c r="Q912" s="1">
        <f t="shared" si="99"/>
        <v>0.79928861788617889</v>
      </c>
      <c r="R912" s="1">
        <f t="shared" si="100"/>
        <v>0.82624655858060569</v>
      </c>
      <c r="S912" s="1">
        <f t="shared" si="101"/>
        <v>0.94496726677577736</v>
      </c>
    </row>
    <row r="913" spans="1:19" x14ac:dyDescent="0.3">
      <c r="A913"/>
      <c r="B913"/>
      <c r="C913"/>
      <c r="D913"/>
      <c r="E913"/>
      <c r="F913"/>
      <c r="G913"/>
      <c r="H913"/>
      <c r="I913"/>
      <c r="N913"/>
      <c r="O913"/>
      <c r="P913" s="1">
        <f t="shared" si="98"/>
        <v>0.79928861788617889</v>
      </c>
      <c r="Q913" s="1">
        <f t="shared" si="99"/>
        <v>0.79928861788617889</v>
      </c>
      <c r="R913" s="1">
        <f t="shared" si="100"/>
        <v>0.82624655858060569</v>
      </c>
      <c r="S913" s="1">
        <f t="shared" si="101"/>
        <v>0.94496726677577736</v>
      </c>
    </row>
    <row r="914" spans="1:19" x14ac:dyDescent="0.3">
      <c r="A914"/>
      <c r="B914"/>
      <c r="C914"/>
      <c r="D914"/>
      <c r="E914"/>
      <c r="F914"/>
      <c r="G914"/>
      <c r="H914"/>
      <c r="I914"/>
      <c r="N914"/>
      <c r="O914"/>
      <c r="P914" s="1">
        <f t="shared" si="98"/>
        <v>0.79928861788617889</v>
      </c>
      <c r="Q914" s="1">
        <f t="shared" si="99"/>
        <v>0.79928861788617889</v>
      </c>
      <c r="R914" s="1">
        <f t="shared" si="100"/>
        <v>0.82624655858060569</v>
      </c>
      <c r="S914" s="1">
        <f t="shared" si="101"/>
        <v>0.94496726677577736</v>
      </c>
    </row>
    <row r="915" spans="1:19" x14ac:dyDescent="0.3">
      <c r="A915"/>
      <c r="B915"/>
      <c r="C915"/>
      <c r="D915"/>
      <c r="E915"/>
      <c r="F915"/>
      <c r="G915"/>
      <c r="H915"/>
      <c r="I915"/>
      <c r="N915"/>
      <c r="O915"/>
      <c r="P915" s="1">
        <f t="shared" si="98"/>
        <v>0.79928861788617889</v>
      </c>
      <c r="Q915" s="1">
        <f t="shared" si="99"/>
        <v>0.79928861788617889</v>
      </c>
      <c r="R915" s="1">
        <f t="shared" si="100"/>
        <v>0.82624655858060569</v>
      </c>
      <c r="S915" s="1">
        <f t="shared" si="101"/>
        <v>0.94496726677577736</v>
      </c>
    </row>
    <row r="916" spans="1:19" x14ac:dyDescent="0.3">
      <c r="A916"/>
      <c r="B916"/>
      <c r="C916"/>
      <c r="D916"/>
      <c r="E916"/>
      <c r="F916"/>
      <c r="G916"/>
      <c r="H916"/>
      <c r="I916"/>
      <c r="N916"/>
      <c r="O916"/>
      <c r="P916" s="1">
        <f t="shared" si="98"/>
        <v>0.79928861788617889</v>
      </c>
      <c r="Q916" s="1">
        <f t="shared" si="99"/>
        <v>0.79928861788617889</v>
      </c>
      <c r="R916" s="1">
        <f t="shared" si="100"/>
        <v>0.82624655858060569</v>
      </c>
      <c r="S916" s="1">
        <f t="shared" si="101"/>
        <v>0.94496726677577736</v>
      </c>
    </row>
    <row r="917" spans="1:19" x14ac:dyDescent="0.3">
      <c r="A917"/>
      <c r="B917"/>
      <c r="C917"/>
      <c r="D917"/>
      <c r="E917"/>
      <c r="F917"/>
      <c r="G917"/>
      <c r="H917"/>
      <c r="I917"/>
      <c r="N917"/>
      <c r="O917"/>
      <c r="P917" s="1">
        <f t="shared" si="98"/>
        <v>0.79928861788617889</v>
      </c>
      <c r="Q917" s="1">
        <f t="shared" si="99"/>
        <v>0.79928861788617889</v>
      </c>
      <c r="R917" s="1">
        <f t="shared" si="100"/>
        <v>0.82624655858060569</v>
      </c>
      <c r="S917" s="1">
        <f t="shared" si="101"/>
        <v>0.94496726677577736</v>
      </c>
    </row>
    <row r="918" spans="1:19" x14ac:dyDescent="0.3">
      <c r="A918"/>
      <c r="B918"/>
      <c r="C918"/>
      <c r="D918"/>
      <c r="E918"/>
      <c r="F918"/>
      <c r="G918"/>
      <c r="H918"/>
      <c r="I918"/>
      <c r="N918"/>
      <c r="O918"/>
      <c r="P918" s="1">
        <f t="shared" si="98"/>
        <v>0.79928861788617889</v>
      </c>
      <c r="Q918" s="1">
        <f t="shared" si="99"/>
        <v>0.79928861788617889</v>
      </c>
      <c r="R918" s="1">
        <f t="shared" si="100"/>
        <v>0.82624655858060569</v>
      </c>
      <c r="S918" s="1">
        <f t="shared" si="101"/>
        <v>0.94496726677577736</v>
      </c>
    </row>
    <row r="919" spans="1:19" x14ac:dyDescent="0.3">
      <c r="A919"/>
      <c r="B919"/>
      <c r="C919"/>
      <c r="D919"/>
      <c r="E919"/>
      <c r="F919"/>
      <c r="G919"/>
      <c r="H919"/>
      <c r="I919"/>
      <c r="N919"/>
      <c r="O919"/>
      <c r="P919" s="1">
        <f t="shared" si="98"/>
        <v>0.79928861788617889</v>
      </c>
      <c r="Q919" s="1">
        <f t="shared" si="99"/>
        <v>0.79928861788617889</v>
      </c>
      <c r="R919" s="1">
        <f t="shared" si="100"/>
        <v>0.82624655858060569</v>
      </c>
      <c r="S919" s="1">
        <f t="shared" si="101"/>
        <v>0.94496726677577736</v>
      </c>
    </row>
    <row r="920" spans="1:19" x14ac:dyDescent="0.3">
      <c r="A920"/>
      <c r="B920"/>
      <c r="C920"/>
      <c r="D920"/>
      <c r="E920"/>
      <c r="F920"/>
      <c r="G920"/>
      <c r="H920"/>
      <c r="I920"/>
      <c r="N920"/>
      <c r="O920"/>
      <c r="P920" s="1">
        <f t="shared" si="98"/>
        <v>0.79928861788617889</v>
      </c>
      <c r="Q920" s="1">
        <f t="shared" si="99"/>
        <v>0.79928861788617889</v>
      </c>
      <c r="R920" s="1">
        <f t="shared" si="100"/>
        <v>0.82624655858060569</v>
      </c>
      <c r="S920" s="1">
        <f t="shared" si="101"/>
        <v>0.94496726677577736</v>
      </c>
    </row>
    <row r="921" spans="1:19" x14ac:dyDescent="0.3">
      <c r="A921"/>
      <c r="B921"/>
      <c r="C921"/>
      <c r="D921"/>
      <c r="E921"/>
      <c r="F921"/>
      <c r="G921"/>
      <c r="H921"/>
      <c r="I921"/>
      <c r="N921"/>
      <c r="O921"/>
      <c r="P921" s="1">
        <f t="shared" si="98"/>
        <v>0.79928861788617889</v>
      </c>
      <c r="Q921" s="1">
        <f t="shared" si="99"/>
        <v>0.79928861788617889</v>
      </c>
      <c r="R921" s="1">
        <f t="shared" si="100"/>
        <v>0.82624655858060569</v>
      </c>
      <c r="S921" s="1">
        <f t="shared" si="101"/>
        <v>0.94496726677577736</v>
      </c>
    </row>
    <row r="922" spans="1:19" x14ac:dyDescent="0.3">
      <c r="A922"/>
      <c r="B922"/>
      <c r="C922"/>
      <c r="D922"/>
      <c r="E922"/>
      <c r="F922"/>
      <c r="G922"/>
      <c r="H922"/>
      <c r="I922"/>
      <c r="N922"/>
      <c r="O922"/>
      <c r="P922" s="1">
        <f t="shared" si="98"/>
        <v>0.79928861788617889</v>
      </c>
      <c r="Q922" s="1">
        <f t="shared" si="99"/>
        <v>0.79928861788617889</v>
      </c>
      <c r="R922" s="1">
        <f t="shared" si="100"/>
        <v>0.82624655858060569</v>
      </c>
      <c r="S922" s="1">
        <f t="shared" si="101"/>
        <v>0.94496726677577736</v>
      </c>
    </row>
    <row r="923" spans="1:19" x14ac:dyDescent="0.3">
      <c r="A923"/>
      <c r="B923"/>
      <c r="C923"/>
      <c r="D923"/>
      <c r="E923"/>
      <c r="F923"/>
      <c r="G923"/>
      <c r="H923"/>
      <c r="I923"/>
      <c r="N923"/>
      <c r="O923"/>
      <c r="P923" s="1">
        <f t="shared" si="98"/>
        <v>0.79928861788617889</v>
      </c>
      <c r="Q923" s="1">
        <f t="shared" si="99"/>
        <v>0.79928861788617889</v>
      </c>
      <c r="R923" s="1">
        <f t="shared" si="100"/>
        <v>0.82624655858060569</v>
      </c>
      <c r="S923" s="1">
        <f t="shared" si="101"/>
        <v>0.94496726677577736</v>
      </c>
    </row>
    <row r="924" spans="1:19" x14ac:dyDescent="0.3">
      <c r="A924"/>
      <c r="B924"/>
      <c r="C924"/>
      <c r="D924"/>
      <c r="E924"/>
      <c r="F924"/>
      <c r="G924"/>
      <c r="H924"/>
      <c r="I924"/>
      <c r="N924"/>
      <c r="O924"/>
      <c r="P924" s="1">
        <f t="shared" si="98"/>
        <v>0.79928861788617889</v>
      </c>
      <c r="Q924" s="1">
        <f t="shared" si="99"/>
        <v>0.79928861788617889</v>
      </c>
      <c r="R924" s="1">
        <f t="shared" si="100"/>
        <v>0.82624655858060569</v>
      </c>
      <c r="S924" s="1">
        <f t="shared" si="101"/>
        <v>0.94496726677577736</v>
      </c>
    </row>
    <row r="925" spans="1:19" x14ac:dyDescent="0.3">
      <c r="A925"/>
      <c r="B925"/>
      <c r="C925"/>
      <c r="D925"/>
      <c r="E925"/>
      <c r="F925"/>
      <c r="G925"/>
      <c r="H925"/>
      <c r="I925"/>
      <c r="N925"/>
      <c r="O925"/>
    </row>
    <row r="926" spans="1:19" x14ac:dyDescent="0.3">
      <c r="A926"/>
      <c r="B926"/>
      <c r="C926"/>
      <c r="D926"/>
      <c r="E926"/>
      <c r="F926"/>
      <c r="G926"/>
      <c r="H926"/>
      <c r="I926"/>
      <c r="N926"/>
      <c r="O926"/>
    </row>
    <row r="927" spans="1:19" x14ac:dyDescent="0.3">
      <c r="A927"/>
      <c r="B927"/>
      <c r="C927"/>
      <c r="D927"/>
      <c r="E927"/>
      <c r="F927"/>
      <c r="G927"/>
      <c r="H927"/>
      <c r="I927"/>
      <c r="N927"/>
      <c r="O927"/>
    </row>
    <row r="928" spans="1:19" x14ac:dyDescent="0.3">
      <c r="A928"/>
      <c r="B928"/>
      <c r="C928"/>
      <c r="D928"/>
      <c r="E928"/>
      <c r="F928"/>
      <c r="G928"/>
      <c r="H928"/>
      <c r="I928"/>
      <c r="N928"/>
      <c r="O928"/>
    </row>
    <row r="929" spans="1:15" x14ac:dyDescent="0.3">
      <c r="A929"/>
      <c r="B929"/>
      <c r="C929"/>
      <c r="D929"/>
      <c r="E929"/>
      <c r="F929"/>
      <c r="G929"/>
      <c r="H929"/>
      <c r="I929"/>
      <c r="N929"/>
      <c r="O929"/>
    </row>
    <row r="930" spans="1:15" x14ac:dyDescent="0.3">
      <c r="A930"/>
      <c r="B930"/>
      <c r="C930"/>
      <c r="D930"/>
      <c r="E930"/>
      <c r="F930"/>
      <c r="G930"/>
      <c r="H930"/>
      <c r="I930"/>
      <c r="N930"/>
      <c r="O930"/>
    </row>
    <row r="931" spans="1:15" x14ac:dyDescent="0.3">
      <c r="A931"/>
      <c r="B931"/>
      <c r="C931"/>
      <c r="D931"/>
      <c r="E931"/>
      <c r="F931"/>
      <c r="G931"/>
      <c r="H931"/>
      <c r="I931"/>
      <c r="N931"/>
      <c r="O931"/>
    </row>
    <row r="932" spans="1:15" x14ac:dyDescent="0.3">
      <c r="A932"/>
      <c r="B932"/>
      <c r="C932"/>
      <c r="D932"/>
      <c r="E932"/>
      <c r="F932"/>
      <c r="G932"/>
      <c r="H932"/>
      <c r="I932"/>
      <c r="N932"/>
      <c r="O932"/>
    </row>
    <row r="933" spans="1:15" x14ac:dyDescent="0.3">
      <c r="A933"/>
      <c r="B933"/>
      <c r="C933"/>
      <c r="D933"/>
      <c r="E933"/>
      <c r="F933"/>
      <c r="G933"/>
      <c r="H933"/>
      <c r="I933"/>
      <c r="N933"/>
      <c r="O933"/>
    </row>
    <row r="934" spans="1:15" x14ac:dyDescent="0.3">
      <c r="A934"/>
      <c r="B934"/>
      <c r="C934"/>
      <c r="D934"/>
      <c r="E934"/>
      <c r="F934"/>
      <c r="G934"/>
      <c r="H934"/>
      <c r="I934"/>
      <c r="N934"/>
      <c r="O934"/>
    </row>
    <row r="935" spans="1:15" x14ac:dyDescent="0.3">
      <c r="A935"/>
      <c r="B935"/>
      <c r="C935"/>
      <c r="D935"/>
      <c r="E935"/>
      <c r="F935"/>
      <c r="G935"/>
      <c r="H935"/>
      <c r="I935"/>
      <c r="N935"/>
      <c r="O935"/>
    </row>
    <row r="936" spans="1:15" x14ac:dyDescent="0.3">
      <c r="A936"/>
      <c r="B936"/>
      <c r="C936"/>
      <c r="D936"/>
      <c r="E936"/>
      <c r="F936"/>
      <c r="G936"/>
      <c r="H936"/>
      <c r="I936"/>
      <c r="N936"/>
      <c r="O936"/>
    </row>
    <row r="937" spans="1:15" x14ac:dyDescent="0.3">
      <c r="A937"/>
      <c r="B937"/>
      <c r="C937"/>
      <c r="D937"/>
      <c r="E937"/>
      <c r="F937"/>
      <c r="G937"/>
      <c r="H937"/>
      <c r="I937"/>
      <c r="N937"/>
      <c r="O937"/>
    </row>
    <row r="938" spans="1:15" x14ac:dyDescent="0.3">
      <c r="A938"/>
      <c r="B938"/>
      <c r="C938"/>
      <c r="D938"/>
      <c r="E938"/>
      <c r="F938"/>
      <c r="G938"/>
      <c r="H938"/>
      <c r="I938"/>
      <c r="N938"/>
      <c r="O938"/>
    </row>
    <row r="939" spans="1:15" x14ac:dyDescent="0.3">
      <c r="A939"/>
      <c r="B939"/>
      <c r="C939"/>
      <c r="D939"/>
      <c r="E939"/>
      <c r="F939"/>
      <c r="G939"/>
      <c r="H939"/>
      <c r="I939"/>
      <c r="N939"/>
      <c r="O939"/>
    </row>
    <row r="940" spans="1:15" x14ac:dyDescent="0.3">
      <c r="A940"/>
      <c r="B940"/>
      <c r="C940"/>
      <c r="D940"/>
      <c r="E940"/>
      <c r="F940"/>
      <c r="G940"/>
      <c r="H940"/>
      <c r="I940"/>
      <c r="N940"/>
      <c r="O940"/>
    </row>
    <row r="941" spans="1:15" x14ac:dyDescent="0.3">
      <c r="A941"/>
      <c r="B941"/>
      <c r="C941"/>
      <c r="D941"/>
      <c r="E941"/>
      <c r="F941"/>
      <c r="G941"/>
      <c r="H941"/>
      <c r="I941"/>
      <c r="N941"/>
      <c r="O941"/>
    </row>
    <row r="942" spans="1:15" x14ac:dyDescent="0.3">
      <c r="A942"/>
      <c r="B942"/>
      <c r="C942"/>
      <c r="D942"/>
      <c r="E942"/>
      <c r="F942"/>
      <c r="G942"/>
      <c r="H942"/>
      <c r="I942"/>
      <c r="N942"/>
      <c r="O942"/>
    </row>
    <row r="943" spans="1:15" x14ac:dyDescent="0.3">
      <c r="A943"/>
      <c r="B943"/>
      <c r="C943"/>
      <c r="D943"/>
      <c r="E943"/>
      <c r="F943"/>
      <c r="G943"/>
      <c r="H943"/>
      <c r="I943"/>
      <c r="N943"/>
      <c r="O943"/>
    </row>
    <row r="944" spans="1:15" x14ac:dyDescent="0.3">
      <c r="A944"/>
      <c r="B944"/>
      <c r="C944"/>
      <c r="D944"/>
      <c r="E944"/>
      <c r="F944"/>
      <c r="G944"/>
      <c r="H944"/>
      <c r="I944"/>
      <c r="N944"/>
      <c r="O944"/>
    </row>
    <row r="945" spans="1:15" x14ac:dyDescent="0.3">
      <c r="A945"/>
      <c r="B945"/>
      <c r="C945"/>
      <c r="D945"/>
      <c r="E945"/>
      <c r="F945"/>
      <c r="G945"/>
      <c r="H945"/>
      <c r="I945"/>
      <c r="N945"/>
      <c r="O945"/>
    </row>
    <row r="946" spans="1:15" x14ac:dyDescent="0.3">
      <c r="A946"/>
      <c r="B946"/>
      <c r="C946"/>
      <c r="D946"/>
      <c r="E946"/>
      <c r="F946"/>
      <c r="G946"/>
      <c r="H946"/>
      <c r="I946"/>
      <c r="N946"/>
      <c r="O946"/>
    </row>
    <row r="947" spans="1:15" x14ac:dyDescent="0.3">
      <c r="A947"/>
      <c r="B947"/>
      <c r="C947"/>
      <c r="D947"/>
      <c r="E947"/>
      <c r="F947"/>
      <c r="G947"/>
      <c r="H947"/>
      <c r="I947"/>
      <c r="N947"/>
      <c r="O947"/>
    </row>
    <row r="948" spans="1:15" x14ac:dyDescent="0.3">
      <c r="A948"/>
      <c r="B948"/>
      <c r="C948"/>
      <c r="D948"/>
      <c r="E948"/>
      <c r="F948"/>
      <c r="G948"/>
      <c r="H948"/>
      <c r="I948"/>
      <c r="N948"/>
      <c r="O948"/>
    </row>
    <row r="949" spans="1:15" x14ac:dyDescent="0.3">
      <c r="A949"/>
      <c r="B949"/>
      <c r="C949"/>
      <c r="D949"/>
      <c r="E949"/>
      <c r="F949"/>
      <c r="G949"/>
      <c r="H949"/>
      <c r="I949"/>
      <c r="N949"/>
      <c r="O949"/>
    </row>
    <row r="950" spans="1:15" x14ac:dyDescent="0.3">
      <c r="A950"/>
      <c r="B950"/>
      <c r="C950"/>
      <c r="D950"/>
      <c r="E950"/>
      <c r="F950"/>
      <c r="G950"/>
      <c r="H950"/>
      <c r="I950"/>
      <c r="N950"/>
      <c r="O950"/>
    </row>
    <row r="951" spans="1:15" x14ac:dyDescent="0.3">
      <c r="A951"/>
      <c r="B951"/>
      <c r="C951"/>
      <c r="D951"/>
      <c r="E951"/>
      <c r="F951"/>
      <c r="G951"/>
      <c r="H951"/>
      <c r="I951"/>
      <c r="N951"/>
      <c r="O951"/>
    </row>
    <row r="952" spans="1:15" x14ac:dyDescent="0.3">
      <c r="A952"/>
      <c r="B952"/>
      <c r="C952"/>
      <c r="D952"/>
      <c r="E952"/>
      <c r="F952"/>
      <c r="G952"/>
      <c r="H952"/>
      <c r="I952"/>
      <c r="N952"/>
      <c r="O952"/>
    </row>
    <row r="953" spans="1:15" x14ac:dyDescent="0.3">
      <c r="A953"/>
      <c r="B953"/>
      <c r="C953"/>
      <c r="D953"/>
      <c r="E953"/>
      <c r="F953"/>
      <c r="G953"/>
      <c r="H953"/>
      <c r="I953"/>
      <c r="N953"/>
      <c r="O953"/>
    </row>
    <row r="954" spans="1:15" x14ac:dyDescent="0.3">
      <c r="A954"/>
      <c r="B954"/>
      <c r="C954"/>
      <c r="D954"/>
      <c r="E954"/>
      <c r="F954"/>
      <c r="G954"/>
      <c r="H954"/>
      <c r="I954"/>
      <c r="N954"/>
      <c r="O954"/>
    </row>
    <row r="955" spans="1:15" x14ac:dyDescent="0.3">
      <c r="A955"/>
      <c r="B955"/>
      <c r="C955"/>
      <c r="D955"/>
      <c r="E955"/>
      <c r="F955"/>
      <c r="G955"/>
      <c r="H955"/>
      <c r="I955"/>
      <c r="N955"/>
      <c r="O955"/>
    </row>
    <row r="956" spans="1:15" x14ac:dyDescent="0.3">
      <c r="A956"/>
      <c r="B956"/>
      <c r="C956"/>
      <c r="D956"/>
      <c r="E956"/>
      <c r="F956"/>
      <c r="G956"/>
      <c r="H956"/>
      <c r="I956"/>
      <c r="N956"/>
      <c r="O956"/>
    </row>
    <row r="957" spans="1:15" x14ac:dyDescent="0.3">
      <c r="A957"/>
      <c r="B957"/>
      <c r="C957"/>
      <c r="D957"/>
      <c r="E957"/>
      <c r="F957"/>
      <c r="G957"/>
      <c r="H957"/>
      <c r="I957"/>
      <c r="N957"/>
      <c r="O957"/>
    </row>
    <row r="958" spans="1:15" x14ac:dyDescent="0.3">
      <c r="A958"/>
      <c r="B958"/>
      <c r="C958"/>
      <c r="D958"/>
      <c r="E958"/>
      <c r="F958"/>
      <c r="G958"/>
      <c r="H958"/>
      <c r="I958"/>
      <c r="N958"/>
      <c r="O958"/>
    </row>
    <row r="959" spans="1:15" x14ac:dyDescent="0.3">
      <c r="A959"/>
      <c r="B959"/>
      <c r="C959"/>
      <c r="D959"/>
      <c r="E959"/>
      <c r="F959"/>
      <c r="G959"/>
      <c r="H959"/>
      <c r="I959"/>
      <c r="N959"/>
      <c r="O959"/>
    </row>
    <row r="960" spans="1:15" x14ac:dyDescent="0.3">
      <c r="A960"/>
      <c r="B960"/>
      <c r="C960"/>
      <c r="D960"/>
      <c r="E960"/>
      <c r="F960"/>
      <c r="G960"/>
      <c r="H960"/>
      <c r="I960"/>
      <c r="N960"/>
      <c r="O960"/>
    </row>
    <row r="961" spans="1:15" x14ac:dyDescent="0.3">
      <c r="A961"/>
      <c r="B961"/>
      <c r="C961"/>
      <c r="D961"/>
      <c r="E961"/>
      <c r="F961"/>
      <c r="G961"/>
      <c r="H961"/>
      <c r="I961"/>
      <c r="N961"/>
      <c r="O961"/>
    </row>
    <row r="962" spans="1:15" x14ac:dyDescent="0.3">
      <c r="A962"/>
      <c r="B962"/>
      <c r="C962"/>
      <c r="D962"/>
      <c r="E962"/>
      <c r="F962"/>
      <c r="G962"/>
      <c r="H962"/>
      <c r="I962"/>
      <c r="N962"/>
      <c r="O962"/>
    </row>
    <row r="963" spans="1:15" x14ac:dyDescent="0.3">
      <c r="A963"/>
      <c r="B963"/>
      <c r="C963"/>
      <c r="D963"/>
      <c r="E963"/>
      <c r="F963"/>
      <c r="G963"/>
      <c r="H963"/>
      <c r="I963"/>
      <c r="N963"/>
      <c r="O963"/>
    </row>
    <row r="964" spans="1:15" x14ac:dyDescent="0.3">
      <c r="A964"/>
      <c r="B964"/>
      <c r="C964"/>
      <c r="D964"/>
      <c r="E964"/>
      <c r="F964"/>
      <c r="G964"/>
      <c r="H964"/>
      <c r="I964"/>
      <c r="N964"/>
      <c r="O964"/>
    </row>
    <row r="965" spans="1:15" x14ac:dyDescent="0.3">
      <c r="A965"/>
      <c r="B965"/>
      <c r="C965"/>
      <c r="D965"/>
      <c r="E965"/>
      <c r="F965"/>
      <c r="G965"/>
      <c r="H965"/>
      <c r="I965"/>
      <c r="N965"/>
      <c r="O965"/>
    </row>
    <row r="966" spans="1:15" x14ac:dyDescent="0.3">
      <c r="A966"/>
      <c r="B966"/>
      <c r="C966"/>
      <c r="D966"/>
      <c r="E966"/>
      <c r="F966"/>
      <c r="G966"/>
      <c r="H966"/>
      <c r="I966"/>
      <c r="N966"/>
      <c r="O966"/>
    </row>
    <row r="967" spans="1:15" x14ac:dyDescent="0.3">
      <c r="A967"/>
      <c r="B967"/>
      <c r="C967"/>
      <c r="D967"/>
      <c r="E967"/>
      <c r="F967"/>
      <c r="G967"/>
      <c r="H967"/>
      <c r="I967"/>
      <c r="N967"/>
      <c r="O967"/>
    </row>
    <row r="968" spans="1:15" x14ac:dyDescent="0.3">
      <c r="A968"/>
      <c r="B968"/>
      <c r="C968"/>
      <c r="D968"/>
      <c r="E968"/>
      <c r="F968"/>
      <c r="G968"/>
      <c r="H968"/>
      <c r="I968"/>
      <c r="N968"/>
      <c r="O968"/>
    </row>
    <row r="969" spans="1:15" x14ac:dyDescent="0.3">
      <c r="A969"/>
      <c r="B969"/>
      <c r="C969"/>
      <c r="D969"/>
      <c r="E969"/>
      <c r="F969"/>
      <c r="G969"/>
      <c r="H969"/>
      <c r="I969"/>
      <c r="N969"/>
      <c r="O969"/>
    </row>
    <row r="970" spans="1:15" x14ac:dyDescent="0.3">
      <c r="A970"/>
      <c r="B970"/>
      <c r="C970"/>
      <c r="D970"/>
      <c r="E970"/>
      <c r="F970"/>
      <c r="G970"/>
      <c r="H970"/>
      <c r="I970"/>
      <c r="N970"/>
      <c r="O970"/>
    </row>
    <row r="971" spans="1:15" x14ac:dyDescent="0.3">
      <c r="A971"/>
      <c r="B971"/>
      <c r="C971"/>
      <c r="D971"/>
      <c r="E971"/>
      <c r="F971"/>
      <c r="G971"/>
      <c r="H971"/>
      <c r="I971"/>
      <c r="N971"/>
      <c r="O971"/>
    </row>
    <row r="972" spans="1:15" x14ac:dyDescent="0.3">
      <c r="A972"/>
      <c r="B972"/>
      <c r="C972"/>
      <c r="D972"/>
      <c r="E972"/>
      <c r="F972"/>
      <c r="G972"/>
      <c r="H972"/>
      <c r="I972"/>
      <c r="N972"/>
      <c r="O972"/>
    </row>
    <row r="973" spans="1:15" x14ac:dyDescent="0.3">
      <c r="A973"/>
      <c r="B973"/>
      <c r="C973"/>
      <c r="D973"/>
      <c r="E973"/>
      <c r="F973"/>
      <c r="G973"/>
      <c r="H973"/>
      <c r="I973"/>
      <c r="N973"/>
      <c r="O973"/>
    </row>
    <row r="974" spans="1:15" x14ac:dyDescent="0.3">
      <c r="A974"/>
      <c r="B974"/>
      <c r="C974"/>
      <c r="D974"/>
      <c r="E974"/>
      <c r="F974"/>
      <c r="G974"/>
      <c r="H974"/>
      <c r="I974"/>
      <c r="N974"/>
      <c r="O974"/>
    </row>
    <row r="975" spans="1:15" x14ac:dyDescent="0.3">
      <c r="A975"/>
      <c r="B975"/>
      <c r="C975"/>
      <c r="D975"/>
      <c r="E975"/>
      <c r="F975"/>
      <c r="G975"/>
      <c r="H975"/>
      <c r="I975"/>
      <c r="N975"/>
      <c r="O975"/>
    </row>
    <row r="976" spans="1:15" x14ac:dyDescent="0.3">
      <c r="A976"/>
      <c r="B976"/>
      <c r="C976"/>
      <c r="D976"/>
      <c r="E976"/>
      <c r="F976"/>
      <c r="G976"/>
      <c r="H976"/>
      <c r="I976"/>
      <c r="N976"/>
      <c r="O976"/>
    </row>
    <row r="977" spans="1:15" x14ac:dyDescent="0.3">
      <c r="A977"/>
      <c r="B977"/>
      <c r="C977"/>
      <c r="D977"/>
      <c r="E977"/>
      <c r="F977"/>
      <c r="G977"/>
      <c r="H977"/>
      <c r="I977"/>
      <c r="N977"/>
      <c r="O977"/>
    </row>
    <row r="978" spans="1:15" x14ac:dyDescent="0.3">
      <c r="A978"/>
      <c r="B978"/>
      <c r="C978"/>
      <c r="D978"/>
      <c r="E978"/>
      <c r="F978"/>
      <c r="G978"/>
      <c r="H978"/>
      <c r="I978"/>
      <c r="N978"/>
      <c r="O978"/>
    </row>
    <row r="979" spans="1:15" x14ac:dyDescent="0.3">
      <c r="A979"/>
      <c r="B979"/>
      <c r="C979"/>
      <c r="D979"/>
      <c r="E979"/>
      <c r="F979"/>
      <c r="G979"/>
      <c r="H979"/>
      <c r="I979"/>
      <c r="N979"/>
      <c r="O979"/>
    </row>
    <row r="980" spans="1:15" x14ac:dyDescent="0.3">
      <c r="A980"/>
      <c r="B980"/>
      <c r="C980"/>
      <c r="D980"/>
      <c r="E980"/>
      <c r="F980"/>
      <c r="G980"/>
      <c r="H980"/>
      <c r="I980"/>
      <c r="N980"/>
      <c r="O980"/>
    </row>
    <row r="981" spans="1:15" x14ac:dyDescent="0.3">
      <c r="A981"/>
      <c r="B981"/>
      <c r="C981"/>
      <c r="D981"/>
      <c r="E981"/>
      <c r="F981"/>
      <c r="G981"/>
      <c r="H981"/>
      <c r="I981"/>
      <c r="N981"/>
      <c r="O981"/>
    </row>
    <row r="982" spans="1:15" x14ac:dyDescent="0.3">
      <c r="A982"/>
      <c r="B982"/>
      <c r="C982"/>
      <c r="D982"/>
      <c r="E982"/>
      <c r="F982"/>
      <c r="G982"/>
      <c r="H982"/>
      <c r="I982"/>
      <c r="N982"/>
      <c r="O982"/>
    </row>
    <row r="983" spans="1:15" x14ac:dyDescent="0.3">
      <c r="A983"/>
      <c r="B983"/>
      <c r="C983"/>
      <c r="D983"/>
      <c r="E983"/>
      <c r="F983"/>
      <c r="G983"/>
      <c r="H983"/>
      <c r="I983"/>
      <c r="N983"/>
      <c r="O983"/>
    </row>
    <row r="984" spans="1:15" x14ac:dyDescent="0.3">
      <c r="A984"/>
      <c r="B984"/>
      <c r="C984"/>
      <c r="D984"/>
      <c r="E984"/>
      <c r="F984"/>
      <c r="G984"/>
      <c r="H984"/>
      <c r="I984"/>
      <c r="N984"/>
      <c r="O984"/>
    </row>
    <row r="985" spans="1:15" x14ac:dyDescent="0.3">
      <c r="A985"/>
      <c r="B985"/>
      <c r="C985"/>
      <c r="D985"/>
      <c r="E985"/>
      <c r="F985"/>
      <c r="G985"/>
      <c r="H985"/>
      <c r="I985"/>
      <c r="N985"/>
      <c r="O985"/>
    </row>
    <row r="986" spans="1:15" x14ac:dyDescent="0.3">
      <c r="A986"/>
      <c r="B986"/>
      <c r="C986"/>
      <c r="D986"/>
      <c r="E986"/>
      <c r="F986"/>
      <c r="G986"/>
      <c r="H986"/>
      <c r="I986"/>
      <c r="N986"/>
      <c r="O986"/>
    </row>
    <row r="987" spans="1:15" x14ac:dyDescent="0.3">
      <c r="A987"/>
      <c r="B987"/>
      <c r="C987"/>
      <c r="D987"/>
      <c r="E987"/>
      <c r="F987"/>
      <c r="G987"/>
      <c r="H987"/>
      <c r="I987"/>
      <c r="N987"/>
      <c r="O987"/>
    </row>
    <row r="988" spans="1:15" x14ac:dyDescent="0.3">
      <c r="A988"/>
      <c r="B988"/>
      <c r="C988"/>
      <c r="D988"/>
      <c r="E988"/>
      <c r="F988"/>
      <c r="G988"/>
      <c r="H988"/>
      <c r="I988"/>
      <c r="N988"/>
      <c r="O988"/>
    </row>
    <row r="989" spans="1:15" x14ac:dyDescent="0.3">
      <c r="A989"/>
      <c r="B989"/>
      <c r="C989"/>
      <c r="D989"/>
      <c r="E989"/>
      <c r="F989"/>
      <c r="G989"/>
      <c r="H989"/>
      <c r="I989"/>
      <c r="N989"/>
      <c r="O989"/>
    </row>
    <row r="990" spans="1:15" x14ac:dyDescent="0.3">
      <c r="A990"/>
      <c r="B990"/>
      <c r="C990"/>
      <c r="D990"/>
      <c r="E990"/>
      <c r="F990"/>
      <c r="G990"/>
      <c r="H990"/>
      <c r="I990"/>
      <c r="N990"/>
      <c r="O990"/>
    </row>
    <row r="991" spans="1:15" x14ac:dyDescent="0.3">
      <c r="A991"/>
      <c r="B991"/>
      <c r="C991"/>
      <c r="D991"/>
      <c r="E991"/>
      <c r="F991"/>
      <c r="G991"/>
      <c r="H991"/>
      <c r="I991"/>
      <c r="N991"/>
      <c r="O991"/>
    </row>
    <row r="992" spans="1:15" x14ac:dyDescent="0.3">
      <c r="A992"/>
      <c r="B992"/>
      <c r="C992"/>
      <c r="D992"/>
      <c r="E992"/>
      <c r="F992"/>
      <c r="G992"/>
      <c r="H992"/>
      <c r="I992"/>
      <c r="N992"/>
      <c r="O992"/>
    </row>
    <row r="993" spans="1:15" x14ac:dyDescent="0.3">
      <c r="A993"/>
      <c r="B993"/>
      <c r="C993"/>
      <c r="D993"/>
      <c r="E993"/>
      <c r="F993"/>
      <c r="G993"/>
      <c r="H993"/>
      <c r="I993"/>
      <c r="N993"/>
      <c r="O993"/>
    </row>
    <row r="994" spans="1:15" x14ac:dyDescent="0.3">
      <c r="A994"/>
      <c r="B994"/>
      <c r="C994"/>
      <c r="D994"/>
      <c r="E994"/>
      <c r="F994"/>
      <c r="G994"/>
      <c r="H994"/>
      <c r="I994"/>
      <c r="N994"/>
      <c r="O994"/>
    </row>
    <row r="995" spans="1:15" x14ac:dyDescent="0.3">
      <c r="A995"/>
      <c r="B995"/>
      <c r="C995"/>
      <c r="D995"/>
      <c r="E995"/>
      <c r="F995"/>
      <c r="G995"/>
      <c r="H995"/>
      <c r="I995"/>
      <c r="N995"/>
      <c r="O995"/>
    </row>
    <row r="996" spans="1:15" x14ac:dyDescent="0.3">
      <c r="A996"/>
      <c r="B996"/>
      <c r="C996"/>
      <c r="D996"/>
      <c r="E996"/>
      <c r="F996"/>
      <c r="G996"/>
      <c r="H996"/>
      <c r="I996"/>
      <c r="N996"/>
      <c r="O996"/>
    </row>
    <row r="997" spans="1:15" x14ac:dyDescent="0.3">
      <c r="A997"/>
      <c r="B997"/>
      <c r="C997"/>
      <c r="D997"/>
      <c r="E997"/>
      <c r="F997"/>
      <c r="G997"/>
      <c r="H997"/>
      <c r="I997"/>
      <c r="N997"/>
      <c r="O997"/>
    </row>
    <row r="998" spans="1:15" x14ac:dyDescent="0.3">
      <c r="A998"/>
      <c r="B998"/>
      <c r="C998"/>
      <c r="D998"/>
      <c r="E998"/>
      <c r="F998"/>
      <c r="G998"/>
      <c r="H998"/>
      <c r="I998"/>
      <c r="N998"/>
      <c r="O998"/>
    </row>
    <row r="999" spans="1:15" x14ac:dyDescent="0.3">
      <c r="A999"/>
      <c r="B999"/>
      <c r="C999"/>
      <c r="D999"/>
      <c r="E999"/>
      <c r="F999"/>
      <c r="G999"/>
      <c r="H999"/>
      <c r="I999"/>
      <c r="N999"/>
      <c r="O999"/>
    </row>
    <row r="1000" spans="1:15" x14ac:dyDescent="0.3">
      <c r="A1000"/>
      <c r="B1000"/>
      <c r="C1000"/>
      <c r="D1000"/>
      <c r="E1000"/>
      <c r="F1000"/>
      <c r="G1000"/>
      <c r="H1000"/>
      <c r="I1000"/>
      <c r="N1000"/>
      <c r="O1000"/>
    </row>
    <row r="1001" spans="1:15" x14ac:dyDescent="0.3">
      <c r="A1001"/>
      <c r="B1001"/>
      <c r="C1001"/>
      <c r="D1001"/>
      <c r="E1001"/>
      <c r="F1001"/>
      <c r="G1001"/>
      <c r="H1001"/>
      <c r="I1001"/>
      <c r="N1001"/>
      <c r="O1001"/>
    </row>
    <row r="1002" spans="1:15" x14ac:dyDescent="0.3">
      <c r="A1002"/>
      <c r="B1002"/>
      <c r="C1002"/>
      <c r="D1002"/>
      <c r="E1002"/>
      <c r="F1002"/>
      <c r="G1002"/>
      <c r="H1002"/>
      <c r="I1002"/>
      <c r="N1002"/>
      <c r="O1002"/>
    </row>
    <row r="1003" spans="1:15" x14ac:dyDescent="0.3">
      <c r="A1003"/>
      <c r="B1003"/>
      <c r="C1003"/>
      <c r="D1003"/>
      <c r="E1003"/>
      <c r="F1003"/>
      <c r="G1003"/>
      <c r="H1003"/>
      <c r="I1003"/>
      <c r="N1003"/>
      <c r="O1003"/>
    </row>
    <row r="1004" spans="1:15" x14ac:dyDescent="0.3">
      <c r="A1004"/>
      <c r="B1004"/>
      <c r="C1004"/>
      <c r="D1004"/>
      <c r="E1004"/>
      <c r="F1004"/>
      <c r="G1004"/>
      <c r="H1004"/>
      <c r="I1004"/>
      <c r="N1004"/>
      <c r="O1004"/>
    </row>
    <row r="1005" spans="1:15" x14ac:dyDescent="0.3">
      <c r="A1005"/>
      <c r="B1005"/>
      <c r="C1005"/>
      <c r="D1005"/>
      <c r="E1005"/>
      <c r="F1005"/>
      <c r="G1005"/>
      <c r="H1005"/>
      <c r="I1005"/>
      <c r="N1005"/>
      <c r="O1005"/>
    </row>
    <row r="1006" spans="1:15" x14ac:dyDescent="0.3">
      <c r="A1006"/>
      <c r="B1006"/>
      <c r="C1006"/>
      <c r="D1006"/>
      <c r="E1006"/>
      <c r="F1006"/>
      <c r="G1006"/>
      <c r="H1006"/>
      <c r="I1006"/>
      <c r="N1006"/>
      <c r="O1006"/>
    </row>
    <row r="1007" spans="1:15" x14ac:dyDescent="0.3">
      <c r="A1007"/>
      <c r="B1007"/>
      <c r="C1007"/>
      <c r="D1007"/>
      <c r="E1007"/>
      <c r="F1007"/>
      <c r="G1007"/>
      <c r="H1007"/>
      <c r="I1007"/>
      <c r="N1007"/>
      <c r="O1007"/>
    </row>
    <row r="1008" spans="1:15" x14ac:dyDescent="0.3">
      <c r="A1008"/>
      <c r="B1008"/>
      <c r="C1008"/>
      <c r="D1008"/>
      <c r="E1008"/>
      <c r="F1008"/>
      <c r="G1008"/>
      <c r="H1008"/>
      <c r="I1008"/>
      <c r="N1008"/>
      <c r="O1008"/>
    </row>
    <row r="1009" spans="1:15" x14ac:dyDescent="0.3">
      <c r="A1009"/>
      <c r="B1009"/>
      <c r="C1009"/>
      <c r="D1009"/>
      <c r="E1009"/>
      <c r="F1009"/>
      <c r="G1009"/>
      <c r="H1009"/>
      <c r="I1009"/>
      <c r="N1009"/>
      <c r="O1009"/>
    </row>
    <row r="1010" spans="1:15" x14ac:dyDescent="0.3">
      <c r="A1010"/>
      <c r="B1010"/>
      <c r="C1010"/>
      <c r="D1010"/>
      <c r="E1010"/>
      <c r="F1010"/>
      <c r="G1010"/>
      <c r="H1010"/>
      <c r="I1010"/>
      <c r="N1010"/>
      <c r="O1010"/>
    </row>
    <row r="1011" spans="1:15" x14ac:dyDescent="0.3">
      <c r="A1011"/>
      <c r="B1011"/>
      <c r="C1011"/>
      <c r="D1011"/>
      <c r="E1011"/>
      <c r="F1011"/>
      <c r="G1011"/>
      <c r="H1011"/>
      <c r="I1011"/>
      <c r="N1011"/>
      <c r="O1011"/>
    </row>
    <row r="1012" spans="1:15" x14ac:dyDescent="0.3">
      <c r="A1012"/>
      <c r="B1012"/>
      <c r="C1012"/>
      <c r="D1012"/>
      <c r="E1012"/>
      <c r="F1012"/>
      <c r="G1012"/>
      <c r="H1012"/>
      <c r="I1012"/>
      <c r="N1012"/>
      <c r="O1012"/>
    </row>
    <row r="1013" spans="1:15" x14ac:dyDescent="0.3">
      <c r="A1013"/>
      <c r="B1013"/>
      <c r="C1013"/>
      <c r="D1013"/>
      <c r="E1013"/>
      <c r="F1013"/>
      <c r="G1013"/>
      <c r="H1013"/>
      <c r="I1013"/>
      <c r="N1013"/>
      <c r="O1013"/>
    </row>
    <row r="1014" spans="1:15" x14ac:dyDescent="0.3">
      <c r="A1014"/>
      <c r="B1014"/>
      <c r="C1014"/>
      <c r="D1014"/>
      <c r="E1014"/>
      <c r="F1014"/>
      <c r="G1014"/>
      <c r="H1014"/>
      <c r="I1014"/>
      <c r="N1014"/>
      <c r="O1014"/>
    </row>
    <row r="1015" spans="1:15" x14ac:dyDescent="0.3">
      <c r="A1015"/>
      <c r="B1015"/>
      <c r="C1015"/>
      <c r="D1015"/>
      <c r="E1015"/>
      <c r="F1015"/>
      <c r="G1015"/>
      <c r="H1015"/>
      <c r="I1015"/>
      <c r="N1015"/>
      <c r="O1015"/>
    </row>
    <row r="1016" spans="1:15" x14ac:dyDescent="0.3">
      <c r="A1016"/>
      <c r="B1016"/>
      <c r="C1016"/>
      <c r="D1016"/>
      <c r="E1016"/>
      <c r="F1016"/>
      <c r="G1016"/>
      <c r="H1016"/>
      <c r="I1016"/>
      <c r="N1016"/>
      <c r="O1016"/>
    </row>
    <row r="1017" spans="1:15" x14ac:dyDescent="0.3">
      <c r="A1017"/>
      <c r="B1017"/>
      <c r="C1017"/>
      <c r="D1017"/>
      <c r="E1017"/>
      <c r="F1017"/>
      <c r="G1017"/>
      <c r="H1017"/>
      <c r="I1017"/>
      <c r="N1017"/>
      <c r="O1017"/>
    </row>
    <row r="1018" spans="1:15" x14ac:dyDescent="0.3">
      <c r="A1018"/>
      <c r="B1018"/>
      <c r="C1018"/>
      <c r="D1018"/>
      <c r="E1018"/>
      <c r="F1018"/>
      <c r="G1018"/>
      <c r="H1018"/>
      <c r="I1018"/>
      <c r="N1018"/>
      <c r="O1018"/>
    </row>
    <row r="1019" spans="1:15" x14ac:dyDescent="0.3">
      <c r="A1019"/>
      <c r="B1019"/>
      <c r="C1019"/>
      <c r="D1019"/>
      <c r="E1019"/>
      <c r="F1019"/>
      <c r="G1019"/>
      <c r="H1019"/>
      <c r="I1019"/>
      <c r="N1019"/>
      <c r="O1019"/>
    </row>
    <row r="1020" spans="1:15" x14ac:dyDescent="0.3">
      <c r="A1020"/>
      <c r="B1020"/>
      <c r="C1020"/>
      <c r="D1020"/>
      <c r="E1020"/>
      <c r="F1020"/>
      <c r="G1020"/>
      <c r="H1020"/>
      <c r="I1020"/>
      <c r="N1020"/>
      <c r="O1020"/>
    </row>
    <row r="1021" spans="1:15" x14ac:dyDescent="0.3">
      <c r="A1021"/>
      <c r="B1021"/>
      <c r="C1021"/>
      <c r="D1021"/>
      <c r="E1021"/>
      <c r="F1021"/>
      <c r="G1021"/>
      <c r="H1021"/>
      <c r="I1021"/>
      <c r="N1021"/>
      <c r="O1021"/>
    </row>
    <row r="1022" spans="1:15" x14ac:dyDescent="0.3">
      <c r="A1022"/>
      <c r="B1022"/>
      <c r="C1022"/>
      <c r="D1022"/>
      <c r="E1022"/>
      <c r="F1022"/>
      <c r="G1022"/>
      <c r="H1022"/>
      <c r="I1022"/>
      <c r="N1022"/>
      <c r="O1022"/>
    </row>
    <row r="1023" spans="1:15" x14ac:dyDescent="0.3">
      <c r="A1023"/>
      <c r="B1023"/>
      <c r="C1023"/>
      <c r="D1023"/>
      <c r="E1023"/>
      <c r="F1023"/>
      <c r="G1023"/>
      <c r="H1023"/>
      <c r="I1023"/>
      <c r="N1023"/>
      <c r="O1023"/>
    </row>
    <row r="1024" spans="1:15" x14ac:dyDescent="0.3">
      <c r="A1024"/>
      <c r="B1024"/>
      <c r="C1024"/>
      <c r="D1024"/>
      <c r="E1024"/>
      <c r="F1024"/>
      <c r="G1024"/>
      <c r="H1024"/>
      <c r="I1024"/>
      <c r="N1024"/>
      <c r="O1024"/>
    </row>
    <row r="1025" spans="1:15" x14ac:dyDescent="0.3">
      <c r="A1025"/>
      <c r="B1025"/>
      <c r="C1025"/>
      <c r="D1025"/>
      <c r="E1025"/>
      <c r="F1025"/>
      <c r="G1025"/>
      <c r="H1025"/>
      <c r="I1025"/>
      <c r="J1025"/>
      <c r="N1025"/>
      <c r="O1025"/>
    </row>
    <row r="1026" spans="1:15" x14ac:dyDescent="0.3">
      <c r="A1026"/>
      <c r="B1026"/>
      <c r="C1026"/>
      <c r="D1026"/>
      <c r="E1026"/>
      <c r="F1026"/>
      <c r="G1026"/>
      <c r="H1026"/>
      <c r="I1026"/>
      <c r="J1026"/>
      <c r="N1026"/>
      <c r="O1026"/>
    </row>
    <row r="1027" spans="1:15" x14ac:dyDescent="0.3">
      <c r="A1027"/>
      <c r="B1027"/>
      <c r="C1027"/>
      <c r="D1027"/>
      <c r="E1027"/>
      <c r="F1027"/>
      <c r="G1027"/>
      <c r="H1027"/>
      <c r="I1027"/>
      <c r="J1027"/>
      <c r="N1027"/>
      <c r="O1027"/>
    </row>
    <row r="1028" spans="1:15" x14ac:dyDescent="0.3">
      <c r="A1028"/>
      <c r="B1028"/>
      <c r="C1028"/>
      <c r="D1028"/>
      <c r="E1028"/>
      <c r="F1028"/>
      <c r="G1028"/>
      <c r="H1028"/>
      <c r="I1028"/>
      <c r="J1028"/>
      <c r="N1028"/>
      <c r="O1028"/>
    </row>
    <row r="1029" spans="1:15" x14ac:dyDescent="0.3">
      <c r="A1029"/>
      <c r="B1029"/>
      <c r="C1029"/>
      <c r="D1029"/>
      <c r="E1029"/>
      <c r="F1029"/>
      <c r="G1029"/>
      <c r="H1029"/>
      <c r="I1029"/>
      <c r="J1029"/>
      <c r="N1029"/>
      <c r="O1029"/>
    </row>
    <row r="1030" spans="1:15" x14ac:dyDescent="0.3">
      <c r="A1030"/>
      <c r="B1030"/>
      <c r="C1030"/>
      <c r="D1030"/>
      <c r="E1030"/>
      <c r="F1030"/>
      <c r="G1030"/>
      <c r="H1030"/>
      <c r="I1030"/>
      <c r="J1030"/>
      <c r="N1030"/>
      <c r="O1030"/>
    </row>
    <row r="1031" spans="1:15" x14ac:dyDescent="0.3">
      <c r="A1031"/>
      <c r="B1031"/>
      <c r="C1031"/>
      <c r="D1031"/>
      <c r="E1031"/>
      <c r="F1031"/>
      <c r="G1031"/>
      <c r="H1031"/>
      <c r="I1031"/>
      <c r="J1031"/>
      <c r="N1031"/>
      <c r="O1031"/>
    </row>
    <row r="1032" spans="1:15" x14ac:dyDescent="0.3">
      <c r="A1032"/>
      <c r="B1032"/>
      <c r="C1032"/>
      <c r="D1032"/>
      <c r="E1032"/>
      <c r="F1032"/>
      <c r="G1032"/>
      <c r="H1032"/>
      <c r="I1032"/>
      <c r="J1032"/>
      <c r="N1032"/>
      <c r="O1032"/>
    </row>
    <row r="1033" spans="1:15" x14ac:dyDescent="0.3">
      <c r="A1033"/>
      <c r="B1033"/>
      <c r="C1033"/>
      <c r="D1033"/>
      <c r="E1033"/>
      <c r="F1033"/>
      <c r="G1033"/>
      <c r="H1033"/>
      <c r="I1033"/>
      <c r="J1033"/>
      <c r="N1033"/>
      <c r="O1033"/>
    </row>
    <row r="1034" spans="1:15" x14ac:dyDescent="0.3">
      <c r="A1034"/>
      <c r="B1034"/>
      <c r="C1034"/>
      <c r="D1034"/>
      <c r="E1034"/>
      <c r="F1034"/>
      <c r="G1034"/>
      <c r="H1034"/>
      <c r="I1034"/>
      <c r="J1034"/>
      <c r="N1034"/>
      <c r="O1034"/>
    </row>
    <row r="1035" spans="1:15" x14ac:dyDescent="0.3">
      <c r="A1035"/>
      <c r="B1035"/>
      <c r="C1035"/>
      <c r="D1035"/>
      <c r="E1035"/>
      <c r="F1035"/>
      <c r="G1035"/>
      <c r="H1035"/>
      <c r="I1035"/>
      <c r="J1035"/>
      <c r="N1035"/>
      <c r="O1035"/>
    </row>
    <row r="1036" spans="1:15" x14ac:dyDescent="0.3">
      <c r="A1036"/>
      <c r="B1036"/>
      <c r="C1036"/>
      <c r="D1036"/>
      <c r="E1036"/>
      <c r="F1036"/>
      <c r="G1036"/>
      <c r="H1036"/>
      <c r="I1036"/>
      <c r="J1036"/>
      <c r="N1036"/>
      <c r="O1036"/>
    </row>
    <row r="1037" spans="1:15" x14ac:dyDescent="0.3">
      <c r="A1037"/>
      <c r="B1037"/>
      <c r="C1037"/>
      <c r="D1037"/>
      <c r="E1037"/>
      <c r="F1037"/>
      <c r="G1037"/>
      <c r="H1037"/>
      <c r="I1037"/>
      <c r="J1037"/>
      <c r="N1037"/>
      <c r="O1037"/>
    </row>
    <row r="1038" spans="1:15" x14ac:dyDescent="0.3">
      <c r="A1038"/>
      <c r="B1038"/>
      <c r="C1038"/>
      <c r="D1038"/>
      <c r="E1038"/>
      <c r="F1038"/>
      <c r="G1038"/>
      <c r="H1038"/>
      <c r="I1038"/>
      <c r="J1038"/>
      <c r="N1038"/>
      <c r="O1038"/>
    </row>
    <row r="1039" spans="1:15" x14ac:dyDescent="0.3">
      <c r="A1039"/>
      <c r="B1039"/>
      <c r="C1039"/>
      <c r="D1039"/>
      <c r="E1039"/>
      <c r="F1039"/>
      <c r="G1039"/>
      <c r="H1039"/>
      <c r="I1039"/>
      <c r="J1039"/>
      <c r="N1039"/>
      <c r="O1039"/>
    </row>
    <row r="1040" spans="1:15" x14ac:dyDescent="0.3">
      <c r="A1040"/>
      <c r="B1040"/>
      <c r="C1040"/>
      <c r="D1040"/>
      <c r="E1040"/>
      <c r="F1040"/>
      <c r="G1040"/>
      <c r="H1040"/>
      <c r="I1040"/>
      <c r="J1040"/>
      <c r="N1040"/>
      <c r="O1040"/>
    </row>
    <row r="1041" spans="1:15" x14ac:dyDescent="0.3">
      <c r="A1041"/>
      <c r="B1041"/>
      <c r="C1041"/>
      <c r="D1041"/>
      <c r="E1041"/>
      <c r="F1041"/>
      <c r="G1041"/>
      <c r="H1041"/>
      <c r="I1041"/>
      <c r="J1041"/>
      <c r="N1041"/>
      <c r="O1041"/>
    </row>
    <row r="1042" spans="1:15" x14ac:dyDescent="0.3">
      <c r="A1042"/>
      <c r="B1042"/>
      <c r="C1042"/>
      <c r="D1042"/>
      <c r="E1042"/>
      <c r="F1042"/>
      <c r="G1042"/>
      <c r="H1042"/>
      <c r="I1042"/>
      <c r="J1042"/>
      <c r="N1042"/>
      <c r="O1042"/>
    </row>
    <row r="1043" spans="1:15" x14ac:dyDescent="0.3">
      <c r="A1043"/>
      <c r="B1043"/>
      <c r="C1043"/>
      <c r="D1043"/>
      <c r="E1043"/>
      <c r="F1043"/>
      <c r="G1043"/>
      <c r="H1043"/>
      <c r="I1043"/>
      <c r="J1043"/>
      <c r="N1043"/>
      <c r="O1043"/>
    </row>
    <row r="1044" spans="1:15" x14ac:dyDescent="0.3">
      <c r="A1044"/>
      <c r="B1044"/>
      <c r="C1044"/>
      <c r="D1044"/>
      <c r="E1044"/>
      <c r="F1044"/>
      <c r="G1044"/>
      <c r="H1044"/>
      <c r="I1044"/>
      <c r="J1044"/>
      <c r="N1044"/>
      <c r="O1044"/>
    </row>
    <row r="1045" spans="1:15" x14ac:dyDescent="0.3">
      <c r="A1045"/>
      <c r="B1045"/>
      <c r="C1045"/>
      <c r="D1045"/>
      <c r="E1045"/>
      <c r="F1045"/>
      <c r="G1045"/>
      <c r="H1045"/>
      <c r="I1045"/>
      <c r="J1045"/>
      <c r="N1045"/>
      <c r="O1045"/>
    </row>
    <row r="1046" spans="1:15" x14ac:dyDescent="0.3">
      <c r="A1046"/>
      <c r="B1046"/>
      <c r="C1046"/>
      <c r="D1046"/>
      <c r="E1046"/>
      <c r="F1046"/>
      <c r="G1046"/>
      <c r="H1046"/>
      <c r="I1046"/>
      <c r="J1046"/>
      <c r="N1046"/>
      <c r="O1046"/>
    </row>
    <row r="1047" spans="1:15" x14ac:dyDescent="0.3">
      <c r="A1047"/>
      <c r="B1047"/>
      <c r="C1047"/>
      <c r="D1047"/>
      <c r="E1047"/>
      <c r="F1047"/>
      <c r="G1047"/>
      <c r="H1047"/>
      <c r="I1047"/>
      <c r="J1047"/>
      <c r="N1047"/>
      <c r="O1047"/>
    </row>
    <row r="1048" spans="1:15" x14ac:dyDescent="0.3">
      <c r="A1048"/>
      <c r="B1048"/>
      <c r="C1048"/>
      <c r="D1048"/>
      <c r="E1048"/>
      <c r="F1048"/>
      <c r="G1048"/>
      <c r="H1048"/>
      <c r="I1048"/>
      <c r="J1048"/>
      <c r="N1048"/>
      <c r="O1048"/>
    </row>
    <row r="1049" spans="1:15" x14ac:dyDescent="0.3">
      <c r="A1049"/>
      <c r="B1049"/>
      <c r="C1049"/>
      <c r="D1049"/>
      <c r="E1049"/>
      <c r="F1049"/>
      <c r="G1049"/>
      <c r="H1049"/>
      <c r="I1049"/>
      <c r="J1049"/>
      <c r="N1049"/>
      <c r="O1049"/>
    </row>
    <row r="1050" spans="1:15" x14ac:dyDescent="0.3">
      <c r="A1050"/>
      <c r="B1050"/>
      <c r="C1050"/>
      <c r="D1050"/>
      <c r="E1050"/>
      <c r="F1050"/>
      <c r="G1050"/>
      <c r="H1050"/>
      <c r="I1050"/>
      <c r="J1050"/>
      <c r="N1050"/>
      <c r="O1050"/>
    </row>
    <row r="1051" spans="1:15" x14ac:dyDescent="0.3">
      <c r="A1051"/>
      <c r="B1051"/>
      <c r="C1051"/>
      <c r="D1051"/>
      <c r="E1051"/>
      <c r="F1051"/>
      <c r="G1051"/>
      <c r="H1051"/>
      <c r="I1051"/>
      <c r="J1051"/>
      <c r="N1051"/>
      <c r="O1051"/>
    </row>
    <row r="1052" spans="1:15" x14ac:dyDescent="0.3">
      <c r="A1052"/>
      <c r="B1052"/>
      <c r="C1052"/>
      <c r="D1052"/>
      <c r="E1052"/>
      <c r="F1052"/>
      <c r="G1052"/>
      <c r="H1052"/>
      <c r="I1052"/>
      <c r="J1052"/>
      <c r="N1052"/>
      <c r="O1052"/>
    </row>
    <row r="1053" spans="1:15" x14ac:dyDescent="0.3">
      <c r="A1053"/>
      <c r="B1053"/>
      <c r="C1053"/>
      <c r="D1053"/>
      <c r="E1053"/>
      <c r="F1053"/>
      <c r="G1053"/>
      <c r="H1053"/>
      <c r="I1053"/>
      <c r="J1053"/>
      <c r="N1053"/>
      <c r="O1053"/>
    </row>
    <row r="1054" spans="1:15" x14ac:dyDescent="0.3">
      <c r="A1054"/>
      <c r="B1054"/>
      <c r="C1054"/>
      <c r="D1054"/>
      <c r="E1054"/>
      <c r="F1054"/>
      <c r="G1054"/>
      <c r="H1054"/>
      <c r="I1054"/>
      <c r="J1054"/>
      <c r="N1054"/>
      <c r="O1054"/>
    </row>
    <row r="1055" spans="1:15" x14ac:dyDescent="0.3">
      <c r="A1055"/>
      <c r="B1055"/>
      <c r="C1055"/>
      <c r="D1055"/>
      <c r="E1055"/>
      <c r="F1055"/>
      <c r="G1055"/>
      <c r="H1055"/>
      <c r="I1055"/>
      <c r="J1055"/>
      <c r="N1055"/>
      <c r="O1055"/>
    </row>
    <row r="1056" spans="1:15" x14ac:dyDescent="0.3">
      <c r="A1056"/>
      <c r="B1056"/>
      <c r="C1056"/>
      <c r="D1056"/>
      <c r="E1056"/>
      <c r="F1056"/>
      <c r="G1056"/>
      <c r="H1056"/>
      <c r="I1056"/>
      <c r="J1056"/>
      <c r="N1056"/>
      <c r="O1056"/>
    </row>
    <row r="1057" spans="1:15" x14ac:dyDescent="0.3">
      <c r="A1057"/>
      <c r="B1057"/>
      <c r="C1057"/>
      <c r="D1057"/>
      <c r="E1057"/>
      <c r="F1057"/>
      <c r="G1057"/>
      <c r="H1057"/>
      <c r="I1057"/>
      <c r="J1057"/>
      <c r="N1057"/>
      <c r="O1057"/>
    </row>
    <row r="1058" spans="1:15" x14ac:dyDescent="0.3">
      <c r="A1058"/>
      <c r="B1058"/>
      <c r="C1058"/>
      <c r="D1058"/>
      <c r="E1058"/>
      <c r="F1058"/>
      <c r="G1058"/>
      <c r="H1058"/>
      <c r="I1058"/>
      <c r="J1058"/>
      <c r="N1058"/>
      <c r="O1058"/>
    </row>
    <row r="1059" spans="1:15" x14ac:dyDescent="0.3">
      <c r="A1059"/>
      <c r="B1059"/>
      <c r="C1059"/>
      <c r="D1059"/>
      <c r="E1059"/>
      <c r="F1059"/>
      <c r="G1059"/>
      <c r="H1059"/>
      <c r="I1059"/>
      <c r="J1059"/>
      <c r="N1059"/>
      <c r="O1059"/>
    </row>
    <row r="1060" spans="1:15" x14ac:dyDescent="0.3">
      <c r="A1060"/>
      <c r="B1060"/>
      <c r="C1060"/>
      <c r="D1060"/>
      <c r="E1060"/>
      <c r="F1060"/>
      <c r="G1060"/>
      <c r="H1060"/>
      <c r="I1060"/>
      <c r="J1060"/>
      <c r="N1060"/>
      <c r="O1060"/>
    </row>
    <row r="1061" spans="1:15" x14ac:dyDescent="0.3">
      <c r="A1061"/>
      <c r="B1061"/>
      <c r="C1061"/>
      <c r="D1061"/>
      <c r="E1061"/>
      <c r="F1061"/>
      <c r="G1061"/>
      <c r="H1061"/>
      <c r="I1061"/>
      <c r="J1061"/>
      <c r="N1061"/>
      <c r="O1061"/>
    </row>
    <row r="1062" spans="1:15" x14ac:dyDescent="0.3">
      <c r="A1062"/>
      <c r="B1062"/>
      <c r="C1062"/>
      <c r="D1062"/>
      <c r="E1062"/>
      <c r="F1062"/>
      <c r="G1062"/>
      <c r="H1062"/>
      <c r="I1062"/>
      <c r="J1062"/>
      <c r="N1062"/>
      <c r="O1062"/>
    </row>
    <row r="1063" spans="1:15" x14ac:dyDescent="0.3">
      <c r="A1063"/>
      <c r="B1063"/>
      <c r="C1063"/>
      <c r="D1063"/>
      <c r="E1063"/>
      <c r="F1063"/>
      <c r="G1063"/>
      <c r="H1063"/>
      <c r="I1063"/>
      <c r="J1063"/>
      <c r="N1063"/>
      <c r="O1063"/>
    </row>
    <row r="1064" spans="1:15" x14ac:dyDescent="0.3">
      <c r="A1064"/>
      <c r="B1064"/>
      <c r="C1064"/>
      <c r="D1064"/>
      <c r="E1064"/>
      <c r="F1064"/>
      <c r="G1064"/>
      <c r="H1064"/>
      <c r="I1064"/>
      <c r="J1064"/>
      <c r="N1064"/>
      <c r="O1064"/>
    </row>
    <row r="1065" spans="1:15" x14ac:dyDescent="0.3">
      <c r="A1065"/>
      <c r="B1065"/>
      <c r="C1065"/>
      <c r="D1065"/>
      <c r="E1065"/>
      <c r="F1065"/>
      <c r="G1065"/>
      <c r="H1065"/>
      <c r="I1065"/>
      <c r="J1065"/>
      <c r="N1065"/>
      <c r="O1065"/>
    </row>
    <row r="1066" spans="1:15" x14ac:dyDescent="0.3">
      <c r="A1066"/>
      <c r="B1066"/>
      <c r="C1066"/>
      <c r="D1066"/>
      <c r="E1066"/>
      <c r="F1066"/>
      <c r="G1066"/>
      <c r="H1066"/>
      <c r="I1066"/>
      <c r="J1066"/>
      <c r="N1066"/>
      <c r="O1066"/>
    </row>
    <row r="1067" spans="1:15" x14ac:dyDescent="0.3">
      <c r="A1067"/>
      <c r="B1067"/>
      <c r="C1067"/>
      <c r="D1067"/>
      <c r="E1067"/>
      <c r="F1067"/>
      <c r="G1067"/>
      <c r="H1067"/>
      <c r="I1067"/>
      <c r="J1067"/>
      <c r="N1067"/>
      <c r="O1067"/>
    </row>
    <row r="1068" spans="1:15" x14ac:dyDescent="0.3">
      <c r="A1068"/>
      <c r="B1068"/>
      <c r="C1068"/>
      <c r="D1068"/>
      <c r="E1068"/>
      <c r="F1068"/>
      <c r="G1068"/>
      <c r="H1068"/>
      <c r="I1068"/>
      <c r="J1068"/>
      <c r="N1068"/>
      <c r="O1068"/>
    </row>
    <row r="1069" spans="1:15" x14ac:dyDescent="0.3">
      <c r="A1069"/>
      <c r="B1069"/>
      <c r="C1069"/>
      <c r="D1069"/>
      <c r="E1069"/>
      <c r="F1069"/>
      <c r="G1069"/>
      <c r="H1069"/>
      <c r="I1069"/>
      <c r="J1069"/>
      <c r="N1069"/>
      <c r="O1069"/>
    </row>
    <row r="1070" spans="1:15" x14ac:dyDescent="0.3">
      <c r="A1070"/>
      <c r="B1070"/>
      <c r="C1070"/>
      <c r="D1070"/>
      <c r="E1070"/>
      <c r="F1070"/>
      <c r="G1070"/>
      <c r="H1070"/>
      <c r="I1070"/>
      <c r="J1070"/>
      <c r="N1070"/>
      <c r="O1070"/>
    </row>
    <row r="1071" spans="1:15" x14ac:dyDescent="0.3">
      <c r="A1071"/>
      <c r="B1071"/>
      <c r="C1071"/>
      <c r="D1071"/>
      <c r="E1071"/>
      <c r="F1071"/>
      <c r="G1071"/>
      <c r="H1071"/>
      <c r="I1071"/>
      <c r="J1071"/>
      <c r="N1071"/>
      <c r="O1071"/>
    </row>
    <row r="1072" spans="1:15" x14ac:dyDescent="0.3">
      <c r="A1072"/>
      <c r="B1072"/>
      <c r="C1072"/>
      <c r="D1072"/>
      <c r="E1072"/>
      <c r="F1072"/>
      <c r="G1072"/>
      <c r="H1072"/>
      <c r="I1072"/>
      <c r="J1072"/>
      <c r="N1072"/>
      <c r="O1072"/>
    </row>
    <row r="1073" spans="1:15" x14ac:dyDescent="0.3">
      <c r="A1073"/>
      <c r="B1073"/>
      <c r="C1073"/>
      <c r="D1073"/>
      <c r="E1073"/>
      <c r="F1073"/>
      <c r="G1073"/>
      <c r="H1073"/>
      <c r="I1073"/>
      <c r="J1073"/>
      <c r="N1073"/>
      <c r="O1073"/>
    </row>
    <row r="1074" spans="1:15" x14ac:dyDescent="0.3">
      <c r="A1074"/>
      <c r="B1074"/>
      <c r="C1074"/>
      <c r="D1074"/>
      <c r="E1074"/>
      <c r="F1074"/>
      <c r="G1074"/>
      <c r="H1074"/>
      <c r="I1074"/>
      <c r="J1074"/>
      <c r="N1074"/>
      <c r="O1074"/>
    </row>
    <row r="1075" spans="1:15" x14ac:dyDescent="0.3">
      <c r="A1075"/>
      <c r="B1075"/>
      <c r="C1075"/>
      <c r="D1075"/>
      <c r="E1075"/>
      <c r="F1075"/>
      <c r="G1075"/>
      <c r="H1075"/>
      <c r="I1075"/>
      <c r="N1075"/>
      <c r="O1075"/>
    </row>
    <row r="1076" spans="1:15" x14ac:dyDescent="0.3">
      <c r="A1076"/>
      <c r="B1076"/>
      <c r="C1076"/>
      <c r="D1076"/>
      <c r="E1076"/>
      <c r="F1076"/>
      <c r="G1076"/>
      <c r="H1076"/>
      <c r="I1076"/>
      <c r="N1076"/>
      <c r="O1076"/>
    </row>
    <row r="1077" spans="1:15" x14ac:dyDescent="0.3">
      <c r="A1077"/>
      <c r="B1077"/>
      <c r="C1077"/>
      <c r="D1077"/>
      <c r="E1077"/>
      <c r="F1077"/>
      <c r="G1077"/>
      <c r="H1077"/>
      <c r="I1077"/>
      <c r="N1077"/>
      <c r="O1077"/>
    </row>
    <row r="1078" spans="1:15" x14ac:dyDescent="0.3">
      <c r="A1078"/>
      <c r="B1078"/>
      <c r="C1078"/>
      <c r="D1078"/>
      <c r="E1078"/>
      <c r="F1078"/>
      <c r="G1078"/>
      <c r="H1078"/>
      <c r="I1078"/>
      <c r="N1078"/>
      <c r="O1078"/>
    </row>
    <row r="1079" spans="1:15" x14ac:dyDescent="0.3">
      <c r="A1079"/>
      <c r="B1079"/>
      <c r="C1079"/>
      <c r="D1079"/>
      <c r="E1079"/>
      <c r="F1079"/>
      <c r="G1079"/>
      <c r="H1079"/>
      <c r="I1079"/>
      <c r="N1079"/>
      <c r="O1079"/>
    </row>
    <row r="1080" spans="1:15" x14ac:dyDescent="0.3">
      <c r="A1080"/>
      <c r="B1080"/>
      <c r="C1080"/>
      <c r="D1080"/>
      <c r="E1080"/>
      <c r="F1080"/>
      <c r="G1080"/>
      <c r="H1080"/>
      <c r="I1080"/>
      <c r="N1080"/>
      <c r="O1080"/>
    </row>
    <row r="1081" spans="1:15" x14ac:dyDescent="0.3">
      <c r="A1081"/>
      <c r="B1081"/>
      <c r="C1081"/>
      <c r="D1081"/>
      <c r="E1081"/>
      <c r="F1081"/>
      <c r="G1081"/>
      <c r="H1081"/>
      <c r="I1081"/>
      <c r="O1081"/>
    </row>
    <row r="1082" spans="1:15" x14ac:dyDescent="0.3">
      <c r="A1082"/>
      <c r="B1082"/>
      <c r="C1082"/>
      <c r="D1082"/>
      <c r="E1082"/>
      <c r="F1082"/>
      <c r="G1082"/>
      <c r="H1082"/>
      <c r="I1082"/>
      <c r="O1082"/>
    </row>
    <row r="1083" spans="1:15" x14ac:dyDescent="0.3">
      <c r="A1083"/>
      <c r="B1083"/>
      <c r="C1083"/>
      <c r="D1083"/>
      <c r="E1083"/>
      <c r="F1083"/>
      <c r="G1083"/>
      <c r="H1083"/>
      <c r="I1083"/>
      <c r="O1083"/>
    </row>
    <row r="1084" spans="1:15" x14ac:dyDescent="0.3">
      <c r="A1084"/>
      <c r="B1084"/>
      <c r="C1084"/>
      <c r="D1084"/>
      <c r="E1084"/>
      <c r="F1084"/>
      <c r="G1084"/>
      <c r="H1084"/>
      <c r="I1084"/>
      <c r="O1084"/>
    </row>
    <row r="1085" spans="1:15" x14ac:dyDescent="0.3">
      <c r="A1085"/>
      <c r="B1085"/>
      <c r="C1085"/>
      <c r="D1085"/>
      <c r="E1085"/>
      <c r="F1085"/>
      <c r="G1085"/>
      <c r="H1085"/>
      <c r="I1085"/>
      <c r="O1085"/>
    </row>
    <row r="1086" spans="1:15" x14ac:dyDescent="0.3">
      <c r="A1086"/>
      <c r="B1086"/>
      <c r="C1086"/>
      <c r="D1086"/>
      <c r="E1086"/>
      <c r="F1086"/>
      <c r="G1086"/>
      <c r="H1086"/>
      <c r="I1086"/>
      <c r="O1086"/>
    </row>
    <row r="1087" spans="1:15" x14ac:dyDescent="0.3">
      <c r="A1087"/>
      <c r="B1087"/>
      <c r="C1087"/>
      <c r="D1087"/>
      <c r="E1087"/>
      <c r="F1087"/>
      <c r="G1087"/>
      <c r="H1087"/>
      <c r="I1087"/>
      <c r="O1087"/>
    </row>
    <row r="1088" spans="1:15" x14ac:dyDescent="0.3">
      <c r="A1088"/>
      <c r="B1088"/>
      <c r="C1088"/>
      <c r="D1088"/>
      <c r="E1088"/>
      <c r="F1088"/>
      <c r="G1088"/>
      <c r="H1088"/>
      <c r="I1088"/>
      <c r="O1088"/>
    </row>
    <row r="1089" spans="1:15" x14ac:dyDescent="0.3">
      <c r="A1089"/>
      <c r="B1089"/>
      <c r="C1089"/>
      <c r="D1089"/>
      <c r="E1089"/>
      <c r="F1089"/>
      <c r="G1089"/>
      <c r="H1089"/>
      <c r="I1089"/>
      <c r="O1089"/>
    </row>
    <row r="1090" spans="1:15" x14ac:dyDescent="0.3">
      <c r="A1090"/>
      <c r="B1090"/>
      <c r="C1090"/>
      <c r="D1090"/>
      <c r="E1090"/>
      <c r="F1090"/>
      <c r="G1090"/>
      <c r="H1090"/>
      <c r="I1090"/>
      <c r="O1090"/>
    </row>
    <row r="1091" spans="1:15" x14ac:dyDescent="0.3">
      <c r="A1091"/>
      <c r="B1091"/>
      <c r="C1091"/>
      <c r="D1091"/>
      <c r="E1091"/>
      <c r="F1091"/>
      <c r="G1091"/>
      <c r="H1091"/>
      <c r="I1091"/>
      <c r="O1091"/>
    </row>
    <row r="1092" spans="1:15" x14ac:dyDescent="0.3">
      <c r="A1092"/>
      <c r="B1092"/>
      <c r="C1092"/>
      <c r="D1092"/>
      <c r="E1092"/>
      <c r="F1092"/>
      <c r="G1092"/>
      <c r="H1092"/>
      <c r="I1092"/>
      <c r="O1092"/>
    </row>
    <row r="1093" spans="1:15" x14ac:dyDescent="0.3">
      <c r="A1093"/>
      <c r="B1093"/>
      <c r="C1093"/>
      <c r="D1093"/>
      <c r="E1093"/>
      <c r="F1093"/>
      <c r="G1093"/>
      <c r="H1093"/>
      <c r="I1093"/>
    </row>
    <row r="1094" spans="1:15" x14ac:dyDescent="0.3">
      <c r="A1094"/>
      <c r="B1094"/>
      <c r="C1094"/>
      <c r="D1094"/>
      <c r="E1094"/>
      <c r="F1094"/>
      <c r="G1094"/>
      <c r="H1094"/>
      <c r="I1094"/>
    </row>
    <row r="1095" spans="1:15" x14ac:dyDescent="0.3">
      <c r="A1095"/>
      <c r="B1095"/>
      <c r="C1095"/>
      <c r="D1095"/>
      <c r="E1095"/>
      <c r="F1095"/>
      <c r="G1095"/>
      <c r="H1095"/>
      <c r="I1095"/>
    </row>
    <row r="1096" spans="1:15" x14ac:dyDescent="0.3">
      <c r="A1096"/>
      <c r="B1096"/>
      <c r="C1096"/>
      <c r="D1096"/>
      <c r="E1096"/>
      <c r="F1096"/>
      <c r="G1096"/>
      <c r="H1096"/>
      <c r="I1096"/>
    </row>
    <row r="1097" spans="1:15" x14ac:dyDescent="0.3">
      <c r="A1097"/>
      <c r="B1097"/>
      <c r="C1097"/>
      <c r="D1097"/>
      <c r="E1097"/>
      <c r="F1097"/>
      <c r="G1097"/>
      <c r="H1097"/>
      <c r="I1097"/>
    </row>
    <row r="1098" spans="1:15" x14ac:dyDescent="0.3">
      <c r="A1098"/>
      <c r="B1098"/>
      <c r="C1098"/>
      <c r="D1098"/>
      <c r="E1098"/>
      <c r="F1098"/>
      <c r="G1098"/>
      <c r="H1098"/>
      <c r="I1098"/>
    </row>
    <row r="1099" spans="1:15" x14ac:dyDescent="0.3">
      <c r="A1099"/>
      <c r="B1099"/>
      <c r="C1099"/>
      <c r="D1099"/>
      <c r="E1099"/>
      <c r="F1099"/>
      <c r="G1099"/>
      <c r="H1099"/>
      <c r="I1099"/>
    </row>
    <row r="1100" spans="1:15" x14ac:dyDescent="0.3">
      <c r="A1100"/>
      <c r="B1100"/>
      <c r="C1100"/>
      <c r="D1100"/>
      <c r="E1100"/>
      <c r="F1100"/>
      <c r="G1100"/>
      <c r="H1100"/>
      <c r="I1100"/>
    </row>
    <row r="1101" spans="1:15" x14ac:dyDescent="0.3">
      <c r="A1101"/>
      <c r="B1101"/>
      <c r="C1101"/>
      <c r="D1101"/>
      <c r="E1101"/>
      <c r="F1101"/>
      <c r="G1101"/>
      <c r="H1101"/>
      <c r="I1101"/>
    </row>
    <row r="1102" spans="1:15" x14ac:dyDescent="0.3">
      <c r="A1102"/>
      <c r="B1102"/>
      <c r="C1102"/>
      <c r="D1102"/>
      <c r="E1102"/>
      <c r="F1102"/>
      <c r="G1102"/>
      <c r="H1102"/>
      <c r="I1102"/>
    </row>
    <row r="1103" spans="1:15" x14ac:dyDescent="0.3">
      <c r="A1103"/>
      <c r="B1103"/>
      <c r="C1103"/>
      <c r="D1103"/>
      <c r="E1103"/>
      <c r="F1103"/>
      <c r="G1103"/>
      <c r="H1103"/>
      <c r="I1103"/>
    </row>
    <row r="1104" spans="1:15" x14ac:dyDescent="0.3">
      <c r="A1104"/>
      <c r="B1104"/>
      <c r="C1104"/>
      <c r="D1104"/>
      <c r="E1104"/>
      <c r="F1104"/>
      <c r="G1104"/>
      <c r="H1104"/>
      <c r="I1104"/>
    </row>
    <row r="1105" spans="1:9" x14ac:dyDescent="0.3">
      <c r="A1105"/>
      <c r="B1105"/>
      <c r="C1105"/>
      <c r="D1105"/>
      <c r="E1105"/>
      <c r="F1105"/>
      <c r="G1105"/>
      <c r="H1105"/>
      <c r="I1105"/>
    </row>
    <row r="1106" spans="1:9" x14ac:dyDescent="0.3">
      <c r="A1106"/>
      <c r="B1106"/>
      <c r="C1106"/>
      <c r="D1106"/>
      <c r="E1106"/>
      <c r="F1106"/>
      <c r="G1106"/>
      <c r="H1106"/>
      <c r="I1106"/>
    </row>
    <row r="1107" spans="1:9" x14ac:dyDescent="0.3">
      <c r="A1107"/>
      <c r="B1107"/>
      <c r="C1107"/>
      <c r="D1107"/>
      <c r="E1107"/>
      <c r="F1107"/>
      <c r="G1107"/>
      <c r="H1107"/>
      <c r="I1107"/>
    </row>
    <row r="1108" spans="1:9" x14ac:dyDescent="0.3">
      <c r="A1108"/>
      <c r="B1108"/>
      <c r="C1108"/>
      <c r="D1108"/>
      <c r="E1108"/>
      <c r="F1108"/>
      <c r="G1108"/>
      <c r="H1108"/>
      <c r="I1108"/>
    </row>
    <row r="1109" spans="1:9" x14ac:dyDescent="0.3">
      <c r="A1109"/>
      <c r="B1109"/>
      <c r="C1109"/>
      <c r="D1109"/>
      <c r="E1109"/>
      <c r="F1109"/>
      <c r="G1109"/>
      <c r="H1109"/>
      <c r="I1109"/>
    </row>
    <row r="1110" spans="1:9" x14ac:dyDescent="0.3">
      <c r="A1110"/>
      <c r="B1110"/>
      <c r="C1110"/>
      <c r="D1110"/>
      <c r="E1110"/>
      <c r="F1110"/>
      <c r="G1110"/>
      <c r="H1110"/>
      <c r="I1110"/>
    </row>
    <row r="1111" spans="1:9" x14ac:dyDescent="0.3">
      <c r="A1111"/>
      <c r="B1111"/>
      <c r="C1111"/>
      <c r="D1111"/>
      <c r="E1111"/>
      <c r="F1111"/>
      <c r="G1111"/>
      <c r="H1111"/>
      <c r="I1111"/>
    </row>
    <row r="1112" spans="1:9" x14ac:dyDescent="0.3">
      <c r="A1112"/>
      <c r="B1112"/>
      <c r="C1112"/>
      <c r="D1112"/>
      <c r="E1112"/>
      <c r="F1112"/>
      <c r="G1112"/>
      <c r="H1112"/>
      <c r="I1112"/>
    </row>
    <row r="1113" spans="1:9" x14ac:dyDescent="0.3">
      <c r="A1113"/>
      <c r="B1113"/>
      <c r="C1113"/>
      <c r="D1113"/>
      <c r="E1113"/>
      <c r="F1113"/>
      <c r="G1113"/>
      <c r="H1113"/>
      <c r="I1113"/>
    </row>
    <row r="1114" spans="1:9" x14ac:dyDescent="0.3">
      <c r="A1114"/>
      <c r="B1114"/>
      <c r="C1114"/>
      <c r="D1114"/>
      <c r="E1114"/>
      <c r="F1114"/>
      <c r="G1114"/>
      <c r="H1114"/>
      <c r="I1114"/>
    </row>
    <row r="1115" spans="1:9" x14ac:dyDescent="0.3">
      <c r="A1115"/>
      <c r="B1115"/>
      <c r="C1115"/>
      <c r="D1115"/>
      <c r="E1115"/>
      <c r="F1115"/>
      <c r="G1115"/>
      <c r="H1115"/>
      <c r="I1115"/>
    </row>
    <row r="1116" spans="1:9" x14ac:dyDescent="0.3">
      <c r="A1116"/>
      <c r="B1116"/>
      <c r="C1116"/>
      <c r="D1116"/>
      <c r="E1116"/>
      <c r="F1116"/>
      <c r="G1116"/>
      <c r="H1116"/>
      <c r="I1116"/>
    </row>
    <row r="1117" spans="1:9" x14ac:dyDescent="0.3">
      <c r="A1117"/>
      <c r="B1117"/>
      <c r="C1117"/>
      <c r="D1117"/>
      <c r="E1117"/>
      <c r="F1117"/>
      <c r="G1117"/>
      <c r="H1117"/>
      <c r="I1117"/>
    </row>
    <row r="1118" spans="1:9" x14ac:dyDescent="0.3">
      <c r="A1118"/>
      <c r="B1118"/>
      <c r="C1118"/>
      <c r="D1118"/>
      <c r="E1118"/>
      <c r="F1118"/>
      <c r="G1118"/>
      <c r="H1118"/>
      <c r="I1118"/>
    </row>
    <row r="1119" spans="1:9" x14ac:dyDescent="0.3">
      <c r="A1119"/>
      <c r="B1119"/>
      <c r="C1119"/>
      <c r="D1119"/>
      <c r="E1119"/>
      <c r="F1119"/>
      <c r="G1119"/>
      <c r="H1119"/>
      <c r="I1119"/>
    </row>
    <row r="1120" spans="1:9" x14ac:dyDescent="0.3">
      <c r="A1120"/>
      <c r="B1120"/>
      <c r="C1120"/>
      <c r="D1120"/>
      <c r="E1120"/>
      <c r="F1120"/>
      <c r="G1120"/>
      <c r="H1120"/>
      <c r="I1120"/>
    </row>
    <row r="1121" spans="1:9" x14ac:dyDescent="0.3">
      <c r="A1121"/>
      <c r="B1121"/>
      <c r="C1121"/>
      <c r="D1121"/>
      <c r="E1121"/>
      <c r="F1121"/>
      <c r="G1121"/>
      <c r="H1121"/>
      <c r="I1121"/>
    </row>
    <row r="1122" spans="1:9" x14ac:dyDescent="0.3">
      <c r="A1122"/>
      <c r="B1122"/>
      <c r="C1122"/>
      <c r="D1122"/>
      <c r="E1122"/>
      <c r="F1122"/>
      <c r="G1122"/>
      <c r="H1122"/>
      <c r="I1122"/>
    </row>
    <row r="1123" spans="1:9" x14ac:dyDescent="0.3">
      <c r="A1123"/>
      <c r="B1123"/>
      <c r="C1123"/>
      <c r="D1123"/>
      <c r="E1123"/>
      <c r="F1123"/>
      <c r="G1123"/>
      <c r="H1123"/>
      <c r="I1123"/>
    </row>
    <row r="1124" spans="1:9" x14ac:dyDescent="0.3">
      <c r="A1124"/>
      <c r="B1124"/>
      <c r="C1124"/>
      <c r="D1124"/>
      <c r="E1124"/>
      <c r="F1124"/>
      <c r="G1124"/>
      <c r="H1124"/>
      <c r="I1124"/>
    </row>
    <row r="1125" spans="1:9" x14ac:dyDescent="0.3">
      <c r="A1125"/>
      <c r="B1125"/>
      <c r="C1125"/>
      <c r="D1125"/>
      <c r="E1125"/>
      <c r="F1125"/>
      <c r="G1125"/>
      <c r="H1125"/>
      <c r="I1125"/>
    </row>
    <row r="1126" spans="1:9" x14ac:dyDescent="0.3">
      <c r="A1126"/>
      <c r="B1126"/>
      <c r="C1126"/>
      <c r="D1126"/>
      <c r="E1126"/>
      <c r="F1126"/>
      <c r="G1126"/>
      <c r="H1126"/>
      <c r="I1126"/>
    </row>
    <row r="1127" spans="1:9" x14ac:dyDescent="0.3">
      <c r="A1127"/>
      <c r="B1127"/>
      <c r="C1127"/>
      <c r="D1127"/>
      <c r="E1127"/>
      <c r="F1127"/>
      <c r="G1127"/>
      <c r="H1127"/>
      <c r="I1127"/>
    </row>
    <row r="1128" spans="1:9" x14ac:dyDescent="0.3">
      <c r="A1128"/>
      <c r="B1128"/>
      <c r="C1128"/>
      <c r="D1128"/>
      <c r="E1128"/>
      <c r="F1128"/>
      <c r="G1128"/>
      <c r="H1128"/>
      <c r="I1128"/>
    </row>
    <row r="1129" spans="1:9" x14ac:dyDescent="0.3">
      <c r="A1129"/>
      <c r="B1129"/>
      <c r="C1129"/>
      <c r="D1129"/>
      <c r="E1129"/>
      <c r="F1129"/>
      <c r="G1129"/>
      <c r="H1129"/>
      <c r="I1129"/>
    </row>
    <row r="1130" spans="1:9" x14ac:dyDescent="0.3">
      <c r="A1130"/>
      <c r="B1130"/>
      <c r="C1130"/>
      <c r="D1130"/>
      <c r="E1130"/>
      <c r="F1130"/>
      <c r="G1130"/>
      <c r="H1130"/>
      <c r="I1130"/>
    </row>
    <row r="1131" spans="1:9" x14ac:dyDescent="0.3">
      <c r="A1131"/>
      <c r="B1131"/>
      <c r="C1131"/>
      <c r="D1131"/>
      <c r="E1131"/>
      <c r="F1131"/>
      <c r="G1131"/>
      <c r="H1131"/>
      <c r="I1131"/>
    </row>
    <row r="1132" spans="1:9" x14ac:dyDescent="0.3">
      <c r="A1132"/>
      <c r="B1132"/>
      <c r="C1132"/>
      <c r="D1132"/>
      <c r="E1132"/>
      <c r="F1132"/>
      <c r="G1132"/>
      <c r="H1132"/>
      <c r="I1132"/>
    </row>
    <row r="1133" spans="1:9" x14ac:dyDescent="0.3">
      <c r="A1133"/>
      <c r="B1133"/>
      <c r="C1133"/>
      <c r="D1133"/>
      <c r="E1133"/>
      <c r="F1133"/>
      <c r="G1133"/>
      <c r="H1133"/>
      <c r="I1133"/>
    </row>
    <row r="1134" spans="1:9" x14ac:dyDescent="0.3">
      <c r="A1134"/>
      <c r="B1134"/>
      <c r="C1134"/>
      <c r="D1134"/>
      <c r="E1134"/>
      <c r="F1134"/>
      <c r="G1134"/>
      <c r="H1134"/>
      <c r="I1134"/>
    </row>
    <row r="1135" spans="1:9" x14ac:dyDescent="0.3">
      <c r="A1135"/>
      <c r="B1135"/>
      <c r="C1135"/>
      <c r="D1135"/>
      <c r="E1135"/>
      <c r="F1135"/>
      <c r="G1135"/>
      <c r="H1135"/>
      <c r="I1135"/>
    </row>
    <row r="1136" spans="1:9" x14ac:dyDescent="0.3">
      <c r="A1136"/>
      <c r="B1136"/>
      <c r="C1136"/>
      <c r="D1136"/>
      <c r="E1136"/>
      <c r="F1136"/>
      <c r="G1136"/>
      <c r="H1136"/>
      <c r="I1136"/>
    </row>
    <row r="1137" spans="1:9" x14ac:dyDescent="0.3">
      <c r="A1137"/>
      <c r="B1137"/>
      <c r="C1137"/>
      <c r="D1137"/>
      <c r="E1137"/>
      <c r="F1137"/>
      <c r="G1137"/>
      <c r="H1137"/>
      <c r="I1137"/>
    </row>
    <row r="1138" spans="1:9" x14ac:dyDescent="0.3">
      <c r="A1138"/>
      <c r="B1138"/>
      <c r="C1138"/>
      <c r="D1138"/>
      <c r="E1138"/>
      <c r="F1138"/>
      <c r="G1138"/>
      <c r="H1138"/>
      <c r="I1138"/>
    </row>
    <row r="1139" spans="1:9" x14ac:dyDescent="0.3">
      <c r="A1139"/>
      <c r="B1139"/>
      <c r="C1139"/>
      <c r="D1139"/>
      <c r="E1139"/>
      <c r="F1139"/>
      <c r="G1139"/>
      <c r="H1139"/>
      <c r="I1139"/>
    </row>
    <row r="1140" spans="1:9" x14ac:dyDescent="0.3">
      <c r="A1140"/>
      <c r="B1140"/>
      <c r="C1140"/>
      <c r="D1140"/>
      <c r="E1140"/>
      <c r="F1140"/>
      <c r="G1140"/>
      <c r="H1140"/>
      <c r="I1140"/>
    </row>
    <row r="1141" spans="1:9" x14ac:dyDescent="0.3">
      <c r="A1141"/>
      <c r="B1141"/>
      <c r="C1141"/>
      <c r="D1141"/>
      <c r="E1141"/>
      <c r="F1141"/>
      <c r="G1141"/>
      <c r="H1141"/>
      <c r="I1141"/>
    </row>
    <row r="1142" spans="1:9" x14ac:dyDescent="0.3">
      <c r="A1142"/>
      <c r="B1142"/>
      <c r="C1142"/>
      <c r="D1142"/>
      <c r="E1142"/>
      <c r="F1142"/>
      <c r="G1142"/>
      <c r="H1142"/>
      <c r="I1142"/>
    </row>
    <row r="1143" spans="1:9" x14ac:dyDescent="0.3">
      <c r="A1143"/>
      <c r="B1143"/>
      <c r="C1143"/>
      <c r="D1143"/>
      <c r="E1143"/>
      <c r="F1143"/>
      <c r="G1143"/>
      <c r="H1143"/>
      <c r="I1143"/>
    </row>
    <row r="1144" spans="1:9" x14ac:dyDescent="0.3">
      <c r="A1144"/>
      <c r="B1144"/>
      <c r="C1144"/>
      <c r="D1144"/>
      <c r="E1144"/>
      <c r="F1144"/>
      <c r="G1144"/>
      <c r="H1144"/>
      <c r="I1144"/>
    </row>
    <row r="1145" spans="1:9" x14ac:dyDescent="0.3">
      <c r="A1145"/>
      <c r="B1145"/>
      <c r="C1145"/>
      <c r="D1145"/>
      <c r="E1145"/>
      <c r="F1145"/>
      <c r="G1145"/>
      <c r="H1145"/>
      <c r="I1145"/>
    </row>
    <row r="1146" spans="1:9" x14ac:dyDescent="0.3">
      <c r="A1146"/>
      <c r="B1146"/>
      <c r="C1146"/>
      <c r="D1146"/>
      <c r="E1146"/>
      <c r="F1146"/>
      <c r="G1146"/>
      <c r="H1146"/>
      <c r="I1146"/>
    </row>
    <row r="1147" spans="1:9" x14ac:dyDescent="0.3">
      <c r="A1147"/>
      <c r="B1147"/>
      <c r="C1147"/>
      <c r="D1147"/>
      <c r="E1147"/>
      <c r="F1147"/>
      <c r="G1147"/>
      <c r="H1147"/>
      <c r="I1147"/>
    </row>
    <row r="1148" spans="1:9" x14ac:dyDescent="0.3">
      <c r="A1148"/>
      <c r="B1148"/>
      <c r="C1148"/>
      <c r="D1148"/>
      <c r="E1148"/>
      <c r="F1148"/>
      <c r="G1148"/>
      <c r="H1148"/>
      <c r="I1148"/>
    </row>
    <row r="1149" spans="1:9" x14ac:dyDescent="0.3">
      <c r="A1149"/>
      <c r="B1149"/>
      <c r="C1149"/>
      <c r="D1149"/>
      <c r="E1149"/>
      <c r="F1149"/>
      <c r="G1149"/>
      <c r="H1149"/>
      <c r="I1149"/>
    </row>
    <row r="1150" spans="1:9" x14ac:dyDescent="0.3">
      <c r="A1150"/>
      <c r="B1150"/>
      <c r="C1150"/>
      <c r="D1150"/>
      <c r="E1150"/>
      <c r="F1150"/>
      <c r="G1150"/>
      <c r="H1150"/>
      <c r="I1150"/>
    </row>
    <row r="1151" spans="1:9" x14ac:dyDescent="0.3">
      <c r="A1151"/>
      <c r="B1151"/>
      <c r="C1151"/>
      <c r="D1151"/>
      <c r="E1151"/>
      <c r="F1151"/>
      <c r="G1151"/>
      <c r="H1151"/>
      <c r="I1151"/>
    </row>
    <row r="1152" spans="1:9" x14ac:dyDescent="0.3">
      <c r="A1152"/>
      <c r="B1152"/>
      <c r="C1152"/>
      <c r="D1152"/>
      <c r="E1152"/>
      <c r="F1152"/>
      <c r="G1152"/>
      <c r="H1152"/>
      <c r="I1152"/>
    </row>
    <row r="1153" spans="1:9" x14ac:dyDescent="0.3">
      <c r="A1153"/>
      <c r="B1153"/>
      <c r="C1153"/>
      <c r="D1153"/>
      <c r="E1153"/>
      <c r="F1153"/>
      <c r="G1153"/>
      <c r="H1153"/>
      <c r="I1153"/>
    </row>
    <row r="1154" spans="1:9" x14ac:dyDescent="0.3">
      <c r="A1154"/>
      <c r="B1154"/>
      <c r="C1154"/>
      <c r="D1154"/>
      <c r="E1154"/>
      <c r="F1154"/>
      <c r="G1154"/>
      <c r="H1154"/>
      <c r="I1154"/>
    </row>
    <row r="1155" spans="1:9" x14ac:dyDescent="0.3">
      <c r="A1155"/>
      <c r="B1155"/>
      <c r="C1155"/>
      <c r="D1155"/>
      <c r="E1155"/>
      <c r="F1155"/>
      <c r="G1155"/>
      <c r="H1155"/>
      <c r="I1155"/>
    </row>
    <row r="1156" spans="1:9" x14ac:dyDescent="0.3">
      <c r="A1156"/>
      <c r="B1156"/>
      <c r="C1156"/>
      <c r="D1156"/>
      <c r="E1156"/>
      <c r="F1156"/>
      <c r="G1156"/>
      <c r="H1156"/>
      <c r="I1156"/>
    </row>
    <row r="1157" spans="1:9" x14ac:dyDescent="0.3">
      <c r="A1157"/>
      <c r="B1157"/>
      <c r="C1157"/>
      <c r="D1157"/>
      <c r="E1157"/>
      <c r="F1157"/>
      <c r="G1157"/>
      <c r="H1157"/>
      <c r="I1157"/>
    </row>
    <row r="1158" spans="1:9" x14ac:dyDescent="0.3">
      <c r="A1158"/>
      <c r="B1158"/>
      <c r="C1158"/>
      <c r="D1158"/>
      <c r="E1158"/>
      <c r="F1158"/>
      <c r="G1158"/>
      <c r="H1158"/>
      <c r="I1158"/>
    </row>
    <row r="1159" spans="1:9" x14ac:dyDescent="0.3">
      <c r="A1159"/>
      <c r="B1159"/>
      <c r="C1159"/>
      <c r="D1159"/>
      <c r="E1159"/>
      <c r="F1159"/>
      <c r="G1159"/>
      <c r="H1159"/>
      <c r="I1159"/>
    </row>
    <row r="1160" spans="1:9" x14ac:dyDescent="0.3">
      <c r="A1160"/>
      <c r="B1160"/>
      <c r="C1160"/>
      <c r="D1160"/>
      <c r="E1160"/>
      <c r="F1160"/>
      <c r="G1160"/>
      <c r="H1160"/>
      <c r="I1160"/>
    </row>
    <row r="1161" spans="1:9" x14ac:dyDescent="0.3">
      <c r="A1161"/>
      <c r="B1161"/>
      <c r="C1161"/>
      <c r="D1161"/>
      <c r="E1161"/>
      <c r="F1161"/>
      <c r="G1161"/>
      <c r="H1161"/>
      <c r="I1161"/>
    </row>
    <row r="1162" spans="1:9" x14ac:dyDescent="0.3">
      <c r="A1162"/>
      <c r="B1162"/>
      <c r="C1162"/>
      <c r="D1162"/>
      <c r="E1162"/>
      <c r="F1162"/>
      <c r="G1162"/>
      <c r="H1162"/>
      <c r="I1162"/>
    </row>
    <row r="1163" spans="1:9" x14ac:dyDescent="0.3">
      <c r="A1163"/>
      <c r="B1163"/>
      <c r="C1163"/>
      <c r="D1163"/>
      <c r="E1163"/>
      <c r="F1163"/>
      <c r="G1163"/>
      <c r="H1163"/>
      <c r="I1163"/>
    </row>
    <row r="1164" spans="1:9" x14ac:dyDescent="0.3">
      <c r="A1164"/>
      <c r="B1164"/>
      <c r="C1164"/>
      <c r="D1164"/>
      <c r="E1164"/>
      <c r="F1164"/>
      <c r="G1164"/>
      <c r="H1164"/>
      <c r="I1164"/>
    </row>
    <row r="1165" spans="1:9" x14ac:dyDescent="0.3">
      <c r="A1165"/>
      <c r="B1165"/>
      <c r="C1165"/>
      <c r="D1165"/>
      <c r="E1165"/>
      <c r="F1165"/>
      <c r="G1165"/>
      <c r="H1165"/>
      <c r="I1165"/>
    </row>
    <row r="1166" spans="1:9" x14ac:dyDescent="0.3">
      <c r="A1166"/>
      <c r="B1166"/>
      <c r="C1166"/>
      <c r="D1166"/>
      <c r="E1166"/>
      <c r="F1166"/>
      <c r="G1166"/>
      <c r="H1166"/>
      <c r="I1166"/>
    </row>
    <row r="1167" spans="1:9" x14ac:dyDescent="0.3">
      <c r="A1167"/>
      <c r="B1167"/>
      <c r="C1167"/>
      <c r="D1167"/>
      <c r="E1167"/>
      <c r="F1167"/>
      <c r="G1167"/>
      <c r="H1167"/>
      <c r="I1167"/>
    </row>
    <row r="1168" spans="1:9" x14ac:dyDescent="0.3">
      <c r="A1168"/>
      <c r="B1168"/>
      <c r="C1168"/>
      <c r="D1168"/>
      <c r="E1168"/>
      <c r="F1168"/>
      <c r="G1168"/>
      <c r="H1168"/>
      <c r="I1168"/>
    </row>
    <row r="1169" spans="1:9" x14ac:dyDescent="0.3">
      <c r="A1169"/>
      <c r="B1169"/>
      <c r="C1169"/>
      <c r="D1169"/>
      <c r="E1169"/>
      <c r="F1169"/>
      <c r="G1169"/>
      <c r="H1169"/>
      <c r="I1169"/>
    </row>
    <row r="1170" spans="1:9" x14ac:dyDescent="0.3">
      <c r="A1170"/>
      <c r="B1170"/>
      <c r="C1170"/>
      <c r="D1170"/>
      <c r="E1170"/>
      <c r="F1170"/>
      <c r="G1170"/>
      <c r="H1170"/>
      <c r="I1170"/>
    </row>
    <row r="1171" spans="1:9" x14ac:dyDescent="0.3">
      <c r="A1171"/>
      <c r="B1171"/>
      <c r="C1171"/>
      <c r="D1171"/>
      <c r="E1171"/>
      <c r="F1171"/>
      <c r="G1171"/>
      <c r="H1171"/>
      <c r="I1171"/>
    </row>
    <row r="1172" spans="1:9" x14ac:dyDescent="0.3">
      <c r="A1172"/>
      <c r="B1172"/>
      <c r="C1172"/>
      <c r="D1172"/>
      <c r="E1172"/>
      <c r="F1172"/>
      <c r="G1172"/>
      <c r="H1172"/>
      <c r="I1172"/>
    </row>
    <row r="1173" spans="1:9" x14ac:dyDescent="0.3">
      <c r="A1173"/>
      <c r="B1173"/>
      <c r="C1173"/>
      <c r="D1173"/>
      <c r="E1173"/>
      <c r="F1173"/>
      <c r="G1173"/>
      <c r="H1173"/>
      <c r="I1173"/>
    </row>
    <row r="1174" spans="1:9" x14ac:dyDescent="0.3">
      <c r="A1174"/>
      <c r="B1174"/>
      <c r="C1174"/>
      <c r="D1174"/>
      <c r="E1174"/>
      <c r="F1174"/>
      <c r="G1174"/>
      <c r="H1174"/>
      <c r="I1174"/>
    </row>
    <row r="1175" spans="1:9" x14ac:dyDescent="0.3">
      <c r="A1175"/>
      <c r="B1175"/>
      <c r="C1175"/>
      <c r="D1175"/>
      <c r="E1175"/>
      <c r="F1175"/>
      <c r="G1175"/>
      <c r="H1175"/>
      <c r="I1175"/>
    </row>
    <row r="1176" spans="1:9" x14ac:dyDescent="0.3">
      <c r="A1176"/>
      <c r="B1176"/>
      <c r="C1176"/>
      <c r="D1176"/>
      <c r="E1176"/>
      <c r="F1176"/>
      <c r="G1176"/>
      <c r="H1176"/>
      <c r="I1176"/>
    </row>
    <row r="1177" spans="1:9" x14ac:dyDescent="0.3">
      <c r="A1177"/>
      <c r="B1177"/>
      <c r="C1177"/>
      <c r="D1177"/>
      <c r="E1177"/>
      <c r="F1177"/>
      <c r="G1177"/>
      <c r="H1177"/>
      <c r="I1177"/>
    </row>
    <row r="1178" spans="1:9" x14ac:dyDescent="0.3">
      <c r="A1178"/>
      <c r="B1178"/>
      <c r="C1178"/>
      <c r="D1178"/>
      <c r="E1178"/>
      <c r="F1178"/>
      <c r="G1178"/>
      <c r="H1178"/>
      <c r="I1178"/>
    </row>
    <row r="1179" spans="1:9" x14ac:dyDescent="0.3">
      <c r="A1179"/>
      <c r="B1179"/>
      <c r="C1179"/>
      <c r="D1179"/>
      <c r="E1179"/>
      <c r="F1179"/>
      <c r="G1179"/>
      <c r="H1179"/>
      <c r="I1179"/>
    </row>
    <row r="1180" spans="1:9" x14ac:dyDescent="0.3">
      <c r="A1180"/>
      <c r="B1180"/>
      <c r="C1180"/>
      <c r="D1180"/>
      <c r="E1180"/>
      <c r="F1180"/>
      <c r="G1180"/>
      <c r="H1180"/>
      <c r="I1180"/>
    </row>
    <row r="1181" spans="1:9" x14ac:dyDescent="0.3">
      <c r="A1181"/>
      <c r="B1181"/>
      <c r="C1181"/>
      <c r="D1181"/>
      <c r="E1181"/>
      <c r="F1181"/>
      <c r="G1181"/>
      <c r="H1181"/>
      <c r="I1181"/>
    </row>
    <row r="1182" spans="1:9" x14ac:dyDescent="0.3">
      <c r="A1182"/>
      <c r="B1182"/>
      <c r="C1182"/>
      <c r="D1182"/>
      <c r="E1182"/>
      <c r="F1182"/>
      <c r="G1182"/>
      <c r="H1182"/>
      <c r="I1182"/>
    </row>
    <row r="1183" spans="1:9" x14ac:dyDescent="0.3">
      <c r="A1183"/>
      <c r="B1183"/>
      <c r="C1183"/>
      <c r="D1183"/>
      <c r="E1183"/>
      <c r="F1183"/>
      <c r="G1183"/>
      <c r="H1183"/>
      <c r="I1183"/>
    </row>
    <row r="1184" spans="1:9" x14ac:dyDescent="0.3">
      <c r="A1184"/>
      <c r="B1184"/>
      <c r="C1184"/>
      <c r="D1184"/>
      <c r="E1184"/>
      <c r="F1184"/>
      <c r="G1184"/>
      <c r="H1184"/>
      <c r="I1184"/>
    </row>
    <row r="1185" spans="1:9" x14ac:dyDescent="0.3">
      <c r="A1185"/>
      <c r="B1185"/>
      <c r="C1185"/>
      <c r="D1185"/>
      <c r="E1185"/>
      <c r="F1185"/>
      <c r="G1185"/>
      <c r="H1185"/>
      <c r="I1185"/>
    </row>
    <row r="1186" spans="1:9" x14ac:dyDescent="0.3">
      <c r="A1186"/>
      <c r="B1186"/>
      <c r="C1186"/>
      <c r="D1186"/>
      <c r="E1186"/>
      <c r="F1186"/>
      <c r="G1186"/>
      <c r="H1186"/>
      <c r="I1186"/>
    </row>
    <row r="1187" spans="1:9" x14ac:dyDescent="0.3">
      <c r="A1187"/>
      <c r="B1187"/>
      <c r="C1187"/>
      <c r="D1187"/>
      <c r="E1187"/>
      <c r="F1187"/>
      <c r="G1187"/>
      <c r="H1187"/>
      <c r="I1187"/>
    </row>
    <row r="1188" spans="1:9" x14ac:dyDescent="0.3">
      <c r="A1188"/>
      <c r="B1188"/>
      <c r="C1188"/>
      <c r="D1188"/>
      <c r="E1188"/>
      <c r="F1188"/>
      <c r="G1188"/>
      <c r="H1188"/>
      <c r="I1188"/>
    </row>
    <row r="1189" spans="1:9" x14ac:dyDescent="0.3">
      <c r="A1189"/>
      <c r="B1189"/>
      <c r="C1189"/>
      <c r="D1189"/>
      <c r="E1189"/>
      <c r="F1189"/>
      <c r="G1189"/>
      <c r="H1189"/>
      <c r="I1189"/>
    </row>
    <row r="1190" spans="1:9" x14ac:dyDescent="0.3">
      <c r="A1190"/>
      <c r="B1190"/>
      <c r="C1190"/>
      <c r="D1190"/>
      <c r="E1190"/>
      <c r="F1190"/>
      <c r="G1190"/>
      <c r="H1190"/>
      <c r="I1190"/>
    </row>
    <row r="1191" spans="1:9" x14ac:dyDescent="0.3">
      <c r="A1191"/>
      <c r="B1191"/>
      <c r="C1191"/>
      <c r="D1191"/>
      <c r="E1191"/>
      <c r="F1191"/>
      <c r="G1191"/>
      <c r="H1191"/>
      <c r="I1191"/>
    </row>
    <row r="1192" spans="1:9" x14ac:dyDescent="0.3">
      <c r="A1192"/>
      <c r="B1192"/>
      <c r="C1192"/>
      <c r="D1192"/>
      <c r="E1192"/>
      <c r="F1192"/>
      <c r="G1192"/>
      <c r="H1192"/>
      <c r="I1192"/>
    </row>
    <row r="1193" spans="1:9" x14ac:dyDescent="0.3">
      <c r="A1193"/>
      <c r="B1193"/>
      <c r="C1193"/>
      <c r="D1193"/>
      <c r="E1193"/>
      <c r="F1193"/>
      <c r="G1193"/>
      <c r="H1193"/>
      <c r="I1193"/>
    </row>
    <row r="1194" spans="1:9" x14ac:dyDescent="0.3">
      <c r="A1194"/>
      <c r="B1194"/>
      <c r="C1194"/>
      <c r="D1194"/>
      <c r="E1194"/>
      <c r="F1194"/>
      <c r="G1194"/>
      <c r="H1194"/>
      <c r="I1194"/>
    </row>
    <row r="1195" spans="1:9" x14ac:dyDescent="0.3">
      <c r="A1195"/>
      <c r="B1195"/>
      <c r="C1195"/>
      <c r="D1195"/>
      <c r="E1195"/>
      <c r="F1195"/>
      <c r="G1195"/>
      <c r="H1195"/>
      <c r="I1195"/>
    </row>
    <row r="1196" spans="1:9" x14ac:dyDescent="0.3">
      <c r="A1196"/>
      <c r="B1196"/>
      <c r="C1196"/>
      <c r="D1196"/>
      <c r="E1196"/>
      <c r="F1196"/>
      <c r="G1196"/>
      <c r="H1196"/>
      <c r="I1196"/>
    </row>
    <row r="1197" spans="1:9" x14ac:dyDescent="0.3">
      <c r="A1197"/>
      <c r="B1197"/>
      <c r="C1197"/>
      <c r="D1197"/>
      <c r="E1197"/>
      <c r="F1197"/>
      <c r="G1197"/>
      <c r="H1197"/>
      <c r="I1197"/>
    </row>
    <row r="1198" spans="1:9" x14ac:dyDescent="0.3">
      <c r="A1198"/>
      <c r="B1198"/>
      <c r="C1198"/>
      <c r="D1198"/>
      <c r="E1198"/>
      <c r="F1198"/>
      <c r="G1198"/>
      <c r="H1198"/>
      <c r="I1198"/>
    </row>
    <row r="1199" spans="1:9" x14ac:dyDescent="0.3">
      <c r="A1199"/>
      <c r="B1199"/>
      <c r="C1199"/>
      <c r="D1199"/>
      <c r="E1199"/>
      <c r="F1199"/>
      <c r="G1199"/>
      <c r="H1199"/>
      <c r="I1199"/>
    </row>
    <row r="1200" spans="1:9" x14ac:dyDescent="0.3">
      <c r="A1200"/>
      <c r="B1200"/>
      <c r="C1200"/>
      <c r="D1200"/>
      <c r="E1200"/>
      <c r="F1200"/>
      <c r="G1200"/>
      <c r="H1200"/>
      <c r="I1200"/>
    </row>
    <row r="1201" spans="1:9" x14ac:dyDescent="0.3">
      <c r="A1201"/>
      <c r="B1201"/>
      <c r="C1201"/>
      <c r="D1201"/>
      <c r="E1201"/>
      <c r="F1201"/>
      <c r="G1201"/>
      <c r="H1201"/>
      <c r="I1201"/>
    </row>
    <row r="1202" spans="1:9" x14ac:dyDescent="0.3">
      <c r="A1202"/>
      <c r="B1202"/>
      <c r="C1202"/>
      <c r="D1202"/>
      <c r="E1202"/>
      <c r="F1202"/>
      <c r="G1202"/>
      <c r="H1202"/>
      <c r="I1202"/>
    </row>
    <row r="1203" spans="1:9" x14ac:dyDescent="0.3">
      <c r="A1203"/>
      <c r="B1203"/>
      <c r="C1203"/>
      <c r="D1203"/>
      <c r="E1203"/>
      <c r="F1203"/>
      <c r="G1203"/>
      <c r="H1203"/>
      <c r="I1203"/>
    </row>
    <row r="1204" spans="1:9" x14ac:dyDescent="0.3">
      <c r="A1204"/>
      <c r="B1204"/>
      <c r="C1204"/>
      <c r="D1204"/>
      <c r="E1204"/>
      <c r="F1204"/>
      <c r="G1204"/>
      <c r="H1204"/>
      <c r="I1204"/>
    </row>
    <row r="1205" spans="1:9" x14ac:dyDescent="0.3">
      <c r="A1205"/>
      <c r="B1205"/>
      <c r="C1205"/>
      <c r="D1205"/>
      <c r="E1205"/>
      <c r="F1205"/>
      <c r="G1205"/>
      <c r="H1205"/>
      <c r="I1205"/>
    </row>
    <row r="1206" spans="1:9" x14ac:dyDescent="0.3">
      <c r="A1206"/>
      <c r="B1206"/>
      <c r="C1206"/>
      <c r="D1206"/>
      <c r="E1206"/>
      <c r="F1206"/>
      <c r="G1206"/>
      <c r="H1206"/>
      <c r="I1206"/>
    </row>
    <row r="1207" spans="1:9" x14ac:dyDescent="0.3">
      <c r="A1207"/>
      <c r="B1207"/>
      <c r="C1207"/>
      <c r="D1207"/>
      <c r="E1207"/>
      <c r="F1207"/>
      <c r="G1207"/>
      <c r="H1207"/>
      <c r="I1207"/>
    </row>
    <row r="1208" spans="1:9" x14ac:dyDescent="0.3">
      <c r="A1208"/>
      <c r="B1208"/>
      <c r="C1208"/>
      <c r="D1208"/>
      <c r="E1208"/>
      <c r="F1208"/>
      <c r="G1208"/>
      <c r="H1208"/>
      <c r="I1208"/>
    </row>
    <row r="1209" spans="1:9" x14ac:dyDescent="0.3">
      <c r="A1209"/>
      <c r="B1209"/>
      <c r="C1209"/>
      <c r="D1209"/>
      <c r="E1209"/>
      <c r="F1209"/>
      <c r="G1209"/>
      <c r="H1209"/>
      <c r="I1209"/>
    </row>
    <row r="1210" spans="1:9" x14ac:dyDescent="0.3">
      <c r="A1210"/>
      <c r="B1210"/>
      <c r="C1210"/>
      <c r="D1210"/>
      <c r="E1210"/>
      <c r="F1210"/>
      <c r="G1210"/>
      <c r="H1210"/>
      <c r="I1210"/>
    </row>
    <row r="1211" spans="1:9" x14ac:dyDescent="0.3">
      <c r="A1211"/>
      <c r="B1211"/>
      <c r="C1211"/>
      <c r="D1211"/>
      <c r="E1211"/>
      <c r="F1211"/>
      <c r="G1211"/>
      <c r="H1211"/>
      <c r="I1211"/>
    </row>
    <row r="1212" spans="1:9" x14ac:dyDescent="0.3">
      <c r="A1212"/>
      <c r="B1212"/>
      <c r="C1212"/>
      <c r="D1212"/>
      <c r="E1212"/>
      <c r="F1212"/>
      <c r="G1212"/>
      <c r="H1212"/>
      <c r="I1212"/>
    </row>
    <row r="1213" spans="1:9" x14ac:dyDescent="0.3">
      <c r="A1213"/>
      <c r="B1213"/>
      <c r="C1213"/>
      <c r="D1213"/>
      <c r="E1213"/>
      <c r="F1213"/>
      <c r="G1213"/>
      <c r="H1213"/>
      <c r="I1213"/>
    </row>
    <row r="1214" spans="1:9" x14ac:dyDescent="0.3">
      <c r="A1214"/>
      <c r="B1214"/>
      <c r="C1214"/>
      <c r="D1214"/>
      <c r="E1214"/>
      <c r="F1214"/>
      <c r="G1214"/>
      <c r="H1214"/>
      <c r="I1214"/>
    </row>
    <row r="1215" spans="1:9" x14ac:dyDescent="0.3">
      <c r="A1215"/>
      <c r="B1215"/>
      <c r="C1215"/>
      <c r="D1215"/>
      <c r="E1215"/>
      <c r="F1215"/>
      <c r="G1215"/>
      <c r="H1215"/>
      <c r="I1215"/>
    </row>
    <row r="1216" spans="1:9" x14ac:dyDescent="0.3">
      <c r="A1216"/>
      <c r="B1216"/>
      <c r="C1216"/>
      <c r="D1216"/>
      <c r="E1216"/>
      <c r="F1216"/>
      <c r="G1216"/>
      <c r="H1216"/>
      <c r="I1216"/>
    </row>
    <row r="1217" spans="1:9" x14ac:dyDescent="0.3">
      <c r="A1217"/>
      <c r="B1217"/>
      <c r="C1217"/>
      <c r="D1217"/>
      <c r="E1217"/>
      <c r="F1217"/>
      <c r="G1217"/>
      <c r="H1217"/>
      <c r="I1217"/>
    </row>
    <row r="1218" spans="1:9" x14ac:dyDescent="0.3">
      <c r="A1218"/>
      <c r="B1218"/>
      <c r="C1218"/>
      <c r="D1218"/>
      <c r="E1218"/>
      <c r="F1218"/>
      <c r="G1218"/>
      <c r="H1218"/>
      <c r="I1218"/>
    </row>
    <row r="1219" spans="1:9" x14ac:dyDescent="0.3">
      <c r="A1219"/>
      <c r="B1219"/>
      <c r="C1219"/>
      <c r="D1219"/>
      <c r="E1219"/>
      <c r="F1219"/>
      <c r="G1219"/>
      <c r="H1219"/>
      <c r="I1219"/>
    </row>
    <row r="1220" spans="1:9" x14ac:dyDescent="0.3">
      <c r="A1220"/>
      <c r="B1220"/>
      <c r="C1220"/>
      <c r="D1220"/>
      <c r="E1220"/>
      <c r="F1220"/>
      <c r="G1220"/>
      <c r="H1220"/>
      <c r="I1220"/>
    </row>
    <row r="1221" spans="1:9" x14ac:dyDescent="0.3">
      <c r="A1221"/>
      <c r="B1221"/>
      <c r="C1221"/>
      <c r="D1221"/>
      <c r="E1221"/>
      <c r="F1221"/>
      <c r="G1221"/>
      <c r="H1221"/>
      <c r="I1221"/>
    </row>
    <row r="1222" spans="1:9" x14ac:dyDescent="0.3">
      <c r="A1222"/>
      <c r="B1222"/>
      <c r="C1222"/>
      <c r="D1222"/>
      <c r="E1222"/>
      <c r="F1222"/>
      <c r="G1222"/>
      <c r="H1222"/>
      <c r="I1222"/>
    </row>
    <row r="1223" spans="1:9" x14ac:dyDescent="0.3">
      <c r="A1223"/>
      <c r="B1223"/>
      <c r="C1223"/>
      <c r="D1223"/>
      <c r="E1223"/>
      <c r="F1223"/>
      <c r="G1223"/>
      <c r="H1223"/>
      <c r="I1223"/>
    </row>
    <row r="1224" spans="1:9" x14ac:dyDescent="0.3">
      <c r="A1224"/>
      <c r="B1224"/>
      <c r="C1224"/>
      <c r="D1224"/>
      <c r="E1224"/>
      <c r="F1224"/>
      <c r="G1224"/>
      <c r="H1224"/>
      <c r="I1224"/>
    </row>
    <row r="1225" spans="1:9" x14ac:dyDescent="0.3">
      <c r="A1225"/>
      <c r="B1225"/>
      <c r="C1225"/>
      <c r="D1225"/>
      <c r="E1225"/>
      <c r="F1225"/>
      <c r="G1225"/>
      <c r="H1225"/>
      <c r="I1225"/>
    </row>
    <row r="1226" spans="1:9" x14ac:dyDescent="0.3">
      <c r="A1226"/>
      <c r="B1226"/>
      <c r="C1226"/>
      <c r="D1226"/>
      <c r="E1226"/>
      <c r="F1226"/>
      <c r="G1226"/>
      <c r="H1226"/>
      <c r="I1226"/>
    </row>
    <row r="1227" spans="1:9" x14ac:dyDescent="0.3">
      <c r="A1227"/>
      <c r="B1227"/>
      <c r="C1227"/>
      <c r="D1227"/>
      <c r="E1227"/>
      <c r="F1227"/>
      <c r="G1227"/>
      <c r="H1227"/>
      <c r="I1227"/>
    </row>
    <row r="1228" spans="1:9" x14ac:dyDescent="0.3">
      <c r="A1228"/>
      <c r="B1228"/>
      <c r="C1228"/>
      <c r="D1228"/>
      <c r="E1228"/>
      <c r="F1228"/>
      <c r="G1228"/>
      <c r="H1228"/>
      <c r="I1228"/>
    </row>
    <row r="1229" spans="1:9" x14ac:dyDescent="0.3">
      <c r="A1229"/>
      <c r="B1229"/>
      <c r="C1229"/>
      <c r="D1229"/>
      <c r="E1229"/>
      <c r="F1229"/>
      <c r="G1229"/>
      <c r="H1229"/>
      <c r="I1229"/>
    </row>
    <row r="1230" spans="1:9" x14ac:dyDescent="0.3">
      <c r="A1230"/>
      <c r="B1230"/>
      <c r="C1230"/>
      <c r="D1230"/>
      <c r="E1230"/>
      <c r="F1230"/>
      <c r="G1230"/>
      <c r="H1230"/>
      <c r="I1230"/>
    </row>
    <row r="1231" spans="1:9" x14ac:dyDescent="0.3">
      <c r="A1231"/>
      <c r="B1231"/>
      <c r="C1231"/>
      <c r="D1231"/>
      <c r="E1231"/>
      <c r="F1231"/>
      <c r="G1231"/>
      <c r="H1231"/>
      <c r="I1231"/>
    </row>
    <row r="1232" spans="1:9" x14ac:dyDescent="0.3">
      <c r="A1232"/>
      <c r="B1232"/>
      <c r="C1232"/>
      <c r="D1232"/>
      <c r="E1232"/>
      <c r="F1232"/>
      <c r="G1232"/>
      <c r="H1232"/>
      <c r="I1232"/>
    </row>
    <row r="1233" spans="1:9" x14ac:dyDescent="0.3">
      <c r="A1233"/>
      <c r="B1233"/>
      <c r="C1233"/>
      <c r="D1233"/>
      <c r="E1233"/>
      <c r="F1233"/>
      <c r="G1233"/>
      <c r="H1233"/>
      <c r="I1233"/>
    </row>
    <row r="1234" spans="1:9" x14ac:dyDescent="0.3">
      <c r="A1234"/>
      <c r="B1234"/>
      <c r="C1234"/>
      <c r="D1234"/>
      <c r="E1234"/>
      <c r="F1234"/>
      <c r="G1234"/>
      <c r="H1234"/>
      <c r="I1234"/>
    </row>
    <row r="1235" spans="1:9" x14ac:dyDescent="0.3">
      <c r="A1235"/>
      <c r="B1235"/>
      <c r="C1235"/>
      <c r="D1235"/>
      <c r="E1235"/>
      <c r="F1235"/>
      <c r="G1235"/>
      <c r="H1235"/>
      <c r="I1235"/>
    </row>
    <row r="1236" spans="1:9" x14ac:dyDescent="0.3">
      <c r="A1236"/>
      <c r="B1236"/>
      <c r="C1236"/>
      <c r="D1236"/>
      <c r="E1236"/>
      <c r="F1236"/>
      <c r="G1236"/>
      <c r="H1236"/>
      <c r="I1236"/>
    </row>
    <row r="1237" spans="1:9" x14ac:dyDescent="0.3">
      <c r="A1237"/>
      <c r="B1237"/>
      <c r="C1237"/>
      <c r="D1237"/>
      <c r="E1237"/>
      <c r="F1237"/>
      <c r="G1237"/>
      <c r="H1237"/>
      <c r="I1237"/>
    </row>
    <row r="1238" spans="1:9" x14ac:dyDescent="0.3">
      <c r="A1238"/>
      <c r="B1238"/>
      <c r="C1238"/>
      <c r="D1238"/>
      <c r="E1238"/>
      <c r="F1238"/>
      <c r="G1238"/>
      <c r="H1238"/>
      <c r="I1238"/>
    </row>
    <row r="1239" spans="1:9" x14ac:dyDescent="0.3">
      <c r="A1239"/>
      <c r="B1239"/>
      <c r="C1239"/>
      <c r="D1239"/>
      <c r="E1239"/>
      <c r="F1239"/>
      <c r="G1239"/>
      <c r="H1239"/>
      <c r="I1239"/>
    </row>
    <row r="1240" spans="1:9" x14ac:dyDescent="0.3">
      <c r="A1240"/>
      <c r="B1240"/>
      <c r="C1240"/>
      <c r="D1240"/>
      <c r="E1240"/>
      <c r="F1240"/>
      <c r="G1240"/>
      <c r="H1240"/>
      <c r="I1240"/>
    </row>
    <row r="1241" spans="1:9" x14ac:dyDescent="0.3">
      <c r="A1241"/>
      <c r="B1241"/>
      <c r="C1241"/>
      <c r="D1241"/>
      <c r="E1241"/>
      <c r="F1241"/>
      <c r="G1241"/>
      <c r="H1241"/>
      <c r="I1241"/>
    </row>
    <row r="1242" spans="1:9" x14ac:dyDescent="0.3">
      <c r="A1242"/>
      <c r="B1242"/>
      <c r="C1242"/>
      <c r="D1242"/>
      <c r="E1242"/>
      <c r="F1242"/>
      <c r="G1242"/>
      <c r="H1242"/>
      <c r="I1242"/>
    </row>
    <row r="1243" spans="1:9" x14ac:dyDescent="0.3">
      <c r="A1243"/>
      <c r="B1243"/>
      <c r="C1243"/>
      <c r="D1243"/>
      <c r="E1243"/>
      <c r="F1243"/>
      <c r="G1243"/>
      <c r="H1243"/>
      <c r="I1243"/>
    </row>
    <row r="1244" spans="1:9" x14ac:dyDescent="0.3">
      <c r="A1244"/>
      <c r="B1244"/>
      <c r="C1244"/>
      <c r="D1244"/>
      <c r="E1244"/>
      <c r="F1244"/>
      <c r="G1244"/>
      <c r="H1244"/>
      <c r="I1244"/>
    </row>
    <row r="1245" spans="1:9" x14ac:dyDescent="0.3">
      <c r="A1245"/>
      <c r="B1245"/>
      <c r="C1245"/>
      <c r="D1245"/>
      <c r="E1245"/>
      <c r="F1245"/>
      <c r="G1245"/>
      <c r="H1245"/>
      <c r="I1245"/>
    </row>
    <row r="1246" spans="1:9" x14ac:dyDescent="0.3">
      <c r="A1246"/>
      <c r="B1246"/>
      <c r="C1246"/>
      <c r="D1246"/>
      <c r="E1246"/>
      <c r="F1246"/>
      <c r="G1246"/>
      <c r="H1246"/>
      <c r="I1246"/>
    </row>
    <row r="1247" spans="1:9" x14ac:dyDescent="0.3">
      <c r="A1247"/>
      <c r="B1247"/>
      <c r="C1247"/>
      <c r="D1247"/>
      <c r="E1247"/>
      <c r="F1247"/>
      <c r="G1247"/>
      <c r="H1247"/>
      <c r="I1247"/>
    </row>
    <row r="1248" spans="1:9" x14ac:dyDescent="0.3">
      <c r="A1248"/>
      <c r="B1248"/>
      <c r="C1248"/>
      <c r="D1248"/>
      <c r="E1248"/>
      <c r="F1248"/>
      <c r="G1248"/>
      <c r="H1248"/>
      <c r="I1248"/>
    </row>
    <row r="1249" spans="1:9" x14ac:dyDescent="0.3">
      <c r="A1249"/>
      <c r="B1249"/>
      <c r="C1249"/>
      <c r="D1249"/>
      <c r="E1249"/>
      <c r="F1249"/>
      <c r="G1249"/>
      <c r="H1249"/>
      <c r="I1249"/>
    </row>
    <row r="1250" spans="1:9" x14ac:dyDescent="0.3">
      <c r="A1250"/>
      <c r="B1250"/>
      <c r="C1250"/>
      <c r="D1250"/>
      <c r="E1250"/>
      <c r="F1250"/>
      <c r="G1250"/>
      <c r="H1250"/>
      <c r="I1250"/>
    </row>
    <row r="1251" spans="1:9" x14ac:dyDescent="0.3">
      <c r="A1251"/>
      <c r="B1251"/>
      <c r="C1251"/>
      <c r="D1251"/>
      <c r="E1251"/>
      <c r="F1251"/>
      <c r="G1251"/>
      <c r="H1251"/>
      <c r="I1251"/>
    </row>
    <row r="1252" spans="1:9" x14ac:dyDescent="0.3">
      <c r="A1252"/>
      <c r="B1252"/>
      <c r="C1252"/>
      <c r="D1252"/>
      <c r="E1252"/>
      <c r="F1252"/>
      <c r="G1252"/>
      <c r="H1252"/>
      <c r="I1252"/>
    </row>
    <row r="1253" spans="1:9" x14ac:dyDescent="0.3">
      <c r="A1253"/>
      <c r="B1253"/>
      <c r="C1253"/>
      <c r="D1253"/>
      <c r="E1253"/>
      <c r="F1253"/>
      <c r="G1253"/>
      <c r="H1253"/>
      <c r="I1253"/>
    </row>
    <row r="1254" spans="1:9" x14ac:dyDescent="0.3">
      <c r="A1254"/>
      <c r="B1254"/>
      <c r="C1254"/>
      <c r="D1254"/>
      <c r="E1254"/>
      <c r="F1254"/>
      <c r="G1254"/>
      <c r="H1254"/>
      <c r="I1254"/>
    </row>
    <row r="1255" spans="1:9" x14ac:dyDescent="0.3">
      <c r="A1255"/>
      <c r="B1255"/>
      <c r="C1255"/>
      <c r="D1255"/>
      <c r="E1255"/>
      <c r="F1255"/>
      <c r="G1255"/>
      <c r="H1255"/>
      <c r="I1255"/>
    </row>
    <row r="1256" spans="1:9" x14ac:dyDescent="0.3">
      <c r="A1256"/>
      <c r="B1256"/>
      <c r="C1256"/>
      <c r="D1256"/>
      <c r="E1256"/>
      <c r="F1256"/>
      <c r="G1256"/>
      <c r="H1256"/>
      <c r="I1256"/>
    </row>
    <row r="1257" spans="1:9" x14ac:dyDescent="0.3">
      <c r="A1257"/>
      <c r="B1257"/>
      <c r="C1257"/>
      <c r="D1257"/>
      <c r="E1257"/>
      <c r="F1257"/>
      <c r="G1257"/>
      <c r="H1257"/>
      <c r="I1257"/>
    </row>
    <row r="1258" spans="1:9" x14ac:dyDescent="0.3">
      <c r="A1258"/>
      <c r="B1258"/>
      <c r="C1258"/>
      <c r="D1258"/>
      <c r="E1258"/>
      <c r="F1258"/>
      <c r="G1258"/>
      <c r="H1258"/>
      <c r="I1258"/>
    </row>
    <row r="1259" spans="1:9" x14ac:dyDescent="0.3">
      <c r="A1259"/>
      <c r="B1259"/>
      <c r="C1259"/>
      <c r="D1259"/>
      <c r="E1259"/>
      <c r="F1259"/>
      <c r="G1259"/>
      <c r="H1259"/>
      <c r="I1259"/>
    </row>
    <row r="1260" spans="1:9" x14ac:dyDescent="0.3">
      <c r="A1260"/>
      <c r="B1260"/>
      <c r="C1260"/>
      <c r="D1260"/>
      <c r="E1260"/>
      <c r="F1260"/>
      <c r="G1260"/>
      <c r="H1260"/>
      <c r="I1260"/>
    </row>
    <row r="1261" spans="1:9" x14ac:dyDescent="0.3">
      <c r="A1261"/>
      <c r="B1261"/>
      <c r="C1261"/>
      <c r="D1261"/>
      <c r="E1261"/>
      <c r="F1261"/>
      <c r="G1261"/>
      <c r="H1261"/>
      <c r="I1261"/>
    </row>
    <row r="1262" spans="1:9" x14ac:dyDescent="0.3">
      <c r="A1262"/>
      <c r="B1262"/>
      <c r="C1262"/>
      <c r="D1262"/>
      <c r="E1262"/>
      <c r="F1262"/>
      <c r="G1262"/>
      <c r="H1262"/>
      <c r="I1262"/>
    </row>
    <row r="1263" spans="1:9" x14ac:dyDescent="0.3">
      <c r="A1263"/>
      <c r="B1263"/>
      <c r="C1263"/>
      <c r="D1263"/>
      <c r="E1263"/>
      <c r="F1263"/>
      <c r="G1263"/>
      <c r="H1263"/>
      <c r="I1263"/>
    </row>
    <row r="1264" spans="1:9" x14ac:dyDescent="0.3">
      <c r="A1264"/>
      <c r="B1264"/>
      <c r="C1264"/>
      <c r="D1264"/>
      <c r="E1264"/>
      <c r="F1264"/>
      <c r="G1264"/>
      <c r="H1264"/>
      <c r="I1264"/>
    </row>
    <row r="1265" spans="1:19" x14ac:dyDescent="0.3">
      <c r="A1265"/>
      <c r="B1265"/>
      <c r="C1265"/>
      <c r="D1265"/>
      <c r="E1265"/>
      <c r="F1265"/>
      <c r="G1265"/>
      <c r="H1265"/>
      <c r="I1265"/>
    </row>
    <row r="1266" spans="1:19" x14ac:dyDescent="0.3">
      <c r="A1266"/>
      <c r="B1266"/>
      <c r="C1266"/>
      <c r="D1266"/>
      <c r="E1266"/>
      <c r="F1266"/>
      <c r="G1266"/>
      <c r="H1266"/>
      <c r="I1266"/>
    </row>
    <row r="1267" spans="1:19" x14ac:dyDescent="0.3">
      <c r="A1267"/>
      <c r="B1267"/>
      <c r="C1267"/>
      <c r="D1267"/>
      <c r="E1267"/>
      <c r="F1267"/>
      <c r="G1267"/>
      <c r="H1267"/>
      <c r="I1267"/>
    </row>
    <row r="1268" spans="1:19" x14ac:dyDescent="0.3">
      <c r="A1268"/>
      <c r="B1268"/>
      <c r="C1268"/>
      <c r="D1268"/>
      <c r="E1268"/>
      <c r="F1268"/>
      <c r="G1268"/>
      <c r="H1268"/>
      <c r="I1268"/>
    </row>
    <row r="1269" spans="1:19" x14ac:dyDescent="0.3">
      <c r="A1269"/>
      <c r="B1269"/>
      <c r="C1269"/>
      <c r="D1269"/>
      <c r="E1269"/>
      <c r="F1269"/>
      <c r="G1269"/>
      <c r="H1269"/>
      <c r="I1269"/>
    </row>
    <row r="1270" spans="1:19" x14ac:dyDescent="0.3">
      <c r="A1270"/>
      <c r="B1270"/>
      <c r="C1270"/>
      <c r="D1270"/>
      <c r="E1270"/>
      <c r="F1270"/>
      <c r="G1270"/>
      <c r="H1270"/>
      <c r="I1270"/>
    </row>
    <row r="1271" spans="1:19" x14ac:dyDescent="0.3">
      <c r="A1271"/>
      <c r="B1271"/>
      <c r="C1271"/>
      <c r="D1271"/>
      <c r="E1271"/>
      <c r="F1271"/>
      <c r="G1271"/>
      <c r="H1271"/>
      <c r="I1271"/>
    </row>
    <row r="1272" spans="1:19" x14ac:dyDescent="0.3">
      <c r="A1272"/>
      <c r="B1272"/>
      <c r="C1272"/>
      <c r="D1272"/>
      <c r="E1272"/>
      <c r="F1272"/>
      <c r="G1272"/>
      <c r="H1272"/>
      <c r="I1272"/>
    </row>
    <row r="1273" spans="1:19" x14ac:dyDescent="0.3">
      <c r="A1273"/>
      <c r="B1273"/>
      <c r="C1273"/>
      <c r="D1273"/>
      <c r="E1273"/>
      <c r="F1273"/>
      <c r="G1273"/>
      <c r="H1273"/>
      <c r="I1273"/>
    </row>
    <row r="1274" spans="1:19" x14ac:dyDescent="0.3">
      <c r="A1274"/>
      <c r="B1274"/>
      <c r="C1274"/>
      <c r="D1274"/>
      <c r="E1274"/>
      <c r="F1274"/>
      <c r="G1274"/>
      <c r="H1274"/>
      <c r="I1274"/>
    </row>
    <row r="1275" spans="1:19" x14ac:dyDescent="0.3">
      <c r="P1275" s="1">
        <f t="shared" ref="P1275:P1292" si="102">(B1257+Q$36)/P$36</f>
        <v>0.79928861788617889</v>
      </c>
      <c r="Q1275" s="1">
        <f t="shared" ref="Q1275:Q1292" si="103">(C1257+Q$36)/P$36</f>
        <v>0.79928861788617889</v>
      </c>
      <c r="R1275" s="1">
        <f t="shared" ref="R1275:R1292" si="104">(D1257+Q$38)/P$38</f>
        <v>0.82624655858060569</v>
      </c>
      <c r="S1275" s="1">
        <f t="shared" ref="S1275:S1292" si="105">(E1257+Q$39)/P$39</f>
        <v>0.94496726677577736</v>
      </c>
    </row>
    <row r="1276" spans="1:19" x14ac:dyDescent="0.3">
      <c r="P1276" s="1">
        <f t="shared" si="102"/>
        <v>0.79928861788617889</v>
      </c>
      <c r="Q1276" s="1">
        <f t="shared" si="103"/>
        <v>0.79928861788617889</v>
      </c>
      <c r="R1276" s="1">
        <f t="shared" si="104"/>
        <v>0.82624655858060569</v>
      </c>
      <c r="S1276" s="1">
        <f t="shared" si="105"/>
        <v>0.94496726677577736</v>
      </c>
    </row>
    <row r="1277" spans="1:19" x14ac:dyDescent="0.3">
      <c r="P1277" s="1">
        <f t="shared" si="102"/>
        <v>0.79928861788617889</v>
      </c>
      <c r="Q1277" s="1">
        <f t="shared" si="103"/>
        <v>0.79928861788617889</v>
      </c>
      <c r="R1277" s="1">
        <f t="shared" si="104"/>
        <v>0.82624655858060569</v>
      </c>
      <c r="S1277" s="1">
        <f t="shared" si="105"/>
        <v>0.94496726677577736</v>
      </c>
    </row>
    <row r="1278" spans="1:19" x14ac:dyDescent="0.3">
      <c r="P1278" s="1">
        <f t="shared" si="102"/>
        <v>0.79928861788617889</v>
      </c>
      <c r="Q1278" s="1">
        <f t="shared" si="103"/>
        <v>0.79928861788617889</v>
      </c>
      <c r="R1278" s="1">
        <f t="shared" si="104"/>
        <v>0.82624655858060569</v>
      </c>
      <c r="S1278" s="1">
        <f t="shared" si="105"/>
        <v>0.94496726677577736</v>
      </c>
    </row>
    <row r="1279" spans="1:19" x14ac:dyDescent="0.3">
      <c r="P1279" s="1">
        <f t="shared" si="102"/>
        <v>0.79928861788617889</v>
      </c>
      <c r="Q1279" s="1">
        <f t="shared" si="103"/>
        <v>0.79928861788617889</v>
      </c>
      <c r="R1279" s="1">
        <f t="shared" si="104"/>
        <v>0.82624655858060569</v>
      </c>
      <c r="S1279" s="1">
        <f t="shared" si="105"/>
        <v>0.94496726677577736</v>
      </c>
    </row>
    <row r="1280" spans="1:19" x14ac:dyDescent="0.3">
      <c r="P1280" s="1">
        <f t="shared" si="102"/>
        <v>0.79928861788617889</v>
      </c>
      <c r="Q1280" s="1">
        <f t="shared" si="103"/>
        <v>0.79928861788617889</v>
      </c>
      <c r="R1280" s="1">
        <f t="shared" si="104"/>
        <v>0.82624655858060569</v>
      </c>
      <c r="S1280" s="1">
        <f t="shared" si="105"/>
        <v>0.94496726677577736</v>
      </c>
    </row>
    <row r="1281" spans="16:19" x14ac:dyDescent="0.3">
      <c r="P1281" s="1">
        <f t="shared" si="102"/>
        <v>0.79928861788617889</v>
      </c>
      <c r="Q1281" s="1">
        <f t="shared" si="103"/>
        <v>0.79928861788617889</v>
      </c>
      <c r="R1281" s="1">
        <f t="shared" si="104"/>
        <v>0.82624655858060569</v>
      </c>
      <c r="S1281" s="1">
        <f t="shared" si="105"/>
        <v>0.94496726677577736</v>
      </c>
    </row>
    <row r="1282" spans="16:19" x14ac:dyDescent="0.3">
      <c r="P1282" s="1">
        <f t="shared" si="102"/>
        <v>0.79928861788617889</v>
      </c>
      <c r="Q1282" s="1">
        <f t="shared" si="103"/>
        <v>0.79928861788617889</v>
      </c>
      <c r="R1282" s="1">
        <f t="shared" si="104"/>
        <v>0.82624655858060569</v>
      </c>
      <c r="S1282" s="1">
        <f t="shared" si="105"/>
        <v>0.94496726677577736</v>
      </c>
    </row>
    <row r="1283" spans="16:19" x14ac:dyDescent="0.3">
      <c r="P1283" s="1">
        <f t="shared" si="102"/>
        <v>0.79928861788617889</v>
      </c>
      <c r="Q1283" s="1">
        <f t="shared" si="103"/>
        <v>0.79928861788617889</v>
      </c>
      <c r="R1283" s="1">
        <f t="shared" si="104"/>
        <v>0.82624655858060569</v>
      </c>
      <c r="S1283" s="1">
        <f t="shared" si="105"/>
        <v>0.94496726677577736</v>
      </c>
    </row>
    <row r="1284" spans="16:19" x14ac:dyDescent="0.3">
      <c r="P1284" s="1">
        <f t="shared" si="102"/>
        <v>0.79928861788617889</v>
      </c>
      <c r="Q1284" s="1">
        <f t="shared" si="103"/>
        <v>0.79928861788617889</v>
      </c>
      <c r="R1284" s="1">
        <f t="shared" si="104"/>
        <v>0.82624655858060569</v>
      </c>
      <c r="S1284" s="1">
        <f t="shared" si="105"/>
        <v>0.94496726677577736</v>
      </c>
    </row>
    <row r="1285" spans="16:19" x14ac:dyDescent="0.3">
      <c r="P1285" s="1">
        <f t="shared" si="102"/>
        <v>0.79928861788617889</v>
      </c>
      <c r="Q1285" s="1">
        <f t="shared" si="103"/>
        <v>0.79928861788617889</v>
      </c>
      <c r="R1285" s="1">
        <f t="shared" si="104"/>
        <v>0.82624655858060569</v>
      </c>
      <c r="S1285" s="1">
        <f t="shared" si="105"/>
        <v>0.94496726677577736</v>
      </c>
    </row>
    <row r="1286" spans="16:19" x14ac:dyDescent="0.3">
      <c r="P1286" s="1">
        <f t="shared" si="102"/>
        <v>0.79928861788617889</v>
      </c>
      <c r="Q1286" s="1">
        <f t="shared" si="103"/>
        <v>0.79928861788617889</v>
      </c>
      <c r="R1286" s="1">
        <f t="shared" si="104"/>
        <v>0.82624655858060569</v>
      </c>
      <c r="S1286" s="1">
        <f t="shared" si="105"/>
        <v>0.94496726677577736</v>
      </c>
    </row>
    <row r="1287" spans="16:19" x14ac:dyDescent="0.3">
      <c r="P1287" s="1">
        <f t="shared" si="102"/>
        <v>0.79928861788617889</v>
      </c>
      <c r="Q1287" s="1">
        <f t="shared" si="103"/>
        <v>0.79928861788617889</v>
      </c>
      <c r="R1287" s="1">
        <f t="shared" si="104"/>
        <v>0.82624655858060569</v>
      </c>
      <c r="S1287" s="1">
        <f t="shared" si="105"/>
        <v>0.94496726677577736</v>
      </c>
    </row>
    <row r="1288" spans="16:19" x14ac:dyDescent="0.3">
      <c r="P1288" s="1">
        <f t="shared" si="102"/>
        <v>0.79928861788617889</v>
      </c>
      <c r="Q1288" s="1">
        <f t="shared" si="103"/>
        <v>0.79928861788617889</v>
      </c>
      <c r="R1288" s="1">
        <f t="shared" si="104"/>
        <v>0.82624655858060569</v>
      </c>
      <c r="S1288" s="1">
        <f t="shared" si="105"/>
        <v>0.94496726677577736</v>
      </c>
    </row>
    <row r="1289" spans="16:19" x14ac:dyDescent="0.3">
      <c r="P1289" s="1">
        <f t="shared" si="102"/>
        <v>0.79928861788617889</v>
      </c>
      <c r="Q1289" s="1">
        <f t="shared" si="103"/>
        <v>0.79928861788617889</v>
      </c>
      <c r="R1289" s="1">
        <f t="shared" si="104"/>
        <v>0.82624655858060569</v>
      </c>
      <c r="S1289" s="1">
        <f t="shared" si="105"/>
        <v>0.94496726677577736</v>
      </c>
    </row>
    <row r="1290" spans="16:19" x14ac:dyDescent="0.3">
      <c r="P1290" s="1">
        <f t="shared" si="102"/>
        <v>0.79928861788617889</v>
      </c>
      <c r="Q1290" s="1">
        <f t="shared" si="103"/>
        <v>0.79928861788617889</v>
      </c>
      <c r="R1290" s="1">
        <f t="shared" si="104"/>
        <v>0.82624655858060569</v>
      </c>
      <c r="S1290" s="1">
        <f t="shared" si="105"/>
        <v>0.94496726677577736</v>
      </c>
    </row>
    <row r="1291" spans="16:19" x14ac:dyDescent="0.3">
      <c r="P1291" s="1">
        <f t="shared" si="102"/>
        <v>0.79928861788617889</v>
      </c>
      <c r="Q1291" s="1">
        <f t="shared" si="103"/>
        <v>0.79928861788617889</v>
      </c>
      <c r="R1291" s="1">
        <f t="shared" si="104"/>
        <v>0.82624655858060569</v>
      </c>
      <c r="S1291" s="1">
        <f t="shared" si="105"/>
        <v>0.94496726677577736</v>
      </c>
    </row>
    <row r="1292" spans="16:19" x14ac:dyDescent="0.3">
      <c r="P1292" s="1">
        <f t="shared" si="102"/>
        <v>0.79928861788617889</v>
      </c>
      <c r="Q1292" s="1">
        <f t="shared" si="103"/>
        <v>0.79928861788617889</v>
      </c>
      <c r="R1292" s="1">
        <f t="shared" si="104"/>
        <v>0.82624655858060569</v>
      </c>
      <c r="S1292" s="1">
        <f t="shared" si="105"/>
        <v>0.94496726677577736</v>
      </c>
    </row>
  </sheetData>
  <mergeCells count="1">
    <mergeCell ref="P41:S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Novac 7000 381 um 20C 1212026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Nooruldeen Mustafa</dc:creator>
  <cp:lastModifiedBy>Nooruldeen Mustafa</cp:lastModifiedBy>
  <dcterms:created xsi:type="dcterms:W3CDTF">2026-06-22T23:56:12Z</dcterms:created>
  <dcterms:modified xsi:type="dcterms:W3CDTF">2026-06-22T23:56:32Z</dcterms:modified>
</cp:coreProperties>
</file>
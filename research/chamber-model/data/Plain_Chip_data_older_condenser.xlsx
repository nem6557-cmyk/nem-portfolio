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Downloads\"/>
    </mc:Choice>
  </mc:AlternateContent>
  <xr:revisionPtr revIDLastSave="0" documentId="8_{D7D07FFB-CB02-473D-9350-B1C58B10E08E}" xr6:coauthVersionLast="47" xr6:coauthVersionMax="47" xr10:uidLastSave="{00000000-0000-0000-0000-000000000000}"/>
  <bookViews>
    <workbookView xWindow="-108" yWindow="-108" windowWidth="23256" windowHeight="12456" xr2:uid="{72060D2D-C646-4065-90C3-3D009D886704}"/>
  </bookViews>
  <sheets>
    <sheet name="Plain Chip 20C old" sheetId="1" r:id="rId1"/>
    <sheet name="Plain Chip 30C old" sheetId="2" r:id="rId2"/>
    <sheet name="Plain Chip 40C old" sheetId="3" r:id="rId3"/>
    <sheet name="Plain Chip 80% old" sheetId="4" r:id="rId4"/>
    <sheet name="Plain Chip 50C Old" sheetId="5" r:id="rId5"/>
    <sheet name="Plain Chip 60% old" sheetId="6" r:id="rId6"/>
  </sheets>
  <externalReferences>
    <externalReference r:id="rId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241" i="6" l="1"/>
  <c r="R1241" i="6"/>
  <c r="Q1241" i="6"/>
  <c r="P1241" i="6"/>
  <c r="S1240" i="6"/>
  <c r="R1240" i="6"/>
  <c r="Q1240" i="6"/>
  <c r="P1240" i="6"/>
  <c r="S1239" i="6"/>
  <c r="R1239" i="6"/>
  <c r="Q1239" i="6"/>
  <c r="P1239" i="6"/>
  <c r="S1238" i="6"/>
  <c r="R1238" i="6"/>
  <c r="Q1238" i="6"/>
  <c r="P1238" i="6"/>
  <c r="S1237" i="6"/>
  <c r="R1237" i="6"/>
  <c r="Q1237" i="6"/>
  <c r="P1237" i="6"/>
  <c r="S1236" i="6"/>
  <c r="R1236" i="6"/>
  <c r="Q1236" i="6"/>
  <c r="P1236" i="6"/>
  <c r="S1235" i="6"/>
  <c r="R1235" i="6"/>
  <c r="Q1235" i="6"/>
  <c r="P1235" i="6"/>
  <c r="S1234" i="6"/>
  <c r="R1234" i="6"/>
  <c r="Q1234" i="6"/>
  <c r="P1234" i="6"/>
  <c r="S1233" i="6"/>
  <c r="R1233" i="6"/>
  <c r="Q1233" i="6"/>
  <c r="P1233" i="6"/>
  <c r="S1232" i="6"/>
  <c r="R1232" i="6"/>
  <c r="Q1232" i="6"/>
  <c r="P1232" i="6"/>
  <c r="S1231" i="6"/>
  <c r="R1231" i="6"/>
  <c r="Q1231" i="6"/>
  <c r="P1231" i="6"/>
  <c r="S1230" i="6"/>
  <c r="R1230" i="6"/>
  <c r="Q1230" i="6"/>
  <c r="P1230" i="6"/>
  <c r="S1229" i="6"/>
  <c r="R1229" i="6"/>
  <c r="Q1229" i="6"/>
  <c r="P1229" i="6"/>
  <c r="S1228" i="6"/>
  <c r="R1228" i="6"/>
  <c r="Q1228" i="6"/>
  <c r="P1228" i="6"/>
  <c r="S1227" i="6"/>
  <c r="R1227" i="6"/>
  <c r="Q1227" i="6"/>
  <c r="P1227" i="6"/>
  <c r="S1226" i="6"/>
  <c r="R1226" i="6"/>
  <c r="Q1226" i="6"/>
  <c r="P1226" i="6"/>
  <c r="S1225" i="6"/>
  <c r="R1225" i="6"/>
  <c r="Q1225" i="6"/>
  <c r="P1225" i="6"/>
  <c r="S1224" i="6"/>
  <c r="R1224" i="6"/>
  <c r="Q1224" i="6"/>
  <c r="P1224" i="6"/>
  <c r="S873" i="6"/>
  <c r="R873" i="6"/>
  <c r="Q873" i="6"/>
  <c r="P873" i="6"/>
  <c r="S872" i="6"/>
  <c r="R872" i="6"/>
  <c r="Q872" i="6"/>
  <c r="P872" i="6"/>
  <c r="S871" i="6"/>
  <c r="R871" i="6"/>
  <c r="Q871" i="6"/>
  <c r="P871" i="6"/>
  <c r="S870" i="6"/>
  <c r="R870" i="6"/>
  <c r="Q870" i="6"/>
  <c r="P870" i="6"/>
  <c r="S869" i="6"/>
  <c r="R869" i="6"/>
  <c r="Q869" i="6"/>
  <c r="P869" i="6"/>
  <c r="S868" i="6"/>
  <c r="R868" i="6"/>
  <c r="Q868" i="6"/>
  <c r="P868" i="6"/>
  <c r="S867" i="6"/>
  <c r="R867" i="6"/>
  <c r="Q867" i="6"/>
  <c r="P867" i="6"/>
  <c r="S866" i="6"/>
  <c r="R866" i="6"/>
  <c r="Q866" i="6"/>
  <c r="P866" i="6"/>
  <c r="S865" i="6"/>
  <c r="R865" i="6"/>
  <c r="Q865" i="6"/>
  <c r="P865" i="6"/>
  <c r="S864" i="6"/>
  <c r="R864" i="6"/>
  <c r="Q864" i="6"/>
  <c r="P864" i="6"/>
  <c r="S863" i="6"/>
  <c r="R863" i="6"/>
  <c r="Q863" i="6"/>
  <c r="P863" i="6"/>
  <c r="S862" i="6"/>
  <c r="R862" i="6"/>
  <c r="Q862" i="6"/>
  <c r="P862" i="6"/>
  <c r="S861" i="6"/>
  <c r="R861" i="6"/>
  <c r="Q861" i="6"/>
  <c r="P861" i="6"/>
  <c r="S860" i="6"/>
  <c r="R860" i="6"/>
  <c r="Q860" i="6"/>
  <c r="P860" i="6"/>
  <c r="S859" i="6"/>
  <c r="R859" i="6"/>
  <c r="Q859" i="6"/>
  <c r="P859" i="6"/>
  <c r="S858" i="6"/>
  <c r="R858" i="6"/>
  <c r="Q858" i="6"/>
  <c r="P858" i="6"/>
  <c r="S857" i="6"/>
  <c r="R857" i="6"/>
  <c r="Q857" i="6"/>
  <c r="P857" i="6"/>
  <c r="S856" i="6"/>
  <c r="R856" i="6"/>
  <c r="Q856" i="6"/>
  <c r="P856" i="6"/>
  <c r="S855" i="6"/>
  <c r="R855" i="6"/>
  <c r="Q855" i="6"/>
  <c r="P855" i="6"/>
  <c r="S854" i="6"/>
  <c r="R854" i="6"/>
  <c r="Q854" i="6"/>
  <c r="P854" i="6"/>
  <c r="S853" i="6"/>
  <c r="R853" i="6"/>
  <c r="Q853" i="6"/>
  <c r="P853" i="6"/>
  <c r="S852" i="6"/>
  <c r="R852" i="6"/>
  <c r="Q852" i="6"/>
  <c r="P852" i="6"/>
  <c r="S851" i="6"/>
  <c r="R851" i="6"/>
  <c r="Q851" i="6"/>
  <c r="P851" i="6"/>
  <c r="S850" i="6"/>
  <c r="R850" i="6"/>
  <c r="Q850" i="6"/>
  <c r="P850" i="6"/>
  <c r="S849" i="6"/>
  <c r="R849" i="6"/>
  <c r="Q849" i="6"/>
  <c r="P849" i="6"/>
  <c r="S848" i="6"/>
  <c r="R848" i="6"/>
  <c r="Q848" i="6"/>
  <c r="P848" i="6"/>
  <c r="S847" i="6"/>
  <c r="R847" i="6"/>
  <c r="Q847" i="6"/>
  <c r="P847" i="6"/>
  <c r="S846" i="6"/>
  <c r="R846" i="6"/>
  <c r="Q846" i="6"/>
  <c r="P846" i="6"/>
  <c r="S845" i="6"/>
  <c r="R845" i="6"/>
  <c r="Q845" i="6"/>
  <c r="P845" i="6"/>
  <c r="S844" i="6"/>
  <c r="R844" i="6"/>
  <c r="Q844" i="6"/>
  <c r="P844" i="6"/>
  <c r="S843" i="6"/>
  <c r="R843" i="6"/>
  <c r="Q843" i="6"/>
  <c r="P843" i="6"/>
  <c r="S842" i="6"/>
  <c r="R842" i="6"/>
  <c r="Q842" i="6"/>
  <c r="P842" i="6"/>
  <c r="S841" i="6"/>
  <c r="R841" i="6"/>
  <c r="Q841" i="6"/>
  <c r="P841" i="6"/>
  <c r="S840" i="6"/>
  <c r="R840" i="6"/>
  <c r="Q840" i="6"/>
  <c r="P840" i="6"/>
  <c r="S839" i="6"/>
  <c r="R839" i="6"/>
  <c r="Q839" i="6"/>
  <c r="P839" i="6"/>
  <c r="S838" i="6"/>
  <c r="R838" i="6"/>
  <c r="Q838" i="6"/>
  <c r="P838" i="6"/>
  <c r="S837" i="6"/>
  <c r="R837" i="6"/>
  <c r="Q837" i="6"/>
  <c r="P837" i="6"/>
  <c r="S836" i="6"/>
  <c r="R836" i="6"/>
  <c r="Q836" i="6"/>
  <c r="P836" i="6"/>
  <c r="S835" i="6"/>
  <c r="R835" i="6"/>
  <c r="Q835" i="6"/>
  <c r="P835" i="6"/>
  <c r="S834" i="6"/>
  <c r="R834" i="6"/>
  <c r="Q834" i="6"/>
  <c r="P834" i="6"/>
  <c r="S833" i="6"/>
  <c r="R833" i="6"/>
  <c r="Q833" i="6"/>
  <c r="P833" i="6"/>
  <c r="S832" i="6"/>
  <c r="R832" i="6"/>
  <c r="Q832" i="6"/>
  <c r="P832" i="6"/>
  <c r="S831" i="6"/>
  <c r="R831" i="6"/>
  <c r="Q831" i="6"/>
  <c r="P831" i="6"/>
  <c r="S830" i="6"/>
  <c r="R830" i="6"/>
  <c r="Q830" i="6"/>
  <c r="P830" i="6"/>
  <c r="S829" i="6"/>
  <c r="R829" i="6"/>
  <c r="Q829" i="6"/>
  <c r="P829" i="6"/>
  <c r="S828" i="6"/>
  <c r="R828" i="6"/>
  <c r="Q828" i="6"/>
  <c r="P828" i="6"/>
  <c r="S827" i="6"/>
  <c r="R827" i="6"/>
  <c r="Q827" i="6"/>
  <c r="P827" i="6"/>
  <c r="S826" i="6"/>
  <c r="R826" i="6"/>
  <c r="Q826" i="6"/>
  <c r="P826" i="6"/>
  <c r="S825" i="6"/>
  <c r="R825" i="6"/>
  <c r="Q825" i="6"/>
  <c r="P825" i="6"/>
  <c r="S824" i="6"/>
  <c r="R824" i="6"/>
  <c r="Q824" i="6"/>
  <c r="P824" i="6"/>
  <c r="S823" i="6"/>
  <c r="R823" i="6"/>
  <c r="Q823" i="6"/>
  <c r="P823" i="6"/>
  <c r="S822" i="6"/>
  <c r="R822" i="6"/>
  <c r="Q822" i="6"/>
  <c r="P822" i="6"/>
  <c r="S821" i="6"/>
  <c r="R821" i="6"/>
  <c r="Q821" i="6"/>
  <c r="P821" i="6"/>
  <c r="S820" i="6"/>
  <c r="R820" i="6"/>
  <c r="Q820" i="6"/>
  <c r="P820" i="6"/>
  <c r="S819" i="6"/>
  <c r="R819" i="6"/>
  <c r="Q819" i="6"/>
  <c r="P819" i="6"/>
  <c r="S818" i="6"/>
  <c r="R818" i="6"/>
  <c r="Q818" i="6"/>
  <c r="P818" i="6"/>
  <c r="S817" i="6"/>
  <c r="R817" i="6"/>
  <c r="Q817" i="6"/>
  <c r="P817" i="6"/>
  <c r="S816" i="6"/>
  <c r="R816" i="6"/>
  <c r="Q816" i="6"/>
  <c r="P816" i="6"/>
  <c r="S815" i="6"/>
  <c r="R815" i="6"/>
  <c r="Q815" i="6"/>
  <c r="P815" i="6"/>
  <c r="S814" i="6"/>
  <c r="R814" i="6"/>
  <c r="Q814" i="6"/>
  <c r="P814" i="6"/>
  <c r="S813" i="6"/>
  <c r="R813" i="6"/>
  <c r="Q813" i="6"/>
  <c r="P813" i="6"/>
  <c r="S812" i="6"/>
  <c r="R812" i="6"/>
  <c r="Q812" i="6"/>
  <c r="P812" i="6"/>
  <c r="S811" i="6"/>
  <c r="R811" i="6"/>
  <c r="Q811" i="6"/>
  <c r="P811" i="6"/>
  <c r="S810" i="6"/>
  <c r="R810" i="6"/>
  <c r="Q810" i="6"/>
  <c r="P810" i="6"/>
  <c r="S809" i="6"/>
  <c r="R809" i="6"/>
  <c r="Q809" i="6"/>
  <c r="P809" i="6"/>
  <c r="S808" i="6"/>
  <c r="R808" i="6"/>
  <c r="Q808" i="6"/>
  <c r="P808" i="6"/>
  <c r="S807" i="6"/>
  <c r="R807" i="6"/>
  <c r="Q807" i="6"/>
  <c r="P807" i="6"/>
  <c r="S806" i="6"/>
  <c r="R806" i="6"/>
  <c r="Q806" i="6"/>
  <c r="P806" i="6"/>
  <c r="S805" i="6"/>
  <c r="R805" i="6"/>
  <c r="Q805" i="6"/>
  <c r="P805" i="6"/>
  <c r="S804" i="6"/>
  <c r="R804" i="6"/>
  <c r="Q804" i="6"/>
  <c r="P804" i="6"/>
  <c r="S803" i="6"/>
  <c r="R803" i="6"/>
  <c r="Q803" i="6"/>
  <c r="P803" i="6"/>
  <c r="S802" i="6"/>
  <c r="R802" i="6"/>
  <c r="Q802" i="6"/>
  <c r="P802" i="6"/>
  <c r="S801" i="6"/>
  <c r="R801" i="6"/>
  <c r="Q801" i="6"/>
  <c r="P801" i="6"/>
  <c r="S800" i="6"/>
  <c r="R800" i="6"/>
  <c r="Q800" i="6"/>
  <c r="P800" i="6"/>
  <c r="S799" i="6"/>
  <c r="R799" i="6"/>
  <c r="Q799" i="6"/>
  <c r="P799" i="6"/>
  <c r="S798" i="6"/>
  <c r="R798" i="6"/>
  <c r="Q798" i="6"/>
  <c r="P798" i="6"/>
  <c r="S797" i="6"/>
  <c r="R797" i="6"/>
  <c r="Q797" i="6"/>
  <c r="P797" i="6"/>
  <c r="S796" i="6"/>
  <c r="R796" i="6"/>
  <c r="Q796" i="6"/>
  <c r="P796" i="6"/>
  <c r="S795" i="6"/>
  <c r="R795" i="6"/>
  <c r="Q795" i="6"/>
  <c r="P795" i="6"/>
  <c r="S794" i="6"/>
  <c r="R794" i="6"/>
  <c r="Q794" i="6"/>
  <c r="P794" i="6"/>
  <c r="S793" i="6"/>
  <c r="R793" i="6"/>
  <c r="Q793" i="6"/>
  <c r="P793" i="6"/>
  <c r="S792" i="6"/>
  <c r="R792" i="6"/>
  <c r="Q792" i="6"/>
  <c r="P792" i="6"/>
  <c r="S791" i="6"/>
  <c r="R791" i="6"/>
  <c r="Q791" i="6"/>
  <c r="P791" i="6"/>
  <c r="S790" i="6"/>
  <c r="R790" i="6"/>
  <c r="Q790" i="6"/>
  <c r="P790" i="6"/>
  <c r="S789" i="6"/>
  <c r="R789" i="6"/>
  <c r="Q789" i="6"/>
  <c r="P789" i="6"/>
  <c r="S788" i="6"/>
  <c r="R788" i="6"/>
  <c r="Q788" i="6"/>
  <c r="P788" i="6"/>
  <c r="S787" i="6"/>
  <c r="R787" i="6"/>
  <c r="Q787" i="6"/>
  <c r="P787" i="6"/>
  <c r="S786" i="6"/>
  <c r="R786" i="6"/>
  <c r="Q786" i="6"/>
  <c r="P786" i="6"/>
  <c r="S785" i="6"/>
  <c r="R785" i="6"/>
  <c r="Q785" i="6"/>
  <c r="P785" i="6"/>
  <c r="S784" i="6"/>
  <c r="R784" i="6"/>
  <c r="Q784" i="6"/>
  <c r="P784" i="6"/>
  <c r="S783" i="6"/>
  <c r="R783" i="6"/>
  <c r="Q783" i="6"/>
  <c r="P783" i="6"/>
  <c r="S782" i="6"/>
  <c r="R782" i="6"/>
  <c r="Q782" i="6"/>
  <c r="P782" i="6"/>
  <c r="S781" i="6"/>
  <c r="R781" i="6"/>
  <c r="Q781" i="6"/>
  <c r="P781" i="6"/>
  <c r="S780" i="6"/>
  <c r="R780" i="6"/>
  <c r="Q780" i="6"/>
  <c r="P780" i="6"/>
  <c r="S779" i="6"/>
  <c r="R779" i="6"/>
  <c r="Q779" i="6"/>
  <c r="P779" i="6"/>
  <c r="S778" i="6"/>
  <c r="R778" i="6"/>
  <c r="Q778" i="6"/>
  <c r="P778" i="6"/>
  <c r="S777" i="6"/>
  <c r="R777" i="6"/>
  <c r="Q777" i="6"/>
  <c r="P777" i="6"/>
  <c r="S776" i="6"/>
  <c r="R776" i="6"/>
  <c r="Q776" i="6"/>
  <c r="P776" i="6"/>
  <c r="S775" i="6"/>
  <c r="R775" i="6"/>
  <c r="Q775" i="6"/>
  <c r="P775" i="6"/>
  <c r="S774" i="6"/>
  <c r="R774" i="6"/>
  <c r="Q774" i="6"/>
  <c r="P774" i="6"/>
  <c r="S773" i="6"/>
  <c r="R773" i="6"/>
  <c r="Q773" i="6"/>
  <c r="P773" i="6"/>
  <c r="S772" i="6"/>
  <c r="R772" i="6"/>
  <c r="Q772" i="6"/>
  <c r="P772" i="6"/>
  <c r="S771" i="6"/>
  <c r="R771" i="6"/>
  <c r="Q771" i="6"/>
  <c r="P771" i="6"/>
  <c r="S770" i="6"/>
  <c r="R770" i="6"/>
  <c r="Q770" i="6"/>
  <c r="P770" i="6"/>
  <c r="S769" i="6"/>
  <c r="R769" i="6"/>
  <c r="Q769" i="6"/>
  <c r="P769" i="6"/>
  <c r="S768" i="6"/>
  <c r="R768" i="6"/>
  <c r="Q768" i="6"/>
  <c r="P768" i="6"/>
  <c r="S767" i="6"/>
  <c r="R767" i="6"/>
  <c r="Q767" i="6"/>
  <c r="P767" i="6"/>
  <c r="S766" i="6"/>
  <c r="R766" i="6"/>
  <c r="Q766" i="6"/>
  <c r="P766" i="6"/>
  <c r="S765" i="6"/>
  <c r="R765" i="6"/>
  <c r="Q765" i="6"/>
  <c r="P765" i="6"/>
  <c r="S764" i="6"/>
  <c r="R764" i="6"/>
  <c r="Q764" i="6"/>
  <c r="P764" i="6"/>
  <c r="S763" i="6"/>
  <c r="R763" i="6"/>
  <c r="Q763" i="6"/>
  <c r="P763" i="6"/>
  <c r="S762" i="6"/>
  <c r="R762" i="6"/>
  <c r="Q762" i="6"/>
  <c r="P762" i="6"/>
  <c r="S761" i="6"/>
  <c r="R761" i="6"/>
  <c r="Q761" i="6"/>
  <c r="P761" i="6"/>
  <c r="S760" i="6"/>
  <c r="R760" i="6"/>
  <c r="Q760" i="6"/>
  <c r="P760" i="6"/>
  <c r="S759" i="6"/>
  <c r="R759" i="6"/>
  <c r="Q759" i="6"/>
  <c r="P759" i="6"/>
  <c r="S758" i="6"/>
  <c r="R758" i="6"/>
  <c r="Q758" i="6"/>
  <c r="P758" i="6"/>
  <c r="S757" i="6"/>
  <c r="R757" i="6"/>
  <c r="Q757" i="6"/>
  <c r="P757" i="6"/>
  <c r="S756" i="6"/>
  <c r="R756" i="6"/>
  <c r="Q756" i="6"/>
  <c r="P756" i="6"/>
  <c r="S755" i="6"/>
  <c r="R755" i="6"/>
  <c r="Q755" i="6"/>
  <c r="P755" i="6"/>
  <c r="S754" i="6"/>
  <c r="R754" i="6"/>
  <c r="Q754" i="6"/>
  <c r="P754" i="6"/>
  <c r="S753" i="6"/>
  <c r="R753" i="6"/>
  <c r="Q753" i="6"/>
  <c r="P753" i="6"/>
  <c r="S752" i="6"/>
  <c r="R752" i="6"/>
  <c r="Q752" i="6"/>
  <c r="P752" i="6"/>
  <c r="S751" i="6"/>
  <c r="R751" i="6"/>
  <c r="Q751" i="6"/>
  <c r="P751" i="6"/>
  <c r="S750" i="6"/>
  <c r="R750" i="6"/>
  <c r="Q750" i="6"/>
  <c r="P750" i="6"/>
  <c r="S749" i="6"/>
  <c r="R749" i="6"/>
  <c r="Q749" i="6"/>
  <c r="P749" i="6"/>
  <c r="S748" i="6"/>
  <c r="R748" i="6"/>
  <c r="Q748" i="6"/>
  <c r="P748" i="6"/>
  <c r="S747" i="6"/>
  <c r="R747" i="6"/>
  <c r="Q747" i="6"/>
  <c r="P747" i="6"/>
  <c r="S746" i="6"/>
  <c r="R746" i="6"/>
  <c r="Q746" i="6"/>
  <c r="P746" i="6"/>
  <c r="S745" i="6"/>
  <c r="R745" i="6"/>
  <c r="Q745" i="6"/>
  <c r="P745" i="6"/>
  <c r="S744" i="6"/>
  <c r="R744" i="6"/>
  <c r="Q744" i="6"/>
  <c r="P744" i="6"/>
  <c r="S743" i="6"/>
  <c r="R743" i="6"/>
  <c r="Q743" i="6"/>
  <c r="P743" i="6"/>
  <c r="S742" i="6"/>
  <c r="R742" i="6"/>
  <c r="Q742" i="6"/>
  <c r="P742" i="6"/>
  <c r="S741" i="6"/>
  <c r="R741" i="6"/>
  <c r="Q741" i="6"/>
  <c r="P741" i="6"/>
  <c r="S740" i="6"/>
  <c r="R740" i="6"/>
  <c r="Q740" i="6"/>
  <c r="P740" i="6"/>
  <c r="S739" i="6"/>
  <c r="R739" i="6"/>
  <c r="Q739" i="6"/>
  <c r="P739" i="6"/>
  <c r="S738" i="6"/>
  <c r="R738" i="6"/>
  <c r="Q738" i="6"/>
  <c r="P738" i="6"/>
  <c r="S737" i="6"/>
  <c r="R737" i="6"/>
  <c r="Q737" i="6"/>
  <c r="P737" i="6"/>
  <c r="S736" i="6"/>
  <c r="R736" i="6"/>
  <c r="Q736" i="6"/>
  <c r="P736" i="6"/>
  <c r="S735" i="6"/>
  <c r="R735" i="6"/>
  <c r="Q735" i="6"/>
  <c r="P735" i="6"/>
  <c r="S734" i="6"/>
  <c r="R734" i="6"/>
  <c r="Q734" i="6"/>
  <c r="P734" i="6"/>
  <c r="S733" i="6"/>
  <c r="R733" i="6"/>
  <c r="Q733" i="6"/>
  <c r="P733" i="6"/>
  <c r="S732" i="6"/>
  <c r="R732" i="6"/>
  <c r="Q732" i="6"/>
  <c r="P732" i="6"/>
  <c r="S731" i="6"/>
  <c r="R731" i="6"/>
  <c r="Q731" i="6"/>
  <c r="P731" i="6"/>
  <c r="S730" i="6"/>
  <c r="R730" i="6"/>
  <c r="Q730" i="6"/>
  <c r="P730" i="6"/>
  <c r="S729" i="6"/>
  <c r="R729" i="6"/>
  <c r="Q729" i="6"/>
  <c r="P729" i="6"/>
  <c r="S728" i="6"/>
  <c r="R728" i="6"/>
  <c r="Q728" i="6"/>
  <c r="P728" i="6"/>
  <c r="S727" i="6"/>
  <c r="R727" i="6"/>
  <c r="Q727" i="6"/>
  <c r="P727" i="6"/>
  <c r="S726" i="6"/>
  <c r="R726" i="6"/>
  <c r="Q726" i="6"/>
  <c r="P726" i="6"/>
  <c r="S725" i="6"/>
  <c r="R725" i="6"/>
  <c r="Q725" i="6"/>
  <c r="P725" i="6"/>
  <c r="S724" i="6"/>
  <c r="R724" i="6"/>
  <c r="Q724" i="6"/>
  <c r="P724" i="6"/>
  <c r="S723" i="6"/>
  <c r="R723" i="6"/>
  <c r="Q723" i="6"/>
  <c r="P723" i="6"/>
  <c r="S722" i="6"/>
  <c r="R722" i="6"/>
  <c r="Q722" i="6"/>
  <c r="P722" i="6"/>
  <c r="S721" i="6"/>
  <c r="R721" i="6"/>
  <c r="Q721" i="6"/>
  <c r="P721" i="6"/>
  <c r="S720" i="6"/>
  <c r="R720" i="6"/>
  <c r="Q720" i="6"/>
  <c r="P720" i="6"/>
  <c r="S719" i="6"/>
  <c r="R719" i="6"/>
  <c r="Q719" i="6"/>
  <c r="P719" i="6"/>
  <c r="S718" i="6"/>
  <c r="R718" i="6"/>
  <c r="Q718" i="6"/>
  <c r="P718" i="6"/>
  <c r="S717" i="6"/>
  <c r="R717" i="6"/>
  <c r="Q717" i="6"/>
  <c r="P717" i="6"/>
  <c r="S716" i="6"/>
  <c r="R716" i="6"/>
  <c r="Q716" i="6"/>
  <c r="P716" i="6"/>
  <c r="S715" i="6"/>
  <c r="R715" i="6"/>
  <c r="Q715" i="6"/>
  <c r="P715" i="6"/>
  <c r="S714" i="6"/>
  <c r="R714" i="6"/>
  <c r="Q714" i="6"/>
  <c r="P714" i="6"/>
  <c r="S713" i="6"/>
  <c r="R713" i="6"/>
  <c r="Q713" i="6"/>
  <c r="P713" i="6"/>
  <c r="S712" i="6"/>
  <c r="R712" i="6"/>
  <c r="Q712" i="6"/>
  <c r="P712" i="6"/>
  <c r="S711" i="6"/>
  <c r="R711" i="6"/>
  <c r="Q711" i="6"/>
  <c r="P711" i="6"/>
  <c r="S710" i="6"/>
  <c r="R710" i="6"/>
  <c r="Q710" i="6"/>
  <c r="P710" i="6"/>
  <c r="S709" i="6"/>
  <c r="R709" i="6"/>
  <c r="Q709" i="6"/>
  <c r="P709" i="6"/>
  <c r="S708" i="6"/>
  <c r="R708" i="6"/>
  <c r="Q708" i="6"/>
  <c r="P708" i="6"/>
  <c r="S707" i="6"/>
  <c r="R707" i="6"/>
  <c r="Q707" i="6"/>
  <c r="P707" i="6"/>
  <c r="S706" i="6"/>
  <c r="R706" i="6"/>
  <c r="Q706" i="6"/>
  <c r="P706" i="6"/>
  <c r="S705" i="6"/>
  <c r="R705" i="6"/>
  <c r="Q705" i="6"/>
  <c r="P705" i="6"/>
  <c r="S704" i="6"/>
  <c r="R704" i="6"/>
  <c r="Q704" i="6"/>
  <c r="P704" i="6"/>
  <c r="S703" i="6"/>
  <c r="R703" i="6"/>
  <c r="Q703" i="6"/>
  <c r="P703" i="6"/>
  <c r="S702" i="6"/>
  <c r="R702" i="6"/>
  <c r="Q702" i="6"/>
  <c r="P702" i="6"/>
  <c r="S701" i="6"/>
  <c r="R701" i="6"/>
  <c r="Q701" i="6"/>
  <c r="P701" i="6"/>
  <c r="S700" i="6"/>
  <c r="R700" i="6"/>
  <c r="Q700" i="6"/>
  <c r="P700" i="6"/>
  <c r="S699" i="6"/>
  <c r="R699" i="6"/>
  <c r="Q699" i="6"/>
  <c r="P699" i="6"/>
  <c r="S698" i="6"/>
  <c r="R698" i="6"/>
  <c r="Q698" i="6"/>
  <c r="P698" i="6"/>
  <c r="S697" i="6"/>
  <c r="R697" i="6"/>
  <c r="Q697" i="6"/>
  <c r="P697" i="6"/>
  <c r="S696" i="6"/>
  <c r="R696" i="6"/>
  <c r="Q696" i="6"/>
  <c r="P696" i="6"/>
  <c r="S695" i="6"/>
  <c r="R695" i="6"/>
  <c r="Q695" i="6"/>
  <c r="P695" i="6"/>
  <c r="S694" i="6"/>
  <c r="R694" i="6"/>
  <c r="Q694" i="6"/>
  <c r="P694" i="6"/>
  <c r="S693" i="6"/>
  <c r="R693" i="6"/>
  <c r="Q693" i="6"/>
  <c r="P693" i="6"/>
  <c r="S692" i="6"/>
  <c r="R692" i="6"/>
  <c r="Q692" i="6"/>
  <c r="P692" i="6"/>
  <c r="S691" i="6"/>
  <c r="R691" i="6"/>
  <c r="Q691" i="6"/>
  <c r="P691" i="6"/>
  <c r="S690" i="6"/>
  <c r="R690" i="6"/>
  <c r="Q690" i="6"/>
  <c r="P690" i="6"/>
  <c r="S689" i="6"/>
  <c r="R689" i="6"/>
  <c r="Q689" i="6"/>
  <c r="P689" i="6"/>
  <c r="S688" i="6"/>
  <c r="R688" i="6"/>
  <c r="Q688" i="6"/>
  <c r="P688" i="6"/>
  <c r="S687" i="6"/>
  <c r="R687" i="6"/>
  <c r="Q687" i="6"/>
  <c r="P687" i="6"/>
  <c r="S686" i="6"/>
  <c r="R686" i="6"/>
  <c r="Q686" i="6"/>
  <c r="P686" i="6"/>
  <c r="S685" i="6"/>
  <c r="R685" i="6"/>
  <c r="Q685" i="6"/>
  <c r="P685" i="6"/>
  <c r="S684" i="6"/>
  <c r="R684" i="6"/>
  <c r="Q684" i="6"/>
  <c r="P684" i="6"/>
  <c r="S683" i="6"/>
  <c r="R683" i="6"/>
  <c r="Q683" i="6"/>
  <c r="P683" i="6"/>
  <c r="S682" i="6"/>
  <c r="R682" i="6"/>
  <c r="Q682" i="6"/>
  <c r="P682" i="6"/>
  <c r="S681" i="6"/>
  <c r="R681" i="6"/>
  <c r="Q681" i="6"/>
  <c r="P681" i="6"/>
  <c r="S680" i="6"/>
  <c r="R680" i="6"/>
  <c r="Q680" i="6"/>
  <c r="P680" i="6"/>
  <c r="S679" i="6"/>
  <c r="R679" i="6"/>
  <c r="Q679" i="6"/>
  <c r="P679" i="6"/>
  <c r="S678" i="6"/>
  <c r="R678" i="6"/>
  <c r="Q678" i="6"/>
  <c r="P678" i="6"/>
  <c r="S677" i="6"/>
  <c r="R677" i="6"/>
  <c r="Q677" i="6"/>
  <c r="P677" i="6"/>
  <c r="S676" i="6"/>
  <c r="R676" i="6"/>
  <c r="Q676" i="6"/>
  <c r="P676" i="6"/>
  <c r="S675" i="6"/>
  <c r="R675" i="6"/>
  <c r="Q675" i="6"/>
  <c r="P675" i="6"/>
  <c r="S674" i="6"/>
  <c r="R674" i="6"/>
  <c r="Q674" i="6"/>
  <c r="P674" i="6"/>
  <c r="S673" i="6"/>
  <c r="R673" i="6"/>
  <c r="Q673" i="6"/>
  <c r="P673" i="6"/>
  <c r="S672" i="6"/>
  <c r="R672" i="6"/>
  <c r="Q672" i="6"/>
  <c r="P672" i="6"/>
  <c r="S671" i="6"/>
  <c r="R671" i="6"/>
  <c r="Q671" i="6"/>
  <c r="P671" i="6"/>
  <c r="S670" i="6"/>
  <c r="R670" i="6"/>
  <c r="Q670" i="6"/>
  <c r="P670" i="6"/>
  <c r="S669" i="6"/>
  <c r="R669" i="6"/>
  <c r="Q669" i="6"/>
  <c r="P669" i="6"/>
  <c r="S668" i="6"/>
  <c r="R668" i="6"/>
  <c r="Q668" i="6"/>
  <c r="P668" i="6"/>
  <c r="S667" i="6"/>
  <c r="R667" i="6"/>
  <c r="Q667" i="6"/>
  <c r="P667" i="6"/>
  <c r="S666" i="6"/>
  <c r="R666" i="6"/>
  <c r="Q666" i="6"/>
  <c r="P666" i="6"/>
  <c r="S665" i="6"/>
  <c r="R665" i="6"/>
  <c r="Q665" i="6"/>
  <c r="P665" i="6"/>
  <c r="S664" i="6"/>
  <c r="R664" i="6"/>
  <c r="Q664" i="6"/>
  <c r="P664" i="6"/>
  <c r="S663" i="6"/>
  <c r="R663" i="6"/>
  <c r="Q663" i="6"/>
  <c r="P663" i="6"/>
  <c r="S662" i="6"/>
  <c r="R662" i="6"/>
  <c r="Q662" i="6"/>
  <c r="P662" i="6"/>
  <c r="S661" i="6"/>
  <c r="R661" i="6"/>
  <c r="Q661" i="6"/>
  <c r="P661" i="6"/>
  <c r="S660" i="6"/>
  <c r="R660" i="6"/>
  <c r="Q660" i="6"/>
  <c r="P660" i="6"/>
  <c r="S659" i="6"/>
  <c r="R659" i="6"/>
  <c r="Q659" i="6"/>
  <c r="P659" i="6"/>
  <c r="S658" i="6"/>
  <c r="R658" i="6"/>
  <c r="Q658" i="6"/>
  <c r="P658" i="6"/>
  <c r="S657" i="6"/>
  <c r="R657" i="6"/>
  <c r="Q657" i="6"/>
  <c r="P657" i="6"/>
  <c r="S656" i="6"/>
  <c r="R656" i="6"/>
  <c r="Q656" i="6"/>
  <c r="P656" i="6"/>
  <c r="S655" i="6"/>
  <c r="R655" i="6"/>
  <c r="Q655" i="6"/>
  <c r="P655" i="6"/>
  <c r="S654" i="6"/>
  <c r="R654" i="6"/>
  <c r="Q654" i="6"/>
  <c r="P654" i="6"/>
  <c r="S653" i="6"/>
  <c r="R653" i="6"/>
  <c r="Q653" i="6"/>
  <c r="P653" i="6"/>
  <c r="S652" i="6"/>
  <c r="R652" i="6"/>
  <c r="Q652" i="6"/>
  <c r="P652" i="6"/>
  <c r="S651" i="6"/>
  <c r="R651" i="6"/>
  <c r="Q651" i="6"/>
  <c r="P651" i="6"/>
  <c r="S650" i="6"/>
  <c r="R650" i="6"/>
  <c r="Q650" i="6"/>
  <c r="P650" i="6"/>
  <c r="S649" i="6"/>
  <c r="R649" i="6"/>
  <c r="Q649" i="6"/>
  <c r="P649" i="6"/>
  <c r="S648" i="6"/>
  <c r="R648" i="6"/>
  <c r="Q648" i="6"/>
  <c r="P648" i="6"/>
  <c r="S647" i="6"/>
  <c r="R647" i="6"/>
  <c r="Q647" i="6"/>
  <c r="P647" i="6"/>
  <c r="S646" i="6"/>
  <c r="R646" i="6"/>
  <c r="Q646" i="6"/>
  <c r="P646" i="6"/>
  <c r="S645" i="6"/>
  <c r="R645" i="6"/>
  <c r="Q645" i="6"/>
  <c r="P645" i="6"/>
  <c r="S644" i="6"/>
  <c r="R644" i="6"/>
  <c r="Q644" i="6"/>
  <c r="P644" i="6"/>
  <c r="S643" i="6"/>
  <c r="R643" i="6"/>
  <c r="Q643" i="6"/>
  <c r="P643" i="6"/>
  <c r="S642" i="6"/>
  <c r="R642" i="6"/>
  <c r="Q642" i="6"/>
  <c r="P642" i="6"/>
  <c r="S641" i="6"/>
  <c r="R641" i="6"/>
  <c r="Q641" i="6"/>
  <c r="P641" i="6"/>
  <c r="S640" i="6"/>
  <c r="R640" i="6"/>
  <c r="Q640" i="6"/>
  <c r="P640" i="6"/>
  <c r="S639" i="6"/>
  <c r="R639" i="6"/>
  <c r="Q639" i="6"/>
  <c r="P639" i="6"/>
  <c r="S638" i="6"/>
  <c r="R638" i="6"/>
  <c r="Q638" i="6"/>
  <c r="P638" i="6"/>
  <c r="S637" i="6"/>
  <c r="R637" i="6"/>
  <c r="Q637" i="6"/>
  <c r="P637" i="6"/>
  <c r="S636" i="6"/>
  <c r="R636" i="6"/>
  <c r="Q636" i="6"/>
  <c r="P636" i="6"/>
  <c r="S635" i="6"/>
  <c r="R635" i="6"/>
  <c r="Q635" i="6"/>
  <c r="P635" i="6"/>
  <c r="S634" i="6"/>
  <c r="R634" i="6"/>
  <c r="Q634" i="6"/>
  <c r="P634" i="6"/>
  <c r="S633" i="6"/>
  <c r="R633" i="6"/>
  <c r="Q633" i="6"/>
  <c r="P633" i="6"/>
  <c r="S632" i="6"/>
  <c r="R632" i="6"/>
  <c r="Q632" i="6"/>
  <c r="P632" i="6"/>
  <c r="S631" i="6"/>
  <c r="R631" i="6"/>
  <c r="Q631" i="6"/>
  <c r="P631" i="6"/>
  <c r="S630" i="6"/>
  <c r="R630" i="6"/>
  <c r="Q630" i="6"/>
  <c r="P630" i="6"/>
  <c r="S629" i="6"/>
  <c r="R629" i="6"/>
  <c r="Q629" i="6"/>
  <c r="P629" i="6"/>
  <c r="S628" i="6"/>
  <c r="R628" i="6"/>
  <c r="Q628" i="6"/>
  <c r="P628" i="6"/>
  <c r="S627" i="6"/>
  <c r="R627" i="6"/>
  <c r="Q627" i="6"/>
  <c r="P627" i="6"/>
  <c r="S626" i="6"/>
  <c r="R626" i="6"/>
  <c r="Q626" i="6"/>
  <c r="P626" i="6"/>
  <c r="S625" i="6"/>
  <c r="R625" i="6"/>
  <c r="Q625" i="6"/>
  <c r="P625" i="6"/>
  <c r="S624" i="6"/>
  <c r="R624" i="6"/>
  <c r="Q624" i="6"/>
  <c r="P624" i="6"/>
  <c r="S623" i="6"/>
  <c r="R623" i="6"/>
  <c r="Q623" i="6"/>
  <c r="P623" i="6"/>
  <c r="S622" i="6"/>
  <c r="R622" i="6"/>
  <c r="Q622" i="6"/>
  <c r="P622" i="6"/>
  <c r="S621" i="6"/>
  <c r="R621" i="6"/>
  <c r="Q621" i="6"/>
  <c r="P621" i="6"/>
  <c r="S620" i="6"/>
  <c r="R620" i="6"/>
  <c r="Q620" i="6"/>
  <c r="P620" i="6"/>
  <c r="S619" i="6"/>
  <c r="R619" i="6"/>
  <c r="Q619" i="6"/>
  <c r="P619" i="6"/>
  <c r="S618" i="6"/>
  <c r="R618" i="6"/>
  <c r="Q618" i="6"/>
  <c r="P618" i="6"/>
  <c r="S617" i="6"/>
  <c r="R617" i="6"/>
  <c r="Q617" i="6"/>
  <c r="P617" i="6"/>
  <c r="S616" i="6"/>
  <c r="R616" i="6"/>
  <c r="Q616" i="6"/>
  <c r="P616" i="6"/>
  <c r="S615" i="6"/>
  <c r="R615" i="6"/>
  <c r="Q615" i="6"/>
  <c r="P615" i="6"/>
  <c r="S614" i="6"/>
  <c r="R614" i="6"/>
  <c r="Q614" i="6"/>
  <c r="P614" i="6"/>
  <c r="S613" i="6"/>
  <c r="R613" i="6"/>
  <c r="Q613" i="6"/>
  <c r="P613" i="6"/>
  <c r="S612" i="6"/>
  <c r="R612" i="6"/>
  <c r="Q612" i="6"/>
  <c r="P612" i="6"/>
  <c r="S611" i="6"/>
  <c r="R611" i="6"/>
  <c r="Q611" i="6"/>
  <c r="P611" i="6"/>
  <c r="S610" i="6"/>
  <c r="R610" i="6"/>
  <c r="Q610" i="6"/>
  <c r="P610" i="6"/>
  <c r="S609" i="6"/>
  <c r="R609" i="6"/>
  <c r="Q609" i="6"/>
  <c r="P609" i="6"/>
  <c r="S608" i="6"/>
  <c r="R608" i="6"/>
  <c r="Q608" i="6"/>
  <c r="P608" i="6"/>
  <c r="S607" i="6"/>
  <c r="R607" i="6"/>
  <c r="Q607" i="6"/>
  <c r="P607" i="6"/>
  <c r="S606" i="6"/>
  <c r="R606" i="6"/>
  <c r="Q606" i="6"/>
  <c r="P606" i="6"/>
  <c r="S605" i="6"/>
  <c r="R605" i="6"/>
  <c r="Q605" i="6"/>
  <c r="P605" i="6"/>
  <c r="S604" i="6"/>
  <c r="R604" i="6"/>
  <c r="Q604" i="6"/>
  <c r="P604" i="6"/>
  <c r="S603" i="6"/>
  <c r="R603" i="6"/>
  <c r="Q603" i="6"/>
  <c r="P603" i="6"/>
  <c r="S602" i="6"/>
  <c r="R602" i="6"/>
  <c r="Q602" i="6"/>
  <c r="P602" i="6"/>
  <c r="S601" i="6"/>
  <c r="R601" i="6"/>
  <c r="Q601" i="6"/>
  <c r="P601" i="6"/>
  <c r="S600" i="6"/>
  <c r="R600" i="6"/>
  <c r="Q600" i="6"/>
  <c r="P600" i="6"/>
  <c r="S599" i="6"/>
  <c r="R599" i="6"/>
  <c r="Q599" i="6"/>
  <c r="P599" i="6"/>
  <c r="S598" i="6"/>
  <c r="R598" i="6"/>
  <c r="Q598" i="6"/>
  <c r="P598" i="6"/>
  <c r="S597" i="6"/>
  <c r="R597" i="6"/>
  <c r="Q597" i="6"/>
  <c r="P597" i="6"/>
  <c r="S596" i="6"/>
  <c r="R596" i="6"/>
  <c r="Q596" i="6"/>
  <c r="P596" i="6"/>
  <c r="S595" i="6"/>
  <c r="R595" i="6"/>
  <c r="Q595" i="6"/>
  <c r="P595" i="6"/>
  <c r="S594" i="6"/>
  <c r="R594" i="6"/>
  <c r="Q594" i="6"/>
  <c r="P594" i="6"/>
  <c r="S593" i="6"/>
  <c r="R593" i="6"/>
  <c r="Q593" i="6"/>
  <c r="P593" i="6"/>
  <c r="S592" i="6"/>
  <c r="R592" i="6"/>
  <c r="Q592" i="6"/>
  <c r="P592" i="6"/>
  <c r="S591" i="6"/>
  <c r="R591" i="6"/>
  <c r="Q591" i="6"/>
  <c r="P591" i="6"/>
  <c r="S590" i="6"/>
  <c r="R590" i="6"/>
  <c r="Q590" i="6"/>
  <c r="P590" i="6"/>
  <c r="S589" i="6"/>
  <c r="R589" i="6"/>
  <c r="Q589" i="6"/>
  <c r="P589" i="6"/>
  <c r="S588" i="6"/>
  <c r="R588" i="6"/>
  <c r="Q588" i="6"/>
  <c r="P588" i="6"/>
  <c r="S587" i="6"/>
  <c r="R587" i="6"/>
  <c r="Q587" i="6"/>
  <c r="P587" i="6"/>
  <c r="S586" i="6"/>
  <c r="R586" i="6"/>
  <c r="Q586" i="6"/>
  <c r="P586" i="6"/>
  <c r="S585" i="6"/>
  <c r="R585" i="6"/>
  <c r="Q585" i="6"/>
  <c r="P585" i="6"/>
  <c r="S584" i="6"/>
  <c r="R584" i="6"/>
  <c r="Q584" i="6"/>
  <c r="P584" i="6"/>
  <c r="S583" i="6"/>
  <c r="R583" i="6"/>
  <c r="Q583" i="6"/>
  <c r="P583" i="6"/>
  <c r="S582" i="6"/>
  <c r="R582" i="6"/>
  <c r="Q582" i="6"/>
  <c r="P582" i="6"/>
  <c r="S581" i="6"/>
  <c r="R581" i="6"/>
  <c r="Q581" i="6"/>
  <c r="P581" i="6"/>
  <c r="S580" i="6"/>
  <c r="R580" i="6"/>
  <c r="Q580" i="6"/>
  <c r="P580" i="6"/>
  <c r="S579" i="6"/>
  <c r="R579" i="6"/>
  <c r="Q579" i="6"/>
  <c r="P579" i="6"/>
  <c r="S578" i="6"/>
  <c r="R578" i="6"/>
  <c r="Q578" i="6"/>
  <c r="P578" i="6"/>
  <c r="S577" i="6"/>
  <c r="R577" i="6"/>
  <c r="Q577" i="6"/>
  <c r="P577" i="6"/>
  <c r="S576" i="6"/>
  <c r="R576" i="6"/>
  <c r="Q576" i="6"/>
  <c r="P576" i="6"/>
  <c r="S575" i="6"/>
  <c r="R575" i="6"/>
  <c r="Q575" i="6"/>
  <c r="P575" i="6"/>
  <c r="S574" i="6"/>
  <c r="R574" i="6"/>
  <c r="Q574" i="6"/>
  <c r="P574" i="6"/>
  <c r="S573" i="6"/>
  <c r="R573" i="6"/>
  <c r="Q573" i="6"/>
  <c r="P573" i="6"/>
  <c r="S572" i="6"/>
  <c r="R572" i="6"/>
  <c r="Q572" i="6"/>
  <c r="P572" i="6"/>
  <c r="S571" i="6"/>
  <c r="R571" i="6"/>
  <c r="Q571" i="6"/>
  <c r="P571" i="6"/>
  <c r="S570" i="6"/>
  <c r="R570" i="6"/>
  <c r="Q570" i="6"/>
  <c r="P570" i="6"/>
  <c r="S569" i="6"/>
  <c r="R569" i="6"/>
  <c r="Q569" i="6"/>
  <c r="P569" i="6"/>
  <c r="S568" i="6"/>
  <c r="R568" i="6"/>
  <c r="Q568" i="6"/>
  <c r="P568" i="6"/>
  <c r="S567" i="6"/>
  <c r="R567" i="6"/>
  <c r="Q567" i="6"/>
  <c r="P567" i="6"/>
  <c r="S566" i="6"/>
  <c r="R566" i="6"/>
  <c r="Q566" i="6"/>
  <c r="P566" i="6"/>
  <c r="S565" i="6"/>
  <c r="R565" i="6"/>
  <c r="Q565" i="6"/>
  <c r="P565" i="6"/>
  <c r="S564" i="6"/>
  <c r="R564" i="6"/>
  <c r="Q564" i="6"/>
  <c r="P564" i="6"/>
  <c r="S563" i="6"/>
  <c r="R563" i="6"/>
  <c r="Q563" i="6"/>
  <c r="P563" i="6"/>
  <c r="S562" i="6"/>
  <c r="R562" i="6"/>
  <c r="Q562" i="6"/>
  <c r="P562" i="6"/>
  <c r="S561" i="6"/>
  <c r="R561" i="6"/>
  <c r="Q561" i="6"/>
  <c r="P561" i="6"/>
  <c r="S560" i="6"/>
  <c r="R560" i="6"/>
  <c r="Q560" i="6"/>
  <c r="P560" i="6"/>
  <c r="S559" i="6"/>
  <c r="R559" i="6"/>
  <c r="Q559" i="6"/>
  <c r="P559" i="6"/>
  <c r="S558" i="6"/>
  <c r="R558" i="6"/>
  <c r="Q558" i="6"/>
  <c r="P558" i="6"/>
  <c r="S557" i="6"/>
  <c r="R557" i="6"/>
  <c r="Q557" i="6"/>
  <c r="P557" i="6"/>
  <c r="S556" i="6"/>
  <c r="R556" i="6"/>
  <c r="Q556" i="6"/>
  <c r="P556" i="6"/>
  <c r="S555" i="6"/>
  <c r="R555" i="6"/>
  <c r="Q555" i="6"/>
  <c r="P555" i="6"/>
  <c r="S554" i="6"/>
  <c r="R554" i="6"/>
  <c r="Q554" i="6"/>
  <c r="P554" i="6"/>
  <c r="S553" i="6"/>
  <c r="R553" i="6"/>
  <c r="Q553" i="6"/>
  <c r="P553" i="6"/>
  <c r="S552" i="6"/>
  <c r="R552" i="6"/>
  <c r="Q552" i="6"/>
  <c r="P552" i="6"/>
  <c r="S551" i="6"/>
  <c r="R551" i="6"/>
  <c r="Q551" i="6"/>
  <c r="P551" i="6"/>
  <c r="S550" i="6"/>
  <c r="R550" i="6"/>
  <c r="Q550" i="6"/>
  <c r="P550" i="6"/>
  <c r="S549" i="6"/>
  <c r="R549" i="6"/>
  <c r="Q549" i="6"/>
  <c r="P549" i="6"/>
  <c r="S548" i="6"/>
  <c r="R548" i="6"/>
  <c r="Q548" i="6"/>
  <c r="P548" i="6"/>
  <c r="S547" i="6"/>
  <c r="R547" i="6"/>
  <c r="Q547" i="6"/>
  <c r="P547" i="6"/>
  <c r="S546" i="6"/>
  <c r="R546" i="6"/>
  <c r="Q546" i="6"/>
  <c r="P546" i="6"/>
  <c r="S545" i="6"/>
  <c r="R545" i="6"/>
  <c r="Q545" i="6"/>
  <c r="P545" i="6"/>
  <c r="S544" i="6"/>
  <c r="R544" i="6"/>
  <c r="Q544" i="6"/>
  <c r="P544" i="6"/>
  <c r="S543" i="6"/>
  <c r="R543" i="6"/>
  <c r="Q543" i="6"/>
  <c r="P543" i="6"/>
  <c r="S542" i="6"/>
  <c r="R542" i="6"/>
  <c r="Q542" i="6"/>
  <c r="P542" i="6"/>
  <c r="S541" i="6"/>
  <c r="R541" i="6"/>
  <c r="Q541" i="6"/>
  <c r="P541" i="6"/>
  <c r="S540" i="6"/>
  <c r="R540" i="6"/>
  <c r="Q540" i="6"/>
  <c r="P540" i="6"/>
  <c r="S539" i="6"/>
  <c r="R539" i="6"/>
  <c r="Q539" i="6"/>
  <c r="P539" i="6"/>
  <c r="S538" i="6"/>
  <c r="R538" i="6"/>
  <c r="Q538" i="6"/>
  <c r="P538" i="6"/>
  <c r="S537" i="6"/>
  <c r="R537" i="6"/>
  <c r="Q537" i="6"/>
  <c r="P537" i="6"/>
  <c r="S536" i="6"/>
  <c r="R536" i="6"/>
  <c r="Q536" i="6"/>
  <c r="P536" i="6"/>
  <c r="S535" i="6"/>
  <c r="R535" i="6"/>
  <c r="Q535" i="6"/>
  <c r="P535" i="6"/>
  <c r="S534" i="6"/>
  <c r="R534" i="6"/>
  <c r="Q534" i="6"/>
  <c r="P534" i="6"/>
  <c r="S533" i="6"/>
  <c r="R533" i="6"/>
  <c r="Q533" i="6"/>
  <c r="P533" i="6"/>
  <c r="S532" i="6"/>
  <c r="R532" i="6"/>
  <c r="Q532" i="6"/>
  <c r="P532" i="6"/>
  <c r="S531" i="6"/>
  <c r="R531" i="6"/>
  <c r="Q531" i="6"/>
  <c r="P531" i="6"/>
  <c r="S530" i="6"/>
  <c r="R530" i="6"/>
  <c r="Q530" i="6"/>
  <c r="P530" i="6"/>
  <c r="S529" i="6"/>
  <c r="R529" i="6"/>
  <c r="Q529" i="6"/>
  <c r="P529" i="6"/>
  <c r="S528" i="6"/>
  <c r="R528" i="6"/>
  <c r="Q528" i="6"/>
  <c r="P528" i="6"/>
  <c r="S527" i="6"/>
  <c r="R527" i="6"/>
  <c r="Q527" i="6"/>
  <c r="P527" i="6"/>
  <c r="S526" i="6"/>
  <c r="R526" i="6"/>
  <c r="Q526" i="6"/>
  <c r="P526" i="6"/>
  <c r="S525" i="6"/>
  <c r="R525" i="6"/>
  <c r="Q525" i="6"/>
  <c r="P525" i="6"/>
  <c r="S524" i="6"/>
  <c r="R524" i="6"/>
  <c r="Q524" i="6"/>
  <c r="P524" i="6"/>
  <c r="S523" i="6"/>
  <c r="R523" i="6"/>
  <c r="Q523" i="6"/>
  <c r="P523" i="6"/>
  <c r="S522" i="6"/>
  <c r="R522" i="6"/>
  <c r="Q522" i="6"/>
  <c r="P522" i="6"/>
  <c r="S521" i="6"/>
  <c r="R521" i="6"/>
  <c r="Q521" i="6"/>
  <c r="P521" i="6"/>
  <c r="S520" i="6"/>
  <c r="R520" i="6"/>
  <c r="Q520" i="6"/>
  <c r="P520" i="6"/>
  <c r="S519" i="6"/>
  <c r="R519" i="6"/>
  <c r="Q519" i="6"/>
  <c r="P519" i="6"/>
  <c r="S518" i="6"/>
  <c r="R518" i="6"/>
  <c r="Q518" i="6"/>
  <c r="P518" i="6"/>
  <c r="S517" i="6"/>
  <c r="R517" i="6"/>
  <c r="Q517" i="6"/>
  <c r="P517" i="6"/>
  <c r="S516" i="6"/>
  <c r="R516" i="6"/>
  <c r="Q516" i="6"/>
  <c r="P516" i="6"/>
  <c r="S515" i="6"/>
  <c r="R515" i="6"/>
  <c r="Q515" i="6"/>
  <c r="P515" i="6"/>
  <c r="S514" i="6"/>
  <c r="R514" i="6"/>
  <c r="Q514" i="6"/>
  <c r="P514" i="6"/>
  <c r="S513" i="6"/>
  <c r="R513" i="6"/>
  <c r="Q513" i="6"/>
  <c r="P513" i="6"/>
  <c r="S512" i="6"/>
  <c r="R512" i="6"/>
  <c r="Q512" i="6"/>
  <c r="P512" i="6"/>
  <c r="S511" i="6"/>
  <c r="R511" i="6"/>
  <c r="Q511" i="6"/>
  <c r="P511" i="6"/>
  <c r="S510" i="6"/>
  <c r="R510" i="6"/>
  <c r="Q510" i="6"/>
  <c r="P510" i="6"/>
  <c r="S509" i="6"/>
  <c r="R509" i="6"/>
  <c r="Q509" i="6"/>
  <c r="P509" i="6"/>
  <c r="S508" i="6"/>
  <c r="R508" i="6"/>
  <c r="Q508" i="6"/>
  <c r="P508" i="6"/>
  <c r="S507" i="6"/>
  <c r="R507" i="6"/>
  <c r="Q507" i="6"/>
  <c r="P507" i="6"/>
  <c r="S506" i="6"/>
  <c r="R506" i="6"/>
  <c r="Q506" i="6"/>
  <c r="P506" i="6"/>
  <c r="S505" i="6"/>
  <c r="R505" i="6"/>
  <c r="Q505" i="6"/>
  <c r="P505" i="6"/>
  <c r="S504" i="6"/>
  <c r="R504" i="6"/>
  <c r="Q504" i="6"/>
  <c r="P504" i="6"/>
  <c r="S503" i="6"/>
  <c r="R503" i="6"/>
  <c r="Q503" i="6"/>
  <c r="P503" i="6"/>
  <c r="S502" i="6"/>
  <c r="R502" i="6"/>
  <c r="Q502" i="6"/>
  <c r="P502" i="6"/>
  <c r="S501" i="6"/>
  <c r="R501" i="6"/>
  <c r="Q501" i="6"/>
  <c r="P501" i="6"/>
  <c r="S500" i="6"/>
  <c r="R500" i="6"/>
  <c r="Q500" i="6"/>
  <c r="P500" i="6"/>
  <c r="S499" i="6"/>
  <c r="R499" i="6"/>
  <c r="Q499" i="6"/>
  <c r="P499" i="6"/>
  <c r="S498" i="6"/>
  <c r="R498" i="6"/>
  <c r="Q498" i="6"/>
  <c r="P498" i="6"/>
  <c r="S497" i="6"/>
  <c r="R497" i="6"/>
  <c r="Q497" i="6"/>
  <c r="P497" i="6"/>
  <c r="S496" i="6"/>
  <c r="R496" i="6"/>
  <c r="Q496" i="6"/>
  <c r="P496" i="6"/>
  <c r="S495" i="6"/>
  <c r="R495" i="6"/>
  <c r="Q495" i="6"/>
  <c r="P495" i="6"/>
  <c r="S494" i="6"/>
  <c r="R494" i="6"/>
  <c r="Q494" i="6"/>
  <c r="P494" i="6"/>
  <c r="S493" i="6"/>
  <c r="R493" i="6"/>
  <c r="Q493" i="6"/>
  <c r="P493" i="6"/>
  <c r="S492" i="6"/>
  <c r="R492" i="6"/>
  <c r="Q492" i="6"/>
  <c r="P492" i="6"/>
  <c r="S491" i="6"/>
  <c r="R491" i="6"/>
  <c r="Q491" i="6"/>
  <c r="P491" i="6"/>
  <c r="S490" i="6"/>
  <c r="R490" i="6"/>
  <c r="Q490" i="6"/>
  <c r="P490" i="6"/>
  <c r="S489" i="6"/>
  <c r="R489" i="6"/>
  <c r="Q489" i="6"/>
  <c r="P489" i="6"/>
  <c r="S488" i="6"/>
  <c r="R488" i="6"/>
  <c r="Q488" i="6"/>
  <c r="P488" i="6"/>
  <c r="S487" i="6"/>
  <c r="R487" i="6"/>
  <c r="Q487" i="6"/>
  <c r="P487" i="6"/>
  <c r="S486" i="6"/>
  <c r="R486" i="6"/>
  <c r="Q486" i="6"/>
  <c r="P486" i="6"/>
  <c r="S485" i="6"/>
  <c r="R485" i="6"/>
  <c r="Q485" i="6"/>
  <c r="P485" i="6"/>
  <c r="S484" i="6"/>
  <c r="R484" i="6"/>
  <c r="Q484" i="6"/>
  <c r="P484" i="6"/>
  <c r="S483" i="6"/>
  <c r="R483" i="6"/>
  <c r="Q483" i="6"/>
  <c r="P483" i="6"/>
  <c r="S482" i="6"/>
  <c r="R482" i="6"/>
  <c r="Q482" i="6"/>
  <c r="P482" i="6"/>
  <c r="S481" i="6"/>
  <c r="R481" i="6"/>
  <c r="Q481" i="6"/>
  <c r="P481" i="6"/>
  <c r="S480" i="6"/>
  <c r="R480" i="6"/>
  <c r="Q480" i="6"/>
  <c r="P480" i="6"/>
  <c r="S479" i="6"/>
  <c r="R479" i="6"/>
  <c r="Q479" i="6"/>
  <c r="P479" i="6"/>
  <c r="S478" i="6"/>
  <c r="R478" i="6"/>
  <c r="Q478" i="6"/>
  <c r="P478" i="6"/>
  <c r="S477" i="6"/>
  <c r="R477" i="6"/>
  <c r="Q477" i="6"/>
  <c r="P477" i="6"/>
  <c r="S476" i="6"/>
  <c r="R476" i="6"/>
  <c r="Q476" i="6"/>
  <c r="P476" i="6"/>
  <c r="S475" i="6"/>
  <c r="R475" i="6"/>
  <c r="Q475" i="6"/>
  <c r="P475" i="6"/>
  <c r="S474" i="6"/>
  <c r="R474" i="6"/>
  <c r="Q474" i="6"/>
  <c r="P474" i="6"/>
  <c r="S473" i="6"/>
  <c r="R473" i="6"/>
  <c r="Q473" i="6"/>
  <c r="P473" i="6"/>
  <c r="S472" i="6"/>
  <c r="R472" i="6"/>
  <c r="Q472" i="6"/>
  <c r="P472" i="6"/>
  <c r="S471" i="6"/>
  <c r="R471" i="6"/>
  <c r="Q471" i="6"/>
  <c r="P471" i="6"/>
  <c r="S470" i="6"/>
  <c r="R470" i="6"/>
  <c r="Q470" i="6"/>
  <c r="P470" i="6"/>
  <c r="S469" i="6"/>
  <c r="R469" i="6"/>
  <c r="Q469" i="6"/>
  <c r="P469" i="6"/>
  <c r="S468" i="6"/>
  <c r="R468" i="6"/>
  <c r="Q468" i="6"/>
  <c r="P468" i="6"/>
  <c r="S467" i="6"/>
  <c r="R467" i="6"/>
  <c r="Q467" i="6"/>
  <c r="P467" i="6"/>
  <c r="S466" i="6"/>
  <c r="R466" i="6"/>
  <c r="Q466" i="6"/>
  <c r="P466" i="6"/>
  <c r="S465" i="6"/>
  <c r="R465" i="6"/>
  <c r="Q465" i="6"/>
  <c r="P465" i="6"/>
  <c r="S464" i="6"/>
  <c r="R464" i="6"/>
  <c r="Q464" i="6"/>
  <c r="P464" i="6"/>
  <c r="S463" i="6"/>
  <c r="R463" i="6"/>
  <c r="Q463" i="6"/>
  <c r="P463" i="6"/>
  <c r="S462" i="6"/>
  <c r="R462" i="6"/>
  <c r="Q462" i="6"/>
  <c r="P462" i="6"/>
  <c r="S461" i="6"/>
  <c r="R461" i="6"/>
  <c r="Q461" i="6"/>
  <c r="P461" i="6"/>
  <c r="S460" i="6"/>
  <c r="R460" i="6"/>
  <c r="Q460" i="6"/>
  <c r="P460" i="6"/>
  <c r="S459" i="6"/>
  <c r="R459" i="6"/>
  <c r="Q459" i="6"/>
  <c r="P459" i="6"/>
  <c r="S458" i="6"/>
  <c r="R458" i="6"/>
  <c r="Q458" i="6"/>
  <c r="P458" i="6"/>
  <c r="S457" i="6"/>
  <c r="R457" i="6"/>
  <c r="Q457" i="6"/>
  <c r="P457" i="6"/>
  <c r="S456" i="6"/>
  <c r="R456" i="6"/>
  <c r="Q456" i="6"/>
  <c r="P456" i="6"/>
  <c r="S455" i="6"/>
  <c r="R455" i="6"/>
  <c r="Q455" i="6"/>
  <c r="P455" i="6"/>
  <c r="S454" i="6"/>
  <c r="R454" i="6"/>
  <c r="Q454" i="6"/>
  <c r="P454" i="6"/>
  <c r="S453" i="6"/>
  <c r="R453" i="6"/>
  <c r="Q453" i="6"/>
  <c r="P453" i="6"/>
  <c r="S452" i="6"/>
  <c r="R452" i="6"/>
  <c r="Q452" i="6"/>
  <c r="P452" i="6"/>
  <c r="S451" i="6"/>
  <c r="R451" i="6"/>
  <c r="Q451" i="6"/>
  <c r="P451" i="6"/>
  <c r="S450" i="6"/>
  <c r="R450" i="6"/>
  <c r="Q450" i="6"/>
  <c r="P450" i="6"/>
  <c r="S449" i="6"/>
  <c r="R449" i="6"/>
  <c r="Q449" i="6"/>
  <c r="P449" i="6"/>
  <c r="S448" i="6"/>
  <c r="R448" i="6"/>
  <c r="Q448" i="6"/>
  <c r="P448" i="6"/>
  <c r="S447" i="6"/>
  <c r="R447" i="6"/>
  <c r="Q447" i="6"/>
  <c r="P447" i="6"/>
  <c r="S446" i="6"/>
  <c r="R446" i="6"/>
  <c r="Q446" i="6"/>
  <c r="P446" i="6"/>
  <c r="S445" i="6"/>
  <c r="R445" i="6"/>
  <c r="Q445" i="6"/>
  <c r="P445" i="6"/>
  <c r="S444" i="6"/>
  <c r="R444" i="6"/>
  <c r="Q444" i="6"/>
  <c r="P444" i="6"/>
  <c r="S443" i="6"/>
  <c r="R443" i="6"/>
  <c r="Q443" i="6"/>
  <c r="P443" i="6"/>
  <c r="S442" i="6"/>
  <c r="R442" i="6"/>
  <c r="Q442" i="6"/>
  <c r="P442" i="6"/>
  <c r="S441" i="6"/>
  <c r="R441" i="6"/>
  <c r="Q441" i="6"/>
  <c r="P441" i="6"/>
  <c r="S440" i="6"/>
  <c r="R440" i="6"/>
  <c r="Q440" i="6"/>
  <c r="P440" i="6"/>
  <c r="S439" i="6"/>
  <c r="R439" i="6"/>
  <c r="Q439" i="6"/>
  <c r="P439" i="6"/>
  <c r="S438" i="6"/>
  <c r="R438" i="6"/>
  <c r="Q438" i="6"/>
  <c r="P438" i="6"/>
  <c r="S437" i="6"/>
  <c r="R437" i="6"/>
  <c r="Q437" i="6"/>
  <c r="P437" i="6"/>
  <c r="S436" i="6"/>
  <c r="R436" i="6"/>
  <c r="Q436" i="6"/>
  <c r="P436" i="6"/>
  <c r="S435" i="6"/>
  <c r="R435" i="6"/>
  <c r="Q435" i="6"/>
  <c r="P435" i="6"/>
  <c r="S434" i="6"/>
  <c r="R434" i="6"/>
  <c r="Q434" i="6"/>
  <c r="P434" i="6"/>
  <c r="S433" i="6"/>
  <c r="R433" i="6"/>
  <c r="Q433" i="6"/>
  <c r="P433" i="6"/>
  <c r="S432" i="6"/>
  <c r="R432" i="6"/>
  <c r="Q432" i="6"/>
  <c r="P432" i="6"/>
  <c r="S431" i="6"/>
  <c r="R431" i="6"/>
  <c r="Q431" i="6"/>
  <c r="P431" i="6"/>
  <c r="S430" i="6"/>
  <c r="R430" i="6"/>
  <c r="Q430" i="6"/>
  <c r="P430" i="6"/>
  <c r="S429" i="6"/>
  <c r="R429" i="6"/>
  <c r="Q429" i="6"/>
  <c r="P429" i="6"/>
  <c r="S428" i="6"/>
  <c r="R428" i="6"/>
  <c r="Q428" i="6"/>
  <c r="P428" i="6"/>
  <c r="S427" i="6"/>
  <c r="R427" i="6"/>
  <c r="Q427" i="6"/>
  <c r="P427" i="6"/>
  <c r="S426" i="6"/>
  <c r="R426" i="6"/>
  <c r="Q426" i="6"/>
  <c r="P426" i="6"/>
  <c r="S425" i="6"/>
  <c r="R425" i="6"/>
  <c r="Q425" i="6"/>
  <c r="P425" i="6"/>
  <c r="S424" i="6"/>
  <c r="R424" i="6"/>
  <c r="Q424" i="6"/>
  <c r="P424" i="6"/>
  <c r="AY30" i="6"/>
  <c r="AX30" i="6"/>
  <c r="AZ30" i="6" s="1"/>
  <c r="AY29" i="6"/>
  <c r="AX29" i="6"/>
  <c r="AZ29" i="6" s="1"/>
  <c r="AY28" i="6"/>
  <c r="AX28" i="6"/>
  <c r="AZ28" i="6" s="1"/>
  <c r="AZ27" i="6"/>
  <c r="AY27" i="6"/>
  <c r="AX27" i="6"/>
  <c r="AY26" i="6"/>
  <c r="AX26" i="6"/>
  <c r="AZ26" i="6" s="1"/>
  <c r="AZ25" i="6"/>
  <c r="AY25" i="6"/>
  <c r="AX25" i="6"/>
  <c r="AY24" i="6"/>
  <c r="AX24" i="6"/>
  <c r="AZ24" i="6" s="1"/>
  <c r="AH23" i="6"/>
  <c r="AA23" i="6"/>
  <c r="AN23" i="6" s="1"/>
  <c r="Z23" i="6"/>
  <c r="Y23" i="6"/>
  <c r="X23" i="6"/>
  <c r="W23" i="6"/>
  <c r="V23" i="6"/>
  <c r="U23" i="6"/>
  <c r="T23" i="6"/>
  <c r="AB23" i="6" s="1"/>
  <c r="S23" i="6"/>
  <c r="R23" i="6"/>
  <c r="Q23" i="6"/>
  <c r="P23" i="6"/>
  <c r="AN22" i="6"/>
  <c r="AH22" i="6"/>
  <c r="AA22" i="6"/>
  <c r="Z22" i="6"/>
  <c r="Y22" i="6"/>
  <c r="X22" i="6"/>
  <c r="W22" i="6"/>
  <c r="V22" i="6"/>
  <c r="U22" i="6"/>
  <c r="T22" i="6"/>
  <c r="AB22" i="6" s="1"/>
  <c r="S22" i="6"/>
  <c r="R22" i="6"/>
  <c r="Q22" i="6"/>
  <c r="P22" i="6"/>
  <c r="AR21" i="6"/>
  <c r="AA21" i="6"/>
  <c r="Z21" i="6"/>
  <c r="AN21" i="6" s="1"/>
  <c r="Y21" i="6"/>
  <c r="X21" i="6"/>
  <c r="W21" i="6"/>
  <c r="V21" i="6"/>
  <c r="AE21" i="6" s="1"/>
  <c r="U21" i="6"/>
  <c r="T21" i="6"/>
  <c r="AB21" i="6" s="1"/>
  <c r="S21" i="6"/>
  <c r="R21" i="6"/>
  <c r="Q21" i="6"/>
  <c r="P21" i="6"/>
  <c r="AC21" i="6" s="1"/>
  <c r="AD21" i="6" s="1"/>
  <c r="AR20" i="6"/>
  <c r="AH20" i="6"/>
  <c r="AC20" i="6"/>
  <c r="AD20" i="6" s="1"/>
  <c r="AA20" i="6"/>
  <c r="Z20" i="6"/>
  <c r="Y20" i="6"/>
  <c r="X20" i="6"/>
  <c r="W20" i="6"/>
  <c r="V20" i="6"/>
  <c r="U20" i="6"/>
  <c r="T20" i="6"/>
  <c r="AB20" i="6" s="1"/>
  <c r="S20" i="6"/>
  <c r="R20" i="6"/>
  <c r="Q20" i="6"/>
  <c r="P20" i="6"/>
  <c r="AA19" i="6"/>
  <c r="AN19" i="6" s="1"/>
  <c r="Z19" i="6"/>
  <c r="Y19" i="6"/>
  <c r="X19" i="6"/>
  <c r="W19" i="6"/>
  <c r="V19" i="6"/>
  <c r="U19" i="6"/>
  <c r="T19" i="6"/>
  <c r="AB19" i="6" s="1"/>
  <c r="S19" i="6"/>
  <c r="R19" i="6"/>
  <c r="Q19" i="6"/>
  <c r="P19" i="6"/>
  <c r="AO18" i="6"/>
  <c r="AA18" i="6"/>
  <c r="AN18" i="6" s="1"/>
  <c r="Z18" i="6"/>
  <c r="Y18" i="6"/>
  <c r="X18" i="6"/>
  <c r="AH18" i="6" s="1"/>
  <c r="W18" i="6"/>
  <c r="V18" i="6"/>
  <c r="U18" i="6"/>
  <c r="T18" i="6"/>
  <c r="S18" i="6"/>
  <c r="R18" i="6"/>
  <c r="Q18" i="6"/>
  <c r="P18" i="6"/>
  <c r="AD17" i="6"/>
  <c r="AB17" i="6"/>
  <c r="AA17" i="6"/>
  <c r="Z17" i="6"/>
  <c r="AN17" i="6" s="1"/>
  <c r="Y17" i="6"/>
  <c r="X17" i="6"/>
  <c r="W17" i="6"/>
  <c r="V17" i="6"/>
  <c r="U17" i="6"/>
  <c r="T17" i="6"/>
  <c r="S17" i="6"/>
  <c r="R17" i="6"/>
  <c r="AC17" i="6" s="1"/>
  <c r="Q17" i="6"/>
  <c r="P17" i="6"/>
  <c r="AN16" i="6"/>
  <c r="AD16" i="6"/>
  <c r="AC16" i="6"/>
  <c r="AA16" i="6"/>
  <c r="Z16" i="6"/>
  <c r="Y16" i="6"/>
  <c r="X16" i="6"/>
  <c r="AH16" i="6" s="1"/>
  <c r="W16" i="6"/>
  <c r="V16" i="6"/>
  <c r="U16" i="6"/>
  <c r="T16" i="6"/>
  <c r="AB16" i="6" s="1"/>
  <c r="S16" i="6"/>
  <c r="R16" i="6"/>
  <c r="Q16" i="6"/>
  <c r="AS16" i="6" s="1"/>
  <c r="AT16" i="6" s="1"/>
  <c r="P16" i="6"/>
  <c r="AR16" i="6" s="1"/>
  <c r="AQ16" i="6" s="1"/>
  <c r="AN15" i="6"/>
  <c r="AA15" i="6"/>
  <c r="Z15" i="6"/>
  <c r="Y15" i="6"/>
  <c r="X15" i="6"/>
  <c r="W15" i="6"/>
  <c r="V15" i="6"/>
  <c r="U15" i="6"/>
  <c r="T15" i="6"/>
  <c r="S15" i="6"/>
  <c r="R15" i="6"/>
  <c r="AB15" i="6" s="1"/>
  <c r="Q15" i="6"/>
  <c r="P15" i="6"/>
  <c r="AC15" i="6" s="1"/>
  <c r="AD15" i="6" s="1"/>
  <c r="AC14" i="6"/>
  <c r="AD14" i="6" s="1"/>
  <c r="AA14" i="6"/>
  <c r="AN14" i="6" s="1"/>
  <c r="Z14" i="6"/>
  <c r="Y14" i="6"/>
  <c r="X14" i="6"/>
  <c r="W14" i="6"/>
  <c r="V14" i="6"/>
  <c r="U14" i="6"/>
  <c r="T14" i="6"/>
  <c r="S14" i="6"/>
  <c r="R14" i="6"/>
  <c r="AB14" i="6" s="1"/>
  <c r="Q14" i="6"/>
  <c r="P14" i="6"/>
  <c r="AR14" i="6" s="1"/>
  <c r="AQ14" i="6" s="1"/>
  <c r="AN13" i="6"/>
  <c r="AH13" i="6"/>
  <c r="AA13" i="6"/>
  <c r="Z13" i="6"/>
  <c r="Y13" i="6"/>
  <c r="X13" i="6"/>
  <c r="W13" i="6"/>
  <c r="V13" i="6"/>
  <c r="U13" i="6"/>
  <c r="T13" i="6"/>
  <c r="S13" i="6"/>
  <c r="R13" i="6"/>
  <c r="AB13" i="6" s="1"/>
  <c r="Q13" i="6"/>
  <c r="P13" i="6"/>
  <c r="AO12" i="6"/>
  <c r="AP12" i="6" s="1"/>
  <c r="AA12" i="6"/>
  <c r="AN12" i="6" s="1"/>
  <c r="Z12" i="6"/>
  <c r="Y12" i="6"/>
  <c r="X12" i="6"/>
  <c r="AH12" i="6" s="1"/>
  <c r="W12" i="6"/>
  <c r="V12" i="6"/>
  <c r="U12" i="6"/>
  <c r="T12" i="6"/>
  <c r="S12" i="6"/>
  <c r="R12" i="6"/>
  <c r="AB12" i="6" s="1"/>
  <c r="Q12" i="6"/>
  <c r="P12" i="6"/>
  <c r="AR11" i="6"/>
  <c r="AQ11" i="6" s="1"/>
  <c r="AO11" i="6"/>
  <c r="AH11" i="6"/>
  <c r="AB11" i="6"/>
  <c r="AA11" i="6"/>
  <c r="Z11" i="6"/>
  <c r="AN11" i="6" s="1"/>
  <c r="Y11" i="6"/>
  <c r="X11" i="6"/>
  <c r="W11" i="6"/>
  <c r="V11" i="6"/>
  <c r="U11" i="6"/>
  <c r="T11" i="6"/>
  <c r="S11" i="6"/>
  <c r="R11" i="6"/>
  <c r="Q11" i="6"/>
  <c r="P11" i="6"/>
  <c r="AC11" i="6" s="1"/>
  <c r="AD11" i="6" s="1"/>
  <c r="AH10" i="6"/>
  <c r="AC10" i="6"/>
  <c r="AD10" i="6" s="1"/>
  <c r="AB10" i="6"/>
  <c r="AA10" i="6"/>
  <c r="AN10" i="6" s="1"/>
  <c r="Z10" i="6"/>
  <c r="Y10" i="6"/>
  <c r="X10" i="6"/>
  <c r="W10" i="6"/>
  <c r="V10" i="6"/>
  <c r="U10" i="6"/>
  <c r="T10" i="6"/>
  <c r="S10" i="6"/>
  <c r="R10" i="6"/>
  <c r="AR10" i="6" s="1"/>
  <c r="AQ10" i="6" s="1"/>
  <c r="Q10" i="6"/>
  <c r="AS10" i="6" s="1"/>
  <c r="AT10" i="6" s="1"/>
  <c r="P10" i="6"/>
  <c r="AN9" i="6"/>
  <c r="AH9" i="6"/>
  <c r="AA9" i="6"/>
  <c r="Z9" i="6"/>
  <c r="Y9" i="6"/>
  <c r="X9" i="6"/>
  <c r="W9" i="6"/>
  <c r="V9" i="6"/>
  <c r="U9" i="6"/>
  <c r="T9" i="6"/>
  <c r="AB9" i="6" s="1"/>
  <c r="S9" i="6"/>
  <c r="R9" i="6"/>
  <c r="Q9" i="6"/>
  <c r="P9" i="6"/>
  <c r="AH8" i="6"/>
  <c r="AA8" i="6"/>
  <c r="AN8" i="6" s="1"/>
  <c r="Z8" i="6"/>
  <c r="Y8" i="6"/>
  <c r="X8" i="6"/>
  <c r="W8" i="6"/>
  <c r="V8" i="6"/>
  <c r="AE8" i="6" s="1"/>
  <c r="U8" i="6"/>
  <c r="T8" i="6"/>
  <c r="AB8" i="6" s="1"/>
  <c r="S8" i="6"/>
  <c r="R8" i="6"/>
  <c r="Q8" i="6"/>
  <c r="P8" i="6"/>
  <c r="AC8" i="6" s="1"/>
  <c r="AD8" i="6" s="1"/>
  <c r="AH7" i="6"/>
  <c r="AA7" i="6"/>
  <c r="AN7" i="6" s="1"/>
  <c r="Z7" i="6"/>
  <c r="Y7" i="6"/>
  <c r="X7" i="6"/>
  <c r="W7" i="6"/>
  <c r="V7" i="6"/>
  <c r="U7" i="6"/>
  <c r="T7" i="6"/>
  <c r="AB7" i="6" s="1"/>
  <c r="S7" i="6"/>
  <c r="R7" i="6"/>
  <c r="Q7" i="6"/>
  <c r="P7" i="6"/>
  <c r="AN6" i="6"/>
  <c r="AH6" i="6"/>
  <c r="AA6" i="6"/>
  <c r="Z6" i="6"/>
  <c r="Y6" i="6"/>
  <c r="X6" i="6"/>
  <c r="W6" i="6"/>
  <c r="V6" i="6"/>
  <c r="U6" i="6"/>
  <c r="T6" i="6"/>
  <c r="S6" i="6"/>
  <c r="R6" i="6"/>
  <c r="Q6" i="6"/>
  <c r="P6" i="6"/>
  <c r="L5" i="6"/>
  <c r="AO17" i="6" s="1"/>
  <c r="L4" i="6"/>
  <c r="L3" i="6"/>
  <c r="S1292" i="5"/>
  <c r="R1292" i="5"/>
  <c r="Q1292" i="5"/>
  <c r="P1292" i="5"/>
  <c r="S1291" i="5"/>
  <c r="R1291" i="5"/>
  <c r="Q1291" i="5"/>
  <c r="P1291" i="5"/>
  <c r="S1290" i="5"/>
  <c r="R1290" i="5"/>
  <c r="Q1290" i="5"/>
  <c r="P1290" i="5"/>
  <c r="S1289" i="5"/>
  <c r="R1289" i="5"/>
  <c r="Q1289" i="5"/>
  <c r="P1289" i="5"/>
  <c r="S1288" i="5"/>
  <c r="R1288" i="5"/>
  <c r="Q1288" i="5"/>
  <c r="P1288" i="5"/>
  <c r="S1287" i="5"/>
  <c r="R1287" i="5"/>
  <c r="Q1287" i="5"/>
  <c r="P1287" i="5"/>
  <c r="S1286" i="5"/>
  <c r="R1286" i="5"/>
  <c r="Q1286" i="5"/>
  <c r="P1286" i="5"/>
  <c r="S1285" i="5"/>
  <c r="R1285" i="5"/>
  <c r="Q1285" i="5"/>
  <c r="P1285" i="5"/>
  <c r="S1284" i="5"/>
  <c r="R1284" i="5"/>
  <c r="Q1284" i="5"/>
  <c r="P1284" i="5"/>
  <c r="S1283" i="5"/>
  <c r="R1283" i="5"/>
  <c r="Q1283" i="5"/>
  <c r="P1283" i="5"/>
  <c r="S1282" i="5"/>
  <c r="R1282" i="5"/>
  <c r="Q1282" i="5"/>
  <c r="P1282" i="5"/>
  <c r="S1281" i="5"/>
  <c r="R1281" i="5"/>
  <c r="Q1281" i="5"/>
  <c r="P1281" i="5"/>
  <c r="S1280" i="5"/>
  <c r="R1280" i="5"/>
  <c r="Q1280" i="5"/>
  <c r="P1280" i="5"/>
  <c r="S1279" i="5"/>
  <c r="R1279" i="5"/>
  <c r="Q1279" i="5"/>
  <c r="P1279" i="5"/>
  <c r="S1278" i="5"/>
  <c r="R1278" i="5"/>
  <c r="Q1278" i="5"/>
  <c r="P1278" i="5"/>
  <c r="S1277" i="5"/>
  <c r="R1277" i="5"/>
  <c r="Q1277" i="5"/>
  <c r="P1277" i="5"/>
  <c r="S1276" i="5"/>
  <c r="R1276" i="5"/>
  <c r="Q1276" i="5"/>
  <c r="P1276" i="5"/>
  <c r="S1275" i="5"/>
  <c r="R1275" i="5"/>
  <c r="Q1275" i="5"/>
  <c r="P1275" i="5"/>
  <c r="S924" i="5"/>
  <c r="R924" i="5"/>
  <c r="Q924" i="5"/>
  <c r="P924" i="5"/>
  <c r="S923" i="5"/>
  <c r="R923" i="5"/>
  <c r="Q923" i="5"/>
  <c r="P923" i="5"/>
  <c r="S922" i="5"/>
  <c r="R922" i="5"/>
  <c r="Q922" i="5"/>
  <c r="P922" i="5"/>
  <c r="S921" i="5"/>
  <c r="R921" i="5"/>
  <c r="Q921" i="5"/>
  <c r="P921" i="5"/>
  <c r="S920" i="5"/>
  <c r="R920" i="5"/>
  <c r="Q920" i="5"/>
  <c r="P920" i="5"/>
  <c r="S919" i="5"/>
  <c r="R919" i="5"/>
  <c r="Q919" i="5"/>
  <c r="P919" i="5"/>
  <c r="S918" i="5"/>
  <c r="R918" i="5"/>
  <c r="Q918" i="5"/>
  <c r="P918" i="5"/>
  <c r="S917" i="5"/>
  <c r="R917" i="5"/>
  <c r="Q917" i="5"/>
  <c r="P917" i="5"/>
  <c r="S916" i="5"/>
  <c r="R916" i="5"/>
  <c r="Q916" i="5"/>
  <c r="P916" i="5"/>
  <c r="S915" i="5"/>
  <c r="R915" i="5"/>
  <c r="Q915" i="5"/>
  <c r="P915" i="5"/>
  <c r="S914" i="5"/>
  <c r="R914" i="5"/>
  <c r="Q914" i="5"/>
  <c r="P914" i="5"/>
  <c r="S913" i="5"/>
  <c r="R913" i="5"/>
  <c r="Q913" i="5"/>
  <c r="P913" i="5"/>
  <c r="S912" i="5"/>
  <c r="R912" i="5"/>
  <c r="Q912" i="5"/>
  <c r="P912" i="5"/>
  <c r="S911" i="5"/>
  <c r="R911" i="5"/>
  <c r="Q911" i="5"/>
  <c r="P911" i="5"/>
  <c r="S910" i="5"/>
  <c r="R910" i="5"/>
  <c r="Q910" i="5"/>
  <c r="P910" i="5"/>
  <c r="S909" i="5"/>
  <c r="R909" i="5"/>
  <c r="Q909" i="5"/>
  <c r="P909" i="5"/>
  <c r="S908" i="5"/>
  <c r="R908" i="5"/>
  <c r="Q908" i="5"/>
  <c r="P908" i="5"/>
  <c r="S907" i="5"/>
  <c r="R907" i="5"/>
  <c r="Q907" i="5"/>
  <c r="P907" i="5"/>
  <c r="S906" i="5"/>
  <c r="R906" i="5"/>
  <c r="Q906" i="5"/>
  <c r="P906" i="5"/>
  <c r="S905" i="5"/>
  <c r="R905" i="5"/>
  <c r="Q905" i="5"/>
  <c r="P905" i="5"/>
  <c r="S904" i="5"/>
  <c r="R904" i="5"/>
  <c r="Q904" i="5"/>
  <c r="P904" i="5"/>
  <c r="S903" i="5"/>
  <c r="R903" i="5"/>
  <c r="Q903" i="5"/>
  <c r="P903" i="5"/>
  <c r="S902" i="5"/>
  <c r="R902" i="5"/>
  <c r="Q902" i="5"/>
  <c r="P902" i="5"/>
  <c r="S901" i="5"/>
  <c r="R901" i="5"/>
  <c r="Q901" i="5"/>
  <c r="P901" i="5"/>
  <c r="S900" i="5"/>
  <c r="R900" i="5"/>
  <c r="Q900" i="5"/>
  <c r="P900" i="5"/>
  <c r="S899" i="5"/>
  <c r="R899" i="5"/>
  <c r="Q899" i="5"/>
  <c r="P899" i="5"/>
  <c r="S898" i="5"/>
  <c r="R898" i="5"/>
  <c r="Q898" i="5"/>
  <c r="P898" i="5"/>
  <c r="S897" i="5"/>
  <c r="R897" i="5"/>
  <c r="Q897" i="5"/>
  <c r="P897" i="5"/>
  <c r="S896" i="5"/>
  <c r="R896" i="5"/>
  <c r="Q896" i="5"/>
  <c r="P896" i="5"/>
  <c r="S895" i="5"/>
  <c r="R895" i="5"/>
  <c r="Q895" i="5"/>
  <c r="P895" i="5"/>
  <c r="S894" i="5"/>
  <c r="R894" i="5"/>
  <c r="Q894" i="5"/>
  <c r="P894" i="5"/>
  <c r="S893" i="5"/>
  <c r="R893" i="5"/>
  <c r="Q893" i="5"/>
  <c r="P893" i="5"/>
  <c r="S892" i="5"/>
  <c r="R892" i="5"/>
  <c r="Q892" i="5"/>
  <c r="P892" i="5"/>
  <c r="S891" i="5"/>
  <c r="R891" i="5"/>
  <c r="Q891" i="5"/>
  <c r="P891" i="5"/>
  <c r="S890" i="5"/>
  <c r="R890" i="5"/>
  <c r="Q890" i="5"/>
  <c r="P890" i="5"/>
  <c r="S889" i="5"/>
  <c r="R889" i="5"/>
  <c r="Q889" i="5"/>
  <c r="P889" i="5"/>
  <c r="S888" i="5"/>
  <c r="R888" i="5"/>
  <c r="Q888" i="5"/>
  <c r="P888" i="5"/>
  <c r="S887" i="5"/>
  <c r="R887" i="5"/>
  <c r="Q887" i="5"/>
  <c r="P887" i="5"/>
  <c r="S886" i="5"/>
  <c r="R886" i="5"/>
  <c r="Q886" i="5"/>
  <c r="P886" i="5"/>
  <c r="S885" i="5"/>
  <c r="R885" i="5"/>
  <c r="Q885" i="5"/>
  <c r="P885" i="5"/>
  <c r="S884" i="5"/>
  <c r="R884" i="5"/>
  <c r="Q884" i="5"/>
  <c r="P884" i="5"/>
  <c r="S883" i="5"/>
  <c r="R883" i="5"/>
  <c r="Q883" i="5"/>
  <c r="P883" i="5"/>
  <c r="S882" i="5"/>
  <c r="R882" i="5"/>
  <c r="Q882" i="5"/>
  <c r="P882" i="5"/>
  <c r="S881" i="5"/>
  <c r="R881" i="5"/>
  <c r="Q881" i="5"/>
  <c r="P881" i="5"/>
  <c r="S880" i="5"/>
  <c r="R880" i="5"/>
  <c r="Q880" i="5"/>
  <c r="P880" i="5"/>
  <c r="S879" i="5"/>
  <c r="R879" i="5"/>
  <c r="Q879" i="5"/>
  <c r="P879" i="5"/>
  <c r="S878" i="5"/>
  <c r="R878" i="5"/>
  <c r="Q878" i="5"/>
  <c r="P878" i="5"/>
  <c r="S877" i="5"/>
  <c r="R877" i="5"/>
  <c r="Q877" i="5"/>
  <c r="P877" i="5"/>
  <c r="S876" i="5"/>
  <c r="R876" i="5"/>
  <c r="Q876" i="5"/>
  <c r="P876" i="5"/>
  <c r="S875" i="5"/>
  <c r="R875" i="5"/>
  <c r="Q875" i="5"/>
  <c r="P875" i="5"/>
  <c r="S874" i="5"/>
  <c r="R874" i="5"/>
  <c r="Q874" i="5"/>
  <c r="P874" i="5"/>
  <c r="S873" i="5"/>
  <c r="R873" i="5"/>
  <c r="Q873" i="5"/>
  <c r="P873" i="5"/>
  <c r="S872" i="5"/>
  <c r="R872" i="5"/>
  <c r="Q872" i="5"/>
  <c r="P872" i="5"/>
  <c r="S871" i="5"/>
  <c r="R871" i="5"/>
  <c r="Q871" i="5"/>
  <c r="P871" i="5"/>
  <c r="S870" i="5"/>
  <c r="R870" i="5"/>
  <c r="Q870" i="5"/>
  <c r="P870" i="5"/>
  <c r="S869" i="5"/>
  <c r="R869" i="5"/>
  <c r="Q869" i="5"/>
  <c r="P869" i="5"/>
  <c r="S868" i="5"/>
  <c r="R868" i="5"/>
  <c r="Q868" i="5"/>
  <c r="P868" i="5"/>
  <c r="S867" i="5"/>
  <c r="R867" i="5"/>
  <c r="Q867" i="5"/>
  <c r="P867" i="5"/>
  <c r="S866" i="5"/>
  <c r="R866" i="5"/>
  <c r="Q866" i="5"/>
  <c r="P866" i="5"/>
  <c r="S865" i="5"/>
  <c r="R865" i="5"/>
  <c r="Q865" i="5"/>
  <c r="P865" i="5"/>
  <c r="S864" i="5"/>
  <c r="R864" i="5"/>
  <c r="Q864" i="5"/>
  <c r="P864" i="5"/>
  <c r="S863" i="5"/>
  <c r="R863" i="5"/>
  <c r="Q863" i="5"/>
  <c r="P863" i="5"/>
  <c r="S862" i="5"/>
  <c r="R862" i="5"/>
  <c r="Q862" i="5"/>
  <c r="P862" i="5"/>
  <c r="S861" i="5"/>
  <c r="R861" i="5"/>
  <c r="Q861" i="5"/>
  <c r="P861" i="5"/>
  <c r="S860" i="5"/>
  <c r="R860" i="5"/>
  <c r="Q860" i="5"/>
  <c r="P860" i="5"/>
  <c r="S859" i="5"/>
  <c r="R859" i="5"/>
  <c r="Q859" i="5"/>
  <c r="P859" i="5"/>
  <c r="S858" i="5"/>
  <c r="R858" i="5"/>
  <c r="Q858" i="5"/>
  <c r="P858" i="5"/>
  <c r="S857" i="5"/>
  <c r="R857" i="5"/>
  <c r="Q857" i="5"/>
  <c r="P857" i="5"/>
  <c r="S856" i="5"/>
  <c r="R856" i="5"/>
  <c r="Q856" i="5"/>
  <c r="P856" i="5"/>
  <c r="S855" i="5"/>
  <c r="R855" i="5"/>
  <c r="Q855" i="5"/>
  <c r="P855" i="5"/>
  <c r="S854" i="5"/>
  <c r="R854" i="5"/>
  <c r="Q854" i="5"/>
  <c r="P854" i="5"/>
  <c r="S853" i="5"/>
  <c r="R853" i="5"/>
  <c r="Q853" i="5"/>
  <c r="P853" i="5"/>
  <c r="S852" i="5"/>
  <c r="R852" i="5"/>
  <c r="Q852" i="5"/>
  <c r="P852" i="5"/>
  <c r="S851" i="5"/>
  <c r="R851" i="5"/>
  <c r="Q851" i="5"/>
  <c r="P851" i="5"/>
  <c r="S850" i="5"/>
  <c r="R850" i="5"/>
  <c r="Q850" i="5"/>
  <c r="P850" i="5"/>
  <c r="S849" i="5"/>
  <c r="R849" i="5"/>
  <c r="Q849" i="5"/>
  <c r="P849" i="5"/>
  <c r="S848" i="5"/>
  <c r="R848" i="5"/>
  <c r="Q848" i="5"/>
  <c r="P848" i="5"/>
  <c r="S847" i="5"/>
  <c r="R847" i="5"/>
  <c r="Q847" i="5"/>
  <c r="P847" i="5"/>
  <c r="S846" i="5"/>
  <c r="R846" i="5"/>
  <c r="Q846" i="5"/>
  <c r="P846" i="5"/>
  <c r="S845" i="5"/>
  <c r="R845" i="5"/>
  <c r="Q845" i="5"/>
  <c r="P845" i="5"/>
  <c r="S844" i="5"/>
  <c r="R844" i="5"/>
  <c r="Q844" i="5"/>
  <c r="P844" i="5"/>
  <c r="S843" i="5"/>
  <c r="R843" i="5"/>
  <c r="Q843" i="5"/>
  <c r="P843" i="5"/>
  <c r="S842" i="5"/>
  <c r="R842" i="5"/>
  <c r="Q842" i="5"/>
  <c r="P842" i="5"/>
  <c r="S841" i="5"/>
  <c r="R841" i="5"/>
  <c r="Q841" i="5"/>
  <c r="P841" i="5"/>
  <c r="S840" i="5"/>
  <c r="R840" i="5"/>
  <c r="Q840" i="5"/>
  <c r="P840" i="5"/>
  <c r="S839" i="5"/>
  <c r="R839" i="5"/>
  <c r="Q839" i="5"/>
  <c r="P839" i="5"/>
  <c r="S838" i="5"/>
  <c r="R838" i="5"/>
  <c r="Q838" i="5"/>
  <c r="P838" i="5"/>
  <c r="S837" i="5"/>
  <c r="R837" i="5"/>
  <c r="Q837" i="5"/>
  <c r="P837" i="5"/>
  <c r="S836" i="5"/>
  <c r="R836" i="5"/>
  <c r="Q836" i="5"/>
  <c r="P836" i="5"/>
  <c r="S835" i="5"/>
  <c r="R835" i="5"/>
  <c r="Q835" i="5"/>
  <c r="P835" i="5"/>
  <c r="S834" i="5"/>
  <c r="R834" i="5"/>
  <c r="Q834" i="5"/>
  <c r="P834" i="5"/>
  <c r="S833" i="5"/>
  <c r="R833" i="5"/>
  <c r="Q833" i="5"/>
  <c r="P833" i="5"/>
  <c r="S832" i="5"/>
  <c r="R832" i="5"/>
  <c r="Q832" i="5"/>
  <c r="P832" i="5"/>
  <c r="S831" i="5"/>
  <c r="R831" i="5"/>
  <c r="Q831" i="5"/>
  <c r="P831" i="5"/>
  <c r="S830" i="5"/>
  <c r="R830" i="5"/>
  <c r="Q830" i="5"/>
  <c r="P830" i="5"/>
  <c r="S829" i="5"/>
  <c r="R829" i="5"/>
  <c r="Q829" i="5"/>
  <c r="P829" i="5"/>
  <c r="S828" i="5"/>
  <c r="R828" i="5"/>
  <c r="Q828" i="5"/>
  <c r="P828" i="5"/>
  <c r="S827" i="5"/>
  <c r="R827" i="5"/>
  <c r="Q827" i="5"/>
  <c r="P827" i="5"/>
  <c r="S826" i="5"/>
  <c r="R826" i="5"/>
  <c r="Q826" i="5"/>
  <c r="P826" i="5"/>
  <c r="S825" i="5"/>
  <c r="R825" i="5"/>
  <c r="Q825" i="5"/>
  <c r="P825" i="5"/>
  <c r="S824" i="5"/>
  <c r="R824" i="5"/>
  <c r="Q824" i="5"/>
  <c r="P824" i="5"/>
  <c r="S823" i="5"/>
  <c r="R823" i="5"/>
  <c r="Q823" i="5"/>
  <c r="P823" i="5"/>
  <c r="S822" i="5"/>
  <c r="R822" i="5"/>
  <c r="Q822" i="5"/>
  <c r="P822" i="5"/>
  <c r="S821" i="5"/>
  <c r="R821" i="5"/>
  <c r="Q821" i="5"/>
  <c r="P821" i="5"/>
  <c r="S820" i="5"/>
  <c r="R820" i="5"/>
  <c r="Q820" i="5"/>
  <c r="P820" i="5"/>
  <c r="S819" i="5"/>
  <c r="R819" i="5"/>
  <c r="Q819" i="5"/>
  <c r="P819" i="5"/>
  <c r="S818" i="5"/>
  <c r="R818" i="5"/>
  <c r="Q818" i="5"/>
  <c r="P818" i="5"/>
  <c r="S817" i="5"/>
  <c r="R817" i="5"/>
  <c r="Q817" i="5"/>
  <c r="P817" i="5"/>
  <c r="S816" i="5"/>
  <c r="R816" i="5"/>
  <c r="Q816" i="5"/>
  <c r="P816" i="5"/>
  <c r="S815" i="5"/>
  <c r="R815" i="5"/>
  <c r="Q815" i="5"/>
  <c r="P815" i="5"/>
  <c r="S814" i="5"/>
  <c r="R814" i="5"/>
  <c r="Q814" i="5"/>
  <c r="P814" i="5"/>
  <c r="S813" i="5"/>
  <c r="R813" i="5"/>
  <c r="Q813" i="5"/>
  <c r="P813" i="5"/>
  <c r="S812" i="5"/>
  <c r="R812" i="5"/>
  <c r="Q812" i="5"/>
  <c r="P812" i="5"/>
  <c r="S811" i="5"/>
  <c r="R811" i="5"/>
  <c r="Q811" i="5"/>
  <c r="P811" i="5"/>
  <c r="S810" i="5"/>
  <c r="R810" i="5"/>
  <c r="Q810" i="5"/>
  <c r="P810" i="5"/>
  <c r="S809" i="5"/>
  <c r="R809" i="5"/>
  <c r="Q809" i="5"/>
  <c r="P809" i="5"/>
  <c r="S808" i="5"/>
  <c r="R808" i="5"/>
  <c r="Q808" i="5"/>
  <c r="P808" i="5"/>
  <c r="S807" i="5"/>
  <c r="R807" i="5"/>
  <c r="Q807" i="5"/>
  <c r="P807" i="5"/>
  <c r="S806" i="5"/>
  <c r="R806" i="5"/>
  <c r="Q806" i="5"/>
  <c r="P806" i="5"/>
  <c r="S805" i="5"/>
  <c r="R805" i="5"/>
  <c r="Q805" i="5"/>
  <c r="P805" i="5"/>
  <c r="S804" i="5"/>
  <c r="R804" i="5"/>
  <c r="Q804" i="5"/>
  <c r="P804" i="5"/>
  <c r="S803" i="5"/>
  <c r="R803" i="5"/>
  <c r="Q803" i="5"/>
  <c r="P803" i="5"/>
  <c r="S802" i="5"/>
  <c r="R802" i="5"/>
  <c r="Q802" i="5"/>
  <c r="P802" i="5"/>
  <c r="S801" i="5"/>
  <c r="R801" i="5"/>
  <c r="Q801" i="5"/>
  <c r="P801" i="5"/>
  <c r="S800" i="5"/>
  <c r="R800" i="5"/>
  <c r="Q800" i="5"/>
  <c r="P800" i="5"/>
  <c r="S799" i="5"/>
  <c r="R799" i="5"/>
  <c r="Q799" i="5"/>
  <c r="P799" i="5"/>
  <c r="S798" i="5"/>
  <c r="R798" i="5"/>
  <c r="Q798" i="5"/>
  <c r="P798" i="5"/>
  <c r="S797" i="5"/>
  <c r="R797" i="5"/>
  <c r="Q797" i="5"/>
  <c r="P797" i="5"/>
  <c r="S796" i="5"/>
  <c r="R796" i="5"/>
  <c r="Q796" i="5"/>
  <c r="P796" i="5"/>
  <c r="S795" i="5"/>
  <c r="R795" i="5"/>
  <c r="Q795" i="5"/>
  <c r="P795" i="5"/>
  <c r="S794" i="5"/>
  <c r="R794" i="5"/>
  <c r="Q794" i="5"/>
  <c r="P794" i="5"/>
  <c r="S793" i="5"/>
  <c r="R793" i="5"/>
  <c r="Q793" i="5"/>
  <c r="P793" i="5"/>
  <c r="S792" i="5"/>
  <c r="R792" i="5"/>
  <c r="Q792" i="5"/>
  <c r="P792" i="5"/>
  <c r="S791" i="5"/>
  <c r="R791" i="5"/>
  <c r="Q791" i="5"/>
  <c r="P791" i="5"/>
  <c r="S790" i="5"/>
  <c r="R790" i="5"/>
  <c r="Q790" i="5"/>
  <c r="P790" i="5"/>
  <c r="S789" i="5"/>
  <c r="R789" i="5"/>
  <c r="Q789" i="5"/>
  <c r="P789" i="5"/>
  <c r="S788" i="5"/>
  <c r="R788" i="5"/>
  <c r="Q788" i="5"/>
  <c r="P788" i="5"/>
  <c r="S787" i="5"/>
  <c r="R787" i="5"/>
  <c r="Q787" i="5"/>
  <c r="P787" i="5"/>
  <c r="S786" i="5"/>
  <c r="R786" i="5"/>
  <c r="Q786" i="5"/>
  <c r="P786" i="5"/>
  <c r="S785" i="5"/>
  <c r="R785" i="5"/>
  <c r="Q785" i="5"/>
  <c r="P785" i="5"/>
  <c r="S784" i="5"/>
  <c r="R784" i="5"/>
  <c r="Q784" i="5"/>
  <c r="P784" i="5"/>
  <c r="S783" i="5"/>
  <c r="R783" i="5"/>
  <c r="Q783" i="5"/>
  <c r="P783" i="5"/>
  <c r="S782" i="5"/>
  <c r="R782" i="5"/>
  <c r="Q782" i="5"/>
  <c r="P782" i="5"/>
  <c r="S781" i="5"/>
  <c r="R781" i="5"/>
  <c r="Q781" i="5"/>
  <c r="P781" i="5"/>
  <c r="S780" i="5"/>
  <c r="R780" i="5"/>
  <c r="Q780" i="5"/>
  <c r="P780" i="5"/>
  <c r="S779" i="5"/>
  <c r="R779" i="5"/>
  <c r="Q779" i="5"/>
  <c r="P779" i="5"/>
  <c r="S778" i="5"/>
  <c r="R778" i="5"/>
  <c r="Q778" i="5"/>
  <c r="P778" i="5"/>
  <c r="S777" i="5"/>
  <c r="R777" i="5"/>
  <c r="Q777" i="5"/>
  <c r="P777" i="5"/>
  <c r="S776" i="5"/>
  <c r="R776" i="5"/>
  <c r="Q776" i="5"/>
  <c r="P776" i="5"/>
  <c r="S775" i="5"/>
  <c r="R775" i="5"/>
  <c r="Q775" i="5"/>
  <c r="P775" i="5"/>
  <c r="S774" i="5"/>
  <c r="R774" i="5"/>
  <c r="Q774" i="5"/>
  <c r="P774" i="5"/>
  <c r="S773" i="5"/>
  <c r="R773" i="5"/>
  <c r="Q773" i="5"/>
  <c r="P773" i="5"/>
  <c r="S772" i="5"/>
  <c r="R772" i="5"/>
  <c r="Q772" i="5"/>
  <c r="P772" i="5"/>
  <c r="S771" i="5"/>
  <c r="R771" i="5"/>
  <c r="Q771" i="5"/>
  <c r="P771" i="5"/>
  <c r="S770" i="5"/>
  <c r="R770" i="5"/>
  <c r="Q770" i="5"/>
  <c r="P770" i="5"/>
  <c r="S769" i="5"/>
  <c r="R769" i="5"/>
  <c r="Q769" i="5"/>
  <c r="P769" i="5"/>
  <c r="S768" i="5"/>
  <c r="R768" i="5"/>
  <c r="Q768" i="5"/>
  <c r="P768" i="5"/>
  <c r="S767" i="5"/>
  <c r="R767" i="5"/>
  <c r="Q767" i="5"/>
  <c r="P767" i="5"/>
  <c r="S766" i="5"/>
  <c r="R766" i="5"/>
  <c r="Q766" i="5"/>
  <c r="P766" i="5"/>
  <c r="S765" i="5"/>
  <c r="R765" i="5"/>
  <c r="Q765" i="5"/>
  <c r="P765" i="5"/>
  <c r="S764" i="5"/>
  <c r="R764" i="5"/>
  <c r="Q764" i="5"/>
  <c r="P764" i="5"/>
  <c r="S763" i="5"/>
  <c r="R763" i="5"/>
  <c r="Q763" i="5"/>
  <c r="P763" i="5"/>
  <c r="S762" i="5"/>
  <c r="R762" i="5"/>
  <c r="Q762" i="5"/>
  <c r="P762" i="5"/>
  <c r="S761" i="5"/>
  <c r="R761" i="5"/>
  <c r="Q761" i="5"/>
  <c r="P761" i="5"/>
  <c r="S760" i="5"/>
  <c r="R760" i="5"/>
  <c r="Q760" i="5"/>
  <c r="P760" i="5"/>
  <c r="S759" i="5"/>
  <c r="R759" i="5"/>
  <c r="Q759" i="5"/>
  <c r="P759" i="5"/>
  <c r="S758" i="5"/>
  <c r="R758" i="5"/>
  <c r="Q758" i="5"/>
  <c r="P758" i="5"/>
  <c r="S757" i="5"/>
  <c r="R757" i="5"/>
  <c r="Q757" i="5"/>
  <c r="P757" i="5"/>
  <c r="S756" i="5"/>
  <c r="R756" i="5"/>
  <c r="Q756" i="5"/>
  <c r="P756" i="5"/>
  <c r="S755" i="5"/>
  <c r="R755" i="5"/>
  <c r="Q755" i="5"/>
  <c r="P755" i="5"/>
  <c r="S754" i="5"/>
  <c r="R754" i="5"/>
  <c r="Q754" i="5"/>
  <c r="P754" i="5"/>
  <c r="S753" i="5"/>
  <c r="R753" i="5"/>
  <c r="Q753" i="5"/>
  <c r="P753" i="5"/>
  <c r="S752" i="5"/>
  <c r="R752" i="5"/>
  <c r="Q752" i="5"/>
  <c r="P752" i="5"/>
  <c r="S751" i="5"/>
  <c r="R751" i="5"/>
  <c r="Q751" i="5"/>
  <c r="P751" i="5"/>
  <c r="S750" i="5"/>
  <c r="R750" i="5"/>
  <c r="Q750" i="5"/>
  <c r="P750" i="5"/>
  <c r="S749" i="5"/>
  <c r="R749" i="5"/>
  <c r="Q749" i="5"/>
  <c r="P749" i="5"/>
  <c r="S748" i="5"/>
  <c r="R748" i="5"/>
  <c r="Q748" i="5"/>
  <c r="P748" i="5"/>
  <c r="S747" i="5"/>
  <c r="R747" i="5"/>
  <c r="Q747" i="5"/>
  <c r="P747" i="5"/>
  <c r="S746" i="5"/>
  <c r="R746" i="5"/>
  <c r="Q746" i="5"/>
  <c r="P746" i="5"/>
  <c r="S745" i="5"/>
  <c r="R745" i="5"/>
  <c r="Q745" i="5"/>
  <c r="P745" i="5"/>
  <c r="S744" i="5"/>
  <c r="R744" i="5"/>
  <c r="Q744" i="5"/>
  <c r="P744" i="5"/>
  <c r="S743" i="5"/>
  <c r="R743" i="5"/>
  <c r="Q743" i="5"/>
  <c r="P743" i="5"/>
  <c r="S742" i="5"/>
  <c r="R742" i="5"/>
  <c r="Q742" i="5"/>
  <c r="P742" i="5"/>
  <c r="S741" i="5"/>
  <c r="R741" i="5"/>
  <c r="Q741" i="5"/>
  <c r="P741" i="5"/>
  <c r="S740" i="5"/>
  <c r="R740" i="5"/>
  <c r="Q740" i="5"/>
  <c r="P740" i="5"/>
  <c r="S739" i="5"/>
  <c r="R739" i="5"/>
  <c r="Q739" i="5"/>
  <c r="P739" i="5"/>
  <c r="S738" i="5"/>
  <c r="R738" i="5"/>
  <c r="Q738" i="5"/>
  <c r="P738" i="5"/>
  <c r="S737" i="5"/>
  <c r="R737" i="5"/>
  <c r="Q737" i="5"/>
  <c r="P737" i="5"/>
  <c r="S736" i="5"/>
  <c r="R736" i="5"/>
  <c r="Q736" i="5"/>
  <c r="P736" i="5"/>
  <c r="S735" i="5"/>
  <c r="R735" i="5"/>
  <c r="Q735" i="5"/>
  <c r="P735" i="5"/>
  <c r="S734" i="5"/>
  <c r="R734" i="5"/>
  <c r="Q734" i="5"/>
  <c r="P734" i="5"/>
  <c r="S733" i="5"/>
  <c r="R733" i="5"/>
  <c r="Q733" i="5"/>
  <c r="P733" i="5"/>
  <c r="S732" i="5"/>
  <c r="R732" i="5"/>
  <c r="Q732" i="5"/>
  <c r="P732" i="5"/>
  <c r="S731" i="5"/>
  <c r="R731" i="5"/>
  <c r="Q731" i="5"/>
  <c r="P731" i="5"/>
  <c r="S730" i="5"/>
  <c r="R730" i="5"/>
  <c r="Q730" i="5"/>
  <c r="P730" i="5"/>
  <c r="S729" i="5"/>
  <c r="R729" i="5"/>
  <c r="Q729" i="5"/>
  <c r="P729" i="5"/>
  <c r="S728" i="5"/>
  <c r="R728" i="5"/>
  <c r="Q728" i="5"/>
  <c r="P728" i="5"/>
  <c r="S727" i="5"/>
  <c r="R727" i="5"/>
  <c r="Q727" i="5"/>
  <c r="P727" i="5"/>
  <c r="S726" i="5"/>
  <c r="R726" i="5"/>
  <c r="Q726" i="5"/>
  <c r="P726" i="5"/>
  <c r="S725" i="5"/>
  <c r="R725" i="5"/>
  <c r="Q725" i="5"/>
  <c r="P725" i="5"/>
  <c r="S724" i="5"/>
  <c r="R724" i="5"/>
  <c r="Q724" i="5"/>
  <c r="P724" i="5"/>
  <c r="S723" i="5"/>
  <c r="R723" i="5"/>
  <c r="Q723" i="5"/>
  <c r="P723" i="5"/>
  <c r="S722" i="5"/>
  <c r="R722" i="5"/>
  <c r="Q722" i="5"/>
  <c r="P722" i="5"/>
  <c r="S721" i="5"/>
  <c r="R721" i="5"/>
  <c r="Q721" i="5"/>
  <c r="P721" i="5"/>
  <c r="S720" i="5"/>
  <c r="R720" i="5"/>
  <c r="Q720" i="5"/>
  <c r="P720" i="5"/>
  <c r="S719" i="5"/>
  <c r="R719" i="5"/>
  <c r="Q719" i="5"/>
  <c r="P719" i="5"/>
  <c r="S718" i="5"/>
  <c r="R718" i="5"/>
  <c r="Q718" i="5"/>
  <c r="P718" i="5"/>
  <c r="S717" i="5"/>
  <c r="R717" i="5"/>
  <c r="Q717" i="5"/>
  <c r="P717" i="5"/>
  <c r="S716" i="5"/>
  <c r="R716" i="5"/>
  <c r="Q716" i="5"/>
  <c r="P716" i="5"/>
  <c r="S715" i="5"/>
  <c r="R715" i="5"/>
  <c r="Q715" i="5"/>
  <c r="P715" i="5"/>
  <c r="S714" i="5"/>
  <c r="R714" i="5"/>
  <c r="Q714" i="5"/>
  <c r="P714" i="5"/>
  <c r="S713" i="5"/>
  <c r="R713" i="5"/>
  <c r="Q713" i="5"/>
  <c r="P713" i="5"/>
  <c r="S712" i="5"/>
  <c r="R712" i="5"/>
  <c r="Q712" i="5"/>
  <c r="P712" i="5"/>
  <c r="S711" i="5"/>
  <c r="R711" i="5"/>
  <c r="Q711" i="5"/>
  <c r="P711" i="5"/>
  <c r="S710" i="5"/>
  <c r="R710" i="5"/>
  <c r="Q710" i="5"/>
  <c r="P710" i="5"/>
  <c r="S709" i="5"/>
  <c r="R709" i="5"/>
  <c r="Q709" i="5"/>
  <c r="P709" i="5"/>
  <c r="S708" i="5"/>
  <c r="R708" i="5"/>
  <c r="Q708" i="5"/>
  <c r="P708" i="5"/>
  <c r="S707" i="5"/>
  <c r="R707" i="5"/>
  <c r="Q707" i="5"/>
  <c r="P707" i="5"/>
  <c r="S706" i="5"/>
  <c r="R706" i="5"/>
  <c r="Q706" i="5"/>
  <c r="P706" i="5"/>
  <c r="S705" i="5"/>
  <c r="R705" i="5"/>
  <c r="Q705" i="5"/>
  <c r="P705" i="5"/>
  <c r="S704" i="5"/>
  <c r="R704" i="5"/>
  <c r="Q704" i="5"/>
  <c r="P704" i="5"/>
  <c r="S703" i="5"/>
  <c r="R703" i="5"/>
  <c r="Q703" i="5"/>
  <c r="P703" i="5"/>
  <c r="S702" i="5"/>
  <c r="R702" i="5"/>
  <c r="Q702" i="5"/>
  <c r="P702" i="5"/>
  <c r="S701" i="5"/>
  <c r="R701" i="5"/>
  <c r="Q701" i="5"/>
  <c r="P701" i="5"/>
  <c r="S700" i="5"/>
  <c r="R700" i="5"/>
  <c r="Q700" i="5"/>
  <c r="P700" i="5"/>
  <c r="S699" i="5"/>
  <c r="R699" i="5"/>
  <c r="Q699" i="5"/>
  <c r="P699" i="5"/>
  <c r="S698" i="5"/>
  <c r="R698" i="5"/>
  <c r="Q698" i="5"/>
  <c r="P698" i="5"/>
  <c r="S697" i="5"/>
  <c r="R697" i="5"/>
  <c r="Q697" i="5"/>
  <c r="P697" i="5"/>
  <c r="S696" i="5"/>
  <c r="R696" i="5"/>
  <c r="Q696" i="5"/>
  <c r="P696" i="5"/>
  <c r="S695" i="5"/>
  <c r="R695" i="5"/>
  <c r="Q695" i="5"/>
  <c r="P695" i="5"/>
  <c r="S694" i="5"/>
  <c r="R694" i="5"/>
  <c r="Q694" i="5"/>
  <c r="P694" i="5"/>
  <c r="S693" i="5"/>
  <c r="R693" i="5"/>
  <c r="Q693" i="5"/>
  <c r="P693" i="5"/>
  <c r="S692" i="5"/>
  <c r="R692" i="5"/>
  <c r="Q692" i="5"/>
  <c r="P692" i="5"/>
  <c r="S691" i="5"/>
  <c r="R691" i="5"/>
  <c r="Q691" i="5"/>
  <c r="P691" i="5"/>
  <c r="S690" i="5"/>
  <c r="R690" i="5"/>
  <c r="Q690" i="5"/>
  <c r="P690" i="5"/>
  <c r="S689" i="5"/>
  <c r="R689" i="5"/>
  <c r="Q689" i="5"/>
  <c r="P689" i="5"/>
  <c r="S688" i="5"/>
  <c r="R688" i="5"/>
  <c r="Q688" i="5"/>
  <c r="P688" i="5"/>
  <c r="S687" i="5"/>
  <c r="R687" i="5"/>
  <c r="Q687" i="5"/>
  <c r="P687" i="5"/>
  <c r="S686" i="5"/>
  <c r="R686" i="5"/>
  <c r="Q686" i="5"/>
  <c r="P686" i="5"/>
  <c r="S685" i="5"/>
  <c r="R685" i="5"/>
  <c r="Q685" i="5"/>
  <c r="P685" i="5"/>
  <c r="S684" i="5"/>
  <c r="R684" i="5"/>
  <c r="Q684" i="5"/>
  <c r="P684" i="5"/>
  <c r="S683" i="5"/>
  <c r="R683" i="5"/>
  <c r="Q683" i="5"/>
  <c r="P683" i="5"/>
  <c r="S682" i="5"/>
  <c r="R682" i="5"/>
  <c r="Q682" i="5"/>
  <c r="P682" i="5"/>
  <c r="S681" i="5"/>
  <c r="R681" i="5"/>
  <c r="Q681" i="5"/>
  <c r="P681" i="5"/>
  <c r="S680" i="5"/>
  <c r="R680" i="5"/>
  <c r="Q680" i="5"/>
  <c r="P680" i="5"/>
  <c r="S679" i="5"/>
  <c r="R679" i="5"/>
  <c r="Q679" i="5"/>
  <c r="P679" i="5"/>
  <c r="S678" i="5"/>
  <c r="R678" i="5"/>
  <c r="Q678" i="5"/>
  <c r="P678" i="5"/>
  <c r="S677" i="5"/>
  <c r="R677" i="5"/>
  <c r="Q677" i="5"/>
  <c r="P677" i="5"/>
  <c r="S676" i="5"/>
  <c r="R676" i="5"/>
  <c r="Q676" i="5"/>
  <c r="P676" i="5"/>
  <c r="S675" i="5"/>
  <c r="R675" i="5"/>
  <c r="Q675" i="5"/>
  <c r="P675" i="5"/>
  <c r="S674" i="5"/>
  <c r="R674" i="5"/>
  <c r="Q674" i="5"/>
  <c r="P674" i="5"/>
  <c r="S673" i="5"/>
  <c r="R673" i="5"/>
  <c r="Q673" i="5"/>
  <c r="P673" i="5"/>
  <c r="S672" i="5"/>
  <c r="R672" i="5"/>
  <c r="Q672" i="5"/>
  <c r="P672" i="5"/>
  <c r="S671" i="5"/>
  <c r="R671" i="5"/>
  <c r="Q671" i="5"/>
  <c r="P671" i="5"/>
  <c r="S670" i="5"/>
  <c r="R670" i="5"/>
  <c r="Q670" i="5"/>
  <c r="P670" i="5"/>
  <c r="S669" i="5"/>
  <c r="R669" i="5"/>
  <c r="Q669" i="5"/>
  <c r="P669" i="5"/>
  <c r="S668" i="5"/>
  <c r="R668" i="5"/>
  <c r="Q668" i="5"/>
  <c r="P668" i="5"/>
  <c r="S667" i="5"/>
  <c r="R667" i="5"/>
  <c r="Q667" i="5"/>
  <c r="P667" i="5"/>
  <c r="S666" i="5"/>
  <c r="R666" i="5"/>
  <c r="Q666" i="5"/>
  <c r="P666" i="5"/>
  <c r="S665" i="5"/>
  <c r="R665" i="5"/>
  <c r="Q665" i="5"/>
  <c r="P665" i="5"/>
  <c r="S664" i="5"/>
  <c r="R664" i="5"/>
  <c r="Q664" i="5"/>
  <c r="P664" i="5"/>
  <c r="S663" i="5"/>
  <c r="R663" i="5"/>
  <c r="Q663" i="5"/>
  <c r="P663" i="5"/>
  <c r="S662" i="5"/>
  <c r="R662" i="5"/>
  <c r="Q662" i="5"/>
  <c r="P662" i="5"/>
  <c r="S661" i="5"/>
  <c r="R661" i="5"/>
  <c r="Q661" i="5"/>
  <c r="P661" i="5"/>
  <c r="S660" i="5"/>
  <c r="R660" i="5"/>
  <c r="Q660" i="5"/>
  <c r="P660" i="5"/>
  <c r="S659" i="5"/>
  <c r="R659" i="5"/>
  <c r="Q659" i="5"/>
  <c r="P659" i="5"/>
  <c r="S658" i="5"/>
  <c r="R658" i="5"/>
  <c r="Q658" i="5"/>
  <c r="P658" i="5"/>
  <c r="S657" i="5"/>
  <c r="R657" i="5"/>
  <c r="Q657" i="5"/>
  <c r="P657" i="5"/>
  <c r="S656" i="5"/>
  <c r="R656" i="5"/>
  <c r="Q656" i="5"/>
  <c r="P656" i="5"/>
  <c r="S655" i="5"/>
  <c r="R655" i="5"/>
  <c r="Q655" i="5"/>
  <c r="P655" i="5"/>
  <c r="S654" i="5"/>
  <c r="R654" i="5"/>
  <c r="Q654" i="5"/>
  <c r="P654" i="5"/>
  <c r="S653" i="5"/>
  <c r="R653" i="5"/>
  <c r="Q653" i="5"/>
  <c r="P653" i="5"/>
  <c r="S652" i="5"/>
  <c r="R652" i="5"/>
  <c r="Q652" i="5"/>
  <c r="P652" i="5"/>
  <c r="S651" i="5"/>
  <c r="R651" i="5"/>
  <c r="Q651" i="5"/>
  <c r="P651" i="5"/>
  <c r="S650" i="5"/>
  <c r="R650" i="5"/>
  <c r="Q650" i="5"/>
  <c r="P650" i="5"/>
  <c r="S649" i="5"/>
  <c r="R649" i="5"/>
  <c r="Q649" i="5"/>
  <c r="P649" i="5"/>
  <c r="S648" i="5"/>
  <c r="R648" i="5"/>
  <c r="Q648" i="5"/>
  <c r="P648" i="5"/>
  <c r="S647" i="5"/>
  <c r="R647" i="5"/>
  <c r="Q647" i="5"/>
  <c r="P647" i="5"/>
  <c r="S646" i="5"/>
  <c r="R646" i="5"/>
  <c r="Q646" i="5"/>
  <c r="P646" i="5"/>
  <c r="S645" i="5"/>
  <c r="R645" i="5"/>
  <c r="Q645" i="5"/>
  <c r="P645" i="5"/>
  <c r="S644" i="5"/>
  <c r="R644" i="5"/>
  <c r="Q644" i="5"/>
  <c r="P644" i="5"/>
  <c r="S643" i="5"/>
  <c r="R643" i="5"/>
  <c r="Q643" i="5"/>
  <c r="P643" i="5"/>
  <c r="S642" i="5"/>
  <c r="R642" i="5"/>
  <c r="Q642" i="5"/>
  <c r="P642" i="5"/>
  <c r="S641" i="5"/>
  <c r="R641" i="5"/>
  <c r="Q641" i="5"/>
  <c r="P641" i="5"/>
  <c r="S640" i="5"/>
  <c r="R640" i="5"/>
  <c r="Q640" i="5"/>
  <c r="P640" i="5"/>
  <c r="S639" i="5"/>
  <c r="R639" i="5"/>
  <c r="Q639" i="5"/>
  <c r="P639" i="5"/>
  <c r="S638" i="5"/>
  <c r="R638" i="5"/>
  <c r="Q638" i="5"/>
  <c r="P638" i="5"/>
  <c r="S637" i="5"/>
  <c r="R637" i="5"/>
  <c r="Q637" i="5"/>
  <c r="P637" i="5"/>
  <c r="S636" i="5"/>
  <c r="R636" i="5"/>
  <c r="Q636" i="5"/>
  <c r="P636" i="5"/>
  <c r="S635" i="5"/>
  <c r="R635" i="5"/>
  <c r="Q635" i="5"/>
  <c r="P635" i="5"/>
  <c r="S634" i="5"/>
  <c r="R634" i="5"/>
  <c r="Q634" i="5"/>
  <c r="P634" i="5"/>
  <c r="S633" i="5"/>
  <c r="R633" i="5"/>
  <c r="Q633" i="5"/>
  <c r="P633" i="5"/>
  <c r="S632" i="5"/>
  <c r="R632" i="5"/>
  <c r="Q632" i="5"/>
  <c r="P632" i="5"/>
  <c r="S631" i="5"/>
  <c r="R631" i="5"/>
  <c r="Q631" i="5"/>
  <c r="P631" i="5"/>
  <c r="S630" i="5"/>
  <c r="R630" i="5"/>
  <c r="Q630" i="5"/>
  <c r="P630" i="5"/>
  <c r="S629" i="5"/>
  <c r="R629" i="5"/>
  <c r="Q629" i="5"/>
  <c r="P629" i="5"/>
  <c r="S628" i="5"/>
  <c r="R628" i="5"/>
  <c r="Q628" i="5"/>
  <c r="P628" i="5"/>
  <c r="S627" i="5"/>
  <c r="R627" i="5"/>
  <c r="Q627" i="5"/>
  <c r="P627" i="5"/>
  <c r="S626" i="5"/>
  <c r="R626" i="5"/>
  <c r="Q626" i="5"/>
  <c r="P626" i="5"/>
  <c r="S625" i="5"/>
  <c r="R625" i="5"/>
  <c r="Q625" i="5"/>
  <c r="P625" i="5"/>
  <c r="S624" i="5"/>
  <c r="R624" i="5"/>
  <c r="Q624" i="5"/>
  <c r="P624" i="5"/>
  <c r="S623" i="5"/>
  <c r="R623" i="5"/>
  <c r="Q623" i="5"/>
  <c r="P623" i="5"/>
  <c r="S622" i="5"/>
  <c r="R622" i="5"/>
  <c r="Q622" i="5"/>
  <c r="P622" i="5"/>
  <c r="S621" i="5"/>
  <c r="R621" i="5"/>
  <c r="Q621" i="5"/>
  <c r="P621" i="5"/>
  <c r="S620" i="5"/>
  <c r="R620" i="5"/>
  <c r="Q620" i="5"/>
  <c r="P620" i="5"/>
  <c r="S619" i="5"/>
  <c r="R619" i="5"/>
  <c r="Q619" i="5"/>
  <c r="P619" i="5"/>
  <c r="S618" i="5"/>
  <c r="R618" i="5"/>
  <c r="Q618" i="5"/>
  <c r="P618" i="5"/>
  <c r="S617" i="5"/>
  <c r="R617" i="5"/>
  <c r="Q617" i="5"/>
  <c r="P617" i="5"/>
  <c r="S616" i="5"/>
  <c r="R616" i="5"/>
  <c r="Q616" i="5"/>
  <c r="P616" i="5"/>
  <c r="S615" i="5"/>
  <c r="R615" i="5"/>
  <c r="Q615" i="5"/>
  <c r="P615" i="5"/>
  <c r="S614" i="5"/>
  <c r="R614" i="5"/>
  <c r="Q614" i="5"/>
  <c r="P614" i="5"/>
  <c r="S613" i="5"/>
  <c r="R613" i="5"/>
  <c r="Q613" i="5"/>
  <c r="P613" i="5"/>
  <c r="S612" i="5"/>
  <c r="R612" i="5"/>
  <c r="Q612" i="5"/>
  <c r="P612" i="5"/>
  <c r="S611" i="5"/>
  <c r="R611" i="5"/>
  <c r="Q611" i="5"/>
  <c r="P611" i="5"/>
  <c r="S610" i="5"/>
  <c r="R610" i="5"/>
  <c r="Q610" i="5"/>
  <c r="P610" i="5"/>
  <c r="S609" i="5"/>
  <c r="R609" i="5"/>
  <c r="Q609" i="5"/>
  <c r="P609" i="5"/>
  <c r="S608" i="5"/>
  <c r="R608" i="5"/>
  <c r="Q608" i="5"/>
  <c r="P608" i="5"/>
  <c r="S607" i="5"/>
  <c r="R607" i="5"/>
  <c r="Q607" i="5"/>
  <c r="P607" i="5"/>
  <c r="S606" i="5"/>
  <c r="R606" i="5"/>
  <c r="Q606" i="5"/>
  <c r="P606" i="5"/>
  <c r="S605" i="5"/>
  <c r="R605" i="5"/>
  <c r="Q605" i="5"/>
  <c r="P605" i="5"/>
  <c r="S604" i="5"/>
  <c r="R604" i="5"/>
  <c r="Q604" i="5"/>
  <c r="P604" i="5"/>
  <c r="S603" i="5"/>
  <c r="R603" i="5"/>
  <c r="Q603" i="5"/>
  <c r="P603" i="5"/>
  <c r="S602" i="5"/>
  <c r="R602" i="5"/>
  <c r="Q602" i="5"/>
  <c r="P602" i="5"/>
  <c r="S601" i="5"/>
  <c r="R601" i="5"/>
  <c r="Q601" i="5"/>
  <c r="P601" i="5"/>
  <c r="S600" i="5"/>
  <c r="R600" i="5"/>
  <c r="Q600" i="5"/>
  <c r="P600" i="5"/>
  <c r="S599" i="5"/>
  <c r="R599" i="5"/>
  <c r="Q599" i="5"/>
  <c r="P599" i="5"/>
  <c r="S598" i="5"/>
  <c r="R598" i="5"/>
  <c r="Q598" i="5"/>
  <c r="P598" i="5"/>
  <c r="S597" i="5"/>
  <c r="R597" i="5"/>
  <c r="Q597" i="5"/>
  <c r="P597" i="5"/>
  <c r="S596" i="5"/>
  <c r="R596" i="5"/>
  <c r="Q596" i="5"/>
  <c r="P596" i="5"/>
  <c r="S595" i="5"/>
  <c r="R595" i="5"/>
  <c r="Q595" i="5"/>
  <c r="P595" i="5"/>
  <c r="S594" i="5"/>
  <c r="R594" i="5"/>
  <c r="Q594" i="5"/>
  <c r="P594" i="5"/>
  <c r="S593" i="5"/>
  <c r="R593" i="5"/>
  <c r="Q593" i="5"/>
  <c r="P593" i="5"/>
  <c r="S592" i="5"/>
  <c r="R592" i="5"/>
  <c r="Q592" i="5"/>
  <c r="P592" i="5"/>
  <c r="S591" i="5"/>
  <c r="R591" i="5"/>
  <c r="Q591" i="5"/>
  <c r="P591" i="5"/>
  <c r="S590" i="5"/>
  <c r="R590" i="5"/>
  <c r="Q590" i="5"/>
  <c r="P590" i="5"/>
  <c r="S589" i="5"/>
  <c r="R589" i="5"/>
  <c r="Q589" i="5"/>
  <c r="P589" i="5"/>
  <c r="S588" i="5"/>
  <c r="R588" i="5"/>
  <c r="Q588" i="5"/>
  <c r="P588" i="5"/>
  <c r="S587" i="5"/>
  <c r="R587" i="5"/>
  <c r="Q587" i="5"/>
  <c r="P587" i="5"/>
  <c r="S586" i="5"/>
  <c r="R586" i="5"/>
  <c r="Q586" i="5"/>
  <c r="P586" i="5"/>
  <c r="S585" i="5"/>
  <c r="R585" i="5"/>
  <c r="Q585" i="5"/>
  <c r="P585" i="5"/>
  <c r="S584" i="5"/>
  <c r="R584" i="5"/>
  <c r="Q584" i="5"/>
  <c r="P584" i="5"/>
  <c r="S583" i="5"/>
  <c r="R583" i="5"/>
  <c r="Q583" i="5"/>
  <c r="P583" i="5"/>
  <c r="S582" i="5"/>
  <c r="R582" i="5"/>
  <c r="Q582" i="5"/>
  <c r="P582" i="5"/>
  <c r="S581" i="5"/>
  <c r="R581" i="5"/>
  <c r="Q581" i="5"/>
  <c r="P581" i="5"/>
  <c r="S580" i="5"/>
  <c r="R580" i="5"/>
  <c r="Q580" i="5"/>
  <c r="P580" i="5"/>
  <c r="S579" i="5"/>
  <c r="R579" i="5"/>
  <c r="Q579" i="5"/>
  <c r="P579" i="5"/>
  <c r="S578" i="5"/>
  <c r="R578" i="5"/>
  <c r="Q578" i="5"/>
  <c r="P578" i="5"/>
  <c r="S577" i="5"/>
  <c r="R577" i="5"/>
  <c r="Q577" i="5"/>
  <c r="P577" i="5"/>
  <c r="S576" i="5"/>
  <c r="R576" i="5"/>
  <c r="Q576" i="5"/>
  <c r="P576" i="5"/>
  <c r="S575" i="5"/>
  <c r="R575" i="5"/>
  <c r="Q575" i="5"/>
  <c r="P575" i="5"/>
  <c r="S574" i="5"/>
  <c r="R574" i="5"/>
  <c r="Q574" i="5"/>
  <c r="P574" i="5"/>
  <c r="S573" i="5"/>
  <c r="R573" i="5"/>
  <c r="Q573" i="5"/>
  <c r="P573" i="5"/>
  <c r="S572" i="5"/>
  <c r="R572" i="5"/>
  <c r="Q572" i="5"/>
  <c r="P572" i="5"/>
  <c r="S571" i="5"/>
  <c r="R571" i="5"/>
  <c r="Q571" i="5"/>
  <c r="P571" i="5"/>
  <c r="S570" i="5"/>
  <c r="R570" i="5"/>
  <c r="Q570" i="5"/>
  <c r="P570" i="5"/>
  <c r="S569" i="5"/>
  <c r="R569" i="5"/>
  <c r="Q569" i="5"/>
  <c r="P569" i="5"/>
  <c r="S568" i="5"/>
  <c r="R568" i="5"/>
  <c r="Q568" i="5"/>
  <c r="P568" i="5"/>
  <c r="S567" i="5"/>
  <c r="R567" i="5"/>
  <c r="Q567" i="5"/>
  <c r="P567" i="5"/>
  <c r="S566" i="5"/>
  <c r="R566" i="5"/>
  <c r="Q566" i="5"/>
  <c r="P566" i="5"/>
  <c r="S565" i="5"/>
  <c r="R565" i="5"/>
  <c r="Q565" i="5"/>
  <c r="P565" i="5"/>
  <c r="S564" i="5"/>
  <c r="R564" i="5"/>
  <c r="Q564" i="5"/>
  <c r="P564" i="5"/>
  <c r="S563" i="5"/>
  <c r="R563" i="5"/>
  <c r="Q563" i="5"/>
  <c r="P563" i="5"/>
  <c r="S562" i="5"/>
  <c r="R562" i="5"/>
  <c r="Q562" i="5"/>
  <c r="P562" i="5"/>
  <c r="S561" i="5"/>
  <c r="R561" i="5"/>
  <c r="Q561" i="5"/>
  <c r="P561" i="5"/>
  <c r="S560" i="5"/>
  <c r="R560" i="5"/>
  <c r="Q560" i="5"/>
  <c r="P560" i="5"/>
  <c r="S559" i="5"/>
  <c r="R559" i="5"/>
  <c r="Q559" i="5"/>
  <c r="P559" i="5"/>
  <c r="S558" i="5"/>
  <c r="R558" i="5"/>
  <c r="Q558" i="5"/>
  <c r="P558" i="5"/>
  <c r="S557" i="5"/>
  <c r="R557" i="5"/>
  <c r="Q557" i="5"/>
  <c r="P557" i="5"/>
  <c r="S556" i="5"/>
  <c r="R556" i="5"/>
  <c r="Q556" i="5"/>
  <c r="P556" i="5"/>
  <c r="S555" i="5"/>
  <c r="R555" i="5"/>
  <c r="Q555" i="5"/>
  <c r="P555" i="5"/>
  <c r="S554" i="5"/>
  <c r="R554" i="5"/>
  <c r="Q554" i="5"/>
  <c r="P554" i="5"/>
  <c r="S553" i="5"/>
  <c r="R553" i="5"/>
  <c r="Q553" i="5"/>
  <c r="P553" i="5"/>
  <c r="S552" i="5"/>
  <c r="R552" i="5"/>
  <c r="Q552" i="5"/>
  <c r="P552" i="5"/>
  <c r="S551" i="5"/>
  <c r="R551" i="5"/>
  <c r="Q551" i="5"/>
  <c r="P551" i="5"/>
  <c r="S550" i="5"/>
  <c r="R550" i="5"/>
  <c r="Q550" i="5"/>
  <c r="P550" i="5"/>
  <c r="S549" i="5"/>
  <c r="R549" i="5"/>
  <c r="Q549" i="5"/>
  <c r="P549" i="5"/>
  <c r="S548" i="5"/>
  <c r="R548" i="5"/>
  <c r="Q548" i="5"/>
  <c r="P548" i="5"/>
  <c r="S547" i="5"/>
  <c r="R547" i="5"/>
  <c r="Q547" i="5"/>
  <c r="P547" i="5"/>
  <c r="S546" i="5"/>
  <c r="R546" i="5"/>
  <c r="Q546" i="5"/>
  <c r="P546" i="5"/>
  <c r="S545" i="5"/>
  <c r="R545" i="5"/>
  <c r="Q545" i="5"/>
  <c r="P545" i="5"/>
  <c r="S544" i="5"/>
  <c r="R544" i="5"/>
  <c r="Q544" i="5"/>
  <c r="P544" i="5"/>
  <c r="S543" i="5"/>
  <c r="R543" i="5"/>
  <c r="Q543" i="5"/>
  <c r="P543" i="5"/>
  <c r="S542" i="5"/>
  <c r="R542" i="5"/>
  <c r="Q542" i="5"/>
  <c r="P542" i="5"/>
  <c r="S541" i="5"/>
  <c r="R541" i="5"/>
  <c r="Q541" i="5"/>
  <c r="P541" i="5"/>
  <c r="S540" i="5"/>
  <c r="R540" i="5"/>
  <c r="Q540" i="5"/>
  <c r="P540" i="5"/>
  <c r="S539" i="5"/>
  <c r="R539" i="5"/>
  <c r="Q539" i="5"/>
  <c r="P539" i="5"/>
  <c r="S538" i="5"/>
  <c r="R538" i="5"/>
  <c r="Q538" i="5"/>
  <c r="P538" i="5"/>
  <c r="S537" i="5"/>
  <c r="R537" i="5"/>
  <c r="Q537" i="5"/>
  <c r="P537" i="5"/>
  <c r="S536" i="5"/>
  <c r="R536" i="5"/>
  <c r="Q536" i="5"/>
  <c r="P536" i="5"/>
  <c r="S535" i="5"/>
  <c r="R535" i="5"/>
  <c r="Q535" i="5"/>
  <c r="P535" i="5"/>
  <c r="S534" i="5"/>
  <c r="R534" i="5"/>
  <c r="Q534" i="5"/>
  <c r="P534" i="5"/>
  <c r="S533" i="5"/>
  <c r="R533" i="5"/>
  <c r="Q533" i="5"/>
  <c r="P533" i="5"/>
  <c r="S532" i="5"/>
  <c r="R532" i="5"/>
  <c r="Q532" i="5"/>
  <c r="P532" i="5"/>
  <c r="S531" i="5"/>
  <c r="R531" i="5"/>
  <c r="Q531" i="5"/>
  <c r="P531" i="5"/>
  <c r="S530" i="5"/>
  <c r="R530" i="5"/>
  <c r="Q530" i="5"/>
  <c r="P530" i="5"/>
  <c r="S529" i="5"/>
  <c r="R529" i="5"/>
  <c r="Q529" i="5"/>
  <c r="P529" i="5"/>
  <c r="S528" i="5"/>
  <c r="R528" i="5"/>
  <c r="Q528" i="5"/>
  <c r="P528" i="5"/>
  <c r="S527" i="5"/>
  <c r="R527" i="5"/>
  <c r="Q527" i="5"/>
  <c r="P527" i="5"/>
  <c r="S526" i="5"/>
  <c r="R526" i="5"/>
  <c r="Q526" i="5"/>
  <c r="P526" i="5"/>
  <c r="S525" i="5"/>
  <c r="R525" i="5"/>
  <c r="Q525" i="5"/>
  <c r="P525" i="5"/>
  <c r="S524" i="5"/>
  <c r="R524" i="5"/>
  <c r="Q524" i="5"/>
  <c r="P524" i="5"/>
  <c r="S523" i="5"/>
  <c r="R523" i="5"/>
  <c r="Q523" i="5"/>
  <c r="P523" i="5"/>
  <c r="S522" i="5"/>
  <c r="R522" i="5"/>
  <c r="Q522" i="5"/>
  <c r="P522" i="5"/>
  <c r="S521" i="5"/>
  <c r="R521" i="5"/>
  <c r="Q521" i="5"/>
  <c r="P521" i="5"/>
  <c r="S520" i="5"/>
  <c r="R520" i="5"/>
  <c r="Q520" i="5"/>
  <c r="P520" i="5"/>
  <c r="S519" i="5"/>
  <c r="R519" i="5"/>
  <c r="Q519" i="5"/>
  <c r="P519" i="5"/>
  <c r="S518" i="5"/>
  <c r="R518" i="5"/>
  <c r="Q518" i="5"/>
  <c r="P518" i="5"/>
  <c r="S517" i="5"/>
  <c r="R517" i="5"/>
  <c r="Q517" i="5"/>
  <c r="P517" i="5"/>
  <c r="S516" i="5"/>
  <c r="R516" i="5"/>
  <c r="Q516" i="5"/>
  <c r="P516" i="5"/>
  <c r="S515" i="5"/>
  <c r="R515" i="5"/>
  <c r="Q515" i="5"/>
  <c r="P515" i="5"/>
  <c r="S514" i="5"/>
  <c r="R514" i="5"/>
  <c r="Q514" i="5"/>
  <c r="P514" i="5"/>
  <c r="S513" i="5"/>
  <c r="R513" i="5"/>
  <c r="Q513" i="5"/>
  <c r="P513" i="5"/>
  <c r="S512" i="5"/>
  <c r="R512" i="5"/>
  <c r="Q512" i="5"/>
  <c r="P512" i="5"/>
  <c r="S511" i="5"/>
  <c r="R511" i="5"/>
  <c r="Q511" i="5"/>
  <c r="P511" i="5"/>
  <c r="S510" i="5"/>
  <c r="R510" i="5"/>
  <c r="Q510" i="5"/>
  <c r="P510" i="5"/>
  <c r="S509" i="5"/>
  <c r="R509" i="5"/>
  <c r="Q509" i="5"/>
  <c r="P509" i="5"/>
  <c r="S508" i="5"/>
  <c r="R508" i="5"/>
  <c r="Q508" i="5"/>
  <c r="P508" i="5"/>
  <c r="S507" i="5"/>
  <c r="R507" i="5"/>
  <c r="Q507" i="5"/>
  <c r="P507" i="5"/>
  <c r="S506" i="5"/>
  <c r="R506" i="5"/>
  <c r="Q506" i="5"/>
  <c r="P506" i="5"/>
  <c r="S505" i="5"/>
  <c r="R505" i="5"/>
  <c r="Q505" i="5"/>
  <c r="P505" i="5"/>
  <c r="S504" i="5"/>
  <c r="R504" i="5"/>
  <c r="Q504" i="5"/>
  <c r="P504" i="5"/>
  <c r="S503" i="5"/>
  <c r="R503" i="5"/>
  <c r="Q503" i="5"/>
  <c r="P503" i="5"/>
  <c r="S502" i="5"/>
  <c r="R502" i="5"/>
  <c r="Q502" i="5"/>
  <c r="P502" i="5"/>
  <c r="S501" i="5"/>
  <c r="R501" i="5"/>
  <c r="Q501" i="5"/>
  <c r="P501" i="5"/>
  <c r="S500" i="5"/>
  <c r="R500" i="5"/>
  <c r="Q500" i="5"/>
  <c r="P500" i="5"/>
  <c r="S499" i="5"/>
  <c r="R499" i="5"/>
  <c r="Q499" i="5"/>
  <c r="P499" i="5"/>
  <c r="S498" i="5"/>
  <c r="R498" i="5"/>
  <c r="Q498" i="5"/>
  <c r="P498" i="5"/>
  <c r="S497" i="5"/>
  <c r="R497" i="5"/>
  <c r="Q497" i="5"/>
  <c r="P497" i="5"/>
  <c r="S496" i="5"/>
  <c r="R496" i="5"/>
  <c r="Q496" i="5"/>
  <c r="P496" i="5"/>
  <c r="S495" i="5"/>
  <c r="R495" i="5"/>
  <c r="Q495" i="5"/>
  <c r="P495" i="5"/>
  <c r="S494" i="5"/>
  <c r="R494" i="5"/>
  <c r="Q494" i="5"/>
  <c r="P494" i="5"/>
  <c r="S493" i="5"/>
  <c r="R493" i="5"/>
  <c r="Q493" i="5"/>
  <c r="P493" i="5"/>
  <c r="S492" i="5"/>
  <c r="R492" i="5"/>
  <c r="Q492" i="5"/>
  <c r="P492" i="5"/>
  <c r="S491" i="5"/>
  <c r="R491" i="5"/>
  <c r="Q491" i="5"/>
  <c r="P491" i="5"/>
  <c r="S490" i="5"/>
  <c r="R490" i="5"/>
  <c r="Q490" i="5"/>
  <c r="P490" i="5"/>
  <c r="S489" i="5"/>
  <c r="R489" i="5"/>
  <c r="Q489" i="5"/>
  <c r="P489" i="5"/>
  <c r="S488" i="5"/>
  <c r="R488" i="5"/>
  <c r="Q488" i="5"/>
  <c r="P488" i="5"/>
  <c r="S487" i="5"/>
  <c r="R487" i="5"/>
  <c r="Q487" i="5"/>
  <c r="P487" i="5"/>
  <c r="S486" i="5"/>
  <c r="R486" i="5"/>
  <c r="Q486" i="5"/>
  <c r="P486" i="5"/>
  <c r="S485" i="5"/>
  <c r="R485" i="5"/>
  <c r="Q485" i="5"/>
  <c r="P485" i="5"/>
  <c r="S484" i="5"/>
  <c r="R484" i="5"/>
  <c r="Q484" i="5"/>
  <c r="P484" i="5"/>
  <c r="S483" i="5"/>
  <c r="R483" i="5"/>
  <c r="Q483" i="5"/>
  <c r="P483" i="5"/>
  <c r="S482" i="5"/>
  <c r="R482" i="5"/>
  <c r="Q482" i="5"/>
  <c r="P482" i="5"/>
  <c r="S481" i="5"/>
  <c r="R481" i="5"/>
  <c r="Q481" i="5"/>
  <c r="P481" i="5"/>
  <c r="S480" i="5"/>
  <c r="R480" i="5"/>
  <c r="Q480" i="5"/>
  <c r="P480" i="5"/>
  <c r="S479" i="5"/>
  <c r="R479" i="5"/>
  <c r="Q479" i="5"/>
  <c r="P479" i="5"/>
  <c r="S478" i="5"/>
  <c r="R478" i="5"/>
  <c r="Q478" i="5"/>
  <c r="P478" i="5"/>
  <c r="S477" i="5"/>
  <c r="R477" i="5"/>
  <c r="Q477" i="5"/>
  <c r="P477" i="5"/>
  <c r="S476" i="5"/>
  <c r="R476" i="5"/>
  <c r="Q476" i="5"/>
  <c r="P476" i="5"/>
  <c r="S475" i="5"/>
  <c r="R475" i="5"/>
  <c r="Q475" i="5"/>
  <c r="P475" i="5"/>
  <c r="S474" i="5"/>
  <c r="R474" i="5"/>
  <c r="Q474" i="5"/>
  <c r="P474" i="5"/>
  <c r="S473" i="5"/>
  <c r="R473" i="5"/>
  <c r="Q473" i="5"/>
  <c r="P473" i="5"/>
  <c r="S472" i="5"/>
  <c r="R472" i="5"/>
  <c r="Q472" i="5"/>
  <c r="P472" i="5"/>
  <c r="S471" i="5"/>
  <c r="R471" i="5"/>
  <c r="Q471" i="5"/>
  <c r="P471" i="5"/>
  <c r="S470" i="5"/>
  <c r="R470" i="5"/>
  <c r="Q470" i="5"/>
  <c r="P470" i="5"/>
  <c r="S469" i="5"/>
  <c r="R469" i="5"/>
  <c r="Q469" i="5"/>
  <c r="P469" i="5"/>
  <c r="S468" i="5"/>
  <c r="R468" i="5"/>
  <c r="Q468" i="5"/>
  <c r="P468" i="5"/>
  <c r="S467" i="5"/>
  <c r="R467" i="5"/>
  <c r="Q467" i="5"/>
  <c r="P467" i="5"/>
  <c r="S466" i="5"/>
  <c r="R466" i="5"/>
  <c r="Q466" i="5"/>
  <c r="P466" i="5"/>
  <c r="S465" i="5"/>
  <c r="R465" i="5"/>
  <c r="Q465" i="5"/>
  <c r="P465" i="5"/>
  <c r="S464" i="5"/>
  <c r="R464" i="5"/>
  <c r="Q464" i="5"/>
  <c r="P464" i="5"/>
  <c r="S463" i="5"/>
  <c r="R463" i="5"/>
  <c r="Q463" i="5"/>
  <c r="P463" i="5"/>
  <c r="S462" i="5"/>
  <c r="R462" i="5"/>
  <c r="Q462" i="5"/>
  <c r="P462" i="5"/>
  <c r="S461" i="5"/>
  <c r="R461" i="5"/>
  <c r="Q461" i="5"/>
  <c r="P461" i="5"/>
  <c r="S460" i="5"/>
  <c r="R460" i="5"/>
  <c r="Q460" i="5"/>
  <c r="P460" i="5"/>
  <c r="S459" i="5"/>
  <c r="R459" i="5"/>
  <c r="Q459" i="5"/>
  <c r="P459" i="5"/>
  <c r="S458" i="5"/>
  <c r="R458" i="5"/>
  <c r="Q458" i="5"/>
  <c r="P458" i="5"/>
  <c r="S457" i="5"/>
  <c r="R457" i="5"/>
  <c r="Q457" i="5"/>
  <c r="P457" i="5"/>
  <c r="S456" i="5"/>
  <c r="R456" i="5"/>
  <c r="Q456" i="5"/>
  <c r="P456" i="5"/>
  <c r="S455" i="5"/>
  <c r="R455" i="5"/>
  <c r="Q455" i="5"/>
  <c r="P455" i="5"/>
  <c r="S454" i="5"/>
  <c r="R454" i="5"/>
  <c r="Q454" i="5"/>
  <c r="P454" i="5"/>
  <c r="S453" i="5"/>
  <c r="R453" i="5"/>
  <c r="Q453" i="5"/>
  <c r="P453" i="5"/>
  <c r="S452" i="5"/>
  <c r="R452" i="5"/>
  <c r="Q452" i="5"/>
  <c r="P452" i="5"/>
  <c r="S451" i="5"/>
  <c r="R451" i="5"/>
  <c r="Q451" i="5"/>
  <c r="P451" i="5"/>
  <c r="S450" i="5"/>
  <c r="R450" i="5"/>
  <c r="Q450" i="5"/>
  <c r="P450" i="5"/>
  <c r="S449" i="5"/>
  <c r="R449" i="5"/>
  <c r="Q449" i="5"/>
  <c r="P449" i="5"/>
  <c r="S448" i="5"/>
  <c r="R448" i="5"/>
  <c r="Q448" i="5"/>
  <c r="P448" i="5"/>
  <c r="S447" i="5"/>
  <c r="R447" i="5"/>
  <c r="Q447" i="5"/>
  <c r="P447" i="5"/>
  <c r="S446" i="5"/>
  <c r="R446" i="5"/>
  <c r="Q446" i="5"/>
  <c r="P446" i="5"/>
  <c r="S445" i="5"/>
  <c r="R445" i="5"/>
  <c r="Q445" i="5"/>
  <c r="P445" i="5"/>
  <c r="S444" i="5"/>
  <c r="R444" i="5"/>
  <c r="Q444" i="5"/>
  <c r="P444" i="5"/>
  <c r="S443" i="5"/>
  <c r="R443" i="5"/>
  <c r="Q443" i="5"/>
  <c r="P443" i="5"/>
  <c r="S442" i="5"/>
  <c r="R442" i="5"/>
  <c r="Q442" i="5"/>
  <c r="P442" i="5"/>
  <c r="S441" i="5"/>
  <c r="R441" i="5"/>
  <c r="Q441" i="5"/>
  <c r="P441" i="5"/>
  <c r="S440" i="5"/>
  <c r="R440" i="5"/>
  <c r="Q440" i="5"/>
  <c r="P440" i="5"/>
  <c r="S439" i="5"/>
  <c r="R439" i="5"/>
  <c r="Q439" i="5"/>
  <c r="P439" i="5"/>
  <c r="S438" i="5"/>
  <c r="R438" i="5"/>
  <c r="Q438" i="5"/>
  <c r="P438" i="5"/>
  <c r="S437" i="5"/>
  <c r="R437" i="5"/>
  <c r="Q437" i="5"/>
  <c r="P437" i="5"/>
  <c r="S436" i="5"/>
  <c r="R436" i="5"/>
  <c r="Q436" i="5"/>
  <c r="P436" i="5"/>
  <c r="S435" i="5"/>
  <c r="R435" i="5"/>
  <c r="Q435" i="5"/>
  <c r="P435" i="5"/>
  <c r="S434" i="5"/>
  <c r="R434" i="5"/>
  <c r="Q434" i="5"/>
  <c r="P434" i="5"/>
  <c r="S433" i="5"/>
  <c r="R433" i="5"/>
  <c r="Q433" i="5"/>
  <c r="P433" i="5"/>
  <c r="S432" i="5"/>
  <c r="R432" i="5"/>
  <c r="Q432" i="5"/>
  <c r="P432" i="5"/>
  <c r="S431" i="5"/>
  <c r="R431" i="5"/>
  <c r="Q431" i="5"/>
  <c r="P431" i="5"/>
  <c r="S430" i="5"/>
  <c r="R430" i="5"/>
  <c r="Q430" i="5"/>
  <c r="P430" i="5"/>
  <c r="S429" i="5"/>
  <c r="R429" i="5"/>
  <c r="Q429" i="5"/>
  <c r="P429" i="5"/>
  <c r="S428" i="5"/>
  <c r="R428" i="5"/>
  <c r="Q428" i="5"/>
  <c r="P428" i="5"/>
  <c r="S427" i="5"/>
  <c r="R427" i="5"/>
  <c r="Q427" i="5"/>
  <c r="P427" i="5"/>
  <c r="S426" i="5"/>
  <c r="R426" i="5"/>
  <c r="Q426" i="5"/>
  <c r="P426" i="5"/>
  <c r="S425" i="5"/>
  <c r="R425" i="5"/>
  <c r="Q425" i="5"/>
  <c r="P425" i="5"/>
  <c r="S424" i="5"/>
  <c r="R424" i="5"/>
  <c r="Q424" i="5"/>
  <c r="P424" i="5"/>
  <c r="S423" i="5"/>
  <c r="R423" i="5"/>
  <c r="Q423" i="5"/>
  <c r="P423" i="5"/>
  <c r="S422" i="5"/>
  <c r="R422" i="5"/>
  <c r="Q422" i="5"/>
  <c r="P422" i="5"/>
  <c r="S421" i="5"/>
  <c r="R421" i="5"/>
  <c r="Q421" i="5"/>
  <c r="P421" i="5"/>
  <c r="S420" i="5"/>
  <c r="R420" i="5"/>
  <c r="Q420" i="5"/>
  <c r="P420" i="5"/>
  <c r="S419" i="5"/>
  <c r="R419" i="5"/>
  <c r="Q419" i="5"/>
  <c r="P419" i="5"/>
  <c r="S418" i="5"/>
  <c r="R418" i="5"/>
  <c r="Q418" i="5"/>
  <c r="P418" i="5"/>
  <c r="S417" i="5"/>
  <c r="R417" i="5"/>
  <c r="Q417" i="5"/>
  <c r="P417" i="5"/>
  <c r="S416" i="5"/>
  <c r="R416" i="5"/>
  <c r="Q416" i="5"/>
  <c r="P416" i="5"/>
  <c r="S415" i="5"/>
  <c r="R415" i="5"/>
  <c r="Q415" i="5"/>
  <c r="P415" i="5"/>
  <c r="S414" i="5"/>
  <c r="R414" i="5"/>
  <c r="Q414" i="5"/>
  <c r="P414" i="5"/>
  <c r="S413" i="5"/>
  <c r="R413" i="5"/>
  <c r="Q413" i="5"/>
  <c r="P413" i="5"/>
  <c r="S412" i="5"/>
  <c r="R412" i="5"/>
  <c r="Q412" i="5"/>
  <c r="P412" i="5"/>
  <c r="S411" i="5"/>
  <c r="R411" i="5"/>
  <c r="Q411" i="5"/>
  <c r="P411" i="5"/>
  <c r="S410" i="5"/>
  <c r="R410" i="5"/>
  <c r="Q410" i="5"/>
  <c r="P410" i="5"/>
  <c r="S409" i="5"/>
  <c r="R409" i="5"/>
  <c r="Q409" i="5"/>
  <c r="P409" i="5"/>
  <c r="S408" i="5"/>
  <c r="R408" i="5"/>
  <c r="Q408" i="5"/>
  <c r="P408" i="5"/>
  <c r="S407" i="5"/>
  <c r="R407" i="5"/>
  <c r="Q407" i="5"/>
  <c r="P407" i="5"/>
  <c r="S406" i="5"/>
  <c r="R406" i="5"/>
  <c r="Q406" i="5"/>
  <c r="P406" i="5"/>
  <c r="S405" i="5"/>
  <c r="R405" i="5"/>
  <c r="Q405" i="5"/>
  <c r="P405" i="5"/>
  <c r="S404" i="5"/>
  <c r="R404" i="5"/>
  <c r="Q404" i="5"/>
  <c r="P404" i="5"/>
  <c r="S403" i="5"/>
  <c r="R403" i="5"/>
  <c r="Q403" i="5"/>
  <c r="P403" i="5"/>
  <c r="S402" i="5"/>
  <c r="R402" i="5"/>
  <c r="Q402" i="5"/>
  <c r="P402" i="5"/>
  <c r="S401" i="5"/>
  <c r="R401" i="5"/>
  <c r="Q401" i="5"/>
  <c r="P401" i="5"/>
  <c r="S400" i="5"/>
  <c r="R400" i="5"/>
  <c r="Q400" i="5"/>
  <c r="P400" i="5"/>
  <c r="S399" i="5"/>
  <c r="R399" i="5"/>
  <c r="Q399" i="5"/>
  <c r="P399" i="5"/>
  <c r="S398" i="5"/>
  <c r="R398" i="5"/>
  <c r="Q398" i="5"/>
  <c r="P398" i="5"/>
  <c r="S397" i="5"/>
  <c r="R397" i="5"/>
  <c r="Q397" i="5"/>
  <c r="P397" i="5"/>
  <c r="S396" i="5"/>
  <c r="R396" i="5"/>
  <c r="Q396" i="5"/>
  <c r="P396" i="5"/>
  <c r="S395" i="5"/>
  <c r="R395" i="5"/>
  <c r="Q395" i="5"/>
  <c r="P395" i="5"/>
  <c r="S394" i="5"/>
  <c r="R394" i="5"/>
  <c r="Q394" i="5"/>
  <c r="P394" i="5"/>
  <c r="S393" i="5"/>
  <c r="R393" i="5"/>
  <c r="Q393" i="5"/>
  <c r="P393" i="5"/>
  <c r="S392" i="5"/>
  <c r="R392" i="5"/>
  <c r="Q392" i="5"/>
  <c r="P392" i="5"/>
  <c r="S391" i="5"/>
  <c r="R391" i="5"/>
  <c r="Q391" i="5"/>
  <c r="P391" i="5"/>
  <c r="S390" i="5"/>
  <c r="R390" i="5"/>
  <c r="Q390" i="5"/>
  <c r="P390" i="5"/>
  <c r="S389" i="5"/>
  <c r="R389" i="5"/>
  <c r="Q389" i="5"/>
  <c r="P389" i="5"/>
  <c r="S388" i="5"/>
  <c r="R388" i="5"/>
  <c r="Q388" i="5"/>
  <c r="P388" i="5"/>
  <c r="S387" i="5"/>
  <c r="R387" i="5"/>
  <c r="Q387" i="5"/>
  <c r="P387" i="5"/>
  <c r="S386" i="5"/>
  <c r="R386" i="5"/>
  <c r="Q386" i="5"/>
  <c r="P386" i="5"/>
  <c r="S385" i="5"/>
  <c r="R385" i="5"/>
  <c r="Q385" i="5"/>
  <c r="P385" i="5"/>
  <c r="S384" i="5"/>
  <c r="R384" i="5"/>
  <c r="Q384" i="5"/>
  <c r="P384" i="5"/>
  <c r="S383" i="5"/>
  <c r="R383" i="5"/>
  <c r="Q383" i="5"/>
  <c r="P383" i="5"/>
  <c r="S382" i="5"/>
  <c r="R382" i="5"/>
  <c r="Q382" i="5"/>
  <c r="P382" i="5"/>
  <c r="S381" i="5"/>
  <c r="R381" i="5"/>
  <c r="Q381" i="5"/>
  <c r="P381" i="5"/>
  <c r="S380" i="5"/>
  <c r="R380" i="5"/>
  <c r="Q380" i="5"/>
  <c r="P380" i="5"/>
  <c r="S379" i="5"/>
  <c r="R379" i="5"/>
  <c r="Q379" i="5"/>
  <c r="P379" i="5"/>
  <c r="S378" i="5"/>
  <c r="R378" i="5"/>
  <c r="Q378" i="5"/>
  <c r="P378" i="5"/>
  <c r="S377" i="5"/>
  <c r="R377" i="5"/>
  <c r="Q377" i="5"/>
  <c r="P377" i="5"/>
  <c r="S376" i="5"/>
  <c r="R376" i="5"/>
  <c r="Q376" i="5"/>
  <c r="P376" i="5"/>
  <c r="S375" i="5"/>
  <c r="R375" i="5"/>
  <c r="Q375" i="5"/>
  <c r="P375" i="5"/>
  <c r="S374" i="5"/>
  <c r="R374" i="5"/>
  <c r="Q374" i="5"/>
  <c r="P374" i="5"/>
  <c r="S373" i="5"/>
  <c r="R373" i="5"/>
  <c r="Q373" i="5"/>
  <c r="P373" i="5"/>
  <c r="S372" i="5"/>
  <c r="R372" i="5"/>
  <c r="Q372" i="5"/>
  <c r="P372" i="5"/>
  <c r="S371" i="5"/>
  <c r="R371" i="5"/>
  <c r="Q371" i="5"/>
  <c r="P371" i="5"/>
  <c r="S370" i="5"/>
  <c r="R370" i="5"/>
  <c r="Q370" i="5"/>
  <c r="P370" i="5"/>
  <c r="S369" i="5"/>
  <c r="R369" i="5"/>
  <c r="Q369" i="5"/>
  <c r="P369" i="5"/>
  <c r="S368" i="5"/>
  <c r="R368" i="5"/>
  <c r="Q368" i="5"/>
  <c r="P368" i="5"/>
  <c r="S367" i="5"/>
  <c r="R367" i="5"/>
  <c r="Q367" i="5"/>
  <c r="P367" i="5"/>
  <c r="S366" i="5"/>
  <c r="R366" i="5"/>
  <c r="Q366" i="5"/>
  <c r="P366" i="5"/>
  <c r="S365" i="5"/>
  <c r="R365" i="5"/>
  <c r="Q365" i="5"/>
  <c r="P365" i="5"/>
  <c r="S364" i="5"/>
  <c r="R364" i="5"/>
  <c r="Q364" i="5"/>
  <c r="P364" i="5"/>
  <c r="S363" i="5"/>
  <c r="R363" i="5"/>
  <c r="Q363" i="5"/>
  <c r="P363" i="5"/>
  <c r="S362" i="5"/>
  <c r="R362" i="5"/>
  <c r="Q362" i="5"/>
  <c r="P362" i="5"/>
  <c r="S361" i="5"/>
  <c r="R361" i="5"/>
  <c r="Q361" i="5"/>
  <c r="P361" i="5"/>
  <c r="S360" i="5"/>
  <c r="R360" i="5"/>
  <c r="Q360" i="5"/>
  <c r="P360" i="5"/>
  <c r="S359" i="5"/>
  <c r="R359" i="5"/>
  <c r="Q359" i="5"/>
  <c r="P359" i="5"/>
  <c r="S358" i="5"/>
  <c r="R358" i="5"/>
  <c r="Q358" i="5"/>
  <c r="P358" i="5"/>
  <c r="S357" i="5"/>
  <c r="R357" i="5"/>
  <c r="Q357" i="5"/>
  <c r="P357" i="5"/>
  <c r="S356" i="5"/>
  <c r="R356" i="5"/>
  <c r="Q356" i="5"/>
  <c r="P356" i="5"/>
  <c r="S355" i="5"/>
  <c r="R355" i="5"/>
  <c r="Q355" i="5"/>
  <c r="P355" i="5"/>
  <c r="S354" i="5"/>
  <c r="R354" i="5"/>
  <c r="Q354" i="5"/>
  <c r="P354" i="5"/>
  <c r="S353" i="5"/>
  <c r="R353" i="5"/>
  <c r="Q353" i="5"/>
  <c r="P353" i="5"/>
  <c r="S352" i="5"/>
  <c r="R352" i="5"/>
  <c r="Q352" i="5"/>
  <c r="P352" i="5"/>
  <c r="S351" i="5"/>
  <c r="R351" i="5"/>
  <c r="Q351" i="5"/>
  <c r="P351" i="5"/>
  <c r="S350" i="5"/>
  <c r="R350" i="5"/>
  <c r="Q350" i="5"/>
  <c r="P350" i="5"/>
  <c r="S349" i="5"/>
  <c r="R349" i="5"/>
  <c r="Q349" i="5"/>
  <c r="P349" i="5"/>
  <c r="S348" i="5"/>
  <c r="R348" i="5"/>
  <c r="Q348" i="5"/>
  <c r="P348" i="5"/>
  <c r="S347" i="5"/>
  <c r="R347" i="5"/>
  <c r="Q347" i="5"/>
  <c r="P347" i="5"/>
  <c r="S346" i="5"/>
  <c r="R346" i="5"/>
  <c r="Q346" i="5"/>
  <c r="P346" i="5"/>
  <c r="S345" i="5"/>
  <c r="R345" i="5"/>
  <c r="Q345" i="5"/>
  <c r="P345" i="5"/>
  <c r="S344" i="5"/>
  <c r="R344" i="5"/>
  <c r="Q344" i="5"/>
  <c r="P344" i="5"/>
  <c r="S343" i="5"/>
  <c r="R343" i="5"/>
  <c r="Q343" i="5"/>
  <c r="P343" i="5"/>
  <c r="S342" i="5"/>
  <c r="R342" i="5"/>
  <c r="Q342" i="5"/>
  <c r="P342" i="5"/>
  <c r="S341" i="5"/>
  <c r="R341" i="5"/>
  <c r="Q341" i="5"/>
  <c r="P341" i="5"/>
  <c r="S340" i="5"/>
  <c r="R340" i="5"/>
  <c r="Q340" i="5"/>
  <c r="P340" i="5"/>
  <c r="S339" i="5"/>
  <c r="R339" i="5"/>
  <c r="Q339" i="5"/>
  <c r="P339" i="5"/>
  <c r="S338" i="5"/>
  <c r="R338" i="5"/>
  <c r="Q338" i="5"/>
  <c r="P338" i="5"/>
  <c r="S337" i="5"/>
  <c r="R337" i="5"/>
  <c r="Q337" i="5"/>
  <c r="P337" i="5"/>
  <c r="S336" i="5"/>
  <c r="R336" i="5"/>
  <c r="Q336" i="5"/>
  <c r="P336" i="5"/>
  <c r="S335" i="5"/>
  <c r="R335" i="5"/>
  <c r="Q335" i="5"/>
  <c r="P335" i="5"/>
  <c r="S334" i="5"/>
  <c r="R334" i="5"/>
  <c r="Q334" i="5"/>
  <c r="P334" i="5"/>
  <c r="S333" i="5"/>
  <c r="R333" i="5"/>
  <c r="Q333" i="5"/>
  <c r="P333" i="5"/>
  <c r="S332" i="5"/>
  <c r="R332" i="5"/>
  <c r="Q332" i="5"/>
  <c r="P332" i="5"/>
  <c r="S331" i="5"/>
  <c r="R331" i="5"/>
  <c r="Q331" i="5"/>
  <c r="P331" i="5"/>
  <c r="S330" i="5"/>
  <c r="R330" i="5"/>
  <c r="Q330" i="5"/>
  <c r="P330" i="5"/>
  <c r="S329" i="5"/>
  <c r="R329" i="5"/>
  <c r="Q329" i="5"/>
  <c r="P329" i="5"/>
  <c r="S328" i="5"/>
  <c r="R328" i="5"/>
  <c r="Q328" i="5"/>
  <c r="P328" i="5"/>
  <c r="S327" i="5"/>
  <c r="R327" i="5"/>
  <c r="Q327" i="5"/>
  <c r="P327" i="5"/>
  <c r="S326" i="5"/>
  <c r="R326" i="5"/>
  <c r="Q326" i="5"/>
  <c r="P326" i="5"/>
  <c r="S325" i="5"/>
  <c r="R325" i="5"/>
  <c r="Q325" i="5"/>
  <c r="P325" i="5"/>
  <c r="S324" i="5"/>
  <c r="R324" i="5"/>
  <c r="Q324" i="5"/>
  <c r="P324" i="5"/>
  <c r="S323" i="5"/>
  <c r="R323" i="5"/>
  <c r="Q323" i="5"/>
  <c r="P323" i="5"/>
  <c r="S322" i="5"/>
  <c r="R322" i="5"/>
  <c r="Q322" i="5"/>
  <c r="P322" i="5"/>
  <c r="S321" i="5"/>
  <c r="R321" i="5"/>
  <c r="Q321" i="5"/>
  <c r="P321" i="5"/>
  <c r="S320" i="5"/>
  <c r="R320" i="5"/>
  <c r="Q320" i="5"/>
  <c r="P320" i="5"/>
  <c r="S319" i="5"/>
  <c r="R319" i="5"/>
  <c r="Q319" i="5"/>
  <c r="P319" i="5"/>
  <c r="S318" i="5"/>
  <c r="R318" i="5"/>
  <c r="Q318" i="5"/>
  <c r="P318" i="5"/>
  <c r="S317" i="5"/>
  <c r="R317" i="5"/>
  <c r="Q317" i="5"/>
  <c r="P317" i="5"/>
  <c r="S316" i="5"/>
  <c r="R316" i="5"/>
  <c r="Q316" i="5"/>
  <c r="P316" i="5"/>
  <c r="S315" i="5"/>
  <c r="R315" i="5"/>
  <c r="Q315" i="5"/>
  <c r="P315" i="5"/>
  <c r="S314" i="5"/>
  <c r="R314" i="5"/>
  <c r="Q314" i="5"/>
  <c r="P314" i="5"/>
  <c r="S313" i="5"/>
  <c r="R313" i="5"/>
  <c r="Q313" i="5"/>
  <c r="P313" i="5"/>
  <c r="S312" i="5"/>
  <c r="R312" i="5"/>
  <c r="Q312" i="5"/>
  <c r="P312" i="5"/>
  <c r="S311" i="5"/>
  <c r="R311" i="5"/>
  <c r="Q311" i="5"/>
  <c r="P311" i="5"/>
  <c r="S310" i="5"/>
  <c r="R310" i="5"/>
  <c r="Q310" i="5"/>
  <c r="P310" i="5"/>
  <c r="S309" i="5"/>
  <c r="R309" i="5"/>
  <c r="Q309" i="5"/>
  <c r="P309" i="5"/>
  <c r="S308" i="5"/>
  <c r="R308" i="5"/>
  <c r="Q308" i="5"/>
  <c r="P308" i="5"/>
  <c r="S307" i="5"/>
  <c r="R307" i="5"/>
  <c r="Q307" i="5"/>
  <c r="P307" i="5"/>
  <c r="S306" i="5"/>
  <c r="R306" i="5"/>
  <c r="Q306" i="5"/>
  <c r="P306" i="5"/>
  <c r="S305" i="5"/>
  <c r="R305" i="5"/>
  <c r="Q305" i="5"/>
  <c r="P305" i="5"/>
  <c r="S304" i="5"/>
  <c r="R304" i="5"/>
  <c r="Q304" i="5"/>
  <c r="P304" i="5"/>
  <c r="S303" i="5"/>
  <c r="R303" i="5"/>
  <c r="Q303" i="5"/>
  <c r="P303" i="5"/>
  <c r="S302" i="5"/>
  <c r="R302" i="5"/>
  <c r="Q302" i="5"/>
  <c r="P302" i="5"/>
  <c r="S301" i="5"/>
  <c r="R301" i="5"/>
  <c r="Q301" i="5"/>
  <c r="P301" i="5"/>
  <c r="S300" i="5"/>
  <c r="R300" i="5"/>
  <c r="Q300" i="5"/>
  <c r="P300" i="5"/>
  <c r="S299" i="5"/>
  <c r="R299" i="5"/>
  <c r="Q299" i="5"/>
  <c r="P299" i="5"/>
  <c r="S298" i="5"/>
  <c r="R298" i="5"/>
  <c r="Q298" i="5"/>
  <c r="P298" i="5"/>
  <c r="S297" i="5"/>
  <c r="R297" i="5"/>
  <c r="Q297" i="5"/>
  <c r="P297" i="5"/>
  <c r="S296" i="5"/>
  <c r="R296" i="5"/>
  <c r="Q296" i="5"/>
  <c r="P296" i="5"/>
  <c r="S295" i="5"/>
  <c r="R295" i="5"/>
  <c r="Q295" i="5"/>
  <c r="P295" i="5"/>
  <c r="S294" i="5"/>
  <c r="R294" i="5"/>
  <c r="Q294" i="5"/>
  <c r="P294" i="5"/>
  <c r="S293" i="5"/>
  <c r="R293" i="5"/>
  <c r="Q293" i="5"/>
  <c r="P293" i="5"/>
  <c r="S292" i="5"/>
  <c r="R292" i="5"/>
  <c r="Q292" i="5"/>
  <c r="P292" i="5"/>
  <c r="S291" i="5"/>
  <c r="R291" i="5"/>
  <c r="Q291" i="5"/>
  <c r="P291" i="5"/>
  <c r="S290" i="5"/>
  <c r="R290" i="5"/>
  <c r="Q290" i="5"/>
  <c r="P290" i="5"/>
  <c r="S289" i="5"/>
  <c r="R289" i="5"/>
  <c r="Q289" i="5"/>
  <c r="P289" i="5"/>
  <c r="S288" i="5"/>
  <c r="R288" i="5"/>
  <c r="Q288" i="5"/>
  <c r="P288" i="5"/>
  <c r="S287" i="5"/>
  <c r="R287" i="5"/>
  <c r="Q287" i="5"/>
  <c r="P287" i="5"/>
  <c r="S286" i="5"/>
  <c r="R286" i="5"/>
  <c r="Q286" i="5"/>
  <c r="P286" i="5"/>
  <c r="S285" i="5"/>
  <c r="R285" i="5"/>
  <c r="Q285" i="5"/>
  <c r="P285" i="5"/>
  <c r="S284" i="5"/>
  <c r="R284" i="5"/>
  <c r="Q284" i="5"/>
  <c r="P284" i="5"/>
  <c r="S283" i="5"/>
  <c r="R283" i="5"/>
  <c r="Q283" i="5"/>
  <c r="P283" i="5"/>
  <c r="S282" i="5"/>
  <c r="R282" i="5"/>
  <c r="Q282" i="5"/>
  <c r="P282" i="5"/>
  <c r="S281" i="5"/>
  <c r="R281" i="5"/>
  <c r="Q281" i="5"/>
  <c r="P281" i="5"/>
  <c r="S280" i="5"/>
  <c r="R280" i="5"/>
  <c r="Q280" i="5"/>
  <c r="P280" i="5"/>
  <c r="S279" i="5"/>
  <c r="R279" i="5"/>
  <c r="Q279" i="5"/>
  <c r="P279" i="5"/>
  <c r="S278" i="5"/>
  <c r="R278" i="5"/>
  <c r="Q278" i="5"/>
  <c r="P278" i="5"/>
  <c r="S277" i="5"/>
  <c r="R277" i="5"/>
  <c r="Q277" i="5"/>
  <c r="P277" i="5"/>
  <c r="S276" i="5"/>
  <c r="R276" i="5"/>
  <c r="Q276" i="5"/>
  <c r="P276" i="5"/>
  <c r="S275" i="5"/>
  <c r="R275" i="5"/>
  <c r="Q275" i="5"/>
  <c r="P275" i="5"/>
  <c r="S274" i="5"/>
  <c r="R274" i="5"/>
  <c r="Q274" i="5"/>
  <c r="P274" i="5"/>
  <c r="S273" i="5"/>
  <c r="R273" i="5"/>
  <c r="Q273" i="5"/>
  <c r="P273" i="5"/>
  <c r="S272" i="5"/>
  <c r="R272" i="5"/>
  <c r="Q272" i="5"/>
  <c r="P272" i="5"/>
  <c r="S271" i="5"/>
  <c r="R271" i="5"/>
  <c r="Q271" i="5"/>
  <c r="P271" i="5"/>
  <c r="S270" i="5"/>
  <c r="R270" i="5"/>
  <c r="Q270" i="5"/>
  <c r="P270" i="5"/>
  <c r="S269" i="5"/>
  <c r="R269" i="5"/>
  <c r="Q269" i="5"/>
  <c r="P269" i="5"/>
  <c r="S268" i="5"/>
  <c r="R268" i="5"/>
  <c r="Q268" i="5"/>
  <c r="P268" i="5"/>
  <c r="S267" i="5"/>
  <c r="R267" i="5"/>
  <c r="Q267" i="5"/>
  <c r="P267" i="5"/>
  <c r="S266" i="5"/>
  <c r="R266" i="5"/>
  <c r="Q266" i="5"/>
  <c r="P266" i="5"/>
  <c r="S265" i="5"/>
  <c r="R265" i="5"/>
  <c r="Q265" i="5"/>
  <c r="P265" i="5"/>
  <c r="S264" i="5"/>
  <c r="R264" i="5"/>
  <c r="Q264" i="5"/>
  <c r="P264" i="5"/>
  <c r="S263" i="5"/>
  <c r="R263" i="5"/>
  <c r="Q263" i="5"/>
  <c r="P263" i="5"/>
  <c r="S262" i="5"/>
  <c r="R262" i="5"/>
  <c r="Q262" i="5"/>
  <c r="P262" i="5"/>
  <c r="S261" i="5"/>
  <c r="R261" i="5"/>
  <c r="Q261" i="5"/>
  <c r="P261" i="5"/>
  <c r="S260" i="5"/>
  <c r="R260" i="5"/>
  <c r="Q260" i="5"/>
  <c r="P260" i="5"/>
  <c r="S259" i="5"/>
  <c r="R259" i="5"/>
  <c r="Q259" i="5"/>
  <c r="P259" i="5"/>
  <c r="S258" i="5"/>
  <c r="R258" i="5"/>
  <c r="Q258" i="5"/>
  <c r="P258" i="5"/>
  <c r="S257" i="5"/>
  <c r="R257" i="5"/>
  <c r="Q257" i="5"/>
  <c r="P257" i="5"/>
  <c r="S256" i="5"/>
  <c r="R256" i="5"/>
  <c r="Q256" i="5"/>
  <c r="P256" i="5"/>
  <c r="S255" i="5"/>
  <c r="R255" i="5"/>
  <c r="Q255" i="5"/>
  <c r="P255" i="5"/>
  <c r="S254" i="5"/>
  <c r="R254" i="5"/>
  <c r="Q254" i="5"/>
  <c r="P254" i="5"/>
  <c r="S253" i="5"/>
  <c r="R253" i="5"/>
  <c r="Q253" i="5"/>
  <c r="P253" i="5"/>
  <c r="S252" i="5"/>
  <c r="R252" i="5"/>
  <c r="Q252" i="5"/>
  <c r="P252" i="5"/>
  <c r="S251" i="5"/>
  <c r="R251" i="5"/>
  <c r="Q251" i="5"/>
  <c r="P251" i="5"/>
  <c r="S250" i="5"/>
  <c r="R250" i="5"/>
  <c r="Q250" i="5"/>
  <c r="P250" i="5"/>
  <c r="S249" i="5"/>
  <c r="R249" i="5"/>
  <c r="Q249" i="5"/>
  <c r="P249" i="5"/>
  <c r="S248" i="5"/>
  <c r="R248" i="5"/>
  <c r="Q248" i="5"/>
  <c r="P248" i="5"/>
  <c r="S247" i="5"/>
  <c r="R247" i="5"/>
  <c r="Q247" i="5"/>
  <c r="P247" i="5"/>
  <c r="S246" i="5"/>
  <c r="R246" i="5"/>
  <c r="Q246" i="5"/>
  <c r="P246" i="5"/>
  <c r="S245" i="5"/>
  <c r="R245" i="5"/>
  <c r="Q245" i="5"/>
  <c r="P245" i="5"/>
  <c r="S244" i="5"/>
  <c r="R244" i="5"/>
  <c r="Q244" i="5"/>
  <c r="P244" i="5"/>
  <c r="S243" i="5"/>
  <c r="R243" i="5"/>
  <c r="Q243" i="5"/>
  <c r="P243" i="5"/>
  <c r="S242" i="5"/>
  <c r="R242" i="5"/>
  <c r="Q242" i="5"/>
  <c r="P242" i="5"/>
  <c r="S241" i="5"/>
  <c r="R241" i="5"/>
  <c r="Q241" i="5"/>
  <c r="P241" i="5"/>
  <c r="S240" i="5"/>
  <c r="R240" i="5"/>
  <c r="Q240" i="5"/>
  <c r="P240" i="5"/>
  <c r="S239" i="5"/>
  <c r="R239" i="5"/>
  <c r="Q239" i="5"/>
  <c r="P239" i="5"/>
  <c r="S238" i="5"/>
  <c r="R238" i="5"/>
  <c r="Q238" i="5"/>
  <c r="P238" i="5"/>
  <c r="S237" i="5"/>
  <c r="R237" i="5"/>
  <c r="Q237" i="5"/>
  <c r="P237" i="5"/>
  <c r="S236" i="5"/>
  <c r="R236" i="5"/>
  <c r="Q236" i="5"/>
  <c r="P236" i="5"/>
  <c r="S235" i="5"/>
  <c r="R235" i="5"/>
  <c r="Q235" i="5"/>
  <c r="P235" i="5"/>
  <c r="S234" i="5"/>
  <c r="R234" i="5"/>
  <c r="Q234" i="5"/>
  <c r="P234" i="5"/>
  <c r="S233" i="5"/>
  <c r="R233" i="5"/>
  <c r="Q233" i="5"/>
  <c r="P233" i="5"/>
  <c r="S232" i="5"/>
  <c r="R232" i="5"/>
  <c r="Q232" i="5"/>
  <c r="P232" i="5"/>
  <c r="S231" i="5"/>
  <c r="R231" i="5"/>
  <c r="Q231" i="5"/>
  <c r="P231" i="5"/>
  <c r="S230" i="5"/>
  <c r="R230" i="5"/>
  <c r="Q230" i="5"/>
  <c r="P230" i="5"/>
  <c r="S229" i="5"/>
  <c r="R229" i="5"/>
  <c r="Q229" i="5"/>
  <c r="P229" i="5"/>
  <c r="S228" i="5"/>
  <c r="R228" i="5"/>
  <c r="Q228" i="5"/>
  <c r="P228" i="5"/>
  <c r="S227" i="5"/>
  <c r="R227" i="5"/>
  <c r="Q227" i="5"/>
  <c r="P227" i="5"/>
  <c r="S226" i="5"/>
  <c r="R226" i="5"/>
  <c r="Q226" i="5"/>
  <c r="P226" i="5"/>
  <c r="S225" i="5"/>
  <c r="R225" i="5"/>
  <c r="Q225" i="5"/>
  <c r="P225" i="5"/>
  <c r="S224" i="5"/>
  <c r="R224" i="5"/>
  <c r="Q224" i="5"/>
  <c r="P224" i="5"/>
  <c r="S223" i="5"/>
  <c r="R223" i="5"/>
  <c r="Q223" i="5"/>
  <c r="P223" i="5"/>
  <c r="S222" i="5"/>
  <c r="R222" i="5"/>
  <c r="Q222" i="5"/>
  <c r="P222" i="5"/>
  <c r="S221" i="5"/>
  <c r="R221" i="5"/>
  <c r="Q221" i="5"/>
  <c r="P221" i="5"/>
  <c r="S220" i="5"/>
  <c r="R220" i="5"/>
  <c r="Q220" i="5"/>
  <c r="P220" i="5"/>
  <c r="S219" i="5"/>
  <c r="R219" i="5"/>
  <c r="Q219" i="5"/>
  <c r="P219" i="5"/>
  <c r="S218" i="5"/>
  <c r="R218" i="5"/>
  <c r="Q218" i="5"/>
  <c r="P218" i="5"/>
  <c r="S217" i="5"/>
  <c r="R217" i="5"/>
  <c r="Q217" i="5"/>
  <c r="P217" i="5"/>
  <c r="S216" i="5"/>
  <c r="R216" i="5"/>
  <c r="Q216" i="5"/>
  <c r="P216" i="5"/>
  <c r="S215" i="5"/>
  <c r="R215" i="5"/>
  <c r="Q215" i="5"/>
  <c r="P215" i="5"/>
  <c r="S214" i="5"/>
  <c r="R214" i="5"/>
  <c r="Q214" i="5"/>
  <c r="P214" i="5"/>
  <c r="S213" i="5"/>
  <c r="R213" i="5"/>
  <c r="Q213" i="5"/>
  <c r="P213" i="5"/>
  <c r="S212" i="5"/>
  <c r="R212" i="5"/>
  <c r="Q212" i="5"/>
  <c r="P212" i="5"/>
  <c r="S211" i="5"/>
  <c r="R211" i="5"/>
  <c r="Q211" i="5"/>
  <c r="P211" i="5"/>
  <c r="S210" i="5"/>
  <c r="R210" i="5"/>
  <c r="Q210" i="5"/>
  <c r="P210" i="5"/>
  <c r="S209" i="5"/>
  <c r="R209" i="5"/>
  <c r="Q209" i="5"/>
  <c r="P209" i="5"/>
  <c r="S208" i="5"/>
  <c r="R208" i="5"/>
  <c r="Q208" i="5"/>
  <c r="P208" i="5"/>
  <c r="S207" i="5"/>
  <c r="R207" i="5"/>
  <c r="Q207" i="5"/>
  <c r="P207" i="5"/>
  <c r="S206" i="5"/>
  <c r="R206" i="5"/>
  <c r="Q206" i="5"/>
  <c r="P206" i="5"/>
  <c r="S205" i="5"/>
  <c r="R205" i="5"/>
  <c r="Q205" i="5"/>
  <c r="P205" i="5"/>
  <c r="S204" i="5"/>
  <c r="R204" i="5"/>
  <c r="Q204" i="5"/>
  <c r="P204" i="5"/>
  <c r="S203" i="5"/>
  <c r="R203" i="5"/>
  <c r="Q203" i="5"/>
  <c r="P203" i="5"/>
  <c r="S202" i="5"/>
  <c r="R202" i="5"/>
  <c r="Q202" i="5"/>
  <c r="P202" i="5"/>
  <c r="S201" i="5"/>
  <c r="R201" i="5"/>
  <c r="Q201" i="5"/>
  <c r="P201" i="5"/>
  <c r="S200" i="5"/>
  <c r="R200" i="5"/>
  <c r="Q200" i="5"/>
  <c r="P200" i="5"/>
  <c r="S199" i="5"/>
  <c r="R199" i="5"/>
  <c r="Q199" i="5"/>
  <c r="P199" i="5"/>
  <c r="S198" i="5"/>
  <c r="R198" i="5"/>
  <c r="Q198" i="5"/>
  <c r="P198" i="5"/>
  <c r="S197" i="5"/>
  <c r="R197" i="5"/>
  <c r="Q197" i="5"/>
  <c r="P197" i="5"/>
  <c r="S196" i="5"/>
  <c r="R196" i="5"/>
  <c r="Q196" i="5"/>
  <c r="P196" i="5"/>
  <c r="S195" i="5"/>
  <c r="R195" i="5"/>
  <c r="Q195" i="5"/>
  <c r="P195" i="5"/>
  <c r="S194" i="5"/>
  <c r="R194" i="5"/>
  <c r="Q194" i="5"/>
  <c r="P194" i="5"/>
  <c r="S193" i="5"/>
  <c r="R193" i="5"/>
  <c r="Q193" i="5"/>
  <c r="P193" i="5"/>
  <c r="S192" i="5"/>
  <c r="R192" i="5"/>
  <c r="Q192" i="5"/>
  <c r="P192" i="5"/>
  <c r="S191" i="5"/>
  <c r="R191" i="5"/>
  <c r="Q191" i="5"/>
  <c r="P191" i="5"/>
  <c r="S190" i="5"/>
  <c r="R190" i="5"/>
  <c r="Q190" i="5"/>
  <c r="P190" i="5"/>
  <c r="S189" i="5"/>
  <c r="R189" i="5"/>
  <c r="Q189" i="5"/>
  <c r="P189" i="5"/>
  <c r="S188" i="5"/>
  <c r="R188" i="5"/>
  <c r="Q188" i="5"/>
  <c r="P188" i="5"/>
  <c r="S187" i="5"/>
  <c r="R187" i="5"/>
  <c r="Q187" i="5"/>
  <c r="P187" i="5"/>
  <c r="S186" i="5"/>
  <c r="R186" i="5"/>
  <c r="Q186" i="5"/>
  <c r="P186" i="5"/>
  <c r="S185" i="5"/>
  <c r="R185" i="5"/>
  <c r="Q185" i="5"/>
  <c r="P185" i="5"/>
  <c r="S184" i="5"/>
  <c r="R184" i="5"/>
  <c r="Q184" i="5"/>
  <c r="P184" i="5"/>
  <c r="S183" i="5"/>
  <c r="R183" i="5"/>
  <c r="Q183" i="5"/>
  <c r="P183" i="5"/>
  <c r="S182" i="5"/>
  <c r="R182" i="5"/>
  <c r="Q182" i="5"/>
  <c r="P182" i="5"/>
  <c r="S181" i="5"/>
  <c r="R181" i="5"/>
  <c r="Q181" i="5"/>
  <c r="P181" i="5"/>
  <c r="S180" i="5"/>
  <c r="R180" i="5"/>
  <c r="Q180" i="5"/>
  <c r="P180" i="5"/>
  <c r="S179" i="5"/>
  <c r="R179" i="5"/>
  <c r="Q179" i="5"/>
  <c r="P179" i="5"/>
  <c r="S178" i="5"/>
  <c r="R178" i="5"/>
  <c r="Q178" i="5"/>
  <c r="P178" i="5"/>
  <c r="S177" i="5"/>
  <c r="R177" i="5"/>
  <c r="Q177" i="5"/>
  <c r="P177" i="5"/>
  <c r="S176" i="5"/>
  <c r="R176" i="5"/>
  <c r="Q176" i="5"/>
  <c r="P176" i="5"/>
  <c r="S175" i="5"/>
  <c r="R175" i="5"/>
  <c r="Q175" i="5"/>
  <c r="P175" i="5"/>
  <c r="S174" i="5"/>
  <c r="R174" i="5"/>
  <c r="Q174" i="5"/>
  <c r="P174" i="5"/>
  <c r="S173" i="5"/>
  <c r="R173" i="5"/>
  <c r="Q173" i="5"/>
  <c r="P173" i="5"/>
  <c r="S172" i="5"/>
  <c r="R172" i="5"/>
  <c r="Q172" i="5"/>
  <c r="P172" i="5"/>
  <c r="S171" i="5"/>
  <c r="R171" i="5"/>
  <c r="Q171" i="5"/>
  <c r="P171" i="5"/>
  <c r="S170" i="5"/>
  <c r="R170" i="5"/>
  <c r="Q170" i="5"/>
  <c r="P170" i="5"/>
  <c r="S169" i="5"/>
  <c r="R169" i="5"/>
  <c r="Q169" i="5"/>
  <c r="P169" i="5"/>
  <c r="S168" i="5"/>
  <c r="R168" i="5"/>
  <c r="Q168" i="5"/>
  <c r="P168" i="5"/>
  <c r="S167" i="5"/>
  <c r="R167" i="5"/>
  <c r="Q167" i="5"/>
  <c r="P167" i="5"/>
  <c r="S166" i="5"/>
  <c r="R166" i="5"/>
  <c r="Q166" i="5"/>
  <c r="P166" i="5"/>
  <c r="S165" i="5"/>
  <c r="R165" i="5"/>
  <c r="Q165" i="5"/>
  <c r="P165" i="5"/>
  <c r="S164" i="5"/>
  <c r="R164" i="5"/>
  <c r="Q164" i="5"/>
  <c r="P164" i="5"/>
  <c r="S163" i="5"/>
  <c r="R163" i="5"/>
  <c r="Q163" i="5"/>
  <c r="P163" i="5"/>
  <c r="S162" i="5"/>
  <c r="R162" i="5"/>
  <c r="Q162" i="5"/>
  <c r="P162" i="5"/>
  <c r="S161" i="5"/>
  <c r="R161" i="5"/>
  <c r="Q161" i="5"/>
  <c r="P161" i="5"/>
  <c r="S160" i="5"/>
  <c r="R160" i="5"/>
  <c r="Q160" i="5"/>
  <c r="P160" i="5"/>
  <c r="S159" i="5"/>
  <c r="R159" i="5"/>
  <c r="Q159" i="5"/>
  <c r="P159" i="5"/>
  <c r="S158" i="5"/>
  <c r="R158" i="5"/>
  <c r="Q158" i="5"/>
  <c r="P158" i="5"/>
  <c r="S157" i="5"/>
  <c r="R157" i="5"/>
  <c r="Q157" i="5"/>
  <c r="P157" i="5"/>
  <c r="S156" i="5"/>
  <c r="R156" i="5"/>
  <c r="Q156" i="5"/>
  <c r="P156" i="5"/>
  <c r="S155" i="5"/>
  <c r="R155" i="5"/>
  <c r="Q155" i="5"/>
  <c r="P155" i="5"/>
  <c r="S154" i="5"/>
  <c r="R154" i="5"/>
  <c r="Q154" i="5"/>
  <c r="P154" i="5"/>
  <c r="S153" i="5"/>
  <c r="R153" i="5"/>
  <c r="Q153" i="5"/>
  <c r="P153" i="5"/>
  <c r="S152" i="5"/>
  <c r="R152" i="5"/>
  <c r="Q152" i="5"/>
  <c r="P152" i="5"/>
  <c r="S151" i="5"/>
  <c r="R151" i="5"/>
  <c r="Q151" i="5"/>
  <c r="P151" i="5"/>
  <c r="S150" i="5"/>
  <c r="R150" i="5"/>
  <c r="Q150" i="5"/>
  <c r="P150" i="5"/>
  <c r="S149" i="5"/>
  <c r="R149" i="5"/>
  <c r="Q149" i="5"/>
  <c r="P149" i="5"/>
  <c r="S148" i="5"/>
  <c r="R148" i="5"/>
  <c r="Q148" i="5"/>
  <c r="P148" i="5"/>
  <c r="S147" i="5"/>
  <c r="R147" i="5"/>
  <c r="Q147" i="5"/>
  <c r="P147" i="5"/>
  <c r="S146" i="5"/>
  <c r="R146" i="5"/>
  <c r="Q146" i="5"/>
  <c r="P146" i="5"/>
  <c r="S145" i="5"/>
  <c r="R145" i="5"/>
  <c r="Q145" i="5"/>
  <c r="P145" i="5"/>
  <c r="S144" i="5"/>
  <c r="R144" i="5"/>
  <c r="Q144" i="5"/>
  <c r="P144" i="5"/>
  <c r="S143" i="5"/>
  <c r="R143" i="5"/>
  <c r="Q143" i="5"/>
  <c r="P143" i="5"/>
  <c r="S142" i="5"/>
  <c r="R142" i="5"/>
  <c r="Q142" i="5"/>
  <c r="P142" i="5"/>
  <c r="S141" i="5"/>
  <c r="R141" i="5"/>
  <c r="Q141" i="5"/>
  <c r="P141" i="5"/>
  <c r="S140" i="5"/>
  <c r="R140" i="5"/>
  <c r="Q140" i="5"/>
  <c r="P140" i="5"/>
  <c r="S139" i="5"/>
  <c r="R139" i="5"/>
  <c r="Q139" i="5"/>
  <c r="P139" i="5"/>
  <c r="S138" i="5"/>
  <c r="R138" i="5"/>
  <c r="Q138" i="5"/>
  <c r="P138" i="5"/>
  <c r="S137" i="5"/>
  <c r="R137" i="5"/>
  <c r="Q137" i="5"/>
  <c r="P137" i="5"/>
  <c r="S136" i="5"/>
  <c r="R136" i="5"/>
  <c r="Q136" i="5"/>
  <c r="P136" i="5"/>
  <c r="S135" i="5"/>
  <c r="R135" i="5"/>
  <c r="Q135" i="5"/>
  <c r="P135" i="5"/>
  <c r="S134" i="5"/>
  <c r="R134" i="5"/>
  <c r="Q134" i="5"/>
  <c r="P134" i="5"/>
  <c r="S133" i="5"/>
  <c r="R133" i="5"/>
  <c r="Q133" i="5"/>
  <c r="P133" i="5"/>
  <c r="S132" i="5"/>
  <c r="R132" i="5"/>
  <c r="Q132" i="5"/>
  <c r="P132" i="5"/>
  <c r="S131" i="5"/>
  <c r="R131" i="5"/>
  <c r="Q131" i="5"/>
  <c r="P131" i="5"/>
  <c r="S130" i="5"/>
  <c r="R130" i="5"/>
  <c r="Q130" i="5"/>
  <c r="P130" i="5"/>
  <c r="S129" i="5"/>
  <c r="R129" i="5"/>
  <c r="Q129" i="5"/>
  <c r="P129" i="5"/>
  <c r="S128" i="5"/>
  <c r="R128" i="5"/>
  <c r="Q128" i="5"/>
  <c r="P128" i="5"/>
  <c r="S127" i="5"/>
  <c r="R127" i="5"/>
  <c r="Q127" i="5"/>
  <c r="P127" i="5"/>
  <c r="S126" i="5"/>
  <c r="R126" i="5"/>
  <c r="Q126" i="5"/>
  <c r="P126" i="5"/>
  <c r="S125" i="5"/>
  <c r="R125" i="5"/>
  <c r="Q125" i="5"/>
  <c r="P125" i="5"/>
  <c r="S124" i="5"/>
  <c r="R124" i="5"/>
  <c r="Q124" i="5"/>
  <c r="P124" i="5"/>
  <c r="S123" i="5"/>
  <c r="R123" i="5"/>
  <c r="Q123" i="5"/>
  <c r="P123" i="5"/>
  <c r="S122" i="5"/>
  <c r="R122" i="5"/>
  <c r="Q122" i="5"/>
  <c r="P122" i="5"/>
  <c r="S121" i="5"/>
  <c r="R121" i="5"/>
  <c r="Q121" i="5"/>
  <c r="P121" i="5"/>
  <c r="S120" i="5"/>
  <c r="R120" i="5"/>
  <c r="Q120" i="5"/>
  <c r="P120" i="5"/>
  <c r="S119" i="5"/>
  <c r="R119" i="5"/>
  <c r="Q119" i="5"/>
  <c r="P119" i="5"/>
  <c r="S118" i="5"/>
  <c r="R118" i="5"/>
  <c r="Q118" i="5"/>
  <c r="P118" i="5"/>
  <c r="S117" i="5"/>
  <c r="R117" i="5"/>
  <c r="Q117" i="5"/>
  <c r="P117" i="5"/>
  <c r="S116" i="5"/>
  <c r="R116" i="5"/>
  <c r="Q116" i="5"/>
  <c r="P116" i="5"/>
  <c r="S115" i="5"/>
  <c r="R115" i="5"/>
  <c r="Q115" i="5"/>
  <c r="P115" i="5"/>
  <c r="S114" i="5"/>
  <c r="R114" i="5"/>
  <c r="Q114" i="5"/>
  <c r="P114" i="5"/>
  <c r="S113" i="5"/>
  <c r="R113" i="5"/>
  <c r="Q113" i="5"/>
  <c r="P113" i="5"/>
  <c r="S112" i="5"/>
  <c r="R112" i="5"/>
  <c r="Q112" i="5"/>
  <c r="P112" i="5"/>
  <c r="S111" i="5"/>
  <c r="R111" i="5"/>
  <c r="Q111" i="5"/>
  <c r="P111" i="5"/>
  <c r="S110" i="5"/>
  <c r="R110" i="5"/>
  <c r="Q110" i="5"/>
  <c r="P110" i="5"/>
  <c r="S109" i="5"/>
  <c r="R109" i="5"/>
  <c r="Q109" i="5"/>
  <c r="P109" i="5"/>
  <c r="S108" i="5"/>
  <c r="R108" i="5"/>
  <c r="Q108" i="5"/>
  <c r="P108" i="5"/>
  <c r="S107" i="5"/>
  <c r="R107" i="5"/>
  <c r="Q107" i="5"/>
  <c r="P107" i="5"/>
  <c r="S106" i="5"/>
  <c r="R106" i="5"/>
  <c r="Q106" i="5"/>
  <c r="P106" i="5"/>
  <c r="S105" i="5"/>
  <c r="R105" i="5"/>
  <c r="Q105" i="5"/>
  <c r="P105" i="5"/>
  <c r="S104" i="5"/>
  <c r="R104" i="5"/>
  <c r="Q104" i="5"/>
  <c r="P104" i="5"/>
  <c r="S103" i="5"/>
  <c r="R103" i="5"/>
  <c r="Q103" i="5"/>
  <c r="P103" i="5"/>
  <c r="S102" i="5"/>
  <c r="R102" i="5"/>
  <c r="Q102" i="5"/>
  <c r="P102" i="5"/>
  <c r="S101" i="5"/>
  <c r="R101" i="5"/>
  <c r="Q101" i="5"/>
  <c r="P101" i="5"/>
  <c r="S100" i="5"/>
  <c r="R100" i="5"/>
  <c r="Q100" i="5"/>
  <c r="P100" i="5"/>
  <c r="S99" i="5"/>
  <c r="R99" i="5"/>
  <c r="Q99" i="5"/>
  <c r="P99" i="5"/>
  <c r="S98" i="5"/>
  <c r="R98" i="5"/>
  <c r="Q98" i="5"/>
  <c r="P98" i="5"/>
  <c r="S97" i="5"/>
  <c r="R97" i="5"/>
  <c r="Q97" i="5"/>
  <c r="P97" i="5"/>
  <c r="S96" i="5"/>
  <c r="R96" i="5"/>
  <c r="Q96" i="5"/>
  <c r="P96" i="5"/>
  <c r="S95" i="5"/>
  <c r="R95" i="5"/>
  <c r="Q95" i="5"/>
  <c r="P95" i="5"/>
  <c r="S94" i="5"/>
  <c r="R94" i="5"/>
  <c r="Q94" i="5"/>
  <c r="P94" i="5"/>
  <c r="S93" i="5"/>
  <c r="R93" i="5"/>
  <c r="Q93" i="5"/>
  <c r="P93" i="5"/>
  <c r="S92" i="5"/>
  <c r="R92" i="5"/>
  <c r="Q92" i="5"/>
  <c r="P92" i="5"/>
  <c r="S91" i="5"/>
  <c r="R91" i="5"/>
  <c r="Q91" i="5"/>
  <c r="P91" i="5"/>
  <c r="S90" i="5"/>
  <c r="R90" i="5"/>
  <c r="Q90" i="5"/>
  <c r="P90" i="5"/>
  <c r="S89" i="5"/>
  <c r="R89" i="5"/>
  <c r="Q89" i="5"/>
  <c r="P89" i="5"/>
  <c r="S88" i="5"/>
  <c r="R88" i="5"/>
  <c r="Q88" i="5"/>
  <c r="P88" i="5"/>
  <c r="S87" i="5"/>
  <c r="R87" i="5"/>
  <c r="Q87" i="5"/>
  <c r="P87" i="5"/>
  <c r="S86" i="5"/>
  <c r="R86" i="5"/>
  <c r="Q86" i="5"/>
  <c r="P86" i="5"/>
  <c r="S85" i="5"/>
  <c r="R85" i="5"/>
  <c r="Q85" i="5"/>
  <c r="P85" i="5"/>
  <c r="S84" i="5"/>
  <c r="R84" i="5"/>
  <c r="Q84" i="5"/>
  <c r="P84" i="5"/>
  <c r="S83" i="5"/>
  <c r="R83" i="5"/>
  <c r="Q83" i="5"/>
  <c r="P83" i="5"/>
  <c r="S82" i="5"/>
  <c r="R82" i="5"/>
  <c r="Q82" i="5"/>
  <c r="P82" i="5"/>
  <c r="S81" i="5"/>
  <c r="R81" i="5"/>
  <c r="Q81" i="5"/>
  <c r="P81" i="5"/>
  <c r="S80" i="5"/>
  <c r="R80" i="5"/>
  <c r="Q80" i="5"/>
  <c r="P80" i="5"/>
  <c r="S79" i="5"/>
  <c r="R79" i="5"/>
  <c r="Q79" i="5"/>
  <c r="P79" i="5"/>
  <c r="S78" i="5"/>
  <c r="R78" i="5"/>
  <c r="Q78" i="5"/>
  <c r="P78" i="5"/>
  <c r="S77" i="5"/>
  <c r="R77" i="5"/>
  <c r="Q77" i="5"/>
  <c r="P77" i="5"/>
  <c r="S76" i="5"/>
  <c r="R76" i="5"/>
  <c r="Q76" i="5"/>
  <c r="P76" i="5"/>
  <c r="S75" i="5"/>
  <c r="R75" i="5"/>
  <c r="Q75" i="5"/>
  <c r="P75" i="5"/>
  <c r="S74" i="5"/>
  <c r="R74" i="5"/>
  <c r="Q74" i="5"/>
  <c r="P74" i="5"/>
  <c r="S73" i="5"/>
  <c r="R73" i="5"/>
  <c r="Q73" i="5"/>
  <c r="P73" i="5"/>
  <c r="S72" i="5"/>
  <c r="R72" i="5"/>
  <c r="Q72" i="5"/>
  <c r="P72" i="5"/>
  <c r="S71" i="5"/>
  <c r="R71" i="5"/>
  <c r="Q71" i="5"/>
  <c r="P71" i="5"/>
  <c r="S70" i="5"/>
  <c r="R70" i="5"/>
  <c r="Q70" i="5"/>
  <c r="P70" i="5"/>
  <c r="S69" i="5"/>
  <c r="R69" i="5"/>
  <c r="Q69" i="5"/>
  <c r="P69" i="5"/>
  <c r="S68" i="5"/>
  <c r="R68" i="5"/>
  <c r="Q68" i="5"/>
  <c r="P68" i="5"/>
  <c r="S67" i="5"/>
  <c r="R67" i="5"/>
  <c r="Q67" i="5"/>
  <c r="P67" i="5"/>
  <c r="S66" i="5"/>
  <c r="R66" i="5"/>
  <c r="Q66" i="5"/>
  <c r="P66" i="5"/>
  <c r="S65" i="5"/>
  <c r="R65" i="5"/>
  <c r="Q65" i="5"/>
  <c r="P65" i="5"/>
  <c r="S64" i="5"/>
  <c r="R64" i="5"/>
  <c r="Q64" i="5"/>
  <c r="P64" i="5"/>
  <c r="S63" i="5"/>
  <c r="R63" i="5"/>
  <c r="Q63" i="5"/>
  <c r="P63" i="5"/>
  <c r="S62" i="5"/>
  <c r="R62" i="5"/>
  <c r="Q62" i="5"/>
  <c r="P62" i="5"/>
  <c r="S61" i="5"/>
  <c r="R61" i="5"/>
  <c r="Q61" i="5"/>
  <c r="P61" i="5"/>
  <c r="S60" i="5"/>
  <c r="R60" i="5"/>
  <c r="Q60" i="5"/>
  <c r="P60" i="5"/>
  <c r="S59" i="5"/>
  <c r="R59" i="5"/>
  <c r="Q59" i="5"/>
  <c r="P59" i="5"/>
  <c r="S58" i="5"/>
  <c r="R58" i="5"/>
  <c r="Q58" i="5"/>
  <c r="P58" i="5"/>
  <c r="S57" i="5"/>
  <c r="R57" i="5"/>
  <c r="Q57" i="5"/>
  <c r="P57" i="5"/>
  <c r="S56" i="5"/>
  <c r="R56" i="5"/>
  <c r="Q56" i="5"/>
  <c r="P56" i="5"/>
  <c r="S55" i="5"/>
  <c r="R55" i="5"/>
  <c r="Q55" i="5"/>
  <c r="P55" i="5"/>
  <c r="S54" i="5"/>
  <c r="R54" i="5"/>
  <c r="Q54" i="5"/>
  <c r="P54" i="5"/>
  <c r="S53" i="5"/>
  <c r="R53" i="5"/>
  <c r="Q53" i="5"/>
  <c r="P53" i="5"/>
  <c r="S52" i="5"/>
  <c r="R52" i="5"/>
  <c r="Q52" i="5"/>
  <c r="P52" i="5"/>
  <c r="S51" i="5"/>
  <c r="R51" i="5"/>
  <c r="Q51" i="5"/>
  <c r="P51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45" i="5"/>
  <c r="R45" i="5"/>
  <c r="Q45" i="5"/>
  <c r="P45" i="5"/>
  <c r="S44" i="5"/>
  <c r="R44" i="5"/>
  <c r="Q44" i="5"/>
  <c r="P44" i="5"/>
  <c r="S43" i="5"/>
  <c r="R43" i="5"/>
  <c r="Q43" i="5"/>
  <c r="P43" i="5"/>
  <c r="AO30" i="5"/>
  <c r="AN30" i="5"/>
  <c r="AA30" i="5"/>
  <c r="Z30" i="5"/>
  <c r="Y30" i="5"/>
  <c r="X30" i="5"/>
  <c r="AH30" i="5" s="1"/>
  <c r="W30" i="5"/>
  <c r="V30" i="5"/>
  <c r="U30" i="5"/>
  <c r="T30" i="5"/>
  <c r="AB30" i="5" s="1"/>
  <c r="S30" i="5"/>
  <c r="R30" i="5"/>
  <c r="Q30" i="5"/>
  <c r="P30" i="5"/>
  <c r="AC30" i="5" s="1"/>
  <c r="AD30" i="5" s="1"/>
  <c r="AA29" i="5"/>
  <c r="Z29" i="5"/>
  <c r="AN29" i="5" s="1"/>
  <c r="Y29" i="5"/>
  <c r="X29" i="5"/>
  <c r="W29" i="5"/>
  <c r="V29" i="5"/>
  <c r="U29" i="5"/>
  <c r="T29" i="5"/>
  <c r="S29" i="5"/>
  <c r="R29" i="5"/>
  <c r="AC29" i="5" s="1"/>
  <c r="AD29" i="5" s="1"/>
  <c r="Q29" i="5"/>
  <c r="P29" i="5"/>
  <c r="AH28" i="5"/>
  <c r="AA28" i="5"/>
  <c r="AN28" i="5" s="1"/>
  <c r="Z28" i="5"/>
  <c r="Y28" i="5"/>
  <c r="X28" i="5"/>
  <c r="W28" i="5"/>
  <c r="V28" i="5"/>
  <c r="U28" i="5"/>
  <c r="T28" i="5"/>
  <c r="S28" i="5"/>
  <c r="R28" i="5"/>
  <c r="AC28" i="5" s="1"/>
  <c r="AD28" i="5" s="1"/>
  <c r="AE28" i="5" s="1"/>
  <c r="Q28" i="5"/>
  <c r="P28" i="5"/>
  <c r="AA27" i="5"/>
  <c r="Z27" i="5"/>
  <c r="AN27" i="5" s="1"/>
  <c r="Y27" i="5"/>
  <c r="X27" i="5"/>
  <c r="W27" i="5"/>
  <c r="V27" i="5"/>
  <c r="U27" i="5"/>
  <c r="T27" i="5"/>
  <c r="AB27" i="5" s="1"/>
  <c r="S27" i="5"/>
  <c r="R27" i="5"/>
  <c r="Q27" i="5"/>
  <c r="P27" i="5"/>
  <c r="AC27" i="5" s="1"/>
  <c r="AD27" i="5" s="1"/>
  <c r="AH26" i="5"/>
  <c r="AA26" i="5"/>
  <c r="AN26" i="5" s="1"/>
  <c r="Z26" i="5"/>
  <c r="Y26" i="5"/>
  <c r="X26" i="5"/>
  <c r="W26" i="5"/>
  <c r="V26" i="5"/>
  <c r="U26" i="5"/>
  <c r="T26" i="5"/>
  <c r="S26" i="5"/>
  <c r="R26" i="5"/>
  <c r="Q26" i="5"/>
  <c r="P26" i="5"/>
  <c r="AN25" i="5"/>
  <c r="AA25" i="5"/>
  <c r="Z25" i="5"/>
  <c r="Y25" i="5"/>
  <c r="X25" i="5"/>
  <c r="W25" i="5"/>
  <c r="V25" i="5"/>
  <c r="U25" i="5"/>
  <c r="T25" i="5"/>
  <c r="AB25" i="5" s="1"/>
  <c r="S25" i="5"/>
  <c r="R25" i="5"/>
  <c r="Q25" i="5"/>
  <c r="P25" i="5"/>
  <c r="AQ24" i="5"/>
  <c r="AC24" i="5"/>
  <c r="AD24" i="5" s="1"/>
  <c r="AA24" i="5"/>
  <c r="AN24" i="5" s="1"/>
  <c r="Z24" i="5"/>
  <c r="Y24" i="5"/>
  <c r="X24" i="5"/>
  <c r="AH24" i="5" s="1"/>
  <c r="W24" i="5"/>
  <c r="V24" i="5"/>
  <c r="U24" i="5"/>
  <c r="T24" i="5"/>
  <c r="S24" i="5"/>
  <c r="R24" i="5"/>
  <c r="AB24" i="5" s="1"/>
  <c r="Q24" i="5"/>
  <c r="P24" i="5"/>
  <c r="AR24" i="5" s="1"/>
  <c r="AS24" i="5" s="1"/>
  <c r="AT24" i="5" s="1"/>
  <c r="AR23" i="5"/>
  <c r="AH23" i="5"/>
  <c r="AA23" i="5"/>
  <c r="Z23" i="5"/>
  <c r="Y23" i="5"/>
  <c r="X23" i="5"/>
  <c r="W23" i="5"/>
  <c r="V23" i="5"/>
  <c r="U23" i="5"/>
  <c r="T23" i="5"/>
  <c r="AB23" i="5" s="1"/>
  <c r="S23" i="5"/>
  <c r="R23" i="5"/>
  <c r="Q23" i="5"/>
  <c r="P23" i="5"/>
  <c r="AO22" i="5"/>
  <c r="AB22" i="5"/>
  <c r="AA22" i="5"/>
  <c r="AN22" i="5" s="1"/>
  <c r="Z22" i="5"/>
  <c r="Y22" i="5"/>
  <c r="X22" i="5"/>
  <c r="AH22" i="5" s="1"/>
  <c r="W22" i="5"/>
  <c r="V22" i="5"/>
  <c r="U22" i="5"/>
  <c r="T22" i="5"/>
  <c r="AC22" i="5" s="1"/>
  <c r="AD22" i="5" s="1"/>
  <c r="S22" i="5"/>
  <c r="R22" i="5"/>
  <c r="Q22" i="5"/>
  <c r="P22" i="5"/>
  <c r="AR21" i="5"/>
  <c r="AQ21" i="5" s="1"/>
  <c r="AH21" i="5"/>
  <c r="AA21" i="5"/>
  <c r="Z21" i="5"/>
  <c r="AN21" i="5" s="1"/>
  <c r="Y21" i="5"/>
  <c r="X21" i="5"/>
  <c r="W21" i="5"/>
  <c r="V21" i="5"/>
  <c r="U21" i="5"/>
  <c r="T21" i="5"/>
  <c r="AB21" i="5" s="1"/>
  <c r="S21" i="5"/>
  <c r="R21" i="5"/>
  <c r="Q21" i="5"/>
  <c r="P21" i="5"/>
  <c r="AO20" i="5"/>
  <c r="AA20" i="5"/>
  <c r="Z20" i="5"/>
  <c r="AN20" i="5" s="1"/>
  <c r="Y20" i="5"/>
  <c r="X20" i="5"/>
  <c r="AH20" i="5" s="1"/>
  <c r="W20" i="5"/>
  <c r="V20" i="5"/>
  <c r="U20" i="5"/>
  <c r="T20" i="5"/>
  <c r="S20" i="5"/>
  <c r="R20" i="5"/>
  <c r="AR20" i="5" s="1"/>
  <c r="AQ20" i="5" s="1"/>
  <c r="Q20" i="5"/>
  <c r="P20" i="5"/>
  <c r="AO19" i="5"/>
  <c r="AP19" i="5" s="1"/>
  <c r="AN19" i="5"/>
  <c r="AH19" i="5"/>
  <c r="AA19" i="5"/>
  <c r="Z19" i="5"/>
  <c r="Y19" i="5"/>
  <c r="X19" i="5"/>
  <c r="W19" i="5"/>
  <c r="V19" i="5"/>
  <c r="U19" i="5"/>
  <c r="T19" i="5"/>
  <c r="S19" i="5"/>
  <c r="R19" i="5"/>
  <c r="AC19" i="5" s="1"/>
  <c r="AD19" i="5" s="1"/>
  <c r="Q19" i="5"/>
  <c r="P19" i="5"/>
  <c r="AH18" i="5"/>
  <c r="AA18" i="5"/>
  <c r="Z18" i="5"/>
  <c r="Y18" i="5"/>
  <c r="X18" i="5"/>
  <c r="W18" i="5"/>
  <c r="V18" i="5"/>
  <c r="U18" i="5"/>
  <c r="T18" i="5"/>
  <c r="S18" i="5"/>
  <c r="R18" i="5"/>
  <c r="AB18" i="5" s="1"/>
  <c r="Q18" i="5"/>
  <c r="P18" i="5"/>
  <c r="AR18" i="5" s="1"/>
  <c r="AR17" i="5"/>
  <c r="AC17" i="5"/>
  <c r="AD17" i="5" s="1"/>
  <c r="AB17" i="5"/>
  <c r="AA17" i="5"/>
  <c r="AN17" i="5" s="1"/>
  <c r="Z17" i="5"/>
  <c r="Y17" i="5"/>
  <c r="X17" i="5"/>
  <c r="W17" i="5"/>
  <c r="V17" i="5"/>
  <c r="U17" i="5"/>
  <c r="T17" i="5"/>
  <c r="S17" i="5"/>
  <c r="R17" i="5"/>
  <c r="Q17" i="5"/>
  <c r="P17" i="5"/>
  <c r="AN16" i="5"/>
  <c r="AH16" i="5"/>
  <c r="AA16" i="5"/>
  <c r="Z16" i="5"/>
  <c r="Y16" i="5"/>
  <c r="X16" i="5"/>
  <c r="W16" i="5"/>
  <c r="V16" i="5"/>
  <c r="U16" i="5"/>
  <c r="T16" i="5"/>
  <c r="S16" i="5"/>
  <c r="R16" i="5"/>
  <c r="Q16" i="5"/>
  <c r="P16" i="5"/>
  <c r="AR16" i="5" s="1"/>
  <c r="AS16" i="5" s="1"/>
  <c r="AN15" i="5"/>
  <c r="AH15" i="5"/>
  <c r="AA15" i="5"/>
  <c r="Z15" i="5"/>
  <c r="Y15" i="5"/>
  <c r="X15" i="5"/>
  <c r="W15" i="5"/>
  <c r="V15" i="5"/>
  <c r="U15" i="5"/>
  <c r="T15" i="5"/>
  <c r="S15" i="5"/>
  <c r="R15" i="5"/>
  <c r="AB15" i="5" s="1"/>
  <c r="Q15" i="5"/>
  <c r="P15" i="5"/>
  <c r="AO14" i="5"/>
  <c r="AP14" i="5" s="1"/>
  <c r="AA14" i="5"/>
  <c r="AN14" i="5" s="1"/>
  <c r="Z14" i="5"/>
  <c r="Y14" i="5"/>
  <c r="X14" i="5"/>
  <c r="AH14" i="5" s="1"/>
  <c r="W14" i="5"/>
  <c r="V14" i="5"/>
  <c r="U14" i="5"/>
  <c r="T14" i="5"/>
  <c r="AR14" i="5" s="1"/>
  <c r="AS14" i="5" s="1"/>
  <c r="S14" i="5"/>
  <c r="R14" i="5"/>
  <c r="Q14" i="5"/>
  <c r="P14" i="5"/>
  <c r="AR13" i="5"/>
  <c r="AQ13" i="5" s="1"/>
  <c r="AA13" i="5"/>
  <c r="Z13" i="5"/>
  <c r="AN13" i="5" s="1"/>
  <c r="Y13" i="5"/>
  <c r="X13" i="5"/>
  <c r="W13" i="5"/>
  <c r="V13" i="5"/>
  <c r="U13" i="5"/>
  <c r="T13" i="5"/>
  <c r="AB13" i="5" s="1"/>
  <c r="S13" i="5"/>
  <c r="R13" i="5"/>
  <c r="Q13" i="5"/>
  <c r="P13" i="5"/>
  <c r="AH12" i="5"/>
  <c r="AC12" i="5"/>
  <c r="AD12" i="5" s="1"/>
  <c r="AL12" i="5" s="1"/>
  <c r="AA12" i="5"/>
  <c r="Z12" i="5"/>
  <c r="AY12" i="5" s="1"/>
  <c r="Y12" i="5"/>
  <c r="X12" i="5"/>
  <c r="W12" i="5"/>
  <c r="V12" i="5"/>
  <c r="U12" i="5"/>
  <c r="T12" i="5"/>
  <c r="S12" i="5"/>
  <c r="R12" i="5"/>
  <c r="AR12" i="5" s="1"/>
  <c r="Q12" i="5"/>
  <c r="P12" i="5"/>
  <c r="AR11" i="5"/>
  <c r="AQ11" i="5" s="1"/>
  <c r="AH11" i="5"/>
  <c r="AA11" i="5"/>
  <c r="Z11" i="5"/>
  <c r="AN11" i="5" s="1"/>
  <c r="Y11" i="5"/>
  <c r="X11" i="5"/>
  <c r="W11" i="5"/>
  <c r="V11" i="5"/>
  <c r="U11" i="5"/>
  <c r="T11" i="5"/>
  <c r="S11" i="5"/>
  <c r="R11" i="5"/>
  <c r="AC11" i="5" s="1"/>
  <c r="AD11" i="5" s="1"/>
  <c r="Q11" i="5"/>
  <c r="P11" i="5"/>
  <c r="AA10" i="5"/>
  <c r="AN10" i="5" s="1"/>
  <c r="Z10" i="5"/>
  <c r="Y10" i="5"/>
  <c r="X10" i="5"/>
  <c r="AH10" i="5" s="1"/>
  <c r="W10" i="5"/>
  <c r="V10" i="5"/>
  <c r="U10" i="5"/>
  <c r="T10" i="5"/>
  <c r="S10" i="5"/>
  <c r="R10" i="5"/>
  <c r="Q10" i="5"/>
  <c r="P10" i="5"/>
  <c r="AH9" i="5"/>
  <c r="AA9" i="5"/>
  <c r="AN9" i="5" s="1"/>
  <c r="Z9" i="5"/>
  <c r="Y9" i="5"/>
  <c r="X9" i="5"/>
  <c r="W9" i="5"/>
  <c r="V9" i="5"/>
  <c r="U9" i="5"/>
  <c r="T9" i="5"/>
  <c r="S9" i="5"/>
  <c r="R9" i="5"/>
  <c r="Q9" i="5"/>
  <c r="P9" i="5"/>
  <c r="AO8" i="5"/>
  <c r="AP8" i="5" s="1"/>
  <c r="AK8" i="5"/>
  <c r="AD8" i="5"/>
  <c r="AC8" i="5"/>
  <c r="AA8" i="5"/>
  <c r="AN8" i="5" s="1"/>
  <c r="Z8" i="5"/>
  <c r="Y8" i="5"/>
  <c r="X8" i="5"/>
  <c r="AH8" i="5" s="1"/>
  <c r="W8" i="5"/>
  <c r="V8" i="5"/>
  <c r="AE8" i="5" s="1"/>
  <c r="U8" i="5"/>
  <c r="T8" i="5"/>
  <c r="S8" i="5"/>
  <c r="R8" i="5"/>
  <c r="Q8" i="5"/>
  <c r="P8" i="5"/>
  <c r="AB8" i="5" s="1"/>
  <c r="AN7" i="5"/>
  <c r="AH7" i="5"/>
  <c r="AB7" i="5"/>
  <c r="AA7" i="5"/>
  <c r="Z7" i="5"/>
  <c r="Y7" i="5"/>
  <c r="X7" i="5"/>
  <c r="W7" i="5"/>
  <c r="V7" i="5"/>
  <c r="U7" i="5"/>
  <c r="T7" i="5"/>
  <c r="AR7" i="5" s="1"/>
  <c r="S7" i="5"/>
  <c r="R7" i="5"/>
  <c r="Q7" i="5"/>
  <c r="P7" i="5"/>
  <c r="AQ6" i="5"/>
  <c r="AH6" i="5"/>
  <c r="AD6" i="5"/>
  <c r="AC6" i="5"/>
  <c r="AB6" i="5"/>
  <c r="AA6" i="5"/>
  <c r="AN6" i="5" s="1"/>
  <c r="Z6" i="5"/>
  <c r="Y6" i="5"/>
  <c r="X6" i="5"/>
  <c r="W6" i="5"/>
  <c r="V6" i="5"/>
  <c r="U6" i="5"/>
  <c r="T6" i="5"/>
  <c r="S6" i="5"/>
  <c r="R6" i="5"/>
  <c r="Q6" i="5"/>
  <c r="AS6" i="5" s="1"/>
  <c r="AT6" i="5" s="1"/>
  <c r="P6" i="5"/>
  <c r="AR6" i="5" s="1"/>
  <c r="L5" i="5"/>
  <c r="AO24" i="5" s="1"/>
  <c r="AP24" i="5" s="1"/>
  <c r="L4" i="5"/>
  <c r="L3" i="5"/>
  <c r="S1241" i="4"/>
  <c r="R1241" i="4"/>
  <c r="Q1241" i="4"/>
  <c r="P1241" i="4"/>
  <c r="S1240" i="4"/>
  <c r="R1240" i="4"/>
  <c r="Q1240" i="4"/>
  <c r="P1240" i="4"/>
  <c r="S1239" i="4"/>
  <c r="R1239" i="4"/>
  <c r="Q1239" i="4"/>
  <c r="P1239" i="4"/>
  <c r="S1238" i="4"/>
  <c r="R1238" i="4"/>
  <c r="Q1238" i="4"/>
  <c r="P1238" i="4"/>
  <c r="S1237" i="4"/>
  <c r="R1237" i="4"/>
  <c r="Q1237" i="4"/>
  <c r="P1237" i="4"/>
  <c r="S1236" i="4"/>
  <c r="R1236" i="4"/>
  <c r="Q1236" i="4"/>
  <c r="P1236" i="4"/>
  <c r="S1235" i="4"/>
  <c r="R1235" i="4"/>
  <c r="Q1235" i="4"/>
  <c r="P1235" i="4"/>
  <c r="S1234" i="4"/>
  <c r="R1234" i="4"/>
  <c r="Q1234" i="4"/>
  <c r="P1234" i="4"/>
  <c r="S1233" i="4"/>
  <c r="R1233" i="4"/>
  <c r="Q1233" i="4"/>
  <c r="P1233" i="4"/>
  <c r="S1232" i="4"/>
  <c r="R1232" i="4"/>
  <c r="Q1232" i="4"/>
  <c r="P1232" i="4"/>
  <c r="S1231" i="4"/>
  <c r="R1231" i="4"/>
  <c r="Q1231" i="4"/>
  <c r="P1231" i="4"/>
  <c r="S1230" i="4"/>
  <c r="R1230" i="4"/>
  <c r="Q1230" i="4"/>
  <c r="P1230" i="4"/>
  <c r="S1229" i="4"/>
  <c r="R1229" i="4"/>
  <c r="Q1229" i="4"/>
  <c r="P1229" i="4"/>
  <c r="S1228" i="4"/>
  <c r="R1228" i="4"/>
  <c r="Q1228" i="4"/>
  <c r="P1228" i="4"/>
  <c r="S1227" i="4"/>
  <c r="R1227" i="4"/>
  <c r="Q1227" i="4"/>
  <c r="P1227" i="4"/>
  <c r="S1226" i="4"/>
  <c r="R1226" i="4"/>
  <c r="Q1226" i="4"/>
  <c r="P1226" i="4"/>
  <c r="S1225" i="4"/>
  <c r="R1225" i="4"/>
  <c r="Q1225" i="4"/>
  <c r="P1225" i="4"/>
  <c r="S1224" i="4"/>
  <c r="R1224" i="4"/>
  <c r="Q1224" i="4"/>
  <c r="P1224" i="4"/>
  <c r="S873" i="4"/>
  <c r="R873" i="4"/>
  <c r="Q873" i="4"/>
  <c r="P873" i="4"/>
  <c r="S872" i="4"/>
  <c r="R872" i="4"/>
  <c r="Q872" i="4"/>
  <c r="P872" i="4"/>
  <c r="S871" i="4"/>
  <c r="R871" i="4"/>
  <c r="Q871" i="4"/>
  <c r="P871" i="4"/>
  <c r="S870" i="4"/>
  <c r="R870" i="4"/>
  <c r="Q870" i="4"/>
  <c r="P870" i="4"/>
  <c r="S869" i="4"/>
  <c r="R869" i="4"/>
  <c r="Q869" i="4"/>
  <c r="P869" i="4"/>
  <c r="S868" i="4"/>
  <c r="R868" i="4"/>
  <c r="Q868" i="4"/>
  <c r="P868" i="4"/>
  <c r="S867" i="4"/>
  <c r="R867" i="4"/>
  <c r="Q867" i="4"/>
  <c r="P867" i="4"/>
  <c r="S866" i="4"/>
  <c r="R866" i="4"/>
  <c r="Q866" i="4"/>
  <c r="P866" i="4"/>
  <c r="S865" i="4"/>
  <c r="R865" i="4"/>
  <c r="Q865" i="4"/>
  <c r="P865" i="4"/>
  <c r="S864" i="4"/>
  <c r="R864" i="4"/>
  <c r="Q864" i="4"/>
  <c r="P864" i="4"/>
  <c r="S863" i="4"/>
  <c r="R863" i="4"/>
  <c r="Q863" i="4"/>
  <c r="P863" i="4"/>
  <c r="S862" i="4"/>
  <c r="R862" i="4"/>
  <c r="Q862" i="4"/>
  <c r="P862" i="4"/>
  <c r="S861" i="4"/>
  <c r="R861" i="4"/>
  <c r="Q861" i="4"/>
  <c r="P861" i="4"/>
  <c r="S860" i="4"/>
  <c r="R860" i="4"/>
  <c r="Q860" i="4"/>
  <c r="P860" i="4"/>
  <c r="S859" i="4"/>
  <c r="R859" i="4"/>
  <c r="Q859" i="4"/>
  <c r="P859" i="4"/>
  <c r="S858" i="4"/>
  <c r="R858" i="4"/>
  <c r="Q858" i="4"/>
  <c r="P858" i="4"/>
  <c r="S857" i="4"/>
  <c r="R857" i="4"/>
  <c r="Q857" i="4"/>
  <c r="P857" i="4"/>
  <c r="S856" i="4"/>
  <c r="R856" i="4"/>
  <c r="Q856" i="4"/>
  <c r="P856" i="4"/>
  <c r="S855" i="4"/>
  <c r="R855" i="4"/>
  <c r="Q855" i="4"/>
  <c r="P855" i="4"/>
  <c r="S854" i="4"/>
  <c r="R854" i="4"/>
  <c r="Q854" i="4"/>
  <c r="P854" i="4"/>
  <c r="S853" i="4"/>
  <c r="R853" i="4"/>
  <c r="Q853" i="4"/>
  <c r="P853" i="4"/>
  <c r="S852" i="4"/>
  <c r="R852" i="4"/>
  <c r="Q852" i="4"/>
  <c r="P852" i="4"/>
  <c r="S851" i="4"/>
  <c r="R851" i="4"/>
  <c r="Q851" i="4"/>
  <c r="P851" i="4"/>
  <c r="S850" i="4"/>
  <c r="R850" i="4"/>
  <c r="Q850" i="4"/>
  <c r="P850" i="4"/>
  <c r="S849" i="4"/>
  <c r="R849" i="4"/>
  <c r="Q849" i="4"/>
  <c r="P849" i="4"/>
  <c r="S848" i="4"/>
  <c r="R848" i="4"/>
  <c r="Q848" i="4"/>
  <c r="P848" i="4"/>
  <c r="S847" i="4"/>
  <c r="R847" i="4"/>
  <c r="Q847" i="4"/>
  <c r="P847" i="4"/>
  <c r="S846" i="4"/>
  <c r="R846" i="4"/>
  <c r="Q846" i="4"/>
  <c r="P846" i="4"/>
  <c r="S845" i="4"/>
  <c r="R845" i="4"/>
  <c r="Q845" i="4"/>
  <c r="P845" i="4"/>
  <c r="S844" i="4"/>
  <c r="R844" i="4"/>
  <c r="Q844" i="4"/>
  <c r="P844" i="4"/>
  <c r="S843" i="4"/>
  <c r="R843" i="4"/>
  <c r="Q843" i="4"/>
  <c r="P843" i="4"/>
  <c r="S842" i="4"/>
  <c r="R842" i="4"/>
  <c r="Q842" i="4"/>
  <c r="P842" i="4"/>
  <c r="S841" i="4"/>
  <c r="R841" i="4"/>
  <c r="Q841" i="4"/>
  <c r="P841" i="4"/>
  <c r="S840" i="4"/>
  <c r="R840" i="4"/>
  <c r="Q840" i="4"/>
  <c r="P840" i="4"/>
  <c r="S839" i="4"/>
  <c r="R839" i="4"/>
  <c r="Q839" i="4"/>
  <c r="P839" i="4"/>
  <c r="S838" i="4"/>
  <c r="R838" i="4"/>
  <c r="Q838" i="4"/>
  <c r="P838" i="4"/>
  <c r="S837" i="4"/>
  <c r="R837" i="4"/>
  <c r="Q837" i="4"/>
  <c r="P837" i="4"/>
  <c r="S836" i="4"/>
  <c r="R836" i="4"/>
  <c r="Q836" i="4"/>
  <c r="P836" i="4"/>
  <c r="S835" i="4"/>
  <c r="R835" i="4"/>
  <c r="Q835" i="4"/>
  <c r="P835" i="4"/>
  <c r="S834" i="4"/>
  <c r="R834" i="4"/>
  <c r="Q834" i="4"/>
  <c r="P834" i="4"/>
  <c r="S833" i="4"/>
  <c r="R833" i="4"/>
  <c r="Q833" i="4"/>
  <c r="P833" i="4"/>
  <c r="S832" i="4"/>
  <c r="R832" i="4"/>
  <c r="Q832" i="4"/>
  <c r="P832" i="4"/>
  <c r="S831" i="4"/>
  <c r="R831" i="4"/>
  <c r="Q831" i="4"/>
  <c r="P831" i="4"/>
  <c r="S830" i="4"/>
  <c r="R830" i="4"/>
  <c r="Q830" i="4"/>
  <c r="P830" i="4"/>
  <c r="S829" i="4"/>
  <c r="R829" i="4"/>
  <c r="Q829" i="4"/>
  <c r="P829" i="4"/>
  <c r="S828" i="4"/>
  <c r="R828" i="4"/>
  <c r="Q828" i="4"/>
  <c r="P828" i="4"/>
  <c r="S827" i="4"/>
  <c r="R827" i="4"/>
  <c r="Q827" i="4"/>
  <c r="P827" i="4"/>
  <c r="S826" i="4"/>
  <c r="R826" i="4"/>
  <c r="Q826" i="4"/>
  <c r="P826" i="4"/>
  <c r="S825" i="4"/>
  <c r="R825" i="4"/>
  <c r="Q825" i="4"/>
  <c r="P825" i="4"/>
  <c r="S824" i="4"/>
  <c r="R824" i="4"/>
  <c r="Q824" i="4"/>
  <c r="P824" i="4"/>
  <c r="S823" i="4"/>
  <c r="R823" i="4"/>
  <c r="Q823" i="4"/>
  <c r="P823" i="4"/>
  <c r="S822" i="4"/>
  <c r="R822" i="4"/>
  <c r="Q822" i="4"/>
  <c r="P822" i="4"/>
  <c r="S821" i="4"/>
  <c r="R821" i="4"/>
  <c r="Q821" i="4"/>
  <c r="P821" i="4"/>
  <c r="S820" i="4"/>
  <c r="R820" i="4"/>
  <c r="Q820" i="4"/>
  <c r="P820" i="4"/>
  <c r="S819" i="4"/>
  <c r="R819" i="4"/>
  <c r="Q819" i="4"/>
  <c r="P819" i="4"/>
  <c r="S818" i="4"/>
  <c r="R818" i="4"/>
  <c r="Q818" i="4"/>
  <c r="P818" i="4"/>
  <c r="S817" i="4"/>
  <c r="R817" i="4"/>
  <c r="Q817" i="4"/>
  <c r="P817" i="4"/>
  <c r="S816" i="4"/>
  <c r="R816" i="4"/>
  <c r="Q816" i="4"/>
  <c r="P816" i="4"/>
  <c r="S815" i="4"/>
  <c r="R815" i="4"/>
  <c r="Q815" i="4"/>
  <c r="P815" i="4"/>
  <c r="S814" i="4"/>
  <c r="R814" i="4"/>
  <c r="Q814" i="4"/>
  <c r="P814" i="4"/>
  <c r="S813" i="4"/>
  <c r="R813" i="4"/>
  <c r="Q813" i="4"/>
  <c r="P813" i="4"/>
  <c r="S812" i="4"/>
  <c r="R812" i="4"/>
  <c r="Q812" i="4"/>
  <c r="P812" i="4"/>
  <c r="S811" i="4"/>
  <c r="R811" i="4"/>
  <c r="Q811" i="4"/>
  <c r="P811" i="4"/>
  <c r="S810" i="4"/>
  <c r="R810" i="4"/>
  <c r="Q810" i="4"/>
  <c r="P810" i="4"/>
  <c r="S809" i="4"/>
  <c r="R809" i="4"/>
  <c r="Q809" i="4"/>
  <c r="P809" i="4"/>
  <c r="S808" i="4"/>
  <c r="R808" i="4"/>
  <c r="Q808" i="4"/>
  <c r="P808" i="4"/>
  <c r="S807" i="4"/>
  <c r="R807" i="4"/>
  <c r="Q807" i="4"/>
  <c r="P807" i="4"/>
  <c r="S806" i="4"/>
  <c r="R806" i="4"/>
  <c r="Q806" i="4"/>
  <c r="P806" i="4"/>
  <c r="S805" i="4"/>
  <c r="R805" i="4"/>
  <c r="Q805" i="4"/>
  <c r="P805" i="4"/>
  <c r="S804" i="4"/>
  <c r="R804" i="4"/>
  <c r="Q804" i="4"/>
  <c r="P804" i="4"/>
  <c r="S803" i="4"/>
  <c r="R803" i="4"/>
  <c r="Q803" i="4"/>
  <c r="P803" i="4"/>
  <c r="S802" i="4"/>
  <c r="R802" i="4"/>
  <c r="Q802" i="4"/>
  <c r="P802" i="4"/>
  <c r="S801" i="4"/>
  <c r="R801" i="4"/>
  <c r="Q801" i="4"/>
  <c r="P801" i="4"/>
  <c r="S800" i="4"/>
  <c r="R800" i="4"/>
  <c r="Q800" i="4"/>
  <c r="P800" i="4"/>
  <c r="S799" i="4"/>
  <c r="R799" i="4"/>
  <c r="Q799" i="4"/>
  <c r="P799" i="4"/>
  <c r="S798" i="4"/>
  <c r="R798" i="4"/>
  <c r="Q798" i="4"/>
  <c r="P798" i="4"/>
  <c r="S797" i="4"/>
  <c r="R797" i="4"/>
  <c r="Q797" i="4"/>
  <c r="P797" i="4"/>
  <c r="S796" i="4"/>
  <c r="R796" i="4"/>
  <c r="Q796" i="4"/>
  <c r="P796" i="4"/>
  <c r="S795" i="4"/>
  <c r="R795" i="4"/>
  <c r="Q795" i="4"/>
  <c r="P795" i="4"/>
  <c r="S794" i="4"/>
  <c r="R794" i="4"/>
  <c r="Q794" i="4"/>
  <c r="P794" i="4"/>
  <c r="S793" i="4"/>
  <c r="R793" i="4"/>
  <c r="Q793" i="4"/>
  <c r="P793" i="4"/>
  <c r="S792" i="4"/>
  <c r="R792" i="4"/>
  <c r="Q792" i="4"/>
  <c r="P792" i="4"/>
  <c r="S791" i="4"/>
  <c r="R791" i="4"/>
  <c r="Q791" i="4"/>
  <c r="P791" i="4"/>
  <c r="S790" i="4"/>
  <c r="R790" i="4"/>
  <c r="Q790" i="4"/>
  <c r="P790" i="4"/>
  <c r="S789" i="4"/>
  <c r="R789" i="4"/>
  <c r="Q789" i="4"/>
  <c r="P789" i="4"/>
  <c r="S788" i="4"/>
  <c r="R788" i="4"/>
  <c r="Q788" i="4"/>
  <c r="P788" i="4"/>
  <c r="S787" i="4"/>
  <c r="R787" i="4"/>
  <c r="Q787" i="4"/>
  <c r="P787" i="4"/>
  <c r="S786" i="4"/>
  <c r="R786" i="4"/>
  <c r="Q786" i="4"/>
  <c r="P786" i="4"/>
  <c r="S785" i="4"/>
  <c r="R785" i="4"/>
  <c r="Q785" i="4"/>
  <c r="P785" i="4"/>
  <c r="S784" i="4"/>
  <c r="R784" i="4"/>
  <c r="Q784" i="4"/>
  <c r="P784" i="4"/>
  <c r="S783" i="4"/>
  <c r="R783" i="4"/>
  <c r="Q783" i="4"/>
  <c r="P783" i="4"/>
  <c r="S782" i="4"/>
  <c r="R782" i="4"/>
  <c r="Q782" i="4"/>
  <c r="P782" i="4"/>
  <c r="S781" i="4"/>
  <c r="R781" i="4"/>
  <c r="Q781" i="4"/>
  <c r="P781" i="4"/>
  <c r="S780" i="4"/>
  <c r="R780" i="4"/>
  <c r="Q780" i="4"/>
  <c r="P780" i="4"/>
  <c r="S779" i="4"/>
  <c r="R779" i="4"/>
  <c r="Q779" i="4"/>
  <c r="P779" i="4"/>
  <c r="S778" i="4"/>
  <c r="R778" i="4"/>
  <c r="Q778" i="4"/>
  <c r="P778" i="4"/>
  <c r="S777" i="4"/>
  <c r="R777" i="4"/>
  <c r="Q777" i="4"/>
  <c r="P777" i="4"/>
  <c r="S776" i="4"/>
  <c r="R776" i="4"/>
  <c r="Q776" i="4"/>
  <c r="P776" i="4"/>
  <c r="S775" i="4"/>
  <c r="R775" i="4"/>
  <c r="Q775" i="4"/>
  <c r="P775" i="4"/>
  <c r="S774" i="4"/>
  <c r="R774" i="4"/>
  <c r="Q774" i="4"/>
  <c r="P774" i="4"/>
  <c r="S773" i="4"/>
  <c r="R773" i="4"/>
  <c r="Q773" i="4"/>
  <c r="P773" i="4"/>
  <c r="S772" i="4"/>
  <c r="R772" i="4"/>
  <c r="Q772" i="4"/>
  <c r="P772" i="4"/>
  <c r="S771" i="4"/>
  <c r="R771" i="4"/>
  <c r="Q771" i="4"/>
  <c r="P771" i="4"/>
  <c r="S770" i="4"/>
  <c r="R770" i="4"/>
  <c r="Q770" i="4"/>
  <c r="P770" i="4"/>
  <c r="S769" i="4"/>
  <c r="R769" i="4"/>
  <c r="Q769" i="4"/>
  <c r="P769" i="4"/>
  <c r="S768" i="4"/>
  <c r="R768" i="4"/>
  <c r="Q768" i="4"/>
  <c r="P768" i="4"/>
  <c r="S767" i="4"/>
  <c r="R767" i="4"/>
  <c r="Q767" i="4"/>
  <c r="P767" i="4"/>
  <c r="S766" i="4"/>
  <c r="R766" i="4"/>
  <c r="Q766" i="4"/>
  <c r="P766" i="4"/>
  <c r="S765" i="4"/>
  <c r="R765" i="4"/>
  <c r="Q765" i="4"/>
  <c r="P765" i="4"/>
  <c r="S764" i="4"/>
  <c r="R764" i="4"/>
  <c r="Q764" i="4"/>
  <c r="P764" i="4"/>
  <c r="S763" i="4"/>
  <c r="R763" i="4"/>
  <c r="Q763" i="4"/>
  <c r="P763" i="4"/>
  <c r="S762" i="4"/>
  <c r="R762" i="4"/>
  <c r="Q762" i="4"/>
  <c r="P762" i="4"/>
  <c r="S761" i="4"/>
  <c r="R761" i="4"/>
  <c r="Q761" i="4"/>
  <c r="P761" i="4"/>
  <c r="S760" i="4"/>
  <c r="R760" i="4"/>
  <c r="Q760" i="4"/>
  <c r="P760" i="4"/>
  <c r="S759" i="4"/>
  <c r="R759" i="4"/>
  <c r="Q759" i="4"/>
  <c r="P759" i="4"/>
  <c r="S758" i="4"/>
  <c r="R758" i="4"/>
  <c r="Q758" i="4"/>
  <c r="P758" i="4"/>
  <c r="S757" i="4"/>
  <c r="R757" i="4"/>
  <c r="Q757" i="4"/>
  <c r="P757" i="4"/>
  <c r="S756" i="4"/>
  <c r="R756" i="4"/>
  <c r="Q756" i="4"/>
  <c r="P756" i="4"/>
  <c r="S755" i="4"/>
  <c r="R755" i="4"/>
  <c r="Q755" i="4"/>
  <c r="P755" i="4"/>
  <c r="S754" i="4"/>
  <c r="R754" i="4"/>
  <c r="Q754" i="4"/>
  <c r="P754" i="4"/>
  <c r="S753" i="4"/>
  <c r="R753" i="4"/>
  <c r="Q753" i="4"/>
  <c r="P753" i="4"/>
  <c r="S752" i="4"/>
  <c r="R752" i="4"/>
  <c r="Q752" i="4"/>
  <c r="P752" i="4"/>
  <c r="S751" i="4"/>
  <c r="R751" i="4"/>
  <c r="Q751" i="4"/>
  <c r="P751" i="4"/>
  <c r="S750" i="4"/>
  <c r="R750" i="4"/>
  <c r="Q750" i="4"/>
  <c r="P750" i="4"/>
  <c r="S749" i="4"/>
  <c r="R749" i="4"/>
  <c r="Q749" i="4"/>
  <c r="P749" i="4"/>
  <c r="S748" i="4"/>
  <c r="R748" i="4"/>
  <c r="Q748" i="4"/>
  <c r="P748" i="4"/>
  <c r="S747" i="4"/>
  <c r="R747" i="4"/>
  <c r="Q747" i="4"/>
  <c r="P747" i="4"/>
  <c r="S746" i="4"/>
  <c r="R746" i="4"/>
  <c r="Q746" i="4"/>
  <c r="P746" i="4"/>
  <c r="S745" i="4"/>
  <c r="R745" i="4"/>
  <c r="Q745" i="4"/>
  <c r="P745" i="4"/>
  <c r="S744" i="4"/>
  <c r="R744" i="4"/>
  <c r="Q744" i="4"/>
  <c r="P744" i="4"/>
  <c r="S743" i="4"/>
  <c r="R743" i="4"/>
  <c r="Q743" i="4"/>
  <c r="P743" i="4"/>
  <c r="S742" i="4"/>
  <c r="R742" i="4"/>
  <c r="Q742" i="4"/>
  <c r="P742" i="4"/>
  <c r="S741" i="4"/>
  <c r="R741" i="4"/>
  <c r="Q741" i="4"/>
  <c r="P741" i="4"/>
  <c r="S740" i="4"/>
  <c r="R740" i="4"/>
  <c r="Q740" i="4"/>
  <c r="P740" i="4"/>
  <c r="S739" i="4"/>
  <c r="R739" i="4"/>
  <c r="Q739" i="4"/>
  <c r="P739" i="4"/>
  <c r="S738" i="4"/>
  <c r="R738" i="4"/>
  <c r="Q738" i="4"/>
  <c r="P738" i="4"/>
  <c r="S737" i="4"/>
  <c r="R737" i="4"/>
  <c r="Q737" i="4"/>
  <c r="P737" i="4"/>
  <c r="S736" i="4"/>
  <c r="R736" i="4"/>
  <c r="Q736" i="4"/>
  <c r="P736" i="4"/>
  <c r="S735" i="4"/>
  <c r="R735" i="4"/>
  <c r="Q735" i="4"/>
  <c r="P735" i="4"/>
  <c r="S734" i="4"/>
  <c r="R734" i="4"/>
  <c r="Q734" i="4"/>
  <c r="P734" i="4"/>
  <c r="S733" i="4"/>
  <c r="R733" i="4"/>
  <c r="Q733" i="4"/>
  <c r="P733" i="4"/>
  <c r="S732" i="4"/>
  <c r="R732" i="4"/>
  <c r="Q732" i="4"/>
  <c r="P732" i="4"/>
  <c r="S731" i="4"/>
  <c r="R731" i="4"/>
  <c r="Q731" i="4"/>
  <c r="P731" i="4"/>
  <c r="S730" i="4"/>
  <c r="R730" i="4"/>
  <c r="Q730" i="4"/>
  <c r="P730" i="4"/>
  <c r="S729" i="4"/>
  <c r="R729" i="4"/>
  <c r="Q729" i="4"/>
  <c r="P729" i="4"/>
  <c r="S728" i="4"/>
  <c r="R728" i="4"/>
  <c r="Q728" i="4"/>
  <c r="P728" i="4"/>
  <c r="S727" i="4"/>
  <c r="R727" i="4"/>
  <c r="Q727" i="4"/>
  <c r="P727" i="4"/>
  <c r="S726" i="4"/>
  <c r="R726" i="4"/>
  <c r="Q726" i="4"/>
  <c r="P726" i="4"/>
  <c r="S725" i="4"/>
  <c r="R725" i="4"/>
  <c r="Q725" i="4"/>
  <c r="P725" i="4"/>
  <c r="S724" i="4"/>
  <c r="R724" i="4"/>
  <c r="Q724" i="4"/>
  <c r="P724" i="4"/>
  <c r="S723" i="4"/>
  <c r="R723" i="4"/>
  <c r="Q723" i="4"/>
  <c r="P723" i="4"/>
  <c r="S722" i="4"/>
  <c r="R722" i="4"/>
  <c r="Q722" i="4"/>
  <c r="P722" i="4"/>
  <c r="S721" i="4"/>
  <c r="R721" i="4"/>
  <c r="Q721" i="4"/>
  <c r="P721" i="4"/>
  <c r="S720" i="4"/>
  <c r="R720" i="4"/>
  <c r="Q720" i="4"/>
  <c r="P720" i="4"/>
  <c r="S719" i="4"/>
  <c r="R719" i="4"/>
  <c r="Q719" i="4"/>
  <c r="P719" i="4"/>
  <c r="S718" i="4"/>
  <c r="R718" i="4"/>
  <c r="Q718" i="4"/>
  <c r="P718" i="4"/>
  <c r="S717" i="4"/>
  <c r="R717" i="4"/>
  <c r="Q717" i="4"/>
  <c r="P717" i="4"/>
  <c r="S716" i="4"/>
  <c r="R716" i="4"/>
  <c r="Q716" i="4"/>
  <c r="P716" i="4"/>
  <c r="S715" i="4"/>
  <c r="R715" i="4"/>
  <c r="Q715" i="4"/>
  <c r="P715" i="4"/>
  <c r="S714" i="4"/>
  <c r="R714" i="4"/>
  <c r="Q714" i="4"/>
  <c r="P714" i="4"/>
  <c r="S713" i="4"/>
  <c r="R713" i="4"/>
  <c r="Q713" i="4"/>
  <c r="P713" i="4"/>
  <c r="S712" i="4"/>
  <c r="R712" i="4"/>
  <c r="Q712" i="4"/>
  <c r="P712" i="4"/>
  <c r="S711" i="4"/>
  <c r="R711" i="4"/>
  <c r="Q711" i="4"/>
  <c r="P711" i="4"/>
  <c r="S710" i="4"/>
  <c r="R710" i="4"/>
  <c r="Q710" i="4"/>
  <c r="P710" i="4"/>
  <c r="S709" i="4"/>
  <c r="R709" i="4"/>
  <c r="Q709" i="4"/>
  <c r="P709" i="4"/>
  <c r="S708" i="4"/>
  <c r="R708" i="4"/>
  <c r="Q708" i="4"/>
  <c r="P708" i="4"/>
  <c r="S707" i="4"/>
  <c r="R707" i="4"/>
  <c r="Q707" i="4"/>
  <c r="P707" i="4"/>
  <c r="S706" i="4"/>
  <c r="R706" i="4"/>
  <c r="Q706" i="4"/>
  <c r="P706" i="4"/>
  <c r="S705" i="4"/>
  <c r="R705" i="4"/>
  <c r="Q705" i="4"/>
  <c r="P705" i="4"/>
  <c r="S704" i="4"/>
  <c r="R704" i="4"/>
  <c r="Q704" i="4"/>
  <c r="P704" i="4"/>
  <c r="S703" i="4"/>
  <c r="R703" i="4"/>
  <c r="Q703" i="4"/>
  <c r="P703" i="4"/>
  <c r="S702" i="4"/>
  <c r="R702" i="4"/>
  <c r="Q702" i="4"/>
  <c r="P702" i="4"/>
  <c r="S701" i="4"/>
  <c r="R701" i="4"/>
  <c r="Q701" i="4"/>
  <c r="P701" i="4"/>
  <c r="S700" i="4"/>
  <c r="R700" i="4"/>
  <c r="Q700" i="4"/>
  <c r="P700" i="4"/>
  <c r="S699" i="4"/>
  <c r="R699" i="4"/>
  <c r="Q699" i="4"/>
  <c r="P699" i="4"/>
  <c r="S698" i="4"/>
  <c r="R698" i="4"/>
  <c r="Q698" i="4"/>
  <c r="P698" i="4"/>
  <c r="S697" i="4"/>
  <c r="R697" i="4"/>
  <c r="Q697" i="4"/>
  <c r="P697" i="4"/>
  <c r="S696" i="4"/>
  <c r="R696" i="4"/>
  <c r="Q696" i="4"/>
  <c r="P696" i="4"/>
  <c r="S695" i="4"/>
  <c r="R695" i="4"/>
  <c r="Q695" i="4"/>
  <c r="P695" i="4"/>
  <c r="S694" i="4"/>
  <c r="R694" i="4"/>
  <c r="Q694" i="4"/>
  <c r="P694" i="4"/>
  <c r="S693" i="4"/>
  <c r="R693" i="4"/>
  <c r="Q693" i="4"/>
  <c r="P693" i="4"/>
  <c r="S692" i="4"/>
  <c r="R692" i="4"/>
  <c r="Q692" i="4"/>
  <c r="P692" i="4"/>
  <c r="S691" i="4"/>
  <c r="R691" i="4"/>
  <c r="Q691" i="4"/>
  <c r="P691" i="4"/>
  <c r="S690" i="4"/>
  <c r="R690" i="4"/>
  <c r="Q690" i="4"/>
  <c r="P690" i="4"/>
  <c r="S689" i="4"/>
  <c r="R689" i="4"/>
  <c r="Q689" i="4"/>
  <c r="P689" i="4"/>
  <c r="S688" i="4"/>
  <c r="R688" i="4"/>
  <c r="Q688" i="4"/>
  <c r="P688" i="4"/>
  <c r="S687" i="4"/>
  <c r="R687" i="4"/>
  <c r="Q687" i="4"/>
  <c r="P687" i="4"/>
  <c r="S686" i="4"/>
  <c r="R686" i="4"/>
  <c r="Q686" i="4"/>
  <c r="P686" i="4"/>
  <c r="S685" i="4"/>
  <c r="R685" i="4"/>
  <c r="Q685" i="4"/>
  <c r="P685" i="4"/>
  <c r="S684" i="4"/>
  <c r="R684" i="4"/>
  <c r="Q684" i="4"/>
  <c r="P684" i="4"/>
  <c r="S683" i="4"/>
  <c r="R683" i="4"/>
  <c r="Q683" i="4"/>
  <c r="P683" i="4"/>
  <c r="S682" i="4"/>
  <c r="R682" i="4"/>
  <c r="Q682" i="4"/>
  <c r="P682" i="4"/>
  <c r="S681" i="4"/>
  <c r="R681" i="4"/>
  <c r="Q681" i="4"/>
  <c r="P681" i="4"/>
  <c r="S680" i="4"/>
  <c r="R680" i="4"/>
  <c r="Q680" i="4"/>
  <c r="P680" i="4"/>
  <c r="S679" i="4"/>
  <c r="R679" i="4"/>
  <c r="Q679" i="4"/>
  <c r="P679" i="4"/>
  <c r="S678" i="4"/>
  <c r="R678" i="4"/>
  <c r="Q678" i="4"/>
  <c r="P678" i="4"/>
  <c r="S677" i="4"/>
  <c r="R677" i="4"/>
  <c r="Q677" i="4"/>
  <c r="P677" i="4"/>
  <c r="S676" i="4"/>
  <c r="R676" i="4"/>
  <c r="Q676" i="4"/>
  <c r="P676" i="4"/>
  <c r="S675" i="4"/>
  <c r="R675" i="4"/>
  <c r="Q675" i="4"/>
  <c r="P675" i="4"/>
  <c r="S674" i="4"/>
  <c r="R674" i="4"/>
  <c r="Q674" i="4"/>
  <c r="P674" i="4"/>
  <c r="S673" i="4"/>
  <c r="R673" i="4"/>
  <c r="Q673" i="4"/>
  <c r="P673" i="4"/>
  <c r="S672" i="4"/>
  <c r="R672" i="4"/>
  <c r="Q672" i="4"/>
  <c r="P672" i="4"/>
  <c r="S671" i="4"/>
  <c r="R671" i="4"/>
  <c r="Q671" i="4"/>
  <c r="P671" i="4"/>
  <c r="S670" i="4"/>
  <c r="R670" i="4"/>
  <c r="Q670" i="4"/>
  <c r="P670" i="4"/>
  <c r="S669" i="4"/>
  <c r="R669" i="4"/>
  <c r="Q669" i="4"/>
  <c r="P669" i="4"/>
  <c r="S668" i="4"/>
  <c r="R668" i="4"/>
  <c r="Q668" i="4"/>
  <c r="P668" i="4"/>
  <c r="S667" i="4"/>
  <c r="R667" i="4"/>
  <c r="Q667" i="4"/>
  <c r="P667" i="4"/>
  <c r="S666" i="4"/>
  <c r="R666" i="4"/>
  <c r="Q666" i="4"/>
  <c r="P666" i="4"/>
  <c r="S665" i="4"/>
  <c r="R665" i="4"/>
  <c r="Q665" i="4"/>
  <c r="P665" i="4"/>
  <c r="S664" i="4"/>
  <c r="R664" i="4"/>
  <c r="Q664" i="4"/>
  <c r="P664" i="4"/>
  <c r="S663" i="4"/>
  <c r="R663" i="4"/>
  <c r="Q663" i="4"/>
  <c r="P663" i="4"/>
  <c r="S662" i="4"/>
  <c r="R662" i="4"/>
  <c r="Q662" i="4"/>
  <c r="P662" i="4"/>
  <c r="S661" i="4"/>
  <c r="R661" i="4"/>
  <c r="Q661" i="4"/>
  <c r="P661" i="4"/>
  <c r="S660" i="4"/>
  <c r="R660" i="4"/>
  <c r="Q660" i="4"/>
  <c r="P660" i="4"/>
  <c r="S659" i="4"/>
  <c r="R659" i="4"/>
  <c r="Q659" i="4"/>
  <c r="P659" i="4"/>
  <c r="S658" i="4"/>
  <c r="R658" i="4"/>
  <c r="Q658" i="4"/>
  <c r="P658" i="4"/>
  <c r="S657" i="4"/>
  <c r="R657" i="4"/>
  <c r="Q657" i="4"/>
  <c r="P657" i="4"/>
  <c r="S656" i="4"/>
  <c r="R656" i="4"/>
  <c r="Q656" i="4"/>
  <c r="P656" i="4"/>
  <c r="S655" i="4"/>
  <c r="R655" i="4"/>
  <c r="Q655" i="4"/>
  <c r="P655" i="4"/>
  <c r="S654" i="4"/>
  <c r="R654" i="4"/>
  <c r="Q654" i="4"/>
  <c r="P654" i="4"/>
  <c r="S653" i="4"/>
  <c r="R653" i="4"/>
  <c r="Q653" i="4"/>
  <c r="P653" i="4"/>
  <c r="S652" i="4"/>
  <c r="R652" i="4"/>
  <c r="Q652" i="4"/>
  <c r="P652" i="4"/>
  <c r="S651" i="4"/>
  <c r="R651" i="4"/>
  <c r="Q651" i="4"/>
  <c r="P651" i="4"/>
  <c r="S650" i="4"/>
  <c r="R650" i="4"/>
  <c r="Q650" i="4"/>
  <c r="P650" i="4"/>
  <c r="S649" i="4"/>
  <c r="R649" i="4"/>
  <c r="Q649" i="4"/>
  <c r="P649" i="4"/>
  <c r="S648" i="4"/>
  <c r="R648" i="4"/>
  <c r="Q648" i="4"/>
  <c r="P648" i="4"/>
  <c r="S647" i="4"/>
  <c r="R647" i="4"/>
  <c r="Q647" i="4"/>
  <c r="P647" i="4"/>
  <c r="S646" i="4"/>
  <c r="R646" i="4"/>
  <c r="Q646" i="4"/>
  <c r="P646" i="4"/>
  <c r="S645" i="4"/>
  <c r="R645" i="4"/>
  <c r="Q645" i="4"/>
  <c r="P645" i="4"/>
  <c r="S644" i="4"/>
  <c r="R644" i="4"/>
  <c r="Q644" i="4"/>
  <c r="P644" i="4"/>
  <c r="S643" i="4"/>
  <c r="R643" i="4"/>
  <c r="Q643" i="4"/>
  <c r="P643" i="4"/>
  <c r="S642" i="4"/>
  <c r="R642" i="4"/>
  <c r="Q642" i="4"/>
  <c r="P642" i="4"/>
  <c r="S641" i="4"/>
  <c r="R641" i="4"/>
  <c r="Q641" i="4"/>
  <c r="P641" i="4"/>
  <c r="S640" i="4"/>
  <c r="R640" i="4"/>
  <c r="Q640" i="4"/>
  <c r="P640" i="4"/>
  <c r="S639" i="4"/>
  <c r="R639" i="4"/>
  <c r="Q639" i="4"/>
  <c r="P639" i="4"/>
  <c r="S638" i="4"/>
  <c r="R638" i="4"/>
  <c r="Q638" i="4"/>
  <c r="P638" i="4"/>
  <c r="S637" i="4"/>
  <c r="R637" i="4"/>
  <c r="Q637" i="4"/>
  <c r="P637" i="4"/>
  <c r="S636" i="4"/>
  <c r="R636" i="4"/>
  <c r="Q636" i="4"/>
  <c r="P636" i="4"/>
  <c r="S635" i="4"/>
  <c r="R635" i="4"/>
  <c r="Q635" i="4"/>
  <c r="P635" i="4"/>
  <c r="S634" i="4"/>
  <c r="R634" i="4"/>
  <c r="Q634" i="4"/>
  <c r="P634" i="4"/>
  <c r="S633" i="4"/>
  <c r="R633" i="4"/>
  <c r="Q633" i="4"/>
  <c r="P633" i="4"/>
  <c r="S632" i="4"/>
  <c r="R632" i="4"/>
  <c r="Q632" i="4"/>
  <c r="P632" i="4"/>
  <c r="S631" i="4"/>
  <c r="R631" i="4"/>
  <c r="Q631" i="4"/>
  <c r="P631" i="4"/>
  <c r="S630" i="4"/>
  <c r="R630" i="4"/>
  <c r="Q630" i="4"/>
  <c r="P630" i="4"/>
  <c r="S629" i="4"/>
  <c r="R629" i="4"/>
  <c r="Q629" i="4"/>
  <c r="P629" i="4"/>
  <c r="S628" i="4"/>
  <c r="R628" i="4"/>
  <c r="Q628" i="4"/>
  <c r="P628" i="4"/>
  <c r="S627" i="4"/>
  <c r="R627" i="4"/>
  <c r="Q627" i="4"/>
  <c r="P627" i="4"/>
  <c r="S626" i="4"/>
  <c r="R626" i="4"/>
  <c r="Q626" i="4"/>
  <c r="P626" i="4"/>
  <c r="S625" i="4"/>
  <c r="R625" i="4"/>
  <c r="Q625" i="4"/>
  <c r="P625" i="4"/>
  <c r="S624" i="4"/>
  <c r="R624" i="4"/>
  <c r="Q624" i="4"/>
  <c r="P624" i="4"/>
  <c r="S623" i="4"/>
  <c r="R623" i="4"/>
  <c r="Q623" i="4"/>
  <c r="P623" i="4"/>
  <c r="S622" i="4"/>
  <c r="R622" i="4"/>
  <c r="Q622" i="4"/>
  <c r="P622" i="4"/>
  <c r="S621" i="4"/>
  <c r="R621" i="4"/>
  <c r="Q621" i="4"/>
  <c r="P621" i="4"/>
  <c r="S620" i="4"/>
  <c r="R620" i="4"/>
  <c r="Q620" i="4"/>
  <c r="P620" i="4"/>
  <c r="S619" i="4"/>
  <c r="R619" i="4"/>
  <c r="Q619" i="4"/>
  <c r="P619" i="4"/>
  <c r="S618" i="4"/>
  <c r="R618" i="4"/>
  <c r="Q618" i="4"/>
  <c r="P618" i="4"/>
  <c r="S617" i="4"/>
  <c r="R617" i="4"/>
  <c r="Q617" i="4"/>
  <c r="P617" i="4"/>
  <c r="S616" i="4"/>
  <c r="R616" i="4"/>
  <c r="Q616" i="4"/>
  <c r="P616" i="4"/>
  <c r="S615" i="4"/>
  <c r="R615" i="4"/>
  <c r="Q615" i="4"/>
  <c r="P615" i="4"/>
  <c r="S614" i="4"/>
  <c r="R614" i="4"/>
  <c r="Q614" i="4"/>
  <c r="P614" i="4"/>
  <c r="S613" i="4"/>
  <c r="R613" i="4"/>
  <c r="Q613" i="4"/>
  <c r="P613" i="4"/>
  <c r="S612" i="4"/>
  <c r="R612" i="4"/>
  <c r="Q612" i="4"/>
  <c r="P612" i="4"/>
  <c r="S611" i="4"/>
  <c r="R611" i="4"/>
  <c r="Q611" i="4"/>
  <c r="P611" i="4"/>
  <c r="S610" i="4"/>
  <c r="R610" i="4"/>
  <c r="Q610" i="4"/>
  <c r="P610" i="4"/>
  <c r="S609" i="4"/>
  <c r="R609" i="4"/>
  <c r="Q609" i="4"/>
  <c r="P609" i="4"/>
  <c r="S608" i="4"/>
  <c r="R608" i="4"/>
  <c r="Q608" i="4"/>
  <c r="P608" i="4"/>
  <c r="S607" i="4"/>
  <c r="R607" i="4"/>
  <c r="Q607" i="4"/>
  <c r="P607" i="4"/>
  <c r="S606" i="4"/>
  <c r="R606" i="4"/>
  <c r="Q606" i="4"/>
  <c r="P606" i="4"/>
  <c r="S605" i="4"/>
  <c r="R605" i="4"/>
  <c r="Q605" i="4"/>
  <c r="P605" i="4"/>
  <c r="S604" i="4"/>
  <c r="R604" i="4"/>
  <c r="Q604" i="4"/>
  <c r="P604" i="4"/>
  <c r="S603" i="4"/>
  <c r="R603" i="4"/>
  <c r="Q603" i="4"/>
  <c r="P603" i="4"/>
  <c r="S602" i="4"/>
  <c r="R602" i="4"/>
  <c r="Q602" i="4"/>
  <c r="P602" i="4"/>
  <c r="S601" i="4"/>
  <c r="R601" i="4"/>
  <c r="Q601" i="4"/>
  <c r="P601" i="4"/>
  <c r="S600" i="4"/>
  <c r="R600" i="4"/>
  <c r="Q600" i="4"/>
  <c r="P600" i="4"/>
  <c r="S599" i="4"/>
  <c r="R599" i="4"/>
  <c r="Q599" i="4"/>
  <c r="P599" i="4"/>
  <c r="S598" i="4"/>
  <c r="R598" i="4"/>
  <c r="Q598" i="4"/>
  <c r="P598" i="4"/>
  <c r="S597" i="4"/>
  <c r="R597" i="4"/>
  <c r="Q597" i="4"/>
  <c r="P597" i="4"/>
  <c r="S596" i="4"/>
  <c r="R596" i="4"/>
  <c r="Q596" i="4"/>
  <c r="P596" i="4"/>
  <c r="S595" i="4"/>
  <c r="R595" i="4"/>
  <c r="Q595" i="4"/>
  <c r="P595" i="4"/>
  <c r="S594" i="4"/>
  <c r="R594" i="4"/>
  <c r="Q594" i="4"/>
  <c r="P594" i="4"/>
  <c r="S593" i="4"/>
  <c r="R593" i="4"/>
  <c r="Q593" i="4"/>
  <c r="P593" i="4"/>
  <c r="S592" i="4"/>
  <c r="R592" i="4"/>
  <c r="Q592" i="4"/>
  <c r="P592" i="4"/>
  <c r="S591" i="4"/>
  <c r="R591" i="4"/>
  <c r="Q591" i="4"/>
  <c r="P591" i="4"/>
  <c r="S590" i="4"/>
  <c r="R590" i="4"/>
  <c r="Q590" i="4"/>
  <c r="P590" i="4"/>
  <c r="S589" i="4"/>
  <c r="R589" i="4"/>
  <c r="Q589" i="4"/>
  <c r="P589" i="4"/>
  <c r="S588" i="4"/>
  <c r="R588" i="4"/>
  <c r="Q588" i="4"/>
  <c r="P588" i="4"/>
  <c r="S587" i="4"/>
  <c r="R587" i="4"/>
  <c r="Q587" i="4"/>
  <c r="P587" i="4"/>
  <c r="S586" i="4"/>
  <c r="R586" i="4"/>
  <c r="Q586" i="4"/>
  <c r="P586" i="4"/>
  <c r="S585" i="4"/>
  <c r="R585" i="4"/>
  <c r="Q585" i="4"/>
  <c r="P585" i="4"/>
  <c r="S584" i="4"/>
  <c r="R584" i="4"/>
  <c r="Q584" i="4"/>
  <c r="P584" i="4"/>
  <c r="S583" i="4"/>
  <c r="R583" i="4"/>
  <c r="Q583" i="4"/>
  <c r="P583" i="4"/>
  <c r="S582" i="4"/>
  <c r="R582" i="4"/>
  <c r="Q582" i="4"/>
  <c r="P582" i="4"/>
  <c r="S581" i="4"/>
  <c r="R581" i="4"/>
  <c r="Q581" i="4"/>
  <c r="P581" i="4"/>
  <c r="S580" i="4"/>
  <c r="R580" i="4"/>
  <c r="Q580" i="4"/>
  <c r="P580" i="4"/>
  <c r="S579" i="4"/>
  <c r="R579" i="4"/>
  <c r="Q579" i="4"/>
  <c r="P579" i="4"/>
  <c r="S578" i="4"/>
  <c r="R578" i="4"/>
  <c r="Q578" i="4"/>
  <c r="P578" i="4"/>
  <c r="S577" i="4"/>
  <c r="R577" i="4"/>
  <c r="Q577" i="4"/>
  <c r="P577" i="4"/>
  <c r="S576" i="4"/>
  <c r="R576" i="4"/>
  <c r="Q576" i="4"/>
  <c r="P576" i="4"/>
  <c r="S575" i="4"/>
  <c r="R575" i="4"/>
  <c r="Q575" i="4"/>
  <c r="P575" i="4"/>
  <c r="S574" i="4"/>
  <c r="R574" i="4"/>
  <c r="Q574" i="4"/>
  <c r="P574" i="4"/>
  <c r="S573" i="4"/>
  <c r="R573" i="4"/>
  <c r="Q573" i="4"/>
  <c r="P573" i="4"/>
  <c r="S572" i="4"/>
  <c r="R572" i="4"/>
  <c r="Q572" i="4"/>
  <c r="P572" i="4"/>
  <c r="S571" i="4"/>
  <c r="R571" i="4"/>
  <c r="Q571" i="4"/>
  <c r="P571" i="4"/>
  <c r="S570" i="4"/>
  <c r="R570" i="4"/>
  <c r="Q570" i="4"/>
  <c r="P570" i="4"/>
  <c r="S569" i="4"/>
  <c r="R569" i="4"/>
  <c r="Q569" i="4"/>
  <c r="P569" i="4"/>
  <c r="S568" i="4"/>
  <c r="R568" i="4"/>
  <c r="Q568" i="4"/>
  <c r="P568" i="4"/>
  <c r="S567" i="4"/>
  <c r="R567" i="4"/>
  <c r="Q567" i="4"/>
  <c r="P567" i="4"/>
  <c r="S566" i="4"/>
  <c r="R566" i="4"/>
  <c r="Q566" i="4"/>
  <c r="P566" i="4"/>
  <c r="S565" i="4"/>
  <c r="R565" i="4"/>
  <c r="Q565" i="4"/>
  <c r="P565" i="4"/>
  <c r="S564" i="4"/>
  <c r="R564" i="4"/>
  <c r="Q564" i="4"/>
  <c r="P564" i="4"/>
  <c r="S563" i="4"/>
  <c r="R563" i="4"/>
  <c r="Q563" i="4"/>
  <c r="P563" i="4"/>
  <c r="S562" i="4"/>
  <c r="R562" i="4"/>
  <c r="Q562" i="4"/>
  <c r="P562" i="4"/>
  <c r="S561" i="4"/>
  <c r="R561" i="4"/>
  <c r="Q561" i="4"/>
  <c r="P561" i="4"/>
  <c r="S560" i="4"/>
  <c r="R560" i="4"/>
  <c r="Q560" i="4"/>
  <c r="P560" i="4"/>
  <c r="S559" i="4"/>
  <c r="R559" i="4"/>
  <c r="Q559" i="4"/>
  <c r="P559" i="4"/>
  <c r="S558" i="4"/>
  <c r="R558" i="4"/>
  <c r="Q558" i="4"/>
  <c r="P558" i="4"/>
  <c r="S557" i="4"/>
  <c r="R557" i="4"/>
  <c r="Q557" i="4"/>
  <c r="P557" i="4"/>
  <c r="S556" i="4"/>
  <c r="R556" i="4"/>
  <c r="Q556" i="4"/>
  <c r="P556" i="4"/>
  <c r="S555" i="4"/>
  <c r="R555" i="4"/>
  <c r="Q555" i="4"/>
  <c r="P555" i="4"/>
  <c r="S554" i="4"/>
  <c r="R554" i="4"/>
  <c r="Q554" i="4"/>
  <c r="P554" i="4"/>
  <c r="S553" i="4"/>
  <c r="R553" i="4"/>
  <c r="Q553" i="4"/>
  <c r="P553" i="4"/>
  <c r="S552" i="4"/>
  <c r="R552" i="4"/>
  <c r="Q552" i="4"/>
  <c r="P552" i="4"/>
  <c r="S551" i="4"/>
  <c r="R551" i="4"/>
  <c r="Q551" i="4"/>
  <c r="P551" i="4"/>
  <c r="S550" i="4"/>
  <c r="R550" i="4"/>
  <c r="Q550" i="4"/>
  <c r="P550" i="4"/>
  <c r="S549" i="4"/>
  <c r="R549" i="4"/>
  <c r="Q549" i="4"/>
  <c r="P549" i="4"/>
  <c r="S548" i="4"/>
  <c r="R548" i="4"/>
  <c r="Q548" i="4"/>
  <c r="P548" i="4"/>
  <c r="S547" i="4"/>
  <c r="R547" i="4"/>
  <c r="Q547" i="4"/>
  <c r="P547" i="4"/>
  <c r="S546" i="4"/>
  <c r="R546" i="4"/>
  <c r="Q546" i="4"/>
  <c r="P546" i="4"/>
  <c r="S545" i="4"/>
  <c r="R545" i="4"/>
  <c r="Q545" i="4"/>
  <c r="P545" i="4"/>
  <c r="S544" i="4"/>
  <c r="R544" i="4"/>
  <c r="Q544" i="4"/>
  <c r="P544" i="4"/>
  <c r="S543" i="4"/>
  <c r="R543" i="4"/>
  <c r="Q543" i="4"/>
  <c r="P543" i="4"/>
  <c r="S542" i="4"/>
  <c r="R542" i="4"/>
  <c r="Q542" i="4"/>
  <c r="P542" i="4"/>
  <c r="S541" i="4"/>
  <c r="R541" i="4"/>
  <c r="Q541" i="4"/>
  <c r="P541" i="4"/>
  <c r="S540" i="4"/>
  <c r="R540" i="4"/>
  <c r="Q540" i="4"/>
  <c r="P540" i="4"/>
  <c r="S539" i="4"/>
  <c r="R539" i="4"/>
  <c r="Q539" i="4"/>
  <c r="P539" i="4"/>
  <c r="S538" i="4"/>
  <c r="R538" i="4"/>
  <c r="Q538" i="4"/>
  <c r="P538" i="4"/>
  <c r="S537" i="4"/>
  <c r="R537" i="4"/>
  <c r="Q537" i="4"/>
  <c r="P537" i="4"/>
  <c r="S536" i="4"/>
  <c r="R536" i="4"/>
  <c r="Q536" i="4"/>
  <c r="P536" i="4"/>
  <c r="S535" i="4"/>
  <c r="R535" i="4"/>
  <c r="Q535" i="4"/>
  <c r="P535" i="4"/>
  <c r="S534" i="4"/>
  <c r="R534" i="4"/>
  <c r="Q534" i="4"/>
  <c r="P534" i="4"/>
  <c r="S533" i="4"/>
  <c r="R533" i="4"/>
  <c r="Q533" i="4"/>
  <c r="P533" i="4"/>
  <c r="S532" i="4"/>
  <c r="R532" i="4"/>
  <c r="Q532" i="4"/>
  <c r="P532" i="4"/>
  <c r="S531" i="4"/>
  <c r="R531" i="4"/>
  <c r="Q531" i="4"/>
  <c r="P531" i="4"/>
  <c r="S530" i="4"/>
  <c r="R530" i="4"/>
  <c r="Q530" i="4"/>
  <c r="P530" i="4"/>
  <c r="S529" i="4"/>
  <c r="R529" i="4"/>
  <c r="Q529" i="4"/>
  <c r="P529" i="4"/>
  <c r="S528" i="4"/>
  <c r="R528" i="4"/>
  <c r="Q528" i="4"/>
  <c r="P528" i="4"/>
  <c r="S527" i="4"/>
  <c r="R527" i="4"/>
  <c r="Q527" i="4"/>
  <c r="P527" i="4"/>
  <c r="S526" i="4"/>
  <c r="R526" i="4"/>
  <c r="Q526" i="4"/>
  <c r="P526" i="4"/>
  <c r="S525" i="4"/>
  <c r="R525" i="4"/>
  <c r="Q525" i="4"/>
  <c r="P525" i="4"/>
  <c r="S524" i="4"/>
  <c r="R524" i="4"/>
  <c r="Q524" i="4"/>
  <c r="P524" i="4"/>
  <c r="S523" i="4"/>
  <c r="R523" i="4"/>
  <c r="Q523" i="4"/>
  <c r="P523" i="4"/>
  <c r="S522" i="4"/>
  <c r="R522" i="4"/>
  <c r="Q522" i="4"/>
  <c r="P522" i="4"/>
  <c r="S521" i="4"/>
  <c r="R521" i="4"/>
  <c r="Q521" i="4"/>
  <c r="P521" i="4"/>
  <c r="S520" i="4"/>
  <c r="R520" i="4"/>
  <c r="Q520" i="4"/>
  <c r="P520" i="4"/>
  <c r="S519" i="4"/>
  <c r="R519" i="4"/>
  <c r="Q519" i="4"/>
  <c r="P519" i="4"/>
  <c r="S518" i="4"/>
  <c r="R518" i="4"/>
  <c r="Q518" i="4"/>
  <c r="P518" i="4"/>
  <c r="S517" i="4"/>
  <c r="R517" i="4"/>
  <c r="Q517" i="4"/>
  <c r="P517" i="4"/>
  <c r="S516" i="4"/>
  <c r="R516" i="4"/>
  <c r="Q516" i="4"/>
  <c r="P516" i="4"/>
  <c r="S515" i="4"/>
  <c r="R515" i="4"/>
  <c r="Q515" i="4"/>
  <c r="P515" i="4"/>
  <c r="S514" i="4"/>
  <c r="R514" i="4"/>
  <c r="Q514" i="4"/>
  <c r="P514" i="4"/>
  <c r="S513" i="4"/>
  <c r="R513" i="4"/>
  <c r="Q513" i="4"/>
  <c r="P513" i="4"/>
  <c r="S512" i="4"/>
  <c r="R512" i="4"/>
  <c r="Q512" i="4"/>
  <c r="P512" i="4"/>
  <c r="S511" i="4"/>
  <c r="R511" i="4"/>
  <c r="Q511" i="4"/>
  <c r="P511" i="4"/>
  <c r="S510" i="4"/>
  <c r="R510" i="4"/>
  <c r="Q510" i="4"/>
  <c r="P510" i="4"/>
  <c r="S509" i="4"/>
  <c r="R509" i="4"/>
  <c r="Q509" i="4"/>
  <c r="P509" i="4"/>
  <c r="S508" i="4"/>
  <c r="R508" i="4"/>
  <c r="Q508" i="4"/>
  <c r="P508" i="4"/>
  <c r="S507" i="4"/>
  <c r="R507" i="4"/>
  <c r="Q507" i="4"/>
  <c r="P507" i="4"/>
  <c r="S506" i="4"/>
  <c r="R506" i="4"/>
  <c r="Q506" i="4"/>
  <c r="P506" i="4"/>
  <c r="S505" i="4"/>
  <c r="R505" i="4"/>
  <c r="Q505" i="4"/>
  <c r="P505" i="4"/>
  <c r="S504" i="4"/>
  <c r="R504" i="4"/>
  <c r="Q504" i="4"/>
  <c r="P504" i="4"/>
  <c r="S503" i="4"/>
  <c r="R503" i="4"/>
  <c r="Q503" i="4"/>
  <c r="P503" i="4"/>
  <c r="S502" i="4"/>
  <c r="R502" i="4"/>
  <c r="Q502" i="4"/>
  <c r="P502" i="4"/>
  <c r="S501" i="4"/>
  <c r="R501" i="4"/>
  <c r="Q501" i="4"/>
  <c r="P501" i="4"/>
  <c r="S500" i="4"/>
  <c r="R500" i="4"/>
  <c r="Q500" i="4"/>
  <c r="P500" i="4"/>
  <c r="S499" i="4"/>
  <c r="R499" i="4"/>
  <c r="Q499" i="4"/>
  <c r="P499" i="4"/>
  <c r="S498" i="4"/>
  <c r="R498" i="4"/>
  <c r="Q498" i="4"/>
  <c r="P498" i="4"/>
  <c r="S497" i="4"/>
  <c r="R497" i="4"/>
  <c r="Q497" i="4"/>
  <c r="P497" i="4"/>
  <c r="S496" i="4"/>
  <c r="R496" i="4"/>
  <c r="Q496" i="4"/>
  <c r="P496" i="4"/>
  <c r="S495" i="4"/>
  <c r="R495" i="4"/>
  <c r="Q495" i="4"/>
  <c r="P495" i="4"/>
  <c r="S494" i="4"/>
  <c r="R494" i="4"/>
  <c r="Q494" i="4"/>
  <c r="P494" i="4"/>
  <c r="S493" i="4"/>
  <c r="R493" i="4"/>
  <c r="Q493" i="4"/>
  <c r="P493" i="4"/>
  <c r="S492" i="4"/>
  <c r="R492" i="4"/>
  <c r="Q492" i="4"/>
  <c r="P492" i="4"/>
  <c r="S491" i="4"/>
  <c r="R491" i="4"/>
  <c r="Q491" i="4"/>
  <c r="P491" i="4"/>
  <c r="S490" i="4"/>
  <c r="R490" i="4"/>
  <c r="Q490" i="4"/>
  <c r="P490" i="4"/>
  <c r="S489" i="4"/>
  <c r="R489" i="4"/>
  <c r="Q489" i="4"/>
  <c r="P489" i="4"/>
  <c r="S488" i="4"/>
  <c r="R488" i="4"/>
  <c r="Q488" i="4"/>
  <c r="P488" i="4"/>
  <c r="S487" i="4"/>
  <c r="R487" i="4"/>
  <c r="Q487" i="4"/>
  <c r="P487" i="4"/>
  <c r="S486" i="4"/>
  <c r="R486" i="4"/>
  <c r="Q486" i="4"/>
  <c r="P486" i="4"/>
  <c r="S485" i="4"/>
  <c r="R485" i="4"/>
  <c r="Q485" i="4"/>
  <c r="P485" i="4"/>
  <c r="S484" i="4"/>
  <c r="R484" i="4"/>
  <c r="Q484" i="4"/>
  <c r="P484" i="4"/>
  <c r="S483" i="4"/>
  <c r="R483" i="4"/>
  <c r="Q483" i="4"/>
  <c r="P483" i="4"/>
  <c r="S482" i="4"/>
  <c r="R482" i="4"/>
  <c r="Q482" i="4"/>
  <c r="P482" i="4"/>
  <c r="S481" i="4"/>
  <c r="R481" i="4"/>
  <c r="Q481" i="4"/>
  <c r="P481" i="4"/>
  <c r="S480" i="4"/>
  <c r="R480" i="4"/>
  <c r="Q480" i="4"/>
  <c r="P480" i="4"/>
  <c r="S479" i="4"/>
  <c r="R479" i="4"/>
  <c r="Q479" i="4"/>
  <c r="P479" i="4"/>
  <c r="S478" i="4"/>
  <c r="R478" i="4"/>
  <c r="Q478" i="4"/>
  <c r="P478" i="4"/>
  <c r="S477" i="4"/>
  <c r="R477" i="4"/>
  <c r="Q477" i="4"/>
  <c r="P477" i="4"/>
  <c r="S476" i="4"/>
  <c r="R476" i="4"/>
  <c r="Q476" i="4"/>
  <c r="P476" i="4"/>
  <c r="S475" i="4"/>
  <c r="R475" i="4"/>
  <c r="Q475" i="4"/>
  <c r="P475" i="4"/>
  <c r="S474" i="4"/>
  <c r="R474" i="4"/>
  <c r="Q474" i="4"/>
  <c r="P474" i="4"/>
  <c r="S473" i="4"/>
  <c r="R473" i="4"/>
  <c r="Q473" i="4"/>
  <c r="P473" i="4"/>
  <c r="S472" i="4"/>
  <c r="R472" i="4"/>
  <c r="Q472" i="4"/>
  <c r="P472" i="4"/>
  <c r="S471" i="4"/>
  <c r="R471" i="4"/>
  <c r="Q471" i="4"/>
  <c r="P471" i="4"/>
  <c r="S470" i="4"/>
  <c r="R470" i="4"/>
  <c r="Q470" i="4"/>
  <c r="P470" i="4"/>
  <c r="S469" i="4"/>
  <c r="R469" i="4"/>
  <c r="Q469" i="4"/>
  <c r="P469" i="4"/>
  <c r="S468" i="4"/>
  <c r="R468" i="4"/>
  <c r="Q468" i="4"/>
  <c r="P468" i="4"/>
  <c r="S467" i="4"/>
  <c r="R467" i="4"/>
  <c r="Q467" i="4"/>
  <c r="P467" i="4"/>
  <c r="S466" i="4"/>
  <c r="R466" i="4"/>
  <c r="Q466" i="4"/>
  <c r="P466" i="4"/>
  <c r="S465" i="4"/>
  <c r="R465" i="4"/>
  <c r="Q465" i="4"/>
  <c r="P465" i="4"/>
  <c r="S464" i="4"/>
  <c r="R464" i="4"/>
  <c r="Q464" i="4"/>
  <c r="P464" i="4"/>
  <c r="S463" i="4"/>
  <c r="R463" i="4"/>
  <c r="Q463" i="4"/>
  <c r="P463" i="4"/>
  <c r="S462" i="4"/>
  <c r="R462" i="4"/>
  <c r="Q462" i="4"/>
  <c r="P462" i="4"/>
  <c r="S461" i="4"/>
  <c r="R461" i="4"/>
  <c r="Q461" i="4"/>
  <c r="P461" i="4"/>
  <c r="S460" i="4"/>
  <c r="R460" i="4"/>
  <c r="Q460" i="4"/>
  <c r="P460" i="4"/>
  <c r="S459" i="4"/>
  <c r="R459" i="4"/>
  <c r="Q459" i="4"/>
  <c r="P459" i="4"/>
  <c r="S458" i="4"/>
  <c r="R458" i="4"/>
  <c r="Q458" i="4"/>
  <c r="P458" i="4"/>
  <c r="S457" i="4"/>
  <c r="R457" i="4"/>
  <c r="Q457" i="4"/>
  <c r="P457" i="4"/>
  <c r="S456" i="4"/>
  <c r="R456" i="4"/>
  <c r="Q456" i="4"/>
  <c r="P456" i="4"/>
  <c r="S455" i="4"/>
  <c r="R455" i="4"/>
  <c r="Q455" i="4"/>
  <c r="P455" i="4"/>
  <c r="S454" i="4"/>
  <c r="R454" i="4"/>
  <c r="Q454" i="4"/>
  <c r="P454" i="4"/>
  <c r="S453" i="4"/>
  <c r="R453" i="4"/>
  <c r="Q453" i="4"/>
  <c r="P453" i="4"/>
  <c r="S452" i="4"/>
  <c r="R452" i="4"/>
  <c r="Q452" i="4"/>
  <c r="P452" i="4"/>
  <c r="S451" i="4"/>
  <c r="R451" i="4"/>
  <c r="Q451" i="4"/>
  <c r="P451" i="4"/>
  <c r="S450" i="4"/>
  <c r="R450" i="4"/>
  <c r="Q450" i="4"/>
  <c r="P450" i="4"/>
  <c r="S449" i="4"/>
  <c r="R449" i="4"/>
  <c r="Q449" i="4"/>
  <c r="P449" i="4"/>
  <c r="S448" i="4"/>
  <c r="R448" i="4"/>
  <c r="Q448" i="4"/>
  <c r="P448" i="4"/>
  <c r="S447" i="4"/>
  <c r="R447" i="4"/>
  <c r="Q447" i="4"/>
  <c r="P447" i="4"/>
  <c r="S446" i="4"/>
  <c r="R446" i="4"/>
  <c r="Q446" i="4"/>
  <c r="P446" i="4"/>
  <c r="S445" i="4"/>
  <c r="R445" i="4"/>
  <c r="Q445" i="4"/>
  <c r="P445" i="4"/>
  <c r="S444" i="4"/>
  <c r="R444" i="4"/>
  <c r="Q444" i="4"/>
  <c r="P444" i="4"/>
  <c r="S443" i="4"/>
  <c r="R443" i="4"/>
  <c r="Q443" i="4"/>
  <c r="P443" i="4"/>
  <c r="S442" i="4"/>
  <c r="R442" i="4"/>
  <c r="Q442" i="4"/>
  <c r="P442" i="4"/>
  <c r="S441" i="4"/>
  <c r="R441" i="4"/>
  <c r="Q441" i="4"/>
  <c r="P441" i="4"/>
  <c r="S440" i="4"/>
  <c r="R440" i="4"/>
  <c r="Q440" i="4"/>
  <c r="P440" i="4"/>
  <c r="S439" i="4"/>
  <c r="R439" i="4"/>
  <c r="Q439" i="4"/>
  <c r="P439" i="4"/>
  <c r="S438" i="4"/>
  <c r="R438" i="4"/>
  <c r="Q438" i="4"/>
  <c r="P438" i="4"/>
  <c r="S437" i="4"/>
  <c r="R437" i="4"/>
  <c r="Q437" i="4"/>
  <c r="P437" i="4"/>
  <c r="S436" i="4"/>
  <c r="R436" i="4"/>
  <c r="Q436" i="4"/>
  <c r="P436" i="4"/>
  <c r="S435" i="4"/>
  <c r="R435" i="4"/>
  <c r="Q435" i="4"/>
  <c r="P435" i="4"/>
  <c r="S434" i="4"/>
  <c r="R434" i="4"/>
  <c r="Q434" i="4"/>
  <c r="P434" i="4"/>
  <c r="S433" i="4"/>
  <c r="R433" i="4"/>
  <c r="Q433" i="4"/>
  <c r="P433" i="4"/>
  <c r="S432" i="4"/>
  <c r="R432" i="4"/>
  <c r="Q432" i="4"/>
  <c r="P432" i="4"/>
  <c r="S431" i="4"/>
  <c r="R431" i="4"/>
  <c r="Q431" i="4"/>
  <c r="P431" i="4"/>
  <c r="S430" i="4"/>
  <c r="R430" i="4"/>
  <c r="Q430" i="4"/>
  <c r="P430" i="4"/>
  <c r="S429" i="4"/>
  <c r="R429" i="4"/>
  <c r="Q429" i="4"/>
  <c r="P429" i="4"/>
  <c r="S428" i="4"/>
  <c r="R428" i="4"/>
  <c r="Q428" i="4"/>
  <c r="P428" i="4"/>
  <c r="S427" i="4"/>
  <c r="R427" i="4"/>
  <c r="Q427" i="4"/>
  <c r="P427" i="4"/>
  <c r="S426" i="4"/>
  <c r="R426" i="4"/>
  <c r="Q426" i="4"/>
  <c r="P426" i="4"/>
  <c r="S425" i="4"/>
  <c r="R425" i="4"/>
  <c r="Q425" i="4"/>
  <c r="P425" i="4"/>
  <c r="S424" i="4"/>
  <c r="R424" i="4"/>
  <c r="Q424" i="4"/>
  <c r="P424" i="4"/>
  <c r="AZ30" i="4"/>
  <c r="AY30" i="4"/>
  <c r="AX30" i="4"/>
  <c r="AZ29" i="4"/>
  <c r="AY29" i="4"/>
  <c r="AX29" i="4"/>
  <c r="AZ28" i="4"/>
  <c r="AY28" i="4"/>
  <c r="AX28" i="4"/>
  <c r="AY27" i="4"/>
  <c r="AX27" i="4"/>
  <c r="AZ27" i="4" s="1"/>
  <c r="AZ26" i="4"/>
  <c r="AY26" i="4"/>
  <c r="AX26" i="4"/>
  <c r="AZ25" i="4"/>
  <c r="AY25" i="4"/>
  <c r="AX25" i="4"/>
  <c r="AY24" i="4"/>
  <c r="AX24" i="4"/>
  <c r="AZ24" i="4" s="1"/>
  <c r="AK23" i="4"/>
  <c r="AH23" i="4"/>
  <c r="AA23" i="4"/>
  <c r="AN23" i="4" s="1"/>
  <c r="AP23" i="4" s="1"/>
  <c r="Z23" i="4"/>
  <c r="Y23" i="4"/>
  <c r="X23" i="4"/>
  <c r="W23" i="4"/>
  <c r="V23" i="4"/>
  <c r="AE23" i="4" s="1"/>
  <c r="U23" i="4"/>
  <c r="T23" i="4"/>
  <c r="AB23" i="4" s="1"/>
  <c r="S23" i="4"/>
  <c r="R23" i="4"/>
  <c r="Q23" i="4"/>
  <c r="P23" i="4"/>
  <c r="AC23" i="4" s="1"/>
  <c r="AD23" i="4" s="1"/>
  <c r="AO22" i="4"/>
  <c r="AH22" i="4"/>
  <c r="AC22" i="4"/>
  <c r="AD22" i="4" s="1"/>
  <c r="AA22" i="4"/>
  <c r="AN22" i="4" s="1"/>
  <c r="Z22" i="4"/>
  <c r="Y22" i="4"/>
  <c r="X22" i="4"/>
  <c r="W22" i="4"/>
  <c r="V22" i="4"/>
  <c r="U22" i="4"/>
  <c r="T22" i="4"/>
  <c r="AB22" i="4" s="1"/>
  <c r="S22" i="4"/>
  <c r="R22" i="4"/>
  <c r="Q22" i="4"/>
  <c r="P22" i="4"/>
  <c r="AR21" i="4"/>
  <c r="AH21" i="4"/>
  <c r="AA21" i="4"/>
  <c r="AN21" i="4" s="1"/>
  <c r="Z21" i="4"/>
  <c r="Y21" i="4"/>
  <c r="X21" i="4"/>
  <c r="W21" i="4"/>
  <c r="V21" i="4"/>
  <c r="U21" i="4"/>
  <c r="T21" i="4"/>
  <c r="S21" i="4"/>
  <c r="R21" i="4"/>
  <c r="AC21" i="4" s="1"/>
  <c r="AD21" i="4" s="1"/>
  <c r="Q21" i="4"/>
  <c r="P21" i="4"/>
  <c r="AO20" i="4"/>
  <c r="AH20" i="4"/>
  <c r="AC20" i="4"/>
  <c r="AD20" i="4" s="1"/>
  <c r="AA20" i="4"/>
  <c r="Z20" i="4"/>
  <c r="Y20" i="4"/>
  <c r="X20" i="4"/>
  <c r="W20" i="4"/>
  <c r="V20" i="4"/>
  <c r="U20" i="4"/>
  <c r="T20" i="4"/>
  <c r="AB20" i="4" s="1"/>
  <c r="S20" i="4"/>
  <c r="R20" i="4"/>
  <c r="Q20" i="4"/>
  <c r="P20" i="4"/>
  <c r="AR20" i="4" s="1"/>
  <c r="AQ20" i="4" s="1"/>
  <c r="AA19" i="4"/>
  <c r="Z19" i="4"/>
  <c r="AN19" i="4" s="1"/>
  <c r="Y19" i="4"/>
  <c r="X19" i="4"/>
  <c r="W19" i="4"/>
  <c r="V19" i="4"/>
  <c r="AE19" i="4" s="1"/>
  <c r="U19" i="4"/>
  <c r="T19" i="4"/>
  <c r="AB19" i="4" s="1"/>
  <c r="S19" i="4"/>
  <c r="R19" i="4"/>
  <c r="AR19" i="4" s="1"/>
  <c r="AQ19" i="4" s="1"/>
  <c r="Q19" i="4"/>
  <c r="P19" i="4"/>
  <c r="AC19" i="4" s="1"/>
  <c r="AD19" i="4" s="1"/>
  <c r="AN18" i="4"/>
  <c r="AA18" i="4"/>
  <c r="Z18" i="4"/>
  <c r="Y18" i="4"/>
  <c r="X18" i="4"/>
  <c r="AH18" i="4" s="1"/>
  <c r="W18" i="4"/>
  <c r="V18" i="4"/>
  <c r="U18" i="4"/>
  <c r="T18" i="4"/>
  <c r="S18" i="4"/>
  <c r="R18" i="4"/>
  <c r="Q18" i="4"/>
  <c r="P18" i="4"/>
  <c r="AN17" i="4"/>
  <c r="AA17" i="4"/>
  <c r="Z17" i="4"/>
  <c r="Y17" i="4"/>
  <c r="X17" i="4"/>
  <c r="W17" i="4"/>
  <c r="V17" i="4"/>
  <c r="U17" i="4"/>
  <c r="T17" i="4"/>
  <c r="S17" i="4"/>
  <c r="R17" i="4"/>
  <c r="Q17" i="4"/>
  <c r="P17" i="4"/>
  <c r="AC17" i="4" s="1"/>
  <c r="AD17" i="4" s="1"/>
  <c r="AH16" i="4"/>
  <c r="AB16" i="4"/>
  <c r="AA16" i="4"/>
  <c r="AN16" i="4" s="1"/>
  <c r="Z16" i="4"/>
  <c r="Y16" i="4"/>
  <c r="X16" i="4"/>
  <c r="W16" i="4"/>
  <c r="V16" i="4"/>
  <c r="U16" i="4"/>
  <c r="T16" i="4"/>
  <c r="AC16" i="4" s="1"/>
  <c r="AD16" i="4" s="1"/>
  <c r="S16" i="4"/>
  <c r="R16" i="4"/>
  <c r="Q16" i="4"/>
  <c r="P16" i="4"/>
  <c r="AN15" i="4"/>
  <c r="AH15" i="4"/>
  <c r="AA15" i="4"/>
  <c r="Z15" i="4"/>
  <c r="Y15" i="4"/>
  <c r="X15" i="4"/>
  <c r="W15" i="4"/>
  <c r="V15" i="4"/>
  <c r="U15" i="4"/>
  <c r="T15" i="4"/>
  <c r="S15" i="4"/>
  <c r="R15" i="4"/>
  <c r="Q15" i="4"/>
  <c r="P15" i="4"/>
  <c r="AC15" i="4" s="1"/>
  <c r="AD15" i="4" s="1"/>
  <c r="AO14" i="4"/>
  <c r="AA14" i="4"/>
  <c r="AN14" i="4" s="1"/>
  <c r="Z14" i="4"/>
  <c r="Y14" i="4"/>
  <c r="X14" i="4"/>
  <c r="AY14" i="4" s="1"/>
  <c r="W14" i="4"/>
  <c r="V14" i="4"/>
  <c r="U14" i="4"/>
  <c r="T14" i="4"/>
  <c r="S14" i="4"/>
  <c r="R14" i="4"/>
  <c r="Q14" i="4"/>
  <c r="P14" i="4"/>
  <c r="AC14" i="4" s="1"/>
  <c r="AD14" i="4" s="1"/>
  <c r="AL14" i="4" s="1"/>
  <c r="AO13" i="4"/>
  <c r="AP13" i="4" s="1"/>
  <c r="AN13" i="4"/>
  <c r="AD13" i="4"/>
  <c r="AL13" i="4" s="1"/>
  <c r="AC13" i="4"/>
  <c r="AB13" i="4"/>
  <c r="AA13" i="4"/>
  <c r="Z13" i="4"/>
  <c r="Y13" i="4"/>
  <c r="X13" i="4"/>
  <c r="AY13" i="4" s="1"/>
  <c r="W13" i="4"/>
  <c r="V13" i="4"/>
  <c r="AE13" i="4" s="1"/>
  <c r="U13" i="4"/>
  <c r="T13" i="4"/>
  <c r="AR13" i="4" s="1"/>
  <c r="S13" i="4"/>
  <c r="R13" i="4"/>
  <c r="Q13" i="4"/>
  <c r="P13" i="4"/>
  <c r="AR12" i="4"/>
  <c r="AQ12" i="4" s="1"/>
  <c r="AO12" i="4"/>
  <c r="AH12" i="4"/>
  <c r="AA12" i="4"/>
  <c r="AN12" i="4" s="1"/>
  <c r="Z12" i="4"/>
  <c r="Y12" i="4"/>
  <c r="X12" i="4"/>
  <c r="W12" i="4"/>
  <c r="V12" i="4"/>
  <c r="U12" i="4"/>
  <c r="T12" i="4"/>
  <c r="S12" i="4"/>
  <c r="R12" i="4"/>
  <c r="AC12" i="4" s="1"/>
  <c r="AD12" i="4" s="1"/>
  <c r="Q12" i="4"/>
  <c r="AS12" i="4" s="1"/>
  <c r="AT12" i="4" s="1"/>
  <c r="P12" i="4"/>
  <c r="AN11" i="4"/>
  <c r="AH11" i="4"/>
  <c r="AB11" i="4"/>
  <c r="AA11" i="4"/>
  <c r="Z11" i="4"/>
  <c r="Y11" i="4"/>
  <c r="X11" i="4"/>
  <c r="W11" i="4"/>
  <c r="V11" i="4"/>
  <c r="U11" i="4"/>
  <c r="T11" i="4"/>
  <c r="AC11" i="4" s="1"/>
  <c r="AD11" i="4" s="1"/>
  <c r="S11" i="4"/>
  <c r="R11" i="4"/>
  <c r="Q11" i="4"/>
  <c r="AS11" i="4" s="1"/>
  <c r="AT11" i="4" s="1"/>
  <c r="AU11" i="4" s="1"/>
  <c r="P11" i="4"/>
  <c r="AR11" i="4" s="1"/>
  <c r="AQ11" i="4" s="1"/>
  <c r="AO10" i="4"/>
  <c r="AA10" i="4"/>
  <c r="Z10" i="4"/>
  <c r="AN10" i="4" s="1"/>
  <c r="AP10" i="4" s="1"/>
  <c r="Y10" i="4"/>
  <c r="X10" i="4"/>
  <c r="AH10" i="4" s="1"/>
  <c r="W10" i="4"/>
  <c r="V10" i="4"/>
  <c r="AE10" i="4" s="1"/>
  <c r="U10" i="4"/>
  <c r="T10" i="4"/>
  <c r="AB10" i="4" s="1"/>
  <c r="S10" i="4"/>
  <c r="R10" i="4"/>
  <c r="AR10" i="4" s="1"/>
  <c r="AQ10" i="4" s="1"/>
  <c r="Q10" i="4"/>
  <c r="P10" i="4"/>
  <c r="AC10" i="4" s="1"/>
  <c r="AD10" i="4" s="1"/>
  <c r="AR9" i="4"/>
  <c r="AS9" i="4" s="1"/>
  <c r="AO9" i="4"/>
  <c r="AP9" i="4" s="1"/>
  <c r="AN9" i="4"/>
  <c r="AD9" i="4"/>
  <c r="AL9" i="4" s="1"/>
  <c r="AC9" i="4"/>
  <c r="AB9" i="4"/>
  <c r="AA9" i="4"/>
  <c r="Z9" i="4"/>
  <c r="Y9" i="4"/>
  <c r="X9" i="4"/>
  <c r="AY9" i="4" s="1"/>
  <c r="W9" i="4"/>
  <c r="V9" i="4"/>
  <c r="AE9" i="4" s="1"/>
  <c r="U9" i="4"/>
  <c r="T9" i="4"/>
  <c r="S9" i="4"/>
  <c r="R9" i="4"/>
  <c r="Q9" i="4"/>
  <c r="P9" i="4"/>
  <c r="AB8" i="4"/>
  <c r="AA8" i="4"/>
  <c r="AN8" i="4" s="1"/>
  <c r="Z8" i="4"/>
  <c r="Y8" i="4"/>
  <c r="X8" i="4"/>
  <c r="W8" i="4"/>
  <c r="V8" i="4"/>
  <c r="U8" i="4"/>
  <c r="T8" i="4"/>
  <c r="S8" i="4"/>
  <c r="R8" i="4"/>
  <c r="Q8" i="4"/>
  <c r="P8" i="4"/>
  <c r="AR8" i="4" s="1"/>
  <c r="AQ8" i="4" s="1"/>
  <c r="AP7" i="4"/>
  <c r="AO7" i="4"/>
  <c r="AN7" i="4"/>
  <c r="AH7" i="4"/>
  <c r="AA7" i="4"/>
  <c r="Z7" i="4"/>
  <c r="Y7" i="4"/>
  <c r="X7" i="4"/>
  <c r="W7" i="4"/>
  <c r="V7" i="4"/>
  <c r="U7" i="4"/>
  <c r="T7" i="4"/>
  <c r="S7" i="4"/>
  <c r="R7" i="4"/>
  <c r="Q7" i="4"/>
  <c r="P7" i="4"/>
  <c r="AN6" i="4"/>
  <c r="AC6" i="4"/>
  <c r="AD6" i="4" s="1"/>
  <c r="AA6" i="4"/>
  <c r="Z6" i="4"/>
  <c r="Y6" i="4"/>
  <c r="X6" i="4"/>
  <c r="W6" i="4"/>
  <c r="V6" i="4"/>
  <c r="AE6" i="4" s="1"/>
  <c r="U6" i="4"/>
  <c r="T6" i="4"/>
  <c r="S6" i="4"/>
  <c r="R6" i="4"/>
  <c r="AB6" i="4" s="1"/>
  <c r="Q6" i="4"/>
  <c r="P6" i="4"/>
  <c r="L5" i="4"/>
  <c r="AO23" i="4" s="1"/>
  <c r="L4" i="4"/>
  <c r="L3" i="4"/>
  <c r="S1292" i="3"/>
  <c r="R1292" i="3"/>
  <c r="Q1292" i="3"/>
  <c r="P1292" i="3"/>
  <c r="S1291" i="3"/>
  <c r="R1291" i="3"/>
  <c r="Q1291" i="3"/>
  <c r="P1291" i="3"/>
  <c r="S1290" i="3"/>
  <c r="R1290" i="3"/>
  <c r="Q1290" i="3"/>
  <c r="P1290" i="3"/>
  <c r="S1289" i="3"/>
  <c r="R1289" i="3"/>
  <c r="Q1289" i="3"/>
  <c r="P1289" i="3"/>
  <c r="S1288" i="3"/>
  <c r="R1288" i="3"/>
  <c r="Q1288" i="3"/>
  <c r="P1288" i="3"/>
  <c r="S1287" i="3"/>
  <c r="R1287" i="3"/>
  <c r="Q1287" i="3"/>
  <c r="P1287" i="3"/>
  <c r="S1286" i="3"/>
  <c r="R1286" i="3"/>
  <c r="Q1286" i="3"/>
  <c r="P1286" i="3"/>
  <c r="S1285" i="3"/>
  <c r="R1285" i="3"/>
  <c r="Q1285" i="3"/>
  <c r="P1285" i="3"/>
  <c r="S1284" i="3"/>
  <c r="R1284" i="3"/>
  <c r="Q1284" i="3"/>
  <c r="P1284" i="3"/>
  <c r="S1283" i="3"/>
  <c r="R1283" i="3"/>
  <c r="Q1283" i="3"/>
  <c r="P1283" i="3"/>
  <c r="S1282" i="3"/>
  <c r="R1282" i="3"/>
  <c r="Q1282" i="3"/>
  <c r="P1282" i="3"/>
  <c r="S1281" i="3"/>
  <c r="R1281" i="3"/>
  <c r="Q1281" i="3"/>
  <c r="P1281" i="3"/>
  <c r="S1280" i="3"/>
  <c r="R1280" i="3"/>
  <c r="Q1280" i="3"/>
  <c r="P1280" i="3"/>
  <c r="S1279" i="3"/>
  <c r="R1279" i="3"/>
  <c r="Q1279" i="3"/>
  <c r="P1279" i="3"/>
  <c r="S1278" i="3"/>
  <c r="R1278" i="3"/>
  <c r="Q1278" i="3"/>
  <c r="P1278" i="3"/>
  <c r="S1277" i="3"/>
  <c r="R1277" i="3"/>
  <c r="Q1277" i="3"/>
  <c r="P1277" i="3"/>
  <c r="S1276" i="3"/>
  <c r="R1276" i="3"/>
  <c r="Q1276" i="3"/>
  <c r="P1276" i="3"/>
  <c r="S1275" i="3"/>
  <c r="R1275" i="3"/>
  <c r="Q1275" i="3"/>
  <c r="P1275" i="3"/>
  <c r="S924" i="3"/>
  <c r="R924" i="3"/>
  <c r="Q924" i="3"/>
  <c r="P924" i="3"/>
  <c r="S923" i="3"/>
  <c r="R923" i="3"/>
  <c r="Q923" i="3"/>
  <c r="P923" i="3"/>
  <c r="S922" i="3"/>
  <c r="R922" i="3"/>
  <c r="Q922" i="3"/>
  <c r="P922" i="3"/>
  <c r="S921" i="3"/>
  <c r="R921" i="3"/>
  <c r="Q921" i="3"/>
  <c r="P921" i="3"/>
  <c r="S920" i="3"/>
  <c r="R920" i="3"/>
  <c r="Q920" i="3"/>
  <c r="P920" i="3"/>
  <c r="S919" i="3"/>
  <c r="R919" i="3"/>
  <c r="Q919" i="3"/>
  <c r="P919" i="3"/>
  <c r="S918" i="3"/>
  <c r="R918" i="3"/>
  <c r="Q918" i="3"/>
  <c r="P918" i="3"/>
  <c r="S917" i="3"/>
  <c r="R917" i="3"/>
  <c r="Q917" i="3"/>
  <c r="P917" i="3"/>
  <c r="S916" i="3"/>
  <c r="R916" i="3"/>
  <c r="Q916" i="3"/>
  <c r="P916" i="3"/>
  <c r="S915" i="3"/>
  <c r="R915" i="3"/>
  <c r="Q915" i="3"/>
  <c r="P915" i="3"/>
  <c r="S914" i="3"/>
  <c r="R914" i="3"/>
  <c r="Q914" i="3"/>
  <c r="P914" i="3"/>
  <c r="S913" i="3"/>
  <c r="R913" i="3"/>
  <c r="Q913" i="3"/>
  <c r="P913" i="3"/>
  <c r="S912" i="3"/>
  <c r="R912" i="3"/>
  <c r="Q912" i="3"/>
  <c r="P912" i="3"/>
  <c r="S911" i="3"/>
  <c r="R911" i="3"/>
  <c r="Q911" i="3"/>
  <c r="P911" i="3"/>
  <c r="S910" i="3"/>
  <c r="R910" i="3"/>
  <c r="Q910" i="3"/>
  <c r="P910" i="3"/>
  <c r="S909" i="3"/>
  <c r="R909" i="3"/>
  <c r="Q909" i="3"/>
  <c r="P909" i="3"/>
  <c r="S908" i="3"/>
  <c r="R908" i="3"/>
  <c r="Q908" i="3"/>
  <c r="P908" i="3"/>
  <c r="S907" i="3"/>
  <c r="R907" i="3"/>
  <c r="Q907" i="3"/>
  <c r="P907" i="3"/>
  <c r="S906" i="3"/>
  <c r="R906" i="3"/>
  <c r="Q906" i="3"/>
  <c r="P906" i="3"/>
  <c r="S905" i="3"/>
  <c r="R905" i="3"/>
  <c r="Q905" i="3"/>
  <c r="P905" i="3"/>
  <c r="S904" i="3"/>
  <c r="R904" i="3"/>
  <c r="Q904" i="3"/>
  <c r="P904" i="3"/>
  <c r="S903" i="3"/>
  <c r="R903" i="3"/>
  <c r="Q903" i="3"/>
  <c r="P903" i="3"/>
  <c r="S902" i="3"/>
  <c r="R902" i="3"/>
  <c r="Q902" i="3"/>
  <c r="P902" i="3"/>
  <c r="S901" i="3"/>
  <c r="R901" i="3"/>
  <c r="Q901" i="3"/>
  <c r="P901" i="3"/>
  <c r="S900" i="3"/>
  <c r="R900" i="3"/>
  <c r="Q900" i="3"/>
  <c r="P900" i="3"/>
  <c r="S899" i="3"/>
  <c r="R899" i="3"/>
  <c r="Q899" i="3"/>
  <c r="P899" i="3"/>
  <c r="S898" i="3"/>
  <c r="R898" i="3"/>
  <c r="Q898" i="3"/>
  <c r="P898" i="3"/>
  <c r="S897" i="3"/>
  <c r="R897" i="3"/>
  <c r="Q897" i="3"/>
  <c r="P897" i="3"/>
  <c r="S896" i="3"/>
  <c r="R896" i="3"/>
  <c r="Q896" i="3"/>
  <c r="P896" i="3"/>
  <c r="S895" i="3"/>
  <c r="R895" i="3"/>
  <c r="Q895" i="3"/>
  <c r="P895" i="3"/>
  <c r="S894" i="3"/>
  <c r="R894" i="3"/>
  <c r="Q894" i="3"/>
  <c r="P894" i="3"/>
  <c r="S893" i="3"/>
  <c r="R893" i="3"/>
  <c r="Q893" i="3"/>
  <c r="P893" i="3"/>
  <c r="S892" i="3"/>
  <c r="R892" i="3"/>
  <c r="Q892" i="3"/>
  <c r="P892" i="3"/>
  <c r="S891" i="3"/>
  <c r="R891" i="3"/>
  <c r="Q891" i="3"/>
  <c r="P891" i="3"/>
  <c r="S890" i="3"/>
  <c r="R890" i="3"/>
  <c r="Q890" i="3"/>
  <c r="P890" i="3"/>
  <c r="S889" i="3"/>
  <c r="R889" i="3"/>
  <c r="Q889" i="3"/>
  <c r="P889" i="3"/>
  <c r="S888" i="3"/>
  <c r="R888" i="3"/>
  <c r="Q888" i="3"/>
  <c r="P888" i="3"/>
  <c r="S887" i="3"/>
  <c r="R887" i="3"/>
  <c r="Q887" i="3"/>
  <c r="P887" i="3"/>
  <c r="S886" i="3"/>
  <c r="R886" i="3"/>
  <c r="Q886" i="3"/>
  <c r="P886" i="3"/>
  <c r="S885" i="3"/>
  <c r="R885" i="3"/>
  <c r="Q885" i="3"/>
  <c r="P885" i="3"/>
  <c r="S884" i="3"/>
  <c r="R884" i="3"/>
  <c r="Q884" i="3"/>
  <c r="P884" i="3"/>
  <c r="S883" i="3"/>
  <c r="R883" i="3"/>
  <c r="Q883" i="3"/>
  <c r="P883" i="3"/>
  <c r="S882" i="3"/>
  <c r="R882" i="3"/>
  <c r="Q882" i="3"/>
  <c r="P882" i="3"/>
  <c r="S881" i="3"/>
  <c r="R881" i="3"/>
  <c r="Q881" i="3"/>
  <c r="P881" i="3"/>
  <c r="S880" i="3"/>
  <c r="R880" i="3"/>
  <c r="Q880" i="3"/>
  <c r="P880" i="3"/>
  <c r="S879" i="3"/>
  <c r="R879" i="3"/>
  <c r="Q879" i="3"/>
  <c r="P879" i="3"/>
  <c r="S878" i="3"/>
  <c r="R878" i="3"/>
  <c r="Q878" i="3"/>
  <c r="P878" i="3"/>
  <c r="S877" i="3"/>
  <c r="R877" i="3"/>
  <c r="Q877" i="3"/>
  <c r="P877" i="3"/>
  <c r="S876" i="3"/>
  <c r="R876" i="3"/>
  <c r="Q876" i="3"/>
  <c r="P876" i="3"/>
  <c r="S875" i="3"/>
  <c r="R875" i="3"/>
  <c r="Q875" i="3"/>
  <c r="P875" i="3"/>
  <c r="S874" i="3"/>
  <c r="R874" i="3"/>
  <c r="Q874" i="3"/>
  <c r="P874" i="3"/>
  <c r="S873" i="3"/>
  <c r="R873" i="3"/>
  <c r="Q873" i="3"/>
  <c r="P873" i="3"/>
  <c r="S872" i="3"/>
  <c r="R872" i="3"/>
  <c r="Q872" i="3"/>
  <c r="P872" i="3"/>
  <c r="S871" i="3"/>
  <c r="R871" i="3"/>
  <c r="Q871" i="3"/>
  <c r="P871" i="3"/>
  <c r="S870" i="3"/>
  <c r="R870" i="3"/>
  <c r="Q870" i="3"/>
  <c r="P870" i="3"/>
  <c r="S869" i="3"/>
  <c r="R869" i="3"/>
  <c r="Q869" i="3"/>
  <c r="P869" i="3"/>
  <c r="S868" i="3"/>
  <c r="R868" i="3"/>
  <c r="Q868" i="3"/>
  <c r="P868" i="3"/>
  <c r="S867" i="3"/>
  <c r="R867" i="3"/>
  <c r="Q867" i="3"/>
  <c r="P867" i="3"/>
  <c r="S866" i="3"/>
  <c r="R866" i="3"/>
  <c r="Q866" i="3"/>
  <c r="P866" i="3"/>
  <c r="S865" i="3"/>
  <c r="R865" i="3"/>
  <c r="Q865" i="3"/>
  <c r="P865" i="3"/>
  <c r="S864" i="3"/>
  <c r="R864" i="3"/>
  <c r="Q864" i="3"/>
  <c r="P864" i="3"/>
  <c r="S863" i="3"/>
  <c r="R863" i="3"/>
  <c r="Q863" i="3"/>
  <c r="P863" i="3"/>
  <c r="S862" i="3"/>
  <c r="R862" i="3"/>
  <c r="Q862" i="3"/>
  <c r="P862" i="3"/>
  <c r="S861" i="3"/>
  <c r="R861" i="3"/>
  <c r="Q861" i="3"/>
  <c r="P861" i="3"/>
  <c r="S860" i="3"/>
  <c r="R860" i="3"/>
  <c r="Q860" i="3"/>
  <c r="P860" i="3"/>
  <c r="S859" i="3"/>
  <c r="R859" i="3"/>
  <c r="Q859" i="3"/>
  <c r="P859" i="3"/>
  <c r="S858" i="3"/>
  <c r="R858" i="3"/>
  <c r="Q858" i="3"/>
  <c r="P858" i="3"/>
  <c r="S857" i="3"/>
  <c r="R857" i="3"/>
  <c r="Q857" i="3"/>
  <c r="P857" i="3"/>
  <c r="S856" i="3"/>
  <c r="R856" i="3"/>
  <c r="Q856" i="3"/>
  <c r="P856" i="3"/>
  <c r="S855" i="3"/>
  <c r="R855" i="3"/>
  <c r="Q855" i="3"/>
  <c r="P855" i="3"/>
  <c r="S854" i="3"/>
  <c r="R854" i="3"/>
  <c r="Q854" i="3"/>
  <c r="P854" i="3"/>
  <c r="S853" i="3"/>
  <c r="R853" i="3"/>
  <c r="Q853" i="3"/>
  <c r="P853" i="3"/>
  <c r="S852" i="3"/>
  <c r="R852" i="3"/>
  <c r="Q852" i="3"/>
  <c r="P852" i="3"/>
  <c r="S851" i="3"/>
  <c r="R851" i="3"/>
  <c r="Q851" i="3"/>
  <c r="P851" i="3"/>
  <c r="S850" i="3"/>
  <c r="R850" i="3"/>
  <c r="Q850" i="3"/>
  <c r="P850" i="3"/>
  <c r="S849" i="3"/>
  <c r="R849" i="3"/>
  <c r="Q849" i="3"/>
  <c r="P849" i="3"/>
  <c r="S848" i="3"/>
  <c r="R848" i="3"/>
  <c r="Q848" i="3"/>
  <c r="P848" i="3"/>
  <c r="S847" i="3"/>
  <c r="R847" i="3"/>
  <c r="Q847" i="3"/>
  <c r="P847" i="3"/>
  <c r="S846" i="3"/>
  <c r="R846" i="3"/>
  <c r="Q846" i="3"/>
  <c r="P846" i="3"/>
  <c r="S845" i="3"/>
  <c r="R845" i="3"/>
  <c r="Q845" i="3"/>
  <c r="P845" i="3"/>
  <c r="S844" i="3"/>
  <c r="R844" i="3"/>
  <c r="Q844" i="3"/>
  <c r="P844" i="3"/>
  <c r="S843" i="3"/>
  <c r="R843" i="3"/>
  <c r="Q843" i="3"/>
  <c r="P843" i="3"/>
  <c r="S842" i="3"/>
  <c r="R842" i="3"/>
  <c r="Q842" i="3"/>
  <c r="P842" i="3"/>
  <c r="S841" i="3"/>
  <c r="R841" i="3"/>
  <c r="Q841" i="3"/>
  <c r="P841" i="3"/>
  <c r="S840" i="3"/>
  <c r="R840" i="3"/>
  <c r="Q840" i="3"/>
  <c r="P840" i="3"/>
  <c r="S839" i="3"/>
  <c r="R839" i="3"/>
  <c r="Q839" i="3"/>
  <c r="P839" i="3"/>
  <c r="S838" i="3"/>
  <c r="R838" i="3"/>
  <c r="Q838" i="3"/>
  <c r="P838" i="3"/>
  <c r="S837" i="3"/>
  <c r="R837" i="3"/>
  <c r="Q837" i="3"/>
  <c r="P837" i="3"/>
  <c r="S836" i="3"/>
  <c r="R836" i="3"/>
  <c r="Q836" i="3"/>
  <c r="P836" i="3"/>
  <c r="S835" i="3"/>
  <c r="R835" i="3"/>
  <c r="Q835" i="3"/>
  <c r="P835" i="3"/>
  <c r="S834" i="3"/>
  <c r="R834" i="3"/>
  <c r="Q834" i="3"/>
  <c r="P834" i="3"/>
  <c r="S833" i="3"/>
  <c r="R833" i="3"/>
  <c r="Q833" i="3"/>
  <c r="P833" i="3"/>
  <c r="S832" i="3"/>
  <c r="R832" i="3"/>
  <c r="Q832" i="3"/>
  <c r="P832" i="3"/>
  <c r="S831" i="3"/>
  <c r="R831" i="3"/>
  <c r="Q831" i="3"/>
  <c r="P831" i="3"/>
  <c r="S830" i="3"/>
  <c r="R830" i="3"/>
  <c r="Q830" i="3"/>
  <c r="P830" i="3"/>
  <c r="S829" i="3"/>
  <c r="R829" i="3"/>
  <c r="Q829" i="3"/>
  <c r="P829" i="3"/>
  <c r="S828" i="3"/>
  <c r="R828" i="3"/>
  <c r="Q828" i="3"/>
  <c r="P828" i="3"/>
  <c r="S827" i="3"/>
  <c r="R827" i="3"/>
  <c r="Q827" i="3"/>
  <c r="P827" i="3"/>
  <c r="S826" i="3"/>
  <c r="R826" i="3"/>
  <c r="Q826" i="3"/>
  <c r="P826" i="3"/>
  <c r="S825" i="3"/>
  <c r="R825" i="3"/>
  <c r="Q825" i="3"/>
  <c r="P825" i="3"/>
  <c r="S824" i="3"/>
  <c r="R824" i="3"/>
  <c r="Q824" i="3"/>
  <c r="P824" i="3"/>
  <c r="S823" i="3"/>
  <c r="R823" i="3"/>
  <c r="Q823" i="3"/>
  <c r="P823" i="3"/>
  <c r="S822" i="3"/>
  <c r="R822" i="3"/>
  <c r="Q822" i="3"/>
  <c r="P822" i="3"/>
  <c r="S821" i="3"/>
  <c r="R821" i="3"/>
  <c r="Q821" i="3"/>
  <c r="P821" i="3"/>
  <c r="S820" i="3"/>
  <c r="R820" i="3"/>
  <c r="Q820" i="3"/>
  <c r="P820" i="3"/>
  <c r="S819" i="3"/>
  <c r="R819" i="3"/>
  <c r="Q819" i="3"/>
  <c r="P819" i="3"/>
  <c r="S818" i="3"/>
  <c r="R818" i="3"/>
  <c r="Q818" i="3"/>
  <c r="P818" i="3"/>
  <c r="S817" i="3"/>
  <c r="R817" i="3"/>
  <c r="Q817" i="3"/>
  <c r="P817" i="3"/>
  <c r="S816" i="3"/>
  <c r="R816" i="3"/>
  <c r="Q816" i="3"/>
  <c r="P816" i="3"/>
  <c r="S815" i="3"/>
  <c r="R815" i="3"/>
  <c r="Q815" i="3"/>
  <c r="P815" i="3"/>
  <c r="S814" i="3"/>
  <c r="R814" i="3"/>
  <c r="Q814" i="3"/>
  <c r="P814" i="3"/>
  <c r="S813" i="3"/>
  <c r="R813" i="3"/>
  <c r="Q813" i="3"/>
  <c r="P813" i="3"/>
  <c r="S812" i="3"/>
  <c r="R812" i="3"/>
  <c r="Q812" i="3"/>
  <c r="P812" i="3"/>
  <c r="S811" i="3"/>
  <c r="R811" i="3"/>
  <c r="Q811" i="3"/>
  <c r="P811" i="3"/>
  <c r="S810" i="3"/>
  <c r="R810" i="3"/>
  <c r="Q810" i="3"/>
  <c r="P810" i="3"/>
  <c r="S809" i="3"/>
  <c r="R809" i="3"/>
  <c r="Q809" i="3"/>
  <c r="P809" i="3"/>
  <c r="S808" i="3"/>
  <c r="R808" i="3"/>
  <c r="Q808" i="3"/>
  <c r="P808" i="3"/>
  <c r="S807" i="3"/>
  <c r="R807" i="3"/>
  <c r="Q807" i="3"/>
  <c r="P807" i="3"/>
  <c r="S806" i="3"/>
  <c r="R806" i="3"/>
  <c r="Q806" i="3"/>
  <c r="P806" i="3"/>
  <c r="S805" i="3"/>
  <c r="R805" i="3"/>
  <c r="Q805" i="3"/>
  <c r="P805" i="3"/>
  <c r="S804" i="3"/>
  <c r="R804" i="3"/>
  <c r="Q804" i="3"/>
  <c r="P804" i="3"/>
  <c r="S803" i="3"/>
  <c r="R803" i="3"/>
  <c r="Q803" i="3"/>
  <c r="P803" i="3"/>
  <c r="S802" i="3"/>
  <c r="R802" i="3"/>
  <c r="Q802" i="3"/>
  <c r="P802" i="3"/>
  <c r="S801" i="3"/>
  <c r="R801" i="3"/>
  <c r="Q801" i="3"/>
  <c r="P801" i="3"/>
  <c r="S800" i="3"/>
  <c r="R800" i="3"/>
  <c r="Q800" i="3"/>
  <c r="P800" i="3"/>
  <c r="S799" i="3"/>
  <c r="R799" i="3"/>
  <c r="Q799" i="3"/>
  <c r="P799" i="3"/>
  <c r="S798" i="3"/>
  <c r="R798" i="3"/>
  <c r="Q798" i="3"/>
  <c r="P798" i="3"/>
  <c r="S797" i="3"/>
  <c r="R797" i="3"/>
  <c r="Q797" i="3"/>
  <c r="P797" i="3"/>
  <c r="S796" i="3"/>
  <c r="R796" i="3"/>
  <c r="Q796" i="3"/>
  <c r="P796" i="3"/>
  <c r="S795" i="3"/>
  <c r="R795" i="3"/>
  <c r="Q795" i="3"/>
  <c r="P795" i="3"/>
  <c r="S794" i="3"/>
  <c r="R794" i="3"/>
  <c r="Q794" i="3"/>
  <c r="P794" i="3"/>
  <c r="S793" i="3"/>
  <c r="R793" i="3"/>
  <c r="Q793" i="3"/>
  <c r="P793" i="3"/>
  <c r="S792" i="3"/>
  <c r="R792" i="3"/>
  <c r="Q792" i="3"/>
  <c r="P792" i="3"/>
  <c r="S791" i="3"/>
  <c r="R791" i="3"/>
  <c r="Q791" i="3"/>
  <c r="P791" i="3"/>
  <c r="S790" i="3"/>
  <c r="R790" i="3"/>
  <c r="Q790" i="3"/>
  <c r="P790" i="3"/>
  <c r="S789" i="3"/>
  <c r="R789" i="3"/>
  <c r="Q789" i="3"/>
  <c r="P789" i="3"/>
  <c r="S788" i="3"/>
  <c r="R788" i="3"/>
  <c r="Q788" i="3"/>
  <c r="P788" i="3"/>
  <c r="S787" i="3"/>
  <c r="R787" i="3"/>
  <c r="Q787" i="3"/>
  <c r="P787" i="3"/>
  <c r="S786" i="3"/>
  <c r="R786" i="3"/>
  <c r="Q786" i="3"/>
  <c r="P786" i="3"/>
  <c r="S785" i="3"/>
  <c r="R785" i="3"/>
  <c r="Q785" i="3"/>
  <c r="P785" i="3"/>
  <c r="S784" i="3"/>
  <c r="R784" i="3"/>
  <c r="Q784" i="3"/>
  <c r="P784" i="3"/>
  <c r="S783" i="3"/>
  <c r="R783" i="3"/>
  <c r="Q783" i="3"/>
  <c r="P783" i="3"/>
  <c r="S782" i="3"/>
  <c r="R782" i="3"/>
  <c r="Q782" i="3"/>
  <c r="P782" i="3"/>
  <c r="S781" i="3"/>
  <c r="R781" i="3"/>
  <c r="Q781" i="3"/>
  <c r="P781" i="3"/>
  <c r="S780" i="3"/>
  <c r="R780" i="3"/>
  <c r="Q780" i="3"/>
  <c r="P780" i="3"/>
  <c r="S779" i="3"/>
  <c r="R779" i="3"/>
  <c r="Q779" i="3"/>
  <c r="P779" i="3"/>
  <c r="S778" i="3"/>
  <c r="R778" i="3"/>
  <c r="Q778" i="3"/>
  <c r="P778" i="3"/>
  <c r="S777" i="3"/>
  <c r="R777" i="3"/>
  <c r="Q777" i="3"/>
  <c r="P777" i="3"/>
  <c r="S776" i="3"/>
  <c r="R776" i="3"/>
  <c r="Q776" i="3"/>
  <c r="P776" i="3"/>
  <c r="S775" i="3"/>
  <c r="R775" i="3"/>
  <c r="Q775" i="3"/>
  <c r="P775" i="3"/>
  <c r="S774" i="3"/>
  <c r="R774" i="3"/>
  <c r="Q774" i="3"/>
  <c r="P774" i="3"/>
  <c r="S773" i="3"/>
  <c r="R773" i="3"/>
  <c r="Q773" i="3"/>
  <c r="P773" i="3"/>
  <c r="S772" i="3"/>
  <c r="R772" i="3"/>
  <c r="Q772" i="3"/>
  <c r="P772" i="3"/>
  <c r="S771" i="3"/>
  <c r="R771" i="3"/>
  <c r="Q771" i="3"/>
  <c r="P771" i="3"/>
  <c r="S770" i="3"/>
  <c r="R770" i="3"/>
  <c r="Q770" i="3"/>
  <c r="P770" i="3"/>
  <c r="S769" i="3"/>
  <c r="R769" i="3"/>
  <c r="Q769" i="3"/>
  <c r="P769" i="3"/>
  <c r="S768" i="3"/>
  <c r="R768" i="3"/>
  <c r="Q768" i="3"/>
  <c r="P768" i="3"/>
  <c r="S767" i="3"/>
  <c r="R767" i="3"/>
  <c r="Q767" i="3"/>
  <c r="P767" i="3"/>
  <c r="S766" i="3"/>
  <c r="R766" i="3"/>
  <c r="Q766" i="3"/>
  <c r="P766" i="3"/>
  <c r="S765" i="3"/>
  <c r="R765" i="3"/>
  <c r="Q765" i="3"/>
  <c r="P765" i="3"/>
  <c r="S764" i="3"/>
  <c r="R764" i="3"/>
  <c r="Q764" i="3"/>
  <c r="P764" i="3"/>
  <c r="S763" i="3"/>
  <c r="R763" i="3"/>
  <c r="Q763" i="3"/>
  <c r="P763" i="3"/>
  <c r="S762" i="3"/>
  <c r="R762" i="3"/>
  <c r="Q762" i="3"/>
  <c r="P762" i="3"/>
  <c r="S761" i="3"/>
  <c r="R761" i="3"/>
  <c r="Q761" i="3"/>
  <c r="P761" i="3"/>
  <c r="S760" i="3"/>
  <c r="R760" i="3"/>
  <c r="Q760" i="3"/>
  <c r="P760" i="3"/>
  <c r="S759" i="3"/>
  <c r="R759" i="3"/>
  <c r="Q759" i="3"/>
  <c r="P759" i="3"/>
  <c r="S758" i="3"/>
  <c r="R758" i="3"/>
  <c r="Q758" i="3"/>
  <c r="P758" i="3"/>
  <c r="S757" i="3"/>
  <c r="R757" i="3"/>
  <c r="Q757" i="3"/>
  <c r="P757" i="3"/>
  <c r="S756" i="3"/>
  <c r="R756" i="3"/>
  <c r="Q756" i="3"/>
  <c r="P756" i="3"/>
  <c r="S755" i="3"/>
  <c r="R755" i="3"/>
  <c r="Q755" i="3"/>
  <c r="P755" i="3"/>
  <c r="S754" i="3"/>
  <c r="R754" i="3"/>
  <c r="Q754" i="3"/>
  <c r="P754" i="3"/>
  <c r="S753" i="3"/>
  <c r="R753" i="3"/>
  <c r="Q753" i="3"/>
  <c r="P753" i="3"/>
  <c r="S752" i="3"/>
  <c r="R752" i="3"/>
  <c r="Q752" i="3"/>
  <c r="P752" i="3"/>
  <c r="S751" i="3"/>
  <c r="R751" i="3"/>
  <c r="Q751" i="3"/>
  <c r="P751" i="3"/>
  <c r="S750" i="3"/>
  <c r="R750" i="3"/>
  <c r="Q750" i="3"/>
  <c r="P750" i="3"/>
  <c r="S749" i="3"/>
  <c r="R749" i="3"/>
  <c r="Q749" i="3"/>
  <c r="P749" i="3"/>
  <c r="S748" i="3"/>
  <c r="R748" i="3"/>
  <c r="Q748" i="3"/>
  <c r="P748" i="3"/>
  <c r="S747" i="3"/>
  <c r="R747" i="3"/>
  <c r="Q747" i="3"/>
  <c r="P747" i="3"/>
  <c r="S746" i="3"/>
  <c r="R746" i="3"/>
  <c r="Q746" i="3"/>
  <c r="P746" i="3"/>
  <c r="S745" i="3"/>
  <c r="R745" i="3"/>
  <c r="Q745" i="3"/>
  <c r="P745" i="3"/>
  <c r="S744" i="3"/>
  <c r="R744" i="3"/>
  <c r="Q744" i="3"/>
  <c r="P744" i="3"/>
  <c r="S743" i="3"/>
  <c r="R743" i="3"/>
  <c r="Q743" i="3"/>
  <c r="P743" i="3"/>
  <c r="S742" i="3"/>
  <c r="R742" i="3"/>
  <c r="Q742" i="3"/>
  <c r="P742" i="3"/>
  <c r="S741" i="3"/>
  <c r="R741" i="3"/>
  <c r="Q741" i="3"/>
  <c r="P741" i="3"/>
  <c r="S740" i="3"/>
  <c r="R740" i="3"/>
  <c r="Q740" i="3"/>
  <c r="P740" i="3"/>
  <c r="S739" i="3"/>
  <c r="R739" i="3"/>
  <c r="Q739" i="3"/>
  <c r="P739" i="3"/>
  <c r="S738" i="3"/>
  <c r="R738" i="3"/>
  <c r="Q738" i="3"/>
  <c r="P738" i="3"/>
  <c r="S737" i="3"/>
  <c r="R737" i="3"/>
  <c r="Q737" i="3"/>
  <c r="P737" i="3"/>
  <c r="S736" i="3"/>
  <c r="R736" i="3"/>
  <c r="Q736" i="3"/>
  <c r="P736" i="3"/>
  <c r="S735" i="3"/>
  <c r="R735" i="3"/>
  <c r="Q735" i="3"/>
  <c r="P735" i="3"/>
  <c r="S734" i="3"/>
  <c r="R734" i="3"/>
  <c r="Q734" i="3"/>
  <c r="P734" i="3"/>
  <c r="S733" i="3"/>
  <c r="R733" i="3"/>
  <c r="Q733" i="3"/>
  <c r="P733" i="3"/>
  <c r="S732" i="3"/>
  <c r="R732" i="3"/>
  <c r="Q732" i="3"/>
  <c r="P732" i="3"/>
  <c r="S731" i="3"/>
  <c r="R731" i="3"/>
  <c r="Q731" i="3"/>
  <c r="P731" i="3"/>
  <c r="S730" i="3"/>
  <c r="R730" i="3"/>
  <c r="Q730" i="3"/>
  <c r="P730" i="3"/>
  <c r="S729" i="3"/>
  <c r="R729" i="3"/>
  <c r="Q729" i="3"/>
  <c r="P729" i="3"/>
  <c r="S728" i="3"/>
  <c r="R728" i="3"/>
  <c r="Q728" i="3"/>
  <c r="P728" i="3"/>
  <c r="S727" i="3"/>
  <c r="R727" i="3"/>
  <c r="Q727" i="3"/>
  <c r="P727" i="3"/>
  <c r="S726" i="3"/>
  <c r="R726" i="3"/>
  <c r="Q726" i="3"/>
  <c r="P726" i="3"/>
  <c r="S725" i="3"/>
  <c r="R725" i="3"/>
  <c r="Q725" i="3"/>
  <c r="P725" i="3"/>
  <c r="S724" i="3"/>
  <c r="R724" i="3"/>
  <c r="Q724" i="3"/>
  <c r="P724" i="3"/>
  <c r="S723" i="3"/>
  <c r="R723" i="3"/>
  <c r="Q723" i="3"/>
  <c r="P723" i="3"/>
  <c r="S722" i="3"/>
  <c r="R722" i="3"/>
  <c r="Q722" i="3"/>
  <c r="P722" i="3"/>
  <c r="S721" i="3"/>
  <c r="R721" i="3"/>
  <c r="Q721" i="3"/>
  <c r="P721" i="3"/>
  <c r="S720" i="3"/>
  <c r="R720" i="3"/>
  <c r="Q720" i="3"/>
  <c r="P720" i="3"/>
  <c r="S719" i="3"/>
  <c r="R719" i="3"/>
  <c r="Q719" i="3"/>
  <c r="P719" i="3"/>
  <c r="S718" i="3"/>
  <c r="R718" i="3"/>
  <c r="Q718" i="3"/>
  <c r="P718" i="3"/>
  <c r="S717" i="3"/>
  <c r="R717" i="3"/>
  <c r="Q717" i="3"/>
  <c r="P717" i="3"/>
  <c r="S716" i="3"/>
  <c r="R716" i="3"/>
  <c r="Q716" i="3"/>
  <c r="P716" i="3"/>
  <c r="S715" i="3"/>
  <c r="R715" i="3"/>
  <c r="Q715" i="3"/>
  <c r="P715" i="3"/>
  <c r="S714" i="3"/>
  <c r="R714" i="3"/>
  <c r="Q714" i="3"/>
  <c r="P714" i="3"/>
  <c r="S713" i="3"/>
  <c r="R713" i="3"/>
  <c r="Q713" i="3"/>
  <c r="P713" i="3"/>
  <c r="S712" i="3"/>
  <c r="R712" i="3"/>
  <c r="Q712" i="3"/>
  <c r="P712" i="3"/>
  <c r="S711" i="3"/>
  <c r="R711" i="3"/>
  <c r="Q711" i="3"/>
  <c r="P711" i="3"/>
  <c r="S710" i="3"/>
  <c r="R710" i="3"/>
  <c r="Q710" i="3"/>
  <c r="P710" i="3"/>
  <c r="S709" i="3"/>
  <c r="R709" i="3"/>
  <c r="Q709" i="3"/>
  <c r="P709" i="3"/>
  <c r="S708" i="3"/>
  <c r="R708" i="3"/>
  <c r="Q708" i="3"/>
  <c r="P708" i="3"/>
  <c r="S707" i="3"/>
  <c r="R707" i="3"/>
  <c r="Q707" i="3"/>
  <c r="P707" i="3"/>
  <c r="S706" i="3"/>
  <c r="R706" i="3"/>
  <c r="Q706" i="3"/>
  <c r="P706" i="3"/>
  <c r="S705" i="3"/>
  <c r="R705" i="3"/>
  <c r="Q705" i="3"/>
  <c r="P705" i="3"/>
  <c r="S704" i="3"/>
  <c r="R704" i="3"/>
  <c r="Q704" i="3"/>
  <c r="P704" i="3"/>
  <c r="S703" i="3"/>
  <c r="R703" i="3"/>
  <c r="Q703" i="3"/>
  <c r="P703" i="3"/>
  <c r="S702" i="3"/>
  <c r="R702" i="3"/>
  <c r="Q702" i="3"/>
  <c r="P702" i="3"/>
  <c r="S701" i="3"/>
  <c r="R701" i="3"/>
  <c r="Q701" i="3"/>
  <c r="P701" i="3"/>
  <c r="S700" i="3"/>
  <c r="R700" i="3"/>
  <c r="Q700" i="3"/>
  <c r="P700" i="3"/>
  <c r="S699" i="3"/>
  <c r="R699" i="3"/>
  <c r="Q699" i="3"/>
  <c r="P699" i="3"/>
  <c r="S698" i="3"/>
  <c r="R698" i="3"/>
  <c r="Q698" i="3"/>
  <c r="P698" i="3"/>
  <c r="S697" i="3"/>
  <c r="R697" i="3"/>
  <c r="Q697" i="3"/>
  <c r="P697" i="3"/>
  <c r="S696" i="3"/>
  <c r="R696" i="3"/>
  <c r="Q696" i="3"/>
  <c r="P696" i="3"/>
  <c r="S695" i="3"/>
  <c r="R695" i="3"/>
  <c r="Q695" i="3"/>
  <c r="P695" i="3"/>
  <c r="S694" i="3"/>
  <c r="R694" i="3"/>
  <c r="Q694" i="3"/>
  <c r="P694" i="3"/>
  <c r="S693" i="3"/>
  <c r="R693" i="3"/>
  <c r="Q693" i="3"/>
  <c r="P693" i="3"/>
  <c r="S692" i="3"/>
  <c r="R692" i="3"/>
  <c r="Q692" i="3"/>
  <c r="P692" i="3"/>
  <c r="S691" i="3"/>
  <c r="R691" i="3"/>
  <c r="Q691" i="3"/>
  <c r="P691" i="3"/>
  <c r="S690" i="3"/>
  <c r="R690" i="3"/>
  <c r="Q690" i="3"/>
  <c r="P690" i="3"/>
  <c r="S689" i="3"/>
  <c r="R689" i="3"/>
  <c r="Q689" i="3"/>
  <c r="P689" i="3"/>
  <c r="S688" i="3"/>
  <c r="R688" i="3"/>
  <c r="Q688" i="3"/>
  <c r="P688" i="3"/>
  <c r="S687" i="3"/>
  <c r="R687" i="3"/>
  <c r="Q687" i="3"/>
  <c r="P687" i="3"/>
  <c r="S686" i="3"/>
  <c r="R686" i="3"/>
  <c r="Q686" i="3"/>
  <c r="P686" i="3"/>
  <c r="S685" i="3"/>
  <c r="R685" i="3"/>
  <c r="Q685" i="3"/>
  <c r="P685" i="3"/>
  <c r="S684" i="3"/>
  <c r="R684" i="3"/>
  <c r="Q684" i="3"/>
  <c r="P684" i="3"/>
  <c r="S683" i="3"/>
  <c r="R683" i="3"/>
  <c r="Q683" i="3"/>
  <c r="P683" i="3"/>
  <c r="S682" i="3"/>
  <c r="R682" i="3"/>
  <c r="Q682" i="3"/>
  <c r="P682" i="3"/>
  <c r="S681" i="3"/>
  <c r="R681" i="3"/>
  <c r="Q681" i="3"/>
  <c r="P681" i="3"/>
  <c r="S680" i="3"/>
  <c r="R680" i="3"/>
  <c r="Q680" i="3"/>
  <c r="P680" i="3"/>
  <c r="S679" i="3"/>
  <c r="R679" i="3"/>
  <c r="Q679" i="3"/>
  <c r="P679" i="3"/>
  <c r="S678" i="3"/>
  <c r="R678" i="3"/>
  <c r="Q678" i="3"/>
  <c r="P678" i="3"/>
  <c r="S677" i="3"/>
  <c r="R677" i="3"/>
  <c r="Q677" i="3"/>
  <c r="P677" i="3"/>
  <c r="S676" i="3"/>
  <c r="R676" i="3"/>
  <c r="Q676" i="3"/>
  <c r="P676" i="3"/>
  <c r="S675" i="3"/>
  <c r="R675" i="3"/>
  <c r="Q675" i="3"/>
  <c r="P675" i="3"/>
  <c r="S674" i="3"/>
  <c r="R674" i="3"/>
  <c r="Q674" i="3"/>
  <c r="P674" i="3"/>
  <c r="S673" i="3"/>
  <c r="R673" i="3"/>
  <c r="Q673" i="3"/>
  <c r="P673" i="3"/>
  <c r="S672" i="3"/>
  <c r="R672" i="3"/>
  <c r="Q672" i="3"/>
  <c r="P672" i="3"/>
  <c r="S671" i="3"/>
  <c r="R671" i="3"/>
  <c r="Q671" i="3"/>
  <c r="P671" i="3"/>
  <c r="S670" i="3"/>
  <c r="R670" i="3"/>
  <c r="Q670" i="3"/>
  <c r="P670" i="3"/>
  <c r="S669" i="3"/>
  <c r="R669" i="3"/>
  <c r="Q669" i="3"/>
  <c r="P669" i="3"/>
  <c r="S668" i="3"/>
  <c r="R668" i="3"/>
  <c r="Q668" i="3"/>
  <c r="P668" i="3"/>
  <c r="S667" i="3"/>
  <c r="R667" i="3"/>
  <c r="Q667" i="3"/>
  <c r="P667" i="3"/>
  <c r="S666" i="3"/>
  <c r="R666" i="3"/>
  <c r="Q666" i="3"/>
  <c r="P666" i="3"/>
  <c r="S665" i="3"/>
  <c r="R665" i="3"/>
  <c r="Q665" i="3"/>
  <c r="P665" i="3"/>
  <c r="S664" i="3"/>
  <c r="R664" i="3"/>
  <c r="Q664" i="3"/>
  <c r="P664" i="3"/>
  <c r="S663" i="3"/>
  <c r="R663" i="3"/>
  <c r="Q663" i="3"/>
  <c r="P663" i="3"/>
  <c r="S662" i="3"/>
  <c r="R662" i="3"/>
  <c r="Q662" i="3"/>
  <c r="P662" i="3"/>
  <c r="S661" i="3"/>
  <c r="R661" i="3"/>
  <c r="Q661" i="3"/>
  <c r="P661" i="3"/>
  <c r="S660" i="3"/>
  <c r="R660" i="3"/>
  <c r="Q660" i="3"/>
  <c r="P660" i="3"/>
  <c r="S659" i="3"/>
  <c r="R659" i="3"/>
  <c r="Q659" i="3"/>
  <c r="P659" i="3"/>
  <c r="S658" i="3"/>
  <c r="R658" i="3"/>
  <c r="Q658" i="3"/>
  <c r="P658" i="3"/>
  <c r="S657" i="3"/>
  <c r="R657" i="3"/>
  <c r="Q657" i="3"/>
  <c r="P657" i="3"/>
  <c r="S656" i="3"/>
  <c r="R656" i="3"/>
  <c r="Q656" i="3"/>
  <c r="P656" i="3"/>
  <c r="S655" i="3"/>
  <c r="R655" i="3"/>
  <c r="Q655" i="3"/>
  <c r="P655" i="3"/>
  <c r="S654" i="3"/>
  <c r="R654" i="3"/>
  <c r="Q654" i="3"/>
  <c r="P654" i="3"/>
  <c r="S653" i="3"/>
  <c r="R653" i="3"/>
  <c r="Q653" i="3"/>
  <c r="P653" i="3"/>
  <c r="S652" i="3"/>
  <c r="R652" i="3"/>
  <c r="Q652" i="3"/>
  <c r="P652" i="3"/>
  <c r="S651" i="3"/>
  <c r="R651" i="3"/>
  <c r="Q651" i="3"/>
  <c r="P651" i="3"/>
  <c r="S650" i="3"/>
  <c r="R650" i="3"/>
  <c r="Q650" i="3"/>
  <c r="P650" i="3"/>
  <c r="S649" i="3"/>
  <c r="R649" i="3"/>
  <c r="Q649" i="3"/>
  <c r="P649" i="3"/>
  <c r="S648" i="3"/>
  <c r="R648" i="3"/>
  <c r="Q648" i="3"/>
  <c r="P648" i="3"/>
  <c r="S647" i="3"/>
  <c r="R647" i="3"/>
  <c r="Q647" i="3"/>
  <c r="P647" i="3"/>
  <c r="S646" i="3"/>
  <c r="R646" i="3"/>
  <c r="Q646" i="3"/>
  <c r="P646" i="3"/>
  <c r="S645" i="3"/>
  <c r="R645" i="3"/>
  <c r="Q645" i="3"/>
  <c r="P645" i="3"/>
  <c r="S644" i="3"/>
  <c r="R644" i="3"/>
  <c r="Q644" i="3"/>
  <c r="P644" i="3"/>
  <c r="S643" i="3"/>
  <c r="R643" i="3"/>
  <c r="Q643" i="3"/>
  <c r="P643" i="3"/>
  <c r="S642" i="3"/>
  <c r="R642" i="3"/>
  <c r="Q642" i="3"/>
  <c r="P642" i="3"/>
  <c r="S641" i="3"/>
  <c r="R641" i="3"/>
  <c r="Q641" i="3"/>
  <c r="P641" i="3"/>
  <c r="S640" i="3"/>
  <c r="R640" i="3"/>
  <c r="Q640" i="3"/>
  <c r="P640" i="3"/>
  <c r="S639" i="3"/>
  <c r="R639" i="3"/>
  <c r="Q639" i="3"/>
  <c r="P639" i="3"/>
  <c r="S638" i="3"/>
  <c r="R638" i="3"/>
  <c r="Q638" i="3"/>
  <c r="P638" i="3"/>
  <c r="S637" i="3"/>
  <c r="R637" i="3"/>
  <c r="Q637" i="3"/>
  <c r="P637" i="3"/>
  <c r="S636" i="3"/>
  <c r="R636" i="3"/>
  <c r="Q636" i="3"/>
  <c r="P636" i="3"/>
  <c r="S635" i="3"/>
  <c r="R635" i="3"/>
  <c r="Q635" i="3"/>
  <c r="P635" i="3"/>
  <c r="S634" i="3"/>
  <c r="R634" i="3"/>
  <c r="Q634" i="3"/>
  <c r="P634" i="3"/>
  <c r="S633" i="3"/>
  <c r="R633" i="3"/>
  <c r="Q633" i="3"/>
  <c r="P633" i="3"/>
  <c r="S632" i="3"/>
  <c r="R632" i="3"/>
  <c r="Q632" i="3"/>
  <c r="P632" i="3"/>
  <c r="S631" i="3"/>
  <c r="R631" i="3"/>
  <c r="Q631" i="3"/>
  <c r="P631" i="3"/>
  <c r="S630" i="3"/>
  <c r="R630" i="3"/>
  <c r="Q630" i="3"/>
  <c r="P630" i="3"/>
  <c r="S629" i="3"/>
  <c r="R629" i="3"/>
  <c r="Q629" i="3"/>
  <c r="P629" i="3"/>
  <c r="S628" i="3"/>
  <c r="R628" i="3"/>
  <c r="Q628" i="3"/>
  <c r="P628" i="3"/>
  <c r="S627" i="3"/>
  <c r="R627" i="3"/>
  <c r="Q627" i="3"/>
  <c r="P627" i="3"/>
  <c r="S626" i="3"/>
  <c r="R626" i="3"/>
  <c r="Q626" i="3"/>
  <c r="P626" i="3"/>
  <c r="S625" i="3"/>
  <c r="R625" i="3"/>
  <c r="Q625" i="3"/>
  <c r="P625" i="3"/>
  <c r="S624" i="3"/>
  <c r="R624" i="3"/>
  <c r="Q624" i="3"/>
  <c r="P624" i="3"/>
  <c r="S623" i="3"/>
  <c r="R623" i="3"/>
  <c r="Q623" i="3"/>
  <c r="P623" i="3"/>
  <c r="S622" i="3"/>
  <c r="R622" i="3"/>
  <c r="Q622" i="3"/>
  <c r="P622" i="3"/>
  <c r="S621" i="3"/>
  <c r="R621" i="3"/>
  <c r="Q621" i="3"/>
  <c r="P621" i="3"/>
  <c r="S620" i="3"/>
  <c r="R620" i="3"/>
  <c r="Q620" i="3"/>
  <c r="P620" i="3"/>
  <c r="S619" i="3"/>
  <c r="R619" i="3"/>
  <c r="Q619" i="3"/>
  <c r="P619" i="3"/>
  <c r="S618" i="3"/>
  <c r="R618" i="3"/>
  <c r="Q618" i="3"/>
  <c r="P618" i="3"/>
  <c r="S617" i="3"/>
  <c r="R617" i="3"/>
  <c r="Q617" i="3"/>
  <c r="P617" i="3"/>
  <c r="S616" i="3"/>
  <c r="R616" i="3"/>
  <c r="Q616" i="3"/>
  <c r="P616" i="3"/>
  <c r="S615" i="3"/>
  <c r="R615" i="3"/>
  <c r="Q615" i="3"/>
  <c r="P615" i="3"/>
  <c r="S614" i="3"/>
  <c r="R614" i="3"/>
  <c r="Q614" i="3"/>
  <c r="P614" i="3"/>
  <c r="S613" i="3"/>
  <c r="R613" i="3"/>
  <c r="Q613" i="3"/>
  <c r="P613" i="3"/>
  <c r="S612" i="3"/>
  <c r="R612" i="3"/>
  <c r="Q612" i="3"/>
  <c r="P612" i="3"/>
  <c r="S611" i="3"/>
  <c r="R611" i="3"/>
  <c r="Q611" i="3"/>
  <c r="P611" i="3"/>
  <c r="S610" i="3"/>
  <c r="R610" i="3"/>
  <c r="Q610" i="3"/>
  <c r="P610" i="3"/>
  <c r="S609" i="3"/>
  <c r="R609" i="3"/>
  <c r="Q609" i="3"/>
  <c r="P609" i="3"/>
  <c r="S608" i="3"/>
  <c r="R608" i="3"/>
  <c r="Q608" i="3"/>
  <c r="P608" i="3"/>
  <c r="S607" i="3"/>
  <c r="R607" i="3"/>
  <c r="Q607" i="3"/>
  <c r="P607" i="3"/>
  <c r="S606" i="3"/>
  <c r="R606" i="3"/>
  <c r="Q606" i="3"/>
  <c r="P606" i="3"/>
  <c r="S605" i="3"/>
  <c r="R605" i="3"/>
  <c r="Q605" i="3"/>
  <c r="P605" i="3"/>
  <c r="S604" i="3"/>
  <c r="R604" i="3"/>
  <c r="Q604" i="3"/>
  <c r="P604" i="3"/>
  <c r="S603" i="3"/>
  <c r="R603" i="3"/>
  <c r="Q603" i="3"/>
  <c r="P603" i="3"/>
  <c r="S602" i="3"/>
  <c r="R602" i="3"/>
  <c r="Q602" i="3"/>
  <c r="P602" i="3"/>
  <c r="S601" i="3"/>
  <c r="R601" i="3"/>
  <c r="Q601" i="3"/>
  <c r="P601" i="3"/>
  <c r="S600" i="3"/>
  <c r="R600" i="3"/>
  <c r="Q600" i="3"/>
  <c r="P600" i="3"/>
  <c r="S599" i="3"/>
  <c r="R599" i="3"/>
  <c r="Q599" i="3"/>
  <c r="P599" i="3"/>
  <c r="S598" i="3"/>
  <c r="R598" i="3"/>
  <c r="Q598" i="3"/>
  <c r="P598" i="3"/>
  <c r="S597" i="3"/>
  <c r="R597" i="3"/>
  <c r="Q597" i="3"/>
  <c r="P597" i="3"/>
  <c r="S596" i="3"/>
  <c r="R596" i="3"/>
  <c r="Q596" i="3"/>
  <c r="P596" i="3"/>
  <c r="S595" i="3"/>
  <c r="R595" i="3"/>
  <c r="Q595" i="3"/>
  <c r="P595" i="3"/>
  <c r="S594" i="3"/>
  <c r="R594" i="3"/>
  <c r="Q594" i="3"/>
  <c r="P594" i="3"/>
  <c r="S593" i="3"/>
  <c r="R593" i="3"/>
  <c r="Q593" i="3"/>
  <c r="P593" i="3"/>
  <c r="S592" i="3"/>
  <c r="R592" i="3"/>
  <c r="Q592" i="3"/>
  <c r="P592" i="3"/>
  <c r="S591" i="3"/>
  <c r="R591" i="3"/>
  <c r="Q591" i="3"/>
  <c r="P591" i="3"/>
  <c r="S590" i="3"/>
  <c r="R590" i="3"/>
  <c r="Q590" i="3"/>
  <c r="P590" i="3"/>
  <c r="S589" i="3"/>
  <c r="R589" i="3"/>
  <c r="Q589" i="3"/>
  <c r="P589" i="3"/>
  <c r="S588" i="3"/>
  <c r="R588" i="3"/>
  <c r="Q588" i="3"/>
  <c r="P588" i="3"/>
  <c r="S587" i="3"/>
  <c r="R587" i="3"/>
  <c r="Q587" i="3"/>
  <c r="P587" i="3"/>
  <c r="S586" i="3"/>
  <c r="R586" i="3"/>
  <c r="Q586" i="3"/>
  <c r="P586" i="3"/>
  <c r="S585" i="3"/>
  <c r="R585" i="3"/>
  <c r="Q585" i="3"/>
  <c r="P585" i="3"/>
  <c r="S584" i="3"/>
  <c r="R584" i="3"/>
  <c r="Q584" i="3"/>
  <c r="P584" i="3"/>
  <c r="S583" i="3"/>
  <c r="R583" i="3"/>
  <c r="Q583" i="3"/>
  <c r="P583" i="3"/>
  <c r="S582" i="3"/>
  <c r="R582" i="3"/>
  <c r="Q582" i="3"/>
  <c r="P582" i="3"/>
  <c r="S581" i="3"/>
  <c r="R581" i="3"/>
  <c r="Q581" i="3"/>
  <c r="P581" i="3"/>
  <c r="S580" i="3"/>
  <c r="R580" i="3"/>
  <c r="Q580" i="3"/>
  <c r="P580" i="3"/>
  <c r="S579" i="3"/>
  <c r="R579" i="3"/>
  <c r="Q579" i="3"/>
  <c r="P579" i="3"/>
  <c r="S578" i="3"/>
  <c r="R578" i="3"/>
  <c r="Q578" i="3"/>
  <c r="P578" i="3"/>
  <c r="S577" i="3"/>
  <c r="R577" i="3"/>
  <c r="Q577" i="3"/>
  <c r="P577" i="3"/>
  <c r="S576" i="3"/>
  <c r="R576" i="3"/>
  <c r="Q576" i="3"/>
  <c r="P576" i="3"/>
  <c r="S575" i="3"/>
  <c r="R575" i="3"/>
  <c r="Q575" i="3"/>
  <c r="P575" i="3"/>
  <c r="S574" i="3"/>
  <c r="R574" i="3"/>
  <c r="Q574" i="3"/>
  <c r="P574" i="3"/>
  <c r="S573" i="3"/>
  <c r="R573" i="3"/>
  <c r="Q573" i="3"/>
  <c r="P573" i="3"/>
  <c r="S572" i="3"/>
  <c r="R572" i="3"/>
  <c r="Q572" i="3"/>
  <c r="P572" i="3"/>
  <c r="S571" i="3"/>
  <c r="R571" i="3"/>
  <c r="Q571" i="3"/>
  <c r="P571" i="3"/>
  <c r="S570" i="3"/>
  <c r="R570" i="3"/>
  <c r="Q570" i="3"/>
  <c r="P570" i="3"/>
  <c r="S569" i="3"/>
  <c r="R569" i="3"/>
  <c r="Q569" i="3"/>
  <c r="P569" i="3"/>
  <c r="S568" i="3"/>
  <c r="R568" i="3"/>
  <c r="Q568" i="3"/>
  <c r="P568" i="3"/>
  <c r="S567" i="3"/>
  <c r="R567" i="3"/>
  <c r="Q567" i="3"/>
  <c r="P567" i="3"/>
  <c r="S566" i="3"/>
  <c r="R566" i="3"/>
  <c r="Q566" i="3"/>
  <c r="P566" i="3"/>
  <c r="S565" i="3"/>
  <c r="R565" i="3"/>
  <c r="Q565" i="3"/>
  <c r="P565" i="3"/>
  <c r="S564" i="3"/>
  <c r="R564" i="3"/>
  <c r="Q564" i="3"/>
  <c r="P564" i="3"/>
  <c r="S563" i="3"/>
  <c r="R563" i="3"/>
  <c r="Q563" i="3"/>
  <c r="P563" i="3"/>
  <c r="S562" i="3"/>
  <c r="R562" i="3"/>
  <c r="Q562" i="3"/>
  <c r="P562" i="3"/>
  <c r="S561" i="3"/>
  <c r="R561" i="3"/>
  <c r="Q561" i="3"/>
  <c r="P561" i="3"/>
  <c r="S560" i="3"/>
  <c r="R560" i="3"/>
  <c r="Q560" i="3"/>
  <c r="P560" i="3"/>
  <c r="S559" i="3"/>
  <c r="R559" i="3"/>
  <c r="Q559" i="3"/>
  <c r="P559" i="3"/>
  <c r="S558" i="3"/>
  <c r="R558" i="3"/>
  <c r="Q558" i="3"/>
  <c r="P558" i="3"/>
  <c r="S557" i="3"/>
  <c r="R557" i="3"/>
  <c r="Q557" i="3"/>
  <c r="P557" i="3"/>
  <c r="S556" i="3"/>
  <c r="R556" i="3"/>
  <c r="Q556" i="3"/>
  <c r="P556" i="3"/>
  <c r="S555" i="3"/>
  <c r="R555" i="3"/>
  <c r="Q555" i="3"/>
  <c r="P555" i="3"/>
  <c r="S554" i="3"/>
  <c r="R554" i="3"/>
  <c r="Q554" i="3"/>
  <c r="P554" i="3"/>
  <c r="S553" i="3"/>
  <c r="R553" i="3"/>
  <c r="Q553" i="3"/>
  <c r="P553" i="3"/>
  <c r="S552" i="3"/>
  <c r="R552" i="3"/>
  <c r="Q552" i="3"/>
  <c r="P552" i="3"/>
  <c r="S551" i="3"/>
  <c r="R551" i="3"/>
  <c r="Q551" i="3"/>
  <c r="P551" i="3"/>
  <c r="S550" i="3"/>
  <c r="R550" i="3"/>
  <c r="Q550" i="3"/>
  <c r="P550" i="3"/>
  <c r="S549" i="3"/>
  <c r="R549" i="3"/>
  <c r="Q549" i="3"/>
  <c r="P549" i="3"/>
  <c r="S548" i="3"/>
  <c r="R548" i="3"/>
  <c r="Q548" i="3"/>
  <c r="P548" i="3"/>
  <c r="S547" i="3"/>
  <c r="R547" i="3"/>
  <c r="Q547" i="3"/>
  <c r="P547" i="3"/>
  <c r="S546" i="3"/>
  <c r="R546" i="3"/>
  <c r="Q546" i="3"/>
  <c r="P546" i="3"/>
  <c r="S545" i="3"/>
  <c r="R545" i="3"/>
  <c r="Q545" i="3"/>
  <c r="P545" i="3"/>
  <c r="S544" i="3"/>
  <c r="R544" i="3"/>
  <c r="Q544" i="3"/>
  <c r="P544" i="3"/>
  <c r="S543" i="3"/>
  <c r="R543" i="3"/>
  <c r="Q543" i="3"/>
  <c r="P543" i="3"/>
  <c r="S542" i="3"/>
  <c r="R542" i="3"/>
  <c r="Q542" i="3"/>
  <c r="P542" i="3"/>
  <c r="S541" i="3"/>
  <c r="R541" i="3"/>
  <c r="Q541" i="3"/>
  <c r="P541" i="3"/>
  <c r="S540" i="3"/>
  <c r="R540" i="3"/>
  <c r="Q540" i="3"/>
  <c r="P540" i="3"/>
  <c r="S539" i="3"/>
  <c r="R539" i="3"/>
  <c r="Q539" i="3"/>
  <c r="P539" i="3"/>
  <c r="S538" i="3"/>
  <c r="R538" i="3"/>
  <c r="Q538" i="3"/>
  <c r="P538" i="3"/>
  <c r="S537" i="3"/>
  <c r="R537" i="3"/>
  <c r="Q537" i="3"/>
  <c r="P537" i="3"/>
  <c r="S536" i="3"/>
  <c r="R536" i="3"/>
  <c r="Q536" i="3"/>
  <c r="P536" i="3"/>
  <c r="S535" i="3"/>
  <c r="R535" i="3"/>
  <c r="Q535" i="3"/>
  <c r="P535" i="3"/>
  <c r="S534" i="3"/>
  <c r="R534" i="3"/>
  <c r="Q534" i="3"/>
  <c r="P534" i="3"/>
  <c r="S533" i="3"/>
  <c r="R533" i="3"/>
  <c r="Q533" i="3"/>
  <c r="P533" i="3"/>
  <c r="S532" i="3"/>
  <c r="R532" i="3"/>
  <c r="Q532" i="3"/>
  <c r="P532" i="3"/>
  <c r="S531" i="3"/>
  <c r="R531" i="3"/>
  <c r="Q531" i="3"/>
  <c r="P531" i="3"/>
  <c r="S530" i="3"/>
  <c r="R530" i="3"/>
  <c r="Q530" i="3"/>
  <c r="P530" i="3"/>
  <c r="S529" i="3"/>
  <c r="R529" i="3"/>
  <c r="Q529" i="3"/>
  <c r="P529" i="3"/>
  <c r="S528" i="3"/>
  <c r="R528" i="3"/>
  <c r="Q528" i="3"/>
  <c r="P528" i="3"/>
  <c r="S527" i="3"/>
  <c r="R527" i="3"/>
  <c r="Q527" i="3"/>
  <c r="P527" i="3"/>
  <c r="S526" i="3"/>
  <c r="R526" i="3"/>
  <c r="Q526" i="3"/>
  <c r="P526" i="3"/>
  <c r="S525" i="3"/>
  <c r="R525" i="3"/>
  <c r="Q525" i="3"/>
  <c r="P525" i="3"/>
  <c r="S524" i="3"/>
  <c r="R524" i="3"/>
  <c r="Q524" i="3"/>
  <c r="P524" i="3"/>
  <c r="S523" i="3"/>
  <c r="R523" i="3"/>
  <c r="Q523" i="3"/>
  <c r="P523" i="3"/>
  <c r="S522" i="3"/>
  <c r="R522" i="3"/>
  <c r="Q522" i="3"/>
  <c r="P522" i="3"/>
  <c r="S521" i="3"/>
  <c r="R521" i="3"/>
  <c r="Q521" i="3"/>
  <c r="P521" i="3"/>
  <c r="S520" i="3"/>
  <c r="R520" i="3"/>
  <c r="Q520" i="3"/>
  <c r="P520" i="3"/>
  <c r="S519" i="3"/>
  <c r="R519" i="3"/>
  <c r="Q519" i="3"/>
  <c r="P519" i="3"/>
  <c r="S518" i="3"/>
  <c r="R518" i="3"/>
  <c r="Q518" i="3"/>
  <c r="P518" i="3"/>
  <c r="S517" i="3"/>
  <c r="R517" i="3"/>
  <c r="Q517" i="3"/>
  <c r="P517" i="3"/>
  <c r="S516" i="3"/>
  <c r="R516" i="3"/>
  <c r="Q516" i="3"/>
  <c r="P516" i="3"/>
  <c r="S515" i="3"/>
  <c r="R515" i="3"/>
  <c r="Q515" i="3"/>
  <c r="P515" i="3"/>
  <c r="S514" i="3"/>
  <c r="R514" i="3"/>
  <c r="Q514" i="3"/>
  <c r="P514" i="3"/>
  <c r="S513" i="3"/>
  <c r="R513" i="3"/>
  <c r="Q513" i="3"/>
  <c r="P513" i="3"/>
  <c r="S512" i="3"/>
  <c r="R512" i="3"/>
  <c r="Q512" i="3"/>
  <c r="P512" i="3"/>
  <c r="S511" i="3"/>
  <c r="R511" i="3"/>
  <c r="Q511" i="3"/>
  <c r="P511" i="3"/>
  <c r="S510" i="3"/>
  <c r="R510" i="3"/>
  <c r="Q510" i="3"/>
  <c r="P510" i="3"/>
  <c r="S509" i="3"/>
  <c r="R509" i="3"/>
  <c r="Q509" i="3"/>
  <c r="P509" i="3"/>
  <c r="S508" i="3"/>
  <c r="R508" i="3"/>
  <c r="Q508" i="3"/>
  <c r="P508" i="3"/>
  <c r="S507" i="3"/>
  <c r="R507" i="3"/>
  <c r="Q507" i="3"/>
  <c r="P507" i="3"/>
  <c r="S506" i="3"/>
  <c r="R506" i="3"/>
  <c r="Q506" i="3"/>
  <c r="P506" i="3"/>
  <c r="S505" i="3"/>
  <c r="R505" i="3"/>
  <c r="Q505" i="3"/>
  <c r="P505" i="3"/>
  <c r="S504" i="3"/>
  <c r="R504" i="3"/>
  <c r="Q504" i="3"/>
  <c r="P504" i="3"/>
  <c r="S503" i="3"/>
  <c r="R503" i="3"/>
  <c r="Q503" i="3"/>
  <c r="P503" i="3"/>
  <c r="S502" i="3"/>
  <c r="R502" i="3"/>
  <c r="Q502" i="3"/>
  <c r="P502" i="3"/>
  <c r="S501" i="3"/>
  <c r="R501" i="3"/>
  <c r="Q501" i="3"/>
  <c r="P501" i="3"/>
  <c r="S500" i="3"/>
  <c r="R500" i="3"/>
  <c r="Q500" i="3"/>
  <c r="P500" i="3"/>
  <c r="S499" i="3"/>
  <c r="R499" i="3"/>
  <c r="Q499" i="3"/>
  <c r="P499" i="3"/>
  <c r="S498" i="3"/>
  <c r="R498" i="3"/>
  <c r="Q498" i="3"/>
  <c r="P498" i="3"/>
  <c r="S497" i="3"/>
  <c r="R497" i="3"/>
  <c r="Q497" i="3"/>
  <c r="P497" i="3"/>
  <c r="S496" i="3"/>
  <c r="R496" i="3"/>
  <c r="Q496" i="3"/>
  <c r="P496" i="3"/>
  <c r="S495" i="3"/>
  <c r="R495" i="3"/>
  <c r="Q495" i="3"/>
  <c r="P495" i="3"/>
  <c r="S494" i="3"/>
  <c r="R494" i="3"/>
  <c r="Q494" i="3"/>
  <c r="P494" i="3"/>
  <c r="S493" i="3"/>
  <c r="R493" i="3"/>
  <c r="Q493" i="3"/>
  <c r="P493" i="3"/>
  <c r="S492" i="3"/>
  <c r="R492" i="3"/>
  <c r="Q492" i="3"/>
  <c r="P492" i="3"/>
  <c r="S491" i="3"/>
  <c r="R491" i="3"/>
  <c r="Q491" i="3"/>
  <c r="P491" i="3"/>
  <c r="S490" i="3"/>
  <c r="R490" i="3"/>
  <c r="Q490" i="3"/>
  <c r="P490" i="3"/>
  <c r="S489" i="3"/>
  <c r="R489" i="3"/>
  <c r="Q489" i="3"/>
  <c r="P489" i="3"/>
  <c r="S488" i="3"/>
  <c r="R488" i="3"/>
  <c r="Q488" i="3"/>
  <c r="P488" i="3"/>
  <c r="S487" i="3"/>
  <c r="R487" i="3"/>
  <c r="Q487" i="3"/>
  <c r="P487" i="3"/>
  <c r="S486" i="3"/>
  <c r="R486" i="3"/>
  <c r="Q486" i="3"/>
  <c r="P486" i="3"/>
  <c r="S485" i="3"/>
  <c r="R485" i="3"/>
  <c r="Q485" i="3"/>
  <c r="P485" i="3"/>
  <c r="S484" i="3"/>
  <c r="R484" i="3"/>
  <c r="Q484" i="3"/>
  <c r="P484" i="3"/>
  <c r="S483" i="3"/>
  <c r="R483" i="3"/>
  <c r="Q483" i="3"/>
  <c r="P483" i="3"/>
  <c r="S482" i="3"/>
  <c r="R482" i="3"/>
  <c r="Q482" i="3"/>
  <c r="P482" i="3"/>
  <c r="S481" i="3"/>
  <c r="R481" i="3"/>
  <c r="Q481" i="3"/>
  <c r="P481" i="3"/>
  <c r="S480" i="3"/>
  <c r="R480" i="3"/>
  <c r="Q480" i="3"/>
  <c r="P480" i="3"/>
  <c r="S479" i="3"/>
  <c r="R479" i="3"/>
  <c r="Q479" i="3"/>
  <c r="P479" i="3"/>
  <c r="S478" i="3"/>
  <c r="R478" i="3"/>
  <c r="Q478" i="3"/>
  <c r="P478" i="3"/>
  <c r="S477" i="3"/>
  <c r="R477" i="3"/>
  <c r="Q477" i="3"/>
  <c r="P477" i="3"/>
  <c r="S476" i="3"/>
  <c r="R476" i="3"/>
  <c r="Q476" i="3"/>
  <c r="P476" i="3"/>
  <c r="S475" i="3"/>
  <c r="R475" i="3"/>
  <c r="Q475" i="3"/>
  <c r="P475" i="3"/>
  <c r="S474" i="3"/>
  <c r="R474" i="3"/>
  <c r="Q474" i="3"/>
  <c r="P474" i="3"/>
  <c r="S473" i="3"/>
  <c r="R473" i="3"/>
  <c r="Q473" i="3"/>
  <c r="P473" i="3"/>
  <c r="S472" i="3"/>
  <c r="R472" i="3"/>
  <c r="Q472" i="3"/>
  <c r="P472" i="3"/>
  <c r="S471" i="3"/>
  <c r="R471" i="3"/>
  <c r="Q471" i="3"/>
  <c r="P471" i="3"/>
  <c r="S470" i="3"/>
  <c r="R470" i="3"/>
  <c r="Q470" i="3"/>
  <c r="P470" i="3"/>
  <c r="S469" i="3"/>
  <c r="R469" i="3"/>
  <c r="Q469" i="3"/>
  <c r="P469" i="3"/>
  <c r="S468" i="3"/>
  <c r="R468" i="3"/>
  <c r="Q468" i="3"/>
  <c r="P468" i="3"/>
  <c r="S467" i="3"/>
  <c r="R467" i="3"/>
  <c r="Q467" i="3"/>
  <c r="P467" i="3"/>
  <c r="S466" i="3"/>
  <c r="R466" i="3"/>
  <c r="Q466" i="3"/>
  <c r="P466" i="3"/>
  <c r="S465" i="3"/>
  <c r="R465" i="3"/>
  <c r="Q465" i="3"/>
  <c r="P465" i="3"/>
  <c r="S464" i="3"/>
  <c r="R464" i="3"/>
  <c r="Q464" i="3"/>
  <c r="P464" i="3"/>
  <c r="S463" i="3"/>
  <c r="R463" i="3"/>
  <c r="Q463" i="3"/>
  <c r="P463" i="3"/>
  <c r="S462" i="3"/>
  <c r="R462" i="3"/>
  <c r="Q462" i="3"/>
  <c r="P462" i="3"/>
  <c r="S461" i="3"/>
  <c r="R461" i="3"/>
  <c r="Q461" i="3"/>
  <c r="P461" i="3"/>
  <c r="S460" i="3"/>
  <c r="R460" i="3"/>
  <c r="Q460" i="3"/>
  <c r="P460" i="3"/>
  <c r="S459" i="3"/>
  <c r="R459" i="3"/>
  <c r="Q459" i="3"/>
  <c r="P459" i="3"/>
  <c r="S458" i="3"/>
  <c r="R458" i="3"/>
  <c r="Q458" i="3"/>
  <c r="P458" i="3"/>
  <c r="S457" i="3"/>
  <c r="R457" i="3"/>
  <c r="Q457" i="3"/>
  <c r="P457" i="3"/>
  <c r="S456" i="3"/>
  <c r="R456" i="3"/>
  <c r="Q456" i="3"/>
  <c r="P456" i="3"/>
  <c r="S455" i="3"/>
  <c r="R455" i="3"/>
  <c r="Q455" i="3"/>
  <c r="P455" i="3"/>
  <c r="S454" i="3"/>
  <c r="R454" i="3"/>
  <c r="Q454" i="3"/>
  <c r="P454" i="3"/>
  <c r="S453" i="3"/>
  <c r="R453" i="3"/>
  <c r="Q453" i="3"/>
  <c r="P453" i="3"/>
  <c r="S452" i="3"/>
  <c r="R452" i="3"/>
  <c r="Q452" i="3"/>
  <c r="P452" i="3"/>
  <c r="S451" i="3"/>
  <c r="R451" i="3"/>
  <c r="Q451" i="3"/>
  <c r="P451" i="3"/>
  <c r="S450" i="3"/>
  <c r="R450" i="3"/>
  <c r="Q450" i="3"/>
  <c r="P450" i="3"/>
  <c r="S449" i="3"/>
  <c r="R449" i="3"/>
  <c r="Q449" i="3"/>
  <c r="P449" i="3"/>
  <c r="S448" i="3"/>
  <c r="R448" i="3"/>
  <c r="Q448" i="3"/>
  <c r="P448" i="3"/>
  <c r="S447" i="3"/>
  <c r="R447" i="3"/>
  <c r="Q447" i="3"/>
  <c r="P447" i="3"/>
  <c r="S446" i="3"/>
  <c r="R446" i="3"/>
  <c r="Q446" i="3"/>
  <c r="P446" i="3"/>
  <c r="S445" i="3"/>
  <c r="R445" i="3"/>
  <c r="Q445" i="3"/>
  <c r="P445" i="3"/>
  <c r="S444" i="3"/>
  <c r="R444" i="3"/>
  <c r="Q444" i="3"/>
  <c r="P444" i="3"/>
  <c r="S443" i="3"/>
  <c r="R443" i="3"/>
  <c r="Q443" i="3"/>
  <c r="P443" i="3"/>
  <c r="S442" i="3"/>
  <c r="R442" i="3"/>
  <c r="Q442" i="3"/>
  <c r="P442" i="3"/>
  <c r="S441" i="3"/>
  <c r="R441" i="3"/>
  <c r="Q441" i="3"/>
  <c r="P441" i="3"/>
  <c r="S440" i="3"/>
  <c r="R440" i="3"/>
  <c r="Q440" i="3"/>
  <c r="P440" i="3"/>
  <c r="S439" i="3"/>
  <c r="R439" i="3"/>
  <c r="Q439" i="3"/>
  <c r="P439" i="3"/>
  <c r="S438" i="3"/>
  <c r="R438" i="3"/>
  <c r="Q438" i="3"/>
  <c r="P438" i="3"/>
  <c r="S437" i="3"/>
  <c r="R437" i="3"/>
  <c r="Q437" i="3"/>
  <c r="P437" i="3"/>
  <c r="S436" i="3"/>
  <c r="R436" i="3"/>
  <c r="Q436" i="3"/>
  <c r="P436" i="3"/>
  <c r="S435" i="3"/>
  <c r="R435" i="3"/>
  <c r="Q435" i="3"/>
  <c r="P435" i="3"/>
  <c r="S434" i="3"/>
  <c r="R434" i="3"/>
  <c r="Q434" i="3"/>
  <c r="P434" i="3"/>
  <c r="S433" i="3"/>
  <c r="R433" i="3"/>
  <c r="Q433" i="3"/>
  <c r="P433" i="3"/>
  <c r="S432" i="3"/>
  <c r="R432" i="3"/>
  <c r="Q432" i="3"/>
  <c r="P432" i="3"/>
  <c r="S431" i="3"/>
  <c r="R431" i="3"/>
  <c r="Q431" i="3"/>
  <c r="P431" i="3"/>
  <c r="S430" i="3"/>
  <c r="R430" i="3"/>
  <c r="Q430" i="3"/>
  <c r="P430" i="3"/>
  <c r="S429" i="3"/>
  <c r="R429" i="3"/>
  <c r="Q429" i="3"/>
  <c r="P429" i="3"/>
  <c r="S428" i="3"/>
  <c r="R428" i="3"/>
  <c r="Q428" i="3"/>
  <c r="P428" i="3"/>
  <c r="S427" i="3"/>
  <c r="R427" i="3"/>
  <c r="Q427" i="3"/>
  <c r="P427" i="3"/>
  <c r="S426" i="3"/>
  <c r="R426" i="3"/>
  <c r="Q426" i="3"/>
  <c r="P426" i="3"/>
  <c r="S425" i="3"/>
  <c r="R425" i="3"/>
  <c r="Q425" i="3"/>
  <c r="P425" i="3"/>
  <c r="S424" i="3"/>
  <c r="R424" i="3"/>
  <c r="Q424" i="3"/>
  <c r="P424" i="3"/>
  <c r="S423" i="3"/>
  <c r="R423" i="3"/>
  <c r="Q423" i="3"/>
  <c r="P423" i="3"/>
  <c r="S422" i="3"/>
  <c r="R422" i="3"/>
  <c r="Q422" i="3"/>
  <c r="P422" i="3"/>
  <c r="S421" i="3"/>
  <c r="R421" i="3"/>
  <c r="Q421" i="3"/>
  <c r="P421" i="3"/>
  <c r="S420" i="3"/>
  <c r="R420" i="3"/>
  <c r="Q420" i="3"/>
  <c r="P420" i="3"/>
  <c r="S419" i="3"/>
  <c r="R419" i="3"/>
  <c r="Q419" i="3"/>
  <c r="P419" i="3"/>
  <c r="S418" i="3"/>
  <c r="R418" i="3"/>
  <c r="Q418" i="3"/>
  <c r="P418" i="3"/>
  <c r="S417" i="3"/>
  <c r="R417" i="3"/>
  <c r="Q417" i="3"/>
  <c r="P417" i="3"/>
  <c r="S416" i="3"/>
  <c r="R416" i="3"/>
  <c r="Q416" i="3"/>
  <c r="P416" i="3"/>
  <c r="S415" i="3"/>
  <c r="R415" i="3"/>
  <c r="Q415" i="3"/>
  <c r="P415" i="3"/>
  <c r="S414" i="3"/>
  <c r="R414" i="3"/>
  <c r="Q414" i="3"/>
  <c r="P414" i="3"/>
  <c r="S413" i="3"/>
  <c r="R413" i="3"/>
  <c r="Q413" i="3"/>
  <c r="P413" i="3"/>
  <c r="S412" i="3"/>
  <c r="R412" i="3"/>
  <c r="Q412" i="3"/>
  <c r="P412" i="3"/>
  <c r="S411" i="3"/>
  <c r="R411" i="3"/>
  <c r="Q411" i="3"/>
  <c r="P411" i="3"/>
  <c r="S410" i="3"/>
  <c r="R410" i="3"/>
  <c r="Q410" i="3"/>
  <c r="P410" i="3"/>
  <c r="S409" i="3"/>
  <c r="R409" i="3"/>
  <c r="Q409" i="3"/>
  <c r="P409" i="3"/>
  <c r="S408" i="3"/>
  <c r="R408" i="3"/>
  <c r="Q408" i="3"/>
  <c r="P408" i="3"/>
  <c r="S407" i="3"/>
  <c r="R407" i="3"/>
  <c r="Q407" i="3"/>
  <c r="P407" i="3"/>
  <c r="S406" i="3"/>
  <c r="R406" i="3"/>
  <c r="Q406" i="3"/>
  <c r="P406" i="3"/>
  <c r="S405" i="3"/>
  <c r="R405" i="3"/>
  <c r="Q405" i="3"/>
  <c r="P405" i="3"/>
  <c r="S404" i="3"/>
  <c r="R404" i="3"/>
  <c r="Q404" i="3"/>
  <c r="P404" i="3"/>
  <c r="S403" i="3"/>
  <c r="R403" i="3"/>
  <c r="Q403" i="3"/>
  <c r="P403" i="3"/>
  <c r="S402" i="3"/>
  <c r="R402" i="3"/>
  <c r="Q402" i="3"/>
  <c r="P402" i="3"/>
  <c r="S401" i="3"/>
  <c r="R401" i="3"/>
  <c r="Q401" i="3"/>
  <c r="P401" i="3"/>
  <c r="S400" i="3"/>
  <c r="R400" i="3"/>
  <c r="Q400" i="3"/>
  <c r="P400" i="3"/>
  <c r="S399" i="3"/>
  <c r="R399" i="3"/>
  <c r="Q399" i="3"/>
  <c r="P399" i="3"/>
  <c r="S398" i="3"/>
  <c r="R398" i="3"/>
  <c r="Q398" i="3"/>
  <c r="P398" i="3"/>
  <c r="S397" i="3"/>
  <c r="R397" i="3"/>
  <c r="Q397" i="3"/>
  <c r="P397" i="3"/>
  <c r="S396" i="3"/>
  <c r="R396" i="3"/>
  <c r="Q396" i="3"/>
  <c r="P396" i="3"/>
  <c r="S395" i="3"/>
  <c r="R395" i="3"/>
  <c r="Q395" i="3"/>
  <c r="P395" i="3"/>
  <c r="S394" i="3"/>
  <c r="R394" i="3"/>
  <c r="Q394" i="3"/>
  <c r="P394" i="3"/>
  <c r="S393" i="3"/>
  <c r="R393" i="3"/>
  <c r="Q393" i="3"/>
  <c r="P393" i="3"/>
  <c r="S392" i="3"/>
  <c r="R392" i="3"/>
  <c r="Q392" i="3"/>
  <c r="P392" i="3"/>
  <c r="S391" i="3"/>
  <c r="R391" i="3"/>
  <c r="Q391" i="3"/>
  <c r="P391" i="3"/>
  <c r="S390" i="3"/>
  <c r="R390" i="3"/>
  <c r="Q390" i="3"/>
  <c r="P390" i="3"/>
  <c r="S389" i="3"/>
  <c r="R389" i="3"/>
  <c r="Q389" i="3"/>
  <c r="P389" i="3"/>
  <c r="S388" i="3"/>
  <c r="R388" i="3"/>
  <c r="Q388" i="3"/>
  <c r="P388" i="3"/>
  <c r="S387" i="3"/>
  <c r="R387" i="3"/>
  <c r="Q387" i="3"/>
  <c r="P387" i="3"/>
  <c r="S386" i="3"/>
  <c r="R386" i="3"/>
  <c r="Q386" i="3"/>
  <c r="P386" i="3"/>
  <c r="S385" i="3"/>
  <c r="R385" i="3"/>
  <c r="Q385" i="3"/>
  <c r="P385" i="3"/>
  <c r="S384" i="3"/>
  <c r="R384" i="3"/>
  <c r="Q384" i="3"/>
  <c r="P384" i="3"/>
  <c r="S383" i="3"/>
  <c r="R383" i="3"/>
  <c r="Q383" i="3"/>
  <c r="P383" i="3"/>
  <c r="S382" i="3"/>
  <c r="R382" i="3"/>
  <c r="Q382" i="3"/>
  <c r="P382" i="3"/>
  <c r="S381" i="3"/>
  <c r="R381" i="3"/>
  <c r="Q381" i="3"/>
  <c r="P381" i="3"/>
  <c r="S380" i="3"/>
  <c r="R380" i="3"/>
  <c r="Q380" i="3"/>
  <c r="P380" i="3"/>
  <c r="S379" i="3"/>
  <c r="R379" i="3"/>
  <c r="Q379" i="3"/>
  <c r="P379" i="3"/>
  <c r="S378" i="3"/>
  <c r="R378" i="3"/>
  <c r="Q378" i="3"/>
  <c r="P378" i="3"/>
  <c r="S377" i="3"/>
  <c r="R377" i="3"/>
  <c r="Q377" i="3"/>
  <c r="P377" i="3"/>
  <c r="S376" i="3"/>
  <c r="R376" i="3"/>
  <c r="Q376" i="3"/>
  <c r="P376" i="3"/>
  <c r="S375" i="3"/>
  <c r="R375" i="3"/>
  <c r="Q375" i="3"/>
  <c r="P375" i="3"/>
  <c r="S374" i="3"/>
  <c r="R374" i="3"/>
  <c r="Q374" i="3"/>
  <c r="P374" i="3"/>
  <c r="S373" i="3"/>
  <c r="R373" i="3"/>
  <c r="Q373" i="3"/>
  <c r="P373" i="3"/>
  <c r="S372" i="3"/>
  <c r="R372" i="3"/>
  <c r="Q372" i="3"/>
  <c r="P372" i="3"/>
  <c r="S371" i="3"/>
  <c r="R371" i="3"/>
  <c r="Q371" i="3"/>
  <c r="P371" i="3"/>
  <c r="S370" i="3"/>
  <c r="R370" i="3"/>
  <c r="Q370" i="3"/>
  <c r="P370" i="3"/>
  <c r="S369" i="3"/>
  <c r="R369" i="3"/>
  <c r="Q369" i="3"/>
  <c r="P369" i="3"/>
  <c r="S368" i="3"/>
  <c r="R368" i="3"/>
  <c r="Q368" i="3"/>
  <c r="P368" i="3"/>
  <c r="S367" i="3"/>
  <c r="R367" i="3"/>
  <c r="Q367" i="3"/>
  <c r="P367" i="3"/>
  <c r="S366" i="3"/>
  <c r="R366" i="3"/>
  <c r="Q366" i="3"/>
  <c r="P366" i="3"/>
  <c r="S365" i="3"/>
  <c r="R365" i="3"/>
  <c r="Q365" i="3"/>
  <c r="P365" i="3"/>
  <c r="S364" i="3"/>
  <c r="R364" i="3"/>
  <c r="Q364" i="3"/>
  <c r="P364" i="3"/>
  <c r="S363" i="3"/>
  <c r="R363" i="3"/>
  <c r="Q363" i="3"/>
  <c r="P363" i="3"/>
  <c r="S362" i="3"/>
  <c r="R362" i="3"/>
  <c r="Q362" i="3"/>
  <c r="P362" i="3"/>
  <c r="S361" i="3"/>
  <c r="R361" i="3"/>
  <c r="Q361" i="3"/>
  <c r="P361" i="3"/>
  <c r="S360" i="3"/>
  <c r="R360" i="3"/>
  <c r="Q360" i="3"/>
  <c r="P360" i="3"/>
  <c r="S359" i="3"/>
  <c r="R359" i="3"/>
  <c r="Q359" i="3"/>
  <c r="P359" i="3"/>
  <c r="S358" i="3"/>
  <c r="R358" i="3"/>
  <c r="Q358" i="3"/>
  <c r="P358" i="3"/>
  <c r="S357" i="3"/>
  <c r="R357" i="3"/>
  <c r="Q357" i="3"/>
  <c r="P357" i="3"/>
  <c r="S356" i="3"/>
  <c r="R356" i="3"/>
  <c r="Q356" i="3"/>
  <c r="P356" i="3"/>
  <c r="S355" i="3"/>
  <c r="R355" i="3"/>
  <c r="Q355" i="3"/>
  <c r="P355" i="3"/>
  <c r="S354" i="3"/>
  <c r="R354" i="3"/>
  <c r="Q354" i="3"/>
  <c r="P354" i="3"/>
  <c r="S353" i="3"/>
  <c r="R353" i="3"/>
  <c r="Q353" i="3"/>
  <c r="P353" i="3"/>
  <c r="S352" i="3"/>
  <c r="R352" i="3"/>
  <c r="Q352" i="3"/>
  <c r="P352" i="3"/>
  <c r="S351" i="3"/>
  <c r="R351" i="3"/>
  <c r="Q351" i="3"/>
  <c r="P351" i="3"/>
  <c r="S350" i="3"/>
  <c r="R350" i="3"/>
  <c r="Q350" i="3"/>
  <c r="P350" i="3"/>
  <c r="S349" i="3"/>
  <c r="R349" i="3"/>
  <c r="Q349" i="3"/>
  <c r="P349" i="3"/>
  <c r="S348" i="3"/>
  <c r="R348" i="3"/>
  <c r="Q348" i="3"/>
  <c r="P348" i="3"/>
  <c r="S347" i="3"/>
  <c r="R347" i="3"/>
  <c r="Q347" i="3"/>
  <c r="P347" i="3"/>
  <c r="S346" i="3"/>
  <c r="R346" i="3"/>
  <c r="Q346" i="3"/>
  <c r="P346" i="3"/>
  <c r="S345" i="3"/>
  <c r="R345" i="3"/>
  <c r="Q345" i="3"/>
  <c r="P345" i="3"/>
  <c r="S344" i="3"/>
  <c r="R344" i="3"/>
  <c r="Q344" i="3"/>
  <c r="P344" i="3"/>
  <c r="S343" i="3"/>
  <c r="R343" i="3"/>
  <c r="Q343" i="3"/>
  <c r="P343" i="3"/>
  <c r="S342" i="3"/>
  <c r="R342" i="3"/>
  <c r="Q342" i="3"/>
  <c r="P342" i="3"/>
  <c r="S341" i="3"/>
  <c r="R341" i="3"/>
  <c r="Q341" i="3"/>
  <c r="P341" i="3"/>
  <c r="S340" i="3"/>
  <c r="R340" i="3"/>
  <c r="Q340" i="3"/>
  <c r="P340" i="3"/>
  <c r="S339" i="3"/>
  <c r="R339" i="3"/>
  <c r="Q339" i="3"/>
  <c r="P339" i="3"/>
  <c r="S338" i="3"/>
  <c r="R338" i="3"/>
  <c r="Q338" i="3"/>
  <c r="P338" i="3"/>
  <c r="S337" i="3"/>
  <c r="R337" i="3"/>
  <c r="Q337" i="3"/>
  <c r="P337" i="3"/>
  <c r="S336" i="3"/>
  <c r="R336" i="3"/>
  <c r="Q336" i="3"/>
  <c r="P336" i="3"/>
  <c r="S335" i="3"/>
  <c r="R335" i="3"/>
  <c r="Q335" i="3"/>
  <c r="P335" i="3"/>
  <c r="S334" i="3"/>
  <c r="R334" i="3"/>
  <c r="Q334" i="3"/>
  <c r="P334" i="3"/>
  <c r="S333" i="3"/>
  <c r="R333" i="3"/>
  <c r="Q333" i="3"/>
  <c r="P333" i="3"/>
  <c r="S332" i="3"/>
  <c r="R332" i="3"/>
  <c r="Q332" i="3"/>
  <c r="P332" i="3"/>
  <c r="S331" i="3"/>
  <c r="R331" i="3"/>
  <c r="Q331" i="3"/>
  <c r="P331" i="3"/>
  <c r="S330" i="3"/>
  <c r="R330" i="3"/>
  <c r="Q330" i="3"/>
  <c r="P330" i="3"/>
  <c r="S329" i="3"/>
  <c r="R329" i="3"/>
  <c r="Q329" i="3"/>
  <c r="P329" i="3"/>
  <c r="S328" i="3"/>
  <c r="R328" i="3"/>
  <c r="Q328" i="3"/>
  <c r="P328" i="3"/>
  <c r="S327" i="3"/>
  <c r="R327" i="3"/>
  <c r="Q327" i="3"/>
  <c r="P327" i="3"/>
  <c r="S326" i="3"/>
  <c r="R326" i="3"/>
  <c r="Q326" i="3"/>
  <c r="P326" i="3"/>
  <c r="S325" i="3"/>
  <c r="R325" i="3"/>
  <c r="Q325" i="3"/>
  <c r="P325" i="3"/>
  <c r="S324" i="3"/>
  <c r="R324" i="3"/>
  <c r="Q324" i="3"/>
  <c r="P324" i="3"/>
  <c r="S323" i="3"/>
  <c r="R323" i="3"/>
  <c r="Q323" i="3"/>
  <c r="P323" i="3"/>
  <c r="S322" i="3"/>
  <c r="R322" i="3"/>
  <c r="Q322" i="3"/>
  <c r="P322" i="3"/>
  <c r="S321" i="3"/>
  <c r="R321" i="3"/>
  <c r="Q321" i="3"/>
  <c r="P321" i="3"/>
  <c r="S320" i="3"/>
  <c r="R320" i="3"/>
  <c r="Q320" i="3"/>
  <c r="P320" i="3"/>
  <c r="S319" i="3"/>
  <c r="R319" i="3"/>
  <c r="Q319" i="3"/>
  <c r="P319" i="3"/>
  <c r="S318" i="3"/>
  <c r="R318" i="3"/>
  <c r="Q318" i="3"/>
  <c r="P318" i="3"/>
  <c r="S317" i="3"/>
  <c r="R317" i="3"/>
  <c r="Q317" i="3"/>
  <c r="P317" i="3"/>
  <c r="S316" i="3"/>
  <c r="R316" i="3"/>
  <c r="Q316" i="3"/>
  <c r="P316" i="3"/>
  <c r="S315" i="3"/>
  <c r="R315" i="3"/>
  <c r="Q315" i="3"/>
  <c r="P315" i="3"/>
  <c r="S314" i="3"/>
  <c r="R314" i="3"/>
  <c r="Q314" i="3"/>
  <c r="P314" i="3"/>
  <c r="S313" i="3"/>
  <c r="R313" i="3"/>
  <c r="Q313" i="3"/>
  <c r="P313" i="3"/>
  <c r="S312" i="3"/>
  <c r="R312" i="3"/>
  <c r="Q312" i="3"/>
  <c r="P312" i="3"/>
  <c r="S311" i="3"/>
  <c r="R311" i="3"/>
  <c r="Q311" i="3"/>
  <c r="P311" i="3"/>
  <c r="S310" i="3"/>
  <c r="R310" i="3"/>
  <c r="Q310" i="3"/>
  <c r="P310" i="3"/>
  <c r="S309" i="3"/>
  <c r="R309" i="3"/>
  <c r="Q309" i="3"/>
  <c r="P309" i="3"/>
  <c r="S308" i="3"/>
  <c r="R308" i="3"/>
  <c r="Q308" i="3"/>
  <c r="P308" i="3"/>
  <c r="S307" i="3"/>
  <c r="R307" i="3"/>
  <c r="Q307" i="3"/>
  <c r="P307" i="3"/>
  <c r="S306" i="3"/>
  <c r="R306" i="3"/>
  <c r="Q306" i="3"/>
  <c r="P306" i="3"/>
  <c r="S305" i="3"/>
  <c r="R305" i="3"/>
  <c r="Q305" i="3"/>
  <c r="P305" i="3"/>
  <c r="S304" i="3"/>
  <c r="R304" i="3"/>
  <c r="Q304" i="3"/>
  <c r="P304" i="3"/>
  <c r="S303" i="3"/>
  <c r="R303" i="3"/>
  <c r="Q303" i="3"/>
  <c r="P303" i="3"/>
  <c r="S302" i="3"/>
  <c r="R302" i="3"/>
  <c r="Q302" i="3"/>
  <c r="P302" i="3"/>
  <c r="S301" i="3"/>
  <c r="R301" i="3"/>
  <c r="Q301" i="3"/>
  <c r="P301" i="3"/>
  <c r="S300" i="3"/>
  <c r="R300" i="3"/>
  <c r="Q300" i="3"/>
  <c r="P300" i="3"/>
  <c r="S299" i="3"/>
  <c r="R299" i="3"/>
  <c r="Q299" i="3"/>
  <c r="P299" i="3"/>
  <c r="S298" i="3"/>
  <c r="R298" i="3"/>
  <c r="Q298" i="3"/>
  <c r="P298" i="3"/>
  <c r="S297" i="3"/>
  <c r="R297" i="3"/>
  <c r="Q297" i="3"/>
  <c r="P297" i="3"/>
  <c r="S296" i="3"/>
  <c r="R296" i="3"/>
  <c r="Q296" i="3"/>
  <c r="P296" i="3"/>
  <c r="S295" i="3"/>
  <c r="R295" i="3"/>
  <c r="Q295" i="3"/>
  <c r="P295" i="3"/>
  <c r="S294" i="3"/>
  <c r="R294" i="3"/>
  <c r="Q294" i="3"/>
  <c r="P294" i="3"/>
  <c r="S293" i="3"/>
  <c r="R293" i="3"/>
  <c r="Q293" i="3"/>
  <c r="P293" i="3"/>
  <c r="S292" i="3"/>
  <c r="R292" i="3"/>
  <c r="Q292" i="3"/>
  <c r="P292" i="3"/>
  <c r="S291" i="3"/>
  <c r="R291" i="3"/>
  <c r="Q291" i="3"/>
  <c r="P291" i="3"/>
  <c r="S290" i="3"/>
  <c r="R290" i="3"/>
  <c r="Q290" i="3"/>
  <c r="P290" i="3"/>
  <c r="S289" i="3"/>
  <c r="R289" i="3"/>
  <c r="Q289" i="3"/>
  <c r="P289" i="3"/>
  <c r="S288" i="3"/>
  <c r="R288" i="3"/>
  <c r="Q288" i="3"/>
  <c r="P288" i="3"/>
  <c r="S287" i="3"/>
  <c r="R287" i="3"/>
  <c r="Q287" i="3"/>
  <c r="P287" i="3"/>
  <c r="S286" i="3"/>
  <c r="R286" i="3"/>
  <c r="Q286" i="3"/>
  <c r="P286" i="3"/>
  <c r="S285" i="3"/>
  <c r="R285" i="3"/>
  <c r="Q285" i="3"/>
  <c r="P285" i="3"/>
  <c r="S284" i="3"/>
  <c r="R284" i="3"/>
  <c r="Q284" i="3"/>
  <c r="P284" i="3"/>
  <c r="S283" i="3"/>
  <c r="R283" i="3"/>
  <c r="Q283" i="3"/>
  <c r="P283" i="3"/>
  <c r="S282" i="3"/>
  <c r="R282" i="3"/>
  <c r="Q282" i="3"/>
  <c r="P282" i="3"/>
  <c r="S281" i="3"/>
  <c r="R281" i="3"/>
  <c r="Q281" i="3"/>
  <c r="P281" i="3"/>
  <c r="S280" i="3"/>
  <c r="R280" i="3"/>
  <c r="Q280" i="3"/>
  <c r="P280" i="3"/>
  <c r="S279" i="3"/>
  <c r="R279" i="3"/>
  <c r="Q279" i="3"/>
  <c r="P279" i="3"/>
  <c r="S278" i="3"/>
  <c r="R278" i="3"/>
  <c r="Q278" i="3"/>
  <c r="P278" i="3"/>
  <c r="S277" i="3"/>
  <c r="R277" i="3"/>
  <c r="Q277" i="3"/>
  <c r="P277" i="3"/>
  <c r="S276" i="3"/>
  <c r="R276" i="3"/>
  <c r="Q276" i="3"/>
  <c r="P276" i="3"/>
  <c r="S275" i="3"/>
  <c r="R275" i="3"/>
  <c r="Q275" i="3"/>
  <c r="P275" i="3"/>
  <c r="S274" i="3"/>
  <c r="R274" i="3"/>
  <c r="Q274" i="3"/>
  <c r="P274" i="3"/>
  <c r="S273" i="3"/>
  <c r="R273" i="3"/>
  <c r="Q273" i="3"/>
  <c r="P273" i="3"/>
  <c r="S272" i="3"/>
  <c r="R272" i="3"/>
  <c r="Q272" i="3"/>
  <c r="P272" i="3"/>
  <c r="S271" i="3"/>
  <c r="R271" i="3"/>
  <c r="Q271" i="3"/>
  <c r="P271" i="3"/>
  <c r="S270" i="3"/>
  <c r="R270" i="3"/>
  <c r="Q270" i="3"/>
  <c r="P270" i="3"/>
  <c r="S269" i="3"/>
  <c r="R269" i="3"/>
  <c r="Q269" i="3"/>
  <c r="P269" i="3"/>
  <c r="S268" i="3"/>
  <c r="R268" i="3"/>
  <c r="Q268" i="3"/>
  <c r="P268" i="3"/>
  <c r="S267" i="3"/>
  <c r="R267" i="3"/>
  <c r="Q267" i="3"/>
  <c r="P267" i="3"/>
  <c r="S266" i="3"/>
  <c r="R266" i="3"/>
  <c r="Q266" i="3"/>
  <c r="P266" i="3"/>
  <c r="S265" i="3"/>
  <c r="R265" i="3"/>
  <c r="Q265" i="3"/>
  <c r="P265" i="3"/>
  <c r="S264" i="3"/>
  <c r="R264" i="3"/>
  <c r="Q264" i="3"/>
  <c r="P264" i="3"/>
  <c r="S263" i="3"/>
  <c r="R263" i="3"/>
  <c r="Q263" i="3"/>
  <c r="P263" i="3"/>
  <c r="S262" i="3"/>
  <c r="R262" i="3"/>
  <c r="Q262" i="3"/>
  <c r="P262" i="3"/>
  <c r="S261" i="3"/>
  <c r="R261" i="3"/>
  <c r="Q261" i="3"/>
  <c r="P261" i="3"/>
  <c r="S260" i="3"/>
  <c r="R260" i="3"/>
  <c r="Q260" i="3"/>
  <c r="P260" i="3"/>
  <c r="S259" i="3"/>
  <c r="R259" i="3"/>
  <c r="Q259" i="3"/>
  <c r="P259" i="3"/>
  <c r="S258" i="3"/>
  <c r="R258" i="3"/>
  <c r="Q258" i="3"/>
  <c r="P258" i="3"/>
  <c r="S257" i="3"/>
  <c r="R257" i="3"/>
  <c r="Q257" i="3"/>
  <c r="P257" i="3"/>
  <c r="S256" i="3"/>
  <c r="R256" i="3"/>
  <c r="Q256" i="3"/>
  <c r="P256" i="3"/>
  <c r="S255" i="3"/>
  <c r="R255" i="3"/>
  <c r="Q255" i="3"/>
  <c r="P255" i="3"/>
  <c r="S254" i="3"/>
  <c r="R254" i="3"/>
  <c r="Q254" i="3"/>
  <c r="P254" i="3"/>
  <c r="S253" i="3"/>
  <c r="R253" i="3"/>
  <c r="Q253" i="3"/>
  <c r="P253" i="3"/>
  <c r="S252" i="3"/>
  <c r="R252" i="3"/>
  <c r="Q252" i="3"/>
  <c r="P252" i="3"/>
  <c r="S251" i="3"/>
  <c r="R251" i="3"/>
  <c r="Q251" i="3"/>
  <c r="P251" i="3"/>
  <c r="S250" i="3"/>
  <c r="R250" i="3"/>
  <c r="Q250" i="3"/>
  <c r="P250" i="3"/>
  <c r="S249" i="3"/>
  <c r="R249" i="3"/>
  <c r="Q249" i="3"/>
  <c r="P249" i="3"/>
  <c r="S248" i="3"/>
  <c r="R248" i="3"/>
  <c r="Q248" i="3"/>
  <c r="P248" i="3"/>
  <c r="S247" i="3"/>
  <c r="R247" i="3"/>
  <c r="Q247" i="3"/>
  <c r="P247" i="3"/>
  <c r="S246" i="3"/>
  <c r="R246" i="3"/>
  <c r="Q246" i="3"/>
  <c r="P246" i="3"/>
  <c r="S245" i="3"/>
  <c r="R245" i="3"/>
  <c r="Q245" i="3"/>
  <c r="P245" i="3"/>
  <c r="S244" i="3"/>
  <c r="R244" i="3"/>
  <c r="Q244" i="3"/>
  <c r="P244" i="3"/>
  <c r="S243" i="3"/>
  <c r="R243" i="3"/>
  <c r="Q243" i="3"/>
  <c r="P243" i="3"/>
  <c r="S242" i="3"/>
  <c r="R242" i="3"/>
  <c r="Q242" i="3"/>
  <c r="P242" i="3"/>
  <c r="S241" i="3"/>
  <c r="R241" i="3"/>
  <c r="Q241" i="3"/>
  <c r="P241" i="3"/>
  <c r="S240" i="3"/>
  <c r="R240" i="3"/>
  <c r="Q240" i="3"/>
  <c r="P240" i="3"/>
  <c r="S239" i="3"/>
  <c r="R239" i="3"/>
  <c r="Q239" i="3"/>
  <c r="P239" i="3"/>
  <c r="S238" i="3"/>
  <c r="R238" i="3"/>
  <c r="Q238" i="3"/>
  <c r="P238" i="3"/>
  <c r="S237" i="3"/>
  <c r="R237" i="3"/>
  <c r="Q237" i="3"/>
  <c r="P237" i="3"/>
  <c r="S236" i="3"/>
  <c r="R236" i="3"/>
  <c r="Q236" i="3"/>
  <c r="P236" i="3"/>
  <c r="S235" i="3"/>
  <c r="R235" i="3"/>
  <c r="Q235" i="3"/>
  <c r="P235" i="3"/>
  <c r="S234" i="3"/>
  <c r="R234" i="3"/>
  <c r="Q234" i="3"/>
  <c r="P234" i="3"/>
  <c r="S233" i="3"/>
  <c r="R233" i="3"/>
  <c r="Q233" i="3"/>
  <c r="P233" i="3"/>
  <c r="S232" i="3"/>
  <c r="R232" i="3"/>
  <c r="Q232" i="3"/>
  <c r="P232" i="3"/>
  <c r="S231" i="3"/>
  <c r="R231" i="3"/>
  <c r="Q231" i="3"/>
  <c r="P231" i="3"/>
  <c r="S230" i="3"/>
  <c r="R230" i="3"/>
  <c r="Q230" i="3"/>
  <c r="P230" i="3"/>
  <c r="S229" i="3"/>
  <c r="R229" i="3"/>
  <c r="Q229" i="3"/>
  <c r="P229" i="3"/>
  <c r="S228" i="3"/>
  <c r="R228" i="3"/>
  <c r="Q228" i="3"/>
  <c r="P228" i="3"/>
  <c r="S227" i="3"/>
  <c r="R227" i="3"/>
  <c r="Q227" i="3"/>
  <c r="P227" i="3"/>
  <c r="S226" i="3"/>
  <c r="R226" i="3"/>
  <c r="Q226" i="3"/>
  <c r="P226" i="3"/>
  <c r="S225" i="3"/>
  <c r="R225" i="3"/>
  <c r="Q225" i="3"/>
  <c r="P225" i="3"/>
  <c r="S224" i="3"/>
  <c r="R224" i="3"/>
  <c r="Q224" i="3"/>
  <c r="P224" i="3"/>
  <c r="S223" i="3"/>
  <c r="R223" i="3"/>
  <c r="Q223" i="3"/>
  <c r="P223" i="3"/>
  <c r="S222" i="3"/>
  <c r="R222" i="3"/>
  <c r="Q222" i="3"/>
  <c r="P222" i="3"/>
  <c r="S221" i="3"/>
  <c r="R221" i="3"/>
  <c r="Q221" i="3"/>
  <c r="P221" i="3"/>
  <c r="S220" i="3"/>
  <c r="R220" i="3"/>
  <c r="Q220" i="3"/>
  <c r="P220" i="3"/>
  <c r="S219" i="3"/>
  <c r="R219" i="3"/>
  <c r="Q219" i="3"/>
  <c r="P219" i="3"/>
  <c r="S218" i="3"/>
  <c r="R218" i="3"/>
  <c r="Q218" i="3"/>
  <c r="P218" i="3"/>
  <c r="S217" i="3"/>
  <c r="R217" i="3"/>
  <c r="Q217" i="3"/>
  <c r="P217" i="3"/>
  <c r="S216" i="3"/>
  <c r="R216" i="3"/>
  <c r="Q216" i="3"/>
  <c r="P216" i="3"/>
  <c r="S215" i="3"/>
  <c r="R215" i="3"/>
  <c r="Q215" i="3"/>
  <c r="P215" i="3"/>
  <c r="S214" i="3"/>
  <c r="R214" i="3"/>
  <c r="Q214" i="3"/>
  <c r="P214" i="3"/>
  <c r="S213" i="3"/>
  <c r="R213" i="3"/>
  <c r="Q213" i="3"/>
  <c r="P213" i="3"/>
  <c r="S212" i="3"/>
  <c r="R212" i="3"/>
  <c r="Q212" i="3"/>
  <c r="P212" i="3"/>
  <c r="S211" i="3"/>
  <c r="R211" i="3"/>
  <c r="Q211" i="3"/>
  <c r="P211" i="3"/>
  <c r="S210" i="3"/>
  <c r="R210" i="3"/>
  <c r="Q210" i="3"/>
  <c r="P210" i="3"/>
  <c r="S209" i="3"/>
  <c r="R209" i="3"/>
  <c r="Q209" i="3"/>
  <c r="P209" i="3"/>
  <c r="S208" i="3"/>
  <c r="R208" i="3"/>
  <c r="Q208" i="3"/>
  <c r="P208" i="3"/>
  <c r="S207" i="3"/>
  <c r="R207" i="3"/>
  <c r="Q207" i="3"/>
  <c r="P207" i="3"/>
  <c r="S206" i="3"/>
  <c r="R206" i="3"/>
  <c r="Q206" i="3"/>
  <c r="P206" i="3"/>
  <c r="S205" i="3"/>
  <c r="R205" i="3"/>
  <c r="Q205" i="3"/>
  <c r="P205" i="3"/>
  <c r="S204" i="3"/>
  <c r="R204" i="3"/>
  <c r="Q204" i="3"/>
  <c r="P204" i="3"/>
  <c r="S203" i="3"/>
  <c r="R203" i="3"/>
  <c r="Q203" i="3"/>
  <c r="P203" i="3"/>
  <c r="S202" i="3"/>
  <c r="R202" i="3"/>
  <c r="Q202" i="3"/>
  <c r="P202" i="3"/>
  <c r="S201" i="3"/>
  <c r="R201" i="3"/>
  <c r="Q201" i="3"/>
  <c r="P201" i="3"/>
  <c r="S200" i="3"/>
  <c r="R200" i="3"/>
  <c r="Q200" i="3"/>
  <c r="P200" i="3"/>
  <c r="S199" i="3"/>
  <c r="R199" i="3"/>
  <c r="Q199" i="3"/>
  <c r="P199" i="3"/>
  <c r="S198" i="3"/>
  <c r="R198" i="3"/>
  <c r="Q198" i="3"/>
  <c r="P198" i="3"/>
  <c r="S197" i="3"/>
  <c r="R197" i="3"/>
  <c r="Q197" i="3"/>
  <c r="P197" i="3"/>
  <c r="S196" i="3"/>
  <c r="R196" i="3"/>
  <c r="Q196" i="3"/>
  <c r="P196" i="3"/>
  <c r="S195" i="3"/>
  <c r="R195" i="3"/>
  <c r="Q195" i="3"/>
  <c r="P195" i="3"/>
  <c r="S194" i="3"/>
  <c r="R194" i="3"/>
  <c r="Q194" i="3"/>
  <c r="P194" i="3"/>
  <c r="S193" i="3"/>
  <c r="R193" i="3"/>
  <c r="Q193" i="3"/>
  <c r="P193" i="3"/>
  <c r="S192" i="3"/>
  <c r="R192" i="3"/>
  <c r="Q192" i="3"/>
  <c r="P192" i="3"/>
  <c r="S191" i="3"/>
  <c r="R191" i="3"/>
  <c r="Q191" i="3"/>
  <c r="P191" i="3"/>
  <c r="S190" i="3"/>
  <c r="R190" i="3"/>
  <c r="Q190" i="3"/>
  <c r="P190" i="3"/>
  <c r="S189" i="3"/>
  <c r="R189" i="3"/>
  <c r="Q189" i="3"/>
  <c r="P189" i="3"/>
  <c r="S188" i="3"/>
  <c r="R188" i="3"/>
  <c r="Q188" i="3"/>
  <c r="P188" i="3"/>
  <c r="S187" i="3"/>
  <c r="R187" i="3"/>
  <c r="Q187" i="3"/>
  <c r="P187" i="3"/>
  <c r="S186" i="3"/>
  <c r="R186" i="3"/>
  <c r="Q186" i="3"/>
  <c r="P186" i="3"/>
  <c r="S185" i="3"/>
  <c r="R185" i="3"/>
  <c r="Q185" i="3"/>
  <c r="P185" i="3"/>
  <c r="S184" i="3"/>
  <c r="R184" i="3"/>
  <c r="Q184" i="3"/>
  <c r="P184" i="3"/>
  <c r="S183" i="3"/>
  <c r="R183" i="3"/>
  <c r="Q183" i="3"/>
  <c r="P183" i="3"/>
  <c r="S182" i="3"/>
  <c r="R182" i="3"/>
  <c r="Q182" i="3"/>
  <c r="P182" i="3"/>
  <c r="S181" i="3"/>
  <c r="R181" i="3"/>
  <c r="Q181" i="3"/>
  <c r="P181" i="3"/>
  <c r="S180" i="3"/>
  <c r="R180" i="3"/>
  <c r="Q180" i="3"/>
  <c r="P180" i="3"/>
  <c r="S179" i="3"/>
  <c r="R179" i="3"/>
  <c r="Q179" i="3"/>
  <c r="P179" i="3"/>
  <c r="S178" i="3"/>
  <c r="R178" i="3"/>
  <c r="Q178" i="3"/>
  <c r="P178" i="3"/>
  <c r="S177" i="3"/>
  <c r="R177" i="3"/>
  <c r="Q177" i="3"/>
  <c r="P177" i="3"/>
  <c r="S176" i="3"/>
  <c r="R176" i="3"/>
  <c r="Q176" i="3"/>
  <c r="P176" i="3"/>
  <c r="S175" i="3"/>
  <c r="R175" i="3"/>
  <c r="Q175" i="3"/>
  <c r="P175" i="3"/>
  <c r="S174" i="3"/>
  <c r="R174" i="3"/>
  <c r="Q174" i="3"/>
  <c r="P174" i="3"/>
  <c r="S173" i="3"/>
  <c r="R173" i="3"/>
  <c r="Q173" i="3"/>
  <c r="P173" i="3"/>
  <c r="S172" i="3"/>
  <c r="R172" i="3"/>
  <c r="Q172" i="3"/>
  <c r="P172" i="3"/>
  <c r="S171" i="3"/>
  <c r="R171" i="3"/>
  <c r="Q171" i="3"/>
  <c r="P171" i="3"/>
  <c r="S170" i="3"/>
  <c r="R170" i="3"/>
  <c r="Q170" i="3"/>
  <c r="P170" i="3"/>
  <c r="S169" i="3"/>
  <c r="R169" i="3"/>
  <c r="Q169" i="3"/>
  <c r="P169" i="3"/>
  <c r="S168" i="3"/>
  <c r="R168" i="3"/>
  <c r="Q168" i="3"/>
  <c r="P168" i="3"/>
  <c r="S167" i="3"/>
  <c r="R167" i="3"/>
  <c r="Q167" i="3"/>
  <c r="P167" i="3"/>
  <c r="S166" i="3"/>
  <c r="R166" i="3"/>
  <c r="Q166" i="3"/>
  <c r="P166" i="3"/>
  <c r="S165" i="3"/>
  <c r="R165" i="3"/>
  <c r="Q165" i="3"/>
  <c r="P165" i="3"/>
  <c r="S164" i="3"/>
  <c r="R164" i="3"/>
  <c r="Q164" i="3"/>
  <c r="P164" i="3"/>
  <c r="S163" i="3"/>
  <c r="R163" i="3"/>
  <c r="Q163" i="3"/>
  <c r="P163" i="3"/>
  <c r="S162" i="3"/>
  <c r="R162" i="3"/>
  <c r="Q162" i="3"/>
  <c r="P162" i="3"/>
  <c r="S161" i="3"/>
  <c r="R161" i="3"/>
  <c r="Q161" i="3"/>
  <c r="P161" i="3"/>
  <c r="S160" i="3"/>
  <c r="R160" i="3"/>
  <c r="Q160" i="3"/>
  <c r="P160" i="3"/>
  <c r="S159" i="3"/>
  <c r="R159" i="3"/>
  <c r="Q159" i="3"/>
  <c r="P159" i="3"/>
  <c r="S158" i="3"/>
  <c r="R158" i="3"/>
  <c r="Q158" i="3"/>
  <c r="P158" i="3"/>
  <c r="S157" i="3"/>
  <c r="R157" i="3"/>
  <c r="Q157" i="3"/>
  <c r="P157" i="3"/>
  <c r="S156" i="3"/>
  <c r="R156" i="3"/>
  <c r="Q156" i="3"/>
  <c r="P156" i="3"/>
  <c r="S155" i="3"/>
  <c r="R155" i="3"/>
  <c r="Q155" i="3"/>
  <c r="P155" i="3"/>
  <c r="S154" i="3"/>
  <c r="R154" i="3"/>
  <c r="Q154" i="3"/>
  <c r="P154" i="3"/>
  <c r="S153" i="3"/>
  <c r="R153" i="3"/>
  <c r="Q153" i="3"/>
  <c r="P153" i="3"/>
  <c r="S152" i="3"/>
  <c r="R152" i="3"/>
  <c r="Q152" i="3"/>
  <c r="P152" i="3"/>
  <c r="S151" i="3"/>
  <c r="R151" i="3"/>
  <c r="Q151" i="3"/>
  <c r="P151" i="3"/>
  <c r="S150" i="3"/>
  <c r="R150" i="3"/>
  <c r="Q150" i="3"/>
  <c r="P150" i="3"/>
  <c r="S149" i="3"/>
  <c r="R149" i="3"/>
  <c r="Q149" i="3"/>
  <c r="P149" i="3"/>
  <c r="S148" i="3"/>
  <c r="R148" i="3"/>
  <c r="Q148" i="3"/>
  <c r="P148" i="3"/>
  <c r="S147" i="3"/>
  <c r="R147" i="3"/>
  <c r="Q147" i="3"/>
  <c r="P147" i="3"/>
  <c r="S146" i="3"/>
  <c r="R146" i="3"/>
  <c r="Q146" i="3"/>
  <c r="P146" i="3"/>
  <c r="S145" i="3"/>
  <c r="R145" i="3"/>
  <c r="Q145" i="3"/>
  <c r="P145" i="3"/>
  <c r="S144" i="3"/>
  <c r="R144" i="3"/>
  <c r="Q144" i="3"/>
  <c r="P144" i="3"/>
  <c r="S143" i="3"/>
  <c r="R143" i="3"/>
  <c r="Q143" i="3"/>
  <c r="P143" i="3"/>
  <c r="S142" i="3"/>
  <c r="R142" i="3"/>
  <c r="Q142" i="3"/>
  <c r="P142" i="3"/>
  <c r="S141" i="3"/>
  <c r="R141" i="3"/>
  <c r="Q141" i="3"/>
  <c r="P141" i="3"/>
  <c r="S140" i="3"/>
  <c r="R140" i="3"/>
  <c r="Q140" i="3"/>
  <c r="P140" i="3"/>
  <c r="S139" i="3"/>
  <c r="R139" i="3"/>
  <c r="Q139" i="3"/>
  <c r="P139" i="3"/>
  <c r="S138" i="3"/>
  <c r="R138" i="3"/>
  <c r="Q138" i="3"/>
  <c r="P138" i="3"/>
  <c r="S137" i="3"/>
  <c r="R137" i="3"/>
  <c r="Q137" i="3"/>
  <c r="P137" i="3"/>
  <c r="S136" i="3"/>
  <c r="R136" i="3"/>
  <c r="Q136" i="3"/>
  <c r="P136" i="3"/>
  <c r="S135" i="3"/>
  <c r="R135" i="3"/>
  <c r="Q135" i="3"/>
  <c r="P135" i="3"/>
  <c r="S134" i="3"/>
  <c r="R134" i="3"/>
  <c r="Q134" i="3"/>
  <c r="P134" i="3"/>
  <c r="S133" i="3"/>
  <c r="R133" i="3"/>
  <c r="Q133" i="3"/>
  <c r="P133" i="3"/>
  <c r="S132" i="3"/>
  <c r="R132" i="3"/>
  <c r="Q132" i="3"/>
  <c r="P132" i="3"/>
  <c r="S131" i="3"/>
  <c r="R131" i="3"/>
  <c r="Q131" i="3"/>
  <c r="P131" i="3"/>
  <c r="S130" i="3"/>
  <c r="R130" i="3"/>
  <c r="Q130" i="3"/>
  <c r="P130" i="3"/>
  <c r="S129" i="3"/>
  <c r="R129" i="3"/>
  <c r="Q129" i="3"/>
  <c r="P129" i="3"/>
  <c r="S128" i="3"/>
  <c r="R128" i="3"/>
  <c r="Q128" i="3"/>
  <c r="P128" i="3"/>
  <c r="S127" i="3"/>
  <c r="R127" i="3"/>
  <c r="Q127" i="3"/>
  <c r="P127" i="3"/>
  <c r="S126" i="3"/>
  <c r="R126" i="3"/>
  <c r="Q126" i="3"/>
  <c r="P126" i="3"/>
  <c r="S125" i="3"/>
  <c r="R125" i="3"/>
  <c r="Q125" i="3"/>
  <c r="P125" i="3"/>
  <c r="S124" i="3"/>
  <c r="R124" i="3"/>
  <c r="Q124" i="3"/>
  <c r="P124" i="3"/>
  <c r="S123" i="3"/>
  <c r="R123" i="3"/>
  <c r="Q123" i="3"/>
  <c r="P123" i="3"/>
  <c r="S122" i="3"/>
  <c r="R122" i="3"/>
  <c r="Q122" i="3"/>
  <c r="P122" i="3"/>
  <c r="S121" i="3"/>
  <c r="R121" i="3"/>
  <c r="Q121" i="3"/>
  <c r="P121" i="3"/>
  <c r="S120" i="3"/>
  <c r="R120" i="3"/>
  <c r="Q120" i="3"/>
  <c r="P120" i="3"/>
  <c r="S119" i="3"/>
  <c r="R119" i="3"/>
  <c r="Q119" i="3"/>
  <c r="P119" i="3"/>
  <c r="S118" i="3"/>
  <c r="R118" i="3"/>
  <c r="Q118" i="3"/>
  <c r="P118" i="3"/>
  <c r="S117" i="3"/>
  <c r="R117" i="3"/>
  <c r="Q117" i="3"/>
  <c r="P117" i="3"/>
  <c r="S116" i="3"/>
  <c r="R116" i="3"/>
  <c r="Q116" i="3"/>
  <c r="P116" i="3"/>
  <c r="S115" i="3"/>
  <c r="R115" i="3"/>
  <c r="Q115" i="3"/>
  <c r="P115" i="3"/>
  <c r="S114" i="3"/>
  <c r="R114" i="3"/>
  <c r="Q114" i="3"/>
  <c r="P114" i="3"/>
  <c r="S113" i="3"/>
  <c r="R113" i="3"/>
  <c r="Q113" i="3"/>
  <c r="P113" i="3"/>
  <c r="S112" i="3"/>
  <c r="R112" i="3"/>
  <c r="Q112" i="3"/>
  <c r="P112" i="3"/>
  <c r="S111" i="3"/>
  <c r="R111" i="3"/>
  <c r="Q111" i="3"/>
  <c r="P111" i="3"/>
  <c r="S110" i="3"/>
  <c r="R110" i="3"/>
  <c r="Q110" i="3"/>
  <c r="P110" i="3"/>
  <c r="S109" i="3"/>
  <c r="R109" i="3"/>
  <c r="Q109" i="3"/>
  <c r="P109" i="3"/>
  <c r="S108" i="3"/>
  <c r="R108" i="3"/>
  <c r="Q108" i="3"/>
  <c r="P108" i="3"/>
  <c r="S107" i="3"/>
  <c r="R107" i="3"/>
  <c r="Q107" i="3"/>
  <c r="P107" i="3"/>
  <c r="S106" i="3"/>
  <c r="R106" i="3"/>
  <c r="Q106" i="3"/>
  <c r="P106" i="3"/>
  <c r="S105" i="3"/>
  <c r="R105" i="3"/>
  <c r="Q105" i="3"/>
  <c r="P105" i="3"/>
  <c r="S104" i="3"/>
  <c r="R104" i="3"/>
  <c r="Q104" i="3"/>
  <c r="P104" i="3"/>
  <c r="S103" i="3"/>
  <c r="R103" i="3"/>
  <c r="Q103" i="3"/>
  <c r="P103" i="3"/>
  <c r="S102" i="3"/>
  <c r="R102" i="3"/>
  <c r="Q102" i="3"/>
  <c r="P102" i="3"/>
  <c r="S101" i="3"/>
  <c r="R101" i="3"/>
  <c r="Q101" i="3"/>
  <c r="P101" i="3"/>
  <c r="S100" i="3"/>
  <c r="R100" i="3"/>
  <c r="Q100" i="3"/>
  <c r="P100" i="3"/>
  <c r="S99" i="3"/>
  <c r="R99" i="3"/>
  <c r="Q99" i="3"/>
  <c r="P99" i="3"/>
  <c r="S98" i="3"/>
  <c r="R98" i="3"/>
  <c r="Q98" i="3"/>
  <c r="P98" i="3"/>
  <c r="S97" i="3"/>
  <c r="R97" i="3"/>
  <c r="Q97" i="3"/>
  <c r="P97" i="3"/>
  <c r="S96" i="3"/>
  <c r="R96" i="3"/>
  <c r="Q96" i="3"/>
  <c r="P96" i="3"/>
  <c r="S95" i="3"/>
  <c r="R95" i="3"/>
  <c r="Q95" i="3"/>
  <c r="P95" i="3"/>
  <c r="S94" i="3"/>
  <c r="R94" i="3"/>
  <c r="Q94" i="3"/>
  <c r="P94" i="3"/>
  <c r="S93" i="3"/>
  <c r="R93" i="3"/>
  <c r="Q93" i="3"/>
  <c r="P93" i="3"/>
  <c r="S92" i="3"/>
  <c r="R92" i="3"/>
  <c r="Q92" i="3"/>
  <c r="P92" i="3"/>
  <c r="S91" i="3"/>
  <c r="R91" i="3"/>
  <c r="Q91" i="3"/>
  <c r="P91" i="3"/>
  <c r="S90" i="3"/>
  <c r="R90" i="3"/>
  <c r="Q90" i="3"/>
  <c r="P90" i="3"/>
  <c r="S89" i="3"/>
  <c r="R89" i="3"/>
  <c r="Q89" i="3"/>
  <c r="P89" i="3"/>
  <c r="S88" i="3"/>
  <c r="R88" i="3"/>
  <c r="Q88" i="3"/>
  <c r="P88" i="3"/>
  <c r="S87" i="3"/>
  <c r="R87" i="3"/>
  <c r="Q87" i="3"/>
  <c r="P87" i="3"/>
  <c r="S86" i="3"/>
  <c r="R86" i="3"/>
  <c r="Q86" i="3"/>
  <c r="P86" i="3"/>
  <c r="S85" i="3"/>
  <c r="R85" i="3"/>
  <c r="Q85" i="3"/>
  <c r="P85" i="3"/>
  <c r="S84" i="3"/>
  <c r="R84" i="3"/>
  <c r="Q84" i="3"/>
  <c r="P84" i="3"/>
  <c r="S83" i="3"/>
  <c r="R83" i="3"/>
  <c r="Q83" i="3"/>
  <c r="P83" i="3"/>
  <c r="S82" i="3"/>
  <c r="R82" i="3"/>
  <c r="Q82" i="3"/>
  <c r="P82" i="3"/>
  <c r="S81" i="3"/>
  <c r="R81" i="3"/>
  <c r="Q81" i="3"/>
  <c r="P81" i="3"/>
  <c r="S80" i="3"/>
  <c r="R80" i="3"/>
  <c r="Q80" i="3"/>
  <c r="P80" i="3"/>
  <c r="S79" i="3"/>
  <c r="R79" i="3"/>
  <c r="Q79" i="3"/>
  <c r="P79" i="3"/>
  <c r="S78" i="3"/>
  <c r="R78" i="3"/>
  <c r="Q78" i="3"/>
  <c r="P78" i="3"/>
  <c r="S77" i="3"/>
  <c r="R77" i="3"/>
  <c r="Q77" i="3"/>
  <c r="P77" i="3"/>
  <c r="S76" i="3"/>
  <c r="R76" i="3"/>
  <c r="Q76" i="3"/>
  <c r="P76" i="3"/>
  <c r="S75" i="3"/>
  <c r="R75" i="3"/>
  <c r="Q75" i="3"/>
  <c r="P75" i="3"/>
  <c r="S74" i="3"/>
  <c r="R74" i="3"/>
  <c r="Q74" i="3"/>
  <c r="P74" i="3"/>
  <c r="S73" i="3"/>
  <c r="R73" i="3"/>
  <c r="Q73" i="3"/>
  <c r="P73" i="3"/>
  <c r="S72" i="3"/>
  <c r="R72" i="3"/>
  <c r="Q72" i="3"/>
  <c r="P72" i="3"/>
  <c r="S71" i="3"/>
  <c r="R71" i="3"/>
  <c r="Q71" i="3"/>
  <c r="P71" i="3"/>
  <c r="S70" i="3"/>
  <c r="R70" i="3"/>
  <c r="Q70" i="3"/>
  <c r="P70" i="3"/>
  <c r="S69" i="3"/>
  <c r="R69" i="3"/>
  <c r="Q69" i="3"/>
  <c r="P69" i="3"/>
  <c r="S68" i="3"/>
  <c r="R68" i="3"/>
  <c r="Q68" i="3"/>
  <c r="P68" i="3"/>
  <c r="S67" i="3"/>
  <c r="R67" i="3"/>
  <c r="Q67" i="3"/>
  <c r="P67" i="3"/>
  <c r="S66" i="3"/>
  <c r="R66" i="3"/>
  <c r="Q66" i="3"/>
  <c r="P66" i="3"/>
  <c r="S65" i="3"/>
  <c r="R65" i="3"/>
  <c r="Q65" i="3"/>
  <c r="P65" i="3"/>
  <c r="S64" i="3"/>
  <c r="R64" i="3"/>
  <c r="Q64" i="3"/>
  <c r="P64" i="3"/>
  <c r="S63" i="3"/>
  <c r="R63" i="3"/>
  <c r="Q63" i="3"/>
  <c r="P63" i="3"/>
  <c r="S62" i="3"/>
  <c r="R62" i="3"/>
  <c r="Q62" i="3"/>
  <c r="P62" i="3"/>
  <c r="S61" i="3"/>
  <c r="R61" i="3"/>
  <c r="Q61" i="3"/>
  <c r="P61" i="3"/>
  <c r="S60" i="3"/>
  <c r="R60" i="3"/>
  <c r="Q60" i="3"/>
  <c r="P60" i="3"/>
  <c r="S59" i="3"/>
  <c r="R59" i="3"/>
  <c r="Q59" i="3"/>
  <c r="P59" i="3"/>
  <c r="S58" i="3"/>
  <c r="R58" i="3"/>
  <c r="Q58" i="3"/>
  <c r="P58" i="3"/>
  <c r="S57" i="3"/>
  <c r="R57" i="3"/>
  <c r="Q57" i="3"/>
  <c r="P57" i="3"/>
  <c r="S56" i="3"/>
  <c r="R56" i="3"/>
  <c r="Q56" i="3"/>
  <c r="P56" i="3"/>
  <c r="S55" i="3"/>
  <c r="R55" i="3"/>
  <c r="Q55" i="3"/>
  <c r="P55" i="3"/>
  <c r="S54" i="3"/>
  <c r="R54" i="3"/>
  <c r="Q54" i="3"/>
  <c r="P54" i="3"/>
  <c r="S53" i="3"/>
  <c r="R53" i="3"/>
  <c r="Q53" i="3"/>
  <c r="P53" i="3"/>
  <c r="S52" i="3"/>
  <c r="R52" i="3"/>
  <c r="Q52" i="3"/>
  <c r="P52" i="3"/>
  <c r="S51" i="3"/>
  <c r="R51" i="3"/>
  <c r="Q51" i="3"/>
  <c r="P51" i="3"/>
  <c r="S50" i="3"/>
  <c r="R50" i="3"/>
  <c r="Q50" i="3"/>
  <c r="P50" i="3"/>
  <c r="S49" i="3"/>
  <c r="R49" i="3"/>
  <c r="Q49" i="3"/>
  <c r="P49" i="3"/>
  <c r="S48" i="3"/>
  <c r="R48" i="3"/>
  <c r="Q48" i="3"/>
  <c r="P48" i="3"/>
  <c r="S47" i="3"/>
  <c r="R47" i="3"/>
  <c r="Q47" i="3"/>
  <c r="P47" i="3"/>
  <c r="S46" i="3"/>
  <c r="R46" i="3"/>
  <c r="Q46" i="3"/>
  <c r="P46" i="3"/>
  <c r="S45" i="3"/>
  <c r="R45" i="3"/>
  <c r="Q45" i="3"/>
  <c r="P45" i="3"/>
  <c r="S44" i="3"/>
  <c r="R44" i="3"/>
  <c r="Q44" i="3"/>
  <c r="P44" i="3"/>
  <c r="S43" i="3"/>
  <c r="R43" i="3"/>
  <c r="Q43" i="3"/>
  <c r="P43" i="3"/>
  <c r="AD30" i="3"/>
  <c r="AB30" i="3"/>
  <c r="AA30" i="3"/>
  <c r="AN30" i="3" s="1"/>
  <c r="Z30" i="3"/>
  <c r="Y30" i="3"/>
  <c r="X30" i="3"/>
  <c r="W30" i="3"/>
  <c r="V30" i="3"/>
  <c r="U30" i="3"/>
  <c r="T30" i="3"/>
  <c r="AC30" i="3" s="1"/>
  <c r="S30" i="3"/>
  <c r="AS30" i="3" s="1"/>
  <c r="AT30" i="3" s="1"/>
  <c r="R30" i="3"/>
  <c r="Q30" i="3"/>
  <c r="P30" i="3"/>
  <c r="AR30" i="3" s="1"/>
  <c r="AQ30" i="3" s="1"/>
  <c r="AN29" i="3"/>
  <c r="AA29" i="3"/>
  <c r="Z29" i="3"/>
  <c r="Y29" i="3"/>
  <c r="X29" i="3"/>
  <c r="AH29" i="3" s="1"/>
  <c r="W29" i="3"/>
  <c r="V29" i="3"/>
  <c r="U29" i="3"/>
  <c r="T29" i="3"/>
  <c r="S29" i="3"/>
  <c r="R29" i="3"/>
  <c r="Q29" i="3"/>
  <c r="P29" i="3"/>
  <c r="AC29" i="3" s="1"/>
  <c r="AD29" i="3" s="1"/>
  <c r="AA28" i="3"/>
  <c r="AN28" i="3" s="1"/>
  <c r="Z28" i="3"/>
  <c r="Y28" i="3"/>
  <c r="X28" i="3"/>
  <c r="AH28" i="3" s="1"/>
  <c r="W28" i="3"/>
  <c r="V28" i="3"/>
  <c r="U28" i="3"/>
  <c r="T28" i="3"/>
  <c r="S28" i="3"/>
  <c r="R28" i="3"/>
  <c r="AR28" i="3" s="1"/>
  <c r="AQ28" i="3" s="1"/>
  <c r="Q28" i="3"/>
  <c r="AS28" i="3" s="1"/>
  <c r="P28" i="3"/>
  <c r="AC28" i="3" s="1"/>
  <c r="AD28" i="3" s="1"/>
  <c r="AE28" i="3" s="1"/>
  <c r="AA27" i="3"/>
  <c r="AN27" i="3" s="1"/>
  <c r="Z27" i="3"/>
  <c r="Y27" i="3"/>
  <c r="X27" i="3"/>
  <c r="W27" i="3"/>
  <c r="V27" i="3"/>
  <c r="U27" i="3"/>
  <c r="T27" i="3"/>
  <c r="AC27" i="3" s="1"/>
  <c r="AD27" i="3" s="1"/>
  <c r="S27" i="3"/>
  <c r="R27" i="3"/>
  <c r="Q27" i="3"/>
  <c r="P27" i="3"/>
  <c r="AR26" i="3"/>
  <c r="AQ26" i="3" s="1"/>
  <c r="AE26" i="3"/>
  <c r="AA26" i="3"/>
  <c r="AN26" i="3" s="1"/>
  <c r="Z26" i="3"/>
  <c r="Y26" i="3"/>
  <c r="X26" i="3"/>
  <c r="W26" i="3"/>
  <c r="V26" i="3"/>
  <c r="U26" i="3"/>
  <c r="T26" i="3"/>
  <c r="AB26" i="3" s="1"/>
  <c r="S26" i="3"/>
  <c r="R26" i="3"/>
  <c r="Q26" i="3"/>
  <c r="P26" i="3"/>
  <c r="AC26" i="3" s="1"/>
  <c r="AD26" i="3" s="1"/>
  <c r="AR25" i="3"/>
  <c r="AQ25" i="3" s="1"/>
  <c r="AC25" i="3"/>
  <c r="AD25" i="3" s="1"/>
  <c r="AL25" i="3" s="1"/>
  <c r="AA25" i="3"/>
  <c r="AN25" i="3" s="1"/>
  <c r="Z25" i="3"/>
  <c r="Y25" i="3"/>
  <c r="X25" i="3"/>
  <c r="W25" i="3"/>
  <c r="V25" i="3"/>
  <c r="AE25" i="3" s="1"/>
  <c r="U25" i="3"/>
  <c r="T25" i="3"/>
  <c r="S25" i="3"/>
  <c r="R25" i="3"/>
  <c r="AB25" i="3" s="1"/>
  <c r="Q25" i="3"/>
  <c r="P25" i="3"/>
  <c r="AN24" i="3"/>
  <c r="AH24" i="3"/>
  <c r="AA24" i="3"/>
  <c r="Z24" i="3"/>
  <c r="Y24" i="3"/>
  <c r="X24" i="3"/>
  <c r="W24" i="3"/>
  <c r="V24" i="3"/>
  <c r="U24" i="3"/>
  <c r="T24" i="3"/>
  <c r="S24" i="3"/>
  <c r="R24" i="3"/>
  <c r="Q24" i="3"/>
  <c r="AS24" i="3" s="1"/>
  <c r="AT24" i="3" s="1"/>
  <c r="P24" i="3"/>
  <c r="AR24" i="3" s="1"/>
  <c r="AQ24" i="3" s="1"/>
  <c r="AH23" i="3"/>
  <c r="AA23" i="3"/>
  <c r="AN23" i="3" s="1"/>
  <c r="Z23" i="3"/>
  <c r="Y23" i="3"/>
  <c r="X23" i="3"/>
  <c r="W23" i="3"/>
  <c r="V23" i="3"/>
  <c r="U23" i="3"/>
  <c r="T23" i="3"/>
  <c r="AB23" i="3" s="1"/>
  <c r="S23" i="3"/>
  <c r="R23" i="3"/>
  <c r="Q23" i="3"/>
  <c r="P23" i="3"/>
  <c r="AA22" i="3"/>
  <c r="AN22" i="3" s="1"/>
  <c r="Z22" i="3"/>
  <c r="Y22" i="3"/>
  <c r="X22" i="3"/>
  <c r="W22" i="3"/>
  <c r="V22" i="3"/>
  <c r="U22" i="3"/>
  <c r="T22" i="3"/>
  <c r="AB22" i="3" s="1"/>
  <c r="S22" i="3"/>
  <c r="R22" i="3"/>
  <c r="Q22" i="3"/>
  <c r="P22" i="3"/>
  <c r="AN21" i="3"/>
  <c r="AD21" i="3"/>
  <c r="AA21" i="3"/>
  <c r="Z21" i="3"/>
  <c r="Y21" i="3"/>
  <c r="X21" i="3"/>
  <c r="W21" i="3"/>
  <c r="V21" i="3"/>
  <c r="U21" i="3"/>
  <c r="T21" i="3"/>
  <c r="AC21" i="3" s="1"/>
  <c r="S21" i="3"/>
  <c r="R21" i="3"/>
  <c r="Q21" i="3"/>
  <c r="P21" i="3"/>
  <c r="AR20" i="3"/>
  <c r="AQ20" i="3"/>
  <c r="AH20" i="3"/>
  <c r="AB20" i="3"/>
  <c r="AA20" i="3"/>
  <c r="AN20" i="3" s="1"/>
  <c r="Z20" i="3"/>
  <c r="Y20" i="3"/>
  <c r="X20" i="3"/>
  <c r="W20" i="3"/>
  <c r="V20" i="3"/>
  <c r="U20" i="3"/>
  <c r="T20" i="3"/>
  <c r="S20" i="3"/>
  <c r="R20" i="3"/>
  <c r="Q20" i="3"/>
  <c r="P20" i="3"/>
  <c r="AC20" i="3" s="1"/>
  <c r="AD20" i="3" s="1"/>
  <c r="AA19" i="3"/>
  <c r="Z19" i="3"/>
  <c r="AN19" i="3" s="1"/>
  <c r="Y19" i="3"/>
  <c r="X19" i="3"/>
  <c r="W19" i="3"/>
  <c r="V19" i="3"/>
  <c r="U19" i="3"/>
  <c r="T19" i="3"/>
  <c r="AR19" i="3" s="1"/>
  <c r="AQ19" i="3" s="1"/>
  <c r="S19" i="3"/>
  <c r="R19" i="3"/>
  <c r="Q19" i="3"/>
  <c r="AS19" i="3" s="1"/>
  <c r="AT19" i="3" s="1"/>
  <c r="P19" i="3"/>
  <c r="AH18" i="3"/>
  <c r="AA18" i="3"/>
  <c r="Z18" i="3"/>
  <c r="AN18" i="3" s="1"/>
  <c r="Y18" i="3"/>
  <c r="X18" i="3"/>
  <c r="W18" i="3"/>
  <c r="V18" i="3"/>
  <c r="U18" i="3"/>
  <c r="T18" i="3"/>
  <c r="S18" i="3"/>
  <c r="R18" i="3"/>
  <c r="AB18" i="3" s="1"/>
  <c r="Q18" i="3"/>
  <c r="P18" i="3"/>
  <c r="AH17" i="3"/>
  <c r="AA17" i="3"/>
  <c r="Z17" i="3"/>
  <c r="Y17" i="3"/>
  <c r="X17" i="3"/>
  <c r="W17" i="3"/>
  <c r="V17" i="3"/>
  <c r="U17" i="3"/>
  <c r="T17" i="3"/>
  <c r="S17" i="3"/>
  <c r="R17" i="3"/>
  <c r="AR17" i="3" s="1"/>
  <c r="Q17" i="3"/>
  <c r="P17" i="3"/>
  <c r="AN16" i="3"/>
  <c r="AC16" i="3"/>
  <c r="AD16" i="3" s="1"/>
  <c r="AA16" i="3"/>
  <c r="Z16" i="3"/>
  <c r="Y16" i="3"/>
  <c r="X16" i="3"/>
  <c r="W16" i="3"/>
  <c r="V16" i="3"/>
  <c r="U16" i="3"/>
  <c r="T16" i="3"/>
  <c r="S16" i="3"/>
  <c r="R16" i="3"/>
  <c r="AB16" i="3" s="1"/>
  <c r="Q16" i="3"/>
  <c r="P16" i="3"/>
  <c r="AR16" i="3" s="1"/>
  <c r="AQ16" i="3" s="1"/>
  <c r="AR15" i="3"/>
  <c r="AQ15" i="3"/>
  <c r="AA15" i="3"/>
  <c r="AN15" i="3" s="1"/>
  <c r="Z15" i="3"/>
  <c r="Y15" i="3"/>
  <c r="X15" i="3"/>
  <c r="AH15" i="3" s="1"/>
  <c r="W15" i="3"/>
  <c r="V15" i="3"/>
  <c r="U15" i="3"/>
  <c r="T15" i="3"/>
  <c r="S15" i="3"/>
  <c r="R15" i="3"/>
  <c r="Q15" i="3"/>
  <c r="AS15" i="3" s="1"/>
  <c r="AT15" i="3" s="1"/>
  <c r="P15" i="3"/>
  <c r="AQ14" i="3"/>
  <c r="AB14" i="3"/>
  <c r="AA14" i="3"/>
  <c r="AN14" i="3" s="1"/>
  <c r="Z14" i="3"/>
  <c r="Y14" i="3"/>
  <c r="X14" i="3"/>
  <c r="W14" i="3"/>
  <c r="V14" i="3"/>
  <c r="U14" i="3"/>
  <c r="T14" i="3"/>
  <c r="AC14" i="3" s="1"/>
  <c r="AD14" i="3" s="1"/>
  <c r="S14" i="3"/>
  <c r="R14" i="3"/>
  <c r="Q14" i="3"/>
  <c r="P14" i="3"/>
  <c r="AR14" i="3" s="1"/>
  <c r="AS14" i="3" s="1"/>
  <c r="AT14" i="3" s="1"/>
  <c r="AO13" i="3"/>
  <c r="AH13" i="3"/>
  <c r="AB13" i="3"/>
  <c r="AA13" i="3"/>
  <c r="AN13" i="3" s="1"/>
  <c r="Z13" i="3"/>
  <c r="Y13" i="3"/>
  <c r="X13" i="3"/>
  <c r="W13" i="3"/>
  <c r="V13" i="3"/>
  <c r="U13" i="3"/>
  <c r="T13" i="3"/>
  <c r="S13" i="3"/>
  <c r="R13" i="3"/>
  <c r="Q13" i="3"/>
  <c r="P13" i="3"/>
  <c r="AN12" i="3"/>
  <c r="AA12" i="3"/>
  <c r="Z12" i="3"/>
  <c r="Y12" i="3"/>
  <c r="X12" i="3"/>
  <c r="AH12" i="3" s="1"/>
  <c r="W12" i="3"/>
  <c r="V12" i="3"/>
  <c r="U12" i="3"/>
  <c r="T12" i="3"/>
  <c r="AC12" i="3" s="1"/>
  <c r="AD12" i="3" s="1"/>
  <c r="S12" i="3"/>
  <c r="R12" i="3"/>
  <c r="Q12" i="3"/>
  <c r="P12" i="3"/>
  <c r="AO11" i="3"/>
  <c r="AP11" i="3" s="1"/>
  <c r="AN11" i="3"/>
  <c r="AA11" i="3"/>
  <c r="Z11" i="3"/>
  <c r="Y11" i="3"/>
  <c r="X11" i="3"/>
  <c r="W11" i="3"/>
  <c r="V11" i="3"/>
  <c r="AE11" i="3" s="1"/>
  <c r="U11" i="3"/>
  <c r="T11" i="3"/>
  <c r="S11" i="3"/>
  <c r="R11" i="3"/>
  <c r="AB11" i="3" s="1"/>
  <c r="Q11" i="3"/>
  <c r="P11" i="3"/>
  <c r="AC11" i="3" s="1"/>
  <c r="AD11" i="3" s="1"/>
  <c r="AR10" i="3"/>
  <c r="AS10" i="3" s="1"/>
  <c r="AT10" i="3" s="1"/>
  <c r="AQ10" i="3"/>
  <c r="AH10" i="3"/>
  <c r="AA10" i="3"/>
  <c r="AN10" i="3" s="1"/>
  <c r="Z10" i="3"/>
  <c r="Y10" i="3"/>
  <c r="X10" i="3"/>
  <c r="W10" i="3"/>
  <c r="V10" i="3"/>
  <c r="AE10" i="3" s="1"/>
  <c r="U10" i="3"/>
  <c r="T10" i="3"/>
  <c r="S10" i="3"/>
  <c r="R10" i="3"/>
  <c r="AC10" i="3" s="1"/>
  <c r="AD10" i="3" s="1"/>
  <c r="Q10" i="3"/>
  <c r="P10" i="3"/>
  <c r="AN9" i="3"/>
  <c r="AH9" i="3"/>
  <c r="AC9" i="3"/>
  <c r="AD9" i="3" s="1"/>
  <c r="AB9" i="3"/>
  <c r="AA9" i="3"/>
  <c r="Z9" i="3"/>
  <c r="Y9" i="3"/>
  <c r="X9" i="3"/>
  <c r="W9" i="3"/>
  <c r="V9" i="3"/>
  <c r="AE9" i="3" s="1"/>
  <c r="U9" i="3"/>
  <c r="T9" i="3"/>
  <c r="S9" i="3"/>
  <c r="R9" i="3"/>
  <c r="Q9" i="3"/>
  <c r="AS9" i="3" s="1"/>
  <c r="AT9" i="3" s="1"/>
  <c r="P9" i="3"/>
  <c r="AR9" i="3" s="1"/>
  <c r="AQ9" i="3" s="1"/>
  <c r="AH8" i="3"/>
  <c r="AA8" i="3"/>
  <c r="AN8" i="3" s="1"/>
  <c r="Z8" i="3"/>
  <c r="Y8" i="3"/>
  <c r="X8" i="3"/>
  <c r="W8" i="3"/>
  <c r="V8" i="3"/>
  <c r="U8" i="3"/>
  <c r="T8" i="3"/>
  <c r="S8" i="3"/>
  <c r="R8" i="3"/>
  <c r="Q8" i="3"/>
  <c r="P8" i="3"/>
  <c r="AC8" i="3" s="1"/>
  <c r="AD8" i="3" s="1"/>
  <c r="AA7" i="3"/>
  <c r="AN7" i="3" s="1"/>
  <c r="Z7" i="3"/>
  <c r="Y7" i="3"/>
  <c r="X7" i="3"/>
  <c r="W7" i="3"/>
  <c r="V7" i="3"/>
  <c r="U7" i="3"/>
  <c r="T7" i="3"/>
  <c r="AB7" i="3" s="1"/>
  <c r="S7" i="3"/>
  <c r="R7" i="3"/>
  <c r="AC7" i="3" s="1"/>
  <c r="AD7" i="3" s="1"/>
  <c r="Q7" i="3"/>
  <c r="P7" i="3"/>
  <c r="AO6" i="3"/>
  <c r="AP6" i="3" s="1"/>
  <c r="AN6" i="3"/>
  <c r="AD6" i="3"/>
  <c r="AL6" i="3" s="1"/>
  <c r="AC6" i="3"/>
  <c r="AA6" i="3"/>
  <c r="Z6" i="3"/>
  <c r="Y6" i="3"/>
  <c r="X6" i="3"/>
  <c r="W6" i="3"/>
  <c r="V6" i="3"/>
  <c r="AE6" i="3" s="1"/>
  <c r="U6" i="3"/>
  <c r="T6" i="3"/>
  <c r="S6" i="3"/>
  <c r="R6" i="3"/>
  <c r="AB6" i="3" s="1"/>
  <c r="Q6" i="3"/>
  <c r="P6" i="3"/>
  <c r="L5" i="3"/>
  <c r="AO8" i="3" s="1"/>
  <c r="L4" i="3"/>
  <c r="L3" i="3"/>
  <c r="S1292" i="2"/>
  <c r="R1292" i="2"/>
  <c r="Q1292" i="2"/>
  <c r="P1292" i="2"/>
  <c r="S1291" i="2"/>
  <c r="R1291" i="2"/>
  <c r="Q1291" i="2"/>
  <c r="P1291" i="2"/>
  <c r="S1290" i="2"/>
  <c r="R1290" i="2"/>
  <c r="Q1290" i="2"/>
  <c r="P1290" i="2"/>
  <c r="S1289" i="2"/>
  <c r="R1289" i="2"/>
  <c r="Q1289" i="2"/>
  <c r="P1289" i="2"/>
  <c r="S1288" i="2"/>
  <c r="R1288" i="2"/>
  <c r="Q1288" i="2"/>
  <c r="P1288" i="2"/>
  <c r="S1287" i="2"/>
  <c r="R1287" i="2"/>
  <c r="Q1287" i="2"/>
  <c r="P1287" i="2"/>
  <c r="S1286" i="2"/>
  <c r="R1286" i="2"/>
  <c r="Q1286" i="2"/>
  <c r="P1286" i="2"/>
  <c r="S1285" i="2"/>
  <c r="R1285" i="2"/>
  <c r="Q1285" i="2"/>
  <c r="P1285" i="2"/>
  <c r="S1284" i="2"/>
  <c r="R1284" i="2"/>
  <c r="Q1284" i="2"/>
  <c r="P1284" i="2"/>
  <c r="S1283" i="2"/>
  <c r="R1283" i="2"/>
  <c r="Q1283" i="2"/>
  <c r="P1283" i="2"/>
  <c r="S1282" i="2"/>
  <c r="R1282" i="2"/>
  <c r="Q1282" i="2"/>
  <c r="P1282" i="2"/>
  <c r="S1281" i="2"/>
  <c r="R1281" i="2"/>
  <c r="Q1281" i="2"/>
  <c r="P1281" i="2"/>
  <c r="S1280" i="2"/>
  <c r="R1280" i="2"/>
  <c r="Q1280" i="2"/>
  <c r="P1280" i="2"/>
  <c r="S1279" i="2"/>
  <c r="R1279" i="2"/>
  <c r="Q1279" i="2"/>
  <c r="P1279" i="2"/>
  <c r="S1278" i="2"/>
  <c r="R1278" i="2"/>
  <c r="Q1278" i="2"/>
  <c r="P1278" i="2"/>
  <c r="S1277" i="2"/>
  <c r="R1277" i="2"/>
  <c r="Q1277" i="2"/>
  <c r="P1277" i="2"/>
  <c r="S1276" i="2"/>
  <c r="R1276" i="2"/>
  <c r="Q1276" i="2"/>
  <c r="P1276" i="2"/>
  <c r="S1275" i="2"/>
  <c r="R1275" i="2"/>
  <c r="Q1275" i="2"/>
  <c r="P1275" i="2"/>
  <c r="S924" i="2"/>
  <c r="R924" i="2"/>
  <c r="Q924" i="2"/>
  <c r="P924" i="2"/>
  <c r="S923" i="2"/>
  <c r="R923" i="2"/>
  <c r="Q923" i="2"/>
  <c r="P923" i="2"/>
  <c r="S922" i="2"/>
  <c r="R922" i="2"/>
  <c r="Q922" i="2"/>
  <c r="P922" i="2"/>
  <c r="S921" i="2"/>
  <c r="R921" i="2"/>
  <c r="Q921" i="2"/>
  <c r="P921" i="2"/>
  <c r="S920" i="2"/>
  <c r="R920" i="2"/>
  <c r="Q920" i="2"/>
  <c r="P920" i="2"/>
  <c r="S919" i="2"/>
  <c r="R919" i="2"/>
  <c r="Q919" i="2"/>
  <c r="P919" i="2"/>
  <c r="S918" i="2"/>
  <c r="R918" i="2"/>
  <c r="Q918" i="2"/>
  <c r="P918" i="2"/>
  <c r="S917" i="2"/>
  <c r="R917" i="2"/>
  <c r="Q917" i="2"/>
  <c r="P917" i="2"/>
  <c r="S916" i="2"/>
  <c r="R916" i="2"/>
  <c r="Q916" i="2"/>
  <c r="P916" i="2"/>
  <c r="S915" i="2"/>
  <c r="R915" i="2"/>
  <c r="Q915" i="2"/>
  <c r="P915" i="2"/>
  <c r="S914" i="2"/>
  <c r="R914" i="2"/>
  <c r="Q914" i="2"/>
  <c r="P914" i="2"/>
  <c r="S913" i="2"/>
  <c r="R913" i="2"/>
  <c r="Q913" i="2"/>
  <c r="P913" i="2"/>
  <c r="S912" i="2"/>
  <c r="R912" i="2"/>
  <c r="Q912" i="2"/>
  <c r="P912" i="2"/>
  <c r="S911" i="2"/>
  <c r="R911" i="2"/>
  <c r="Q911" i="2"/>
  <c r="P911" i="2"/>
  <c r="S910" i="2"/>
  <c r="R910" i="2"/>
  <c r="Q910" i="2"/>
  <c r="P910" i="2"/>
  <c r="S909" i="2"/>
  <c r="R909" i="2"/>
  <c r="Q909" i="2"/>
  <c r="P909" i="2"/>
  <c r="S908" i="2"/>
  <c r="R908" i="2"/>
  <c r="Q908" i="2"/>
  <c r="P908" i="2"/>
  <c r="S907" i="2"/>
  <c r="R907" i="2"/>
  <c r="Q907" i="2"/>
  <c r="P907" i="2"/>
  <c r="S906" i="2"/>
  <c r="R906" i="2"/>
  <c r="Q906" i="2"/>
  <c r="P906" i="2"/>
  <c r="S905" i="2"/>
  <c r="R905" i="2"/>
  <c r="Q905" i="2"/>
  <c r="P905" i="2"/>
  <c r="S904" i="2"/>
  <c r="R904" i="2"/>
  <c r="Q904" i="2"/>
  <c r="P904" i="2"/>
  <c r="S903" i="2"/>
  <c r="R903" i="2"/>
  <c r="Q903" i="2"/>
  <c r="P903" i="2"/>
  <c r="S902" i="2"/>
  <c r="R902" i="2"/>
  <c r="Q902" i="2"/>
  <c r="P902" i="2"/>
  <c r="S901" i="2"/>
  <c r="R901" i="2"/>
  <c r="Q901" i="2"/>
  <c r="P901" i="2"/>
  <c r="S900" i="2"/>
  <c r="R900" i="2"/>
  <c r="Q900" i="2"/>
  <c r="P900" i="2"/>
  <c r="S899" i="2"/>
  <c r="R899" i="2"/>
  <c r="Q899" i="2"/>
  <c r="P899" i="2"/>
  <c r="S898" i="2"/>
  <c r="R898" i="2"/>
  <c r="Q898" i="2"/>
  <c r="P898" i="2"/>
  <c r="S897" i="2"/>
  <c r="R897" i="2"/>
  <c r="Q897" i="2"/>
  <c r="P897" i="2"/>
  <c r="S896" i="2"/>
  <c r="R896" i="2"/>
  <c r="Q896" i="2"/>
  <c r="P896" i="2"/>
  <c r="S895" i="2"/>
  <c r="R895" i="2"/>
  <c r="Q895" i="2"/>
  <c r="P895" i="2"/>
  <c r="S894" i="2"/>
  <c r="R894" i="2"/>
  <c r="Q894" i="2"/>
  <c r="P894" i="2"/>
  <c r="S893" i="2"/>
  <c r="R893" i="2"/>
  <c r="Q893" i="2"/>
  <c r="P893" i="2"/>
  <c r="S892" i="2"/>
  <c r="R892" i="2"/>
  <c r="Q892" i="2"/>
  <c r="P892" i="2"/>
  <c r="S891" i="2"/>
  <c r="R891" i="2"/>
  <c r="Q891" i="2"/>
  <c r="P891" i="2"/>
  <c r="S890" i="2"/>
  <c r="R890" i="2"/>
  <c r="Q890" i="2"/>
  <c r="P890" i="2"/>
  <c r="S889" i="2"/>
  <c r="R889" i="2"/>
  <c r="Q889" i="2"/>
  <c r="P889" i="2"/>
  <c r="S888" i="2"/>
  <c r="R888" i="2"/>
  <c r="Q888" i="2"/>
  <c r="P888" i="2"/>
  <c r="S887" i="2"/>
  <c r="R887" i="2"/>
  <c r="Q887" i="2"/>
  <c r="P887" i="2"/>
  <c r="S886" i="2"/>
  <c r="R886" i="2"/>
  <c r="Q886" i="2"/>
  <c r="P886" i="2"/>
  <c r="S885" i="2"/>
  <c r="R885" i="2"/>
  <c r="Q885" i="2"/>
  <c r="P885" i="2"/>
  <c r="S884" i="2"/>
  <c r="R884" i="2"/>
  <c r="Q884" i="2"/>
  <c r="P884" i="2"/>
  <c r="S883" i="2"/>
  <c r="R883" i="2"/>
  <c r="Q883" i="2"/>
  <c r="P883" i="2"/>
  <c r="S882" i="2"/>
  <c r="R882" i="2"/>
  <c r="Q882" i="2"/>
  <c r="P882" i="2"/>
  <c r="S881" i="2"/>
  <c r="R881" i="2"/>
  <c r="Q881" i="2"/>
  <c r="P881" i="2"/>
  <c r="S880" i="2"/>
  <c r="R880" i="2"/>
  <c r="Q880" i="2"/>
  <c r="P880" i="2"/>
  <c r="S879" i="2"/>
  <c r="R879" i="2"/>
  <c r="Q879" i="2"/>
  <c r="P879" i="2"/>
  <c r="S878" i="2"/>
  <c r="R878" i="2"/>
  <c r="Q878" i="2"/>
  <c r="P878" i="2"/>
  <c r="S877" i="2"/>
  <c r="R877" i="2"/>
  <c r="Q877" i="2"/>
  <c r="P877" i="2"/>
  <c r="S876" i="2"/>
  <c r="R876" i="2"/>
  <c r="Q876" i="2"/>
  <c r="P876" i="2"/>
  <c r="S875" i="2"/>
  <c r="R875" i="2"/>
  <c r="Q875" i="2"/>
  <c r="P875" i="2"/>
  <c r="S874" i="2"/>
  <c r="R874" i="2"/>
  <c r="Q874" i="2"/>
  <c r="P874" i="2"/>
  <c r="S873" i="2"/>
  <c r="R873" i="2"/>
  <c r="Q873" i="2"/>
  <c r="P873" i="2"/>
  <c r="S872" i="2"/>
  <c r="R872" i="2"/>
  <c r="Q872" i="2"/>
  <c r="P872" i="2"/>
  <c r="S871" i="2"/>
  <c r="R871" i="2"/>
  <c r="Q871" i="2"/>
  <c r="P871" i="2"/>
  <c r="S870" i="2"/>
  <c r="R870" i="2"/>
  <c r="Q870" i="2"/>
  <c r="P870" i="2"/>
  <c r="S869" i="2"/>
  <c r="R869" i="2"/>
  <c r="Q869" i="2"/>
  <c r="P869" i="2"/>
  <c r="S868" i="2"/>
  <c r="R868" i="2"/>
  <c r="Q868" i="2"/>
  <c r="P868" i="2"/>
  <c r="S867" i="2"/>
  <c r="R867" i="2"/>
  <c r="Q867" i="2"/>
  <c r="P867" i="2"/>
  <c r="S866" i="2"/>
  <c r="R866" i="2"/>
  <c r="Q866" i="2"/>
  <c r="P866" i="2"/>
  <c r="S865" i="2"/>
  <c r="R865" i="2"/>
  <c r="Q865" i="2"/>
  <c r="P865" i="2"/>
  <c r="S864" i="2"/>
  <c r="R864" i="2"/>
  <c r="Q864" i="2"/>
  <c r="P864" i="2"/>
  <c r="S863" i="2"/>
  <c r="R863" i="2"/>
  <c r="Q863" i="2"/>
  <c r="P863" i="2"/>
  <c r="S862" i="2"/>
  <c r="R862" i="2"/>
  <c r="Q862" i="2"/>
  <c r="P862" i="2"/>
  <c r="S861" i="2"/>
  <c r="R861" i="2"/>
  <c r="Q861" i="2"/>
  <c r="P861" i="2"/>
  <c r="S860" i="2"/>
  <c r="R860" i="2"/>
  <c r="Q860" i="2"/>
  <c r="P860" i="2"/>
  <c r="S859" i="2"/>
  <c r="R859" i="2"/>
  <c r="Q859" i="2"/>
  <c r="P859" i="2"/>
  <c r="S858" i="2"/>
  <c r="R858" i="2"/>
  <c r="Q858" i="2"/>
  <c r="P858" i="2"/>
  <c r="S857" i="2"/>
  <c r="R857" i="2"/>
  <c r="Q857" i="2"/>
  <c r="P857" i="2"/>
  <c r="S856" i="2"/>
  <c r="R856" i="2"/>
  <c r="Q856" i="2"/>
  <c r="P856" i="2"/>
  <c r="S855" i="2"/>
  <c r="R855" i="2"/>
  <c r="Q855" i="2"/>
  <c r="P855" i="2"/>
  <c r="S854" i="2"/>
  <c r="R854" i="2"/>
  <c r="Q854" i="2"/>
  <c r="P854" i="2"/>
  <c r="S853" i="2"/>
  <c r="R853" i="2"/>
  <c r="Q853" i="2"/>
  <c r="P853" i="2"/>
  <c r="S852" i="2"/>
  <c r="R852" i="2"/>
  <c r="Q852" i="2"/>
  <c r="P852" i="2"/>
  <c r="S851" i="2"/>
  <c r="R851" i="2"/>
  <c r="Q851" i="2"/>
  <c r="P851" i="2"/>
  <c r="S850" i="2"/>
  <c r="R850" i="2"/>
  <c r="Q850" i="2"/>
  <c r="P850" i="2"/>
  <c r="S849" i="2"/>
  <c r="R849" i="2"/>
  <c r="Q849" i="2"/>
  <c r="P849" i="2"/>
  <c r="S848" i="2"/>
  <c r="R848" i="2"/>
  <c r="Q848" i="2"/>
  <c r="P848" i="2"/>
  <c r="S847" i="2"/>
  <c r="R847" i="2"/>
  <c r="Q847" i="2"/>
  <c r="P847" i="2"/>
  <c r="S846" i="2"/>
  <c r="R846" i="2"/>
  <c r="Q846" i="2"/>
  <c r="P846" i="2"/>
  <c r="S845" i="2"/>
  <c r="R845" i="2"/>
  <c r="Q845" i="2"/>
  <c r="P845" i="2"/>
  <c r="S844" i="2"/>
  <c r="R844" i="2"/>
  <c r="Q844" i="2"/>
  <c r="P844" i="2"/>
  <c r="S843" i="2"/>
  <c r="R843" i="2"/>
  <c r="Q843" i="2"/>
  <c r="P843" i="2"/>
  <c r="S842" i="2"/>
  <c r="R842" i="2"/>
  <c r="Q842" i="2"/>
  <c r="P842" i="2"/>
  <c r="S841" i="2"/>
  <c r="R841" i="2"/>
  <c r="Q841" i="2"/>
  <c r="P841" i="2"/>
  <c r="S840" i="2"/>
  <c r="R840" i="2"/>
  <c r="Q840" i="2"/>
  <c r="P840" i="2"/>
  <c r="S839" i="2"/>
  <c r="R839" i="2"/>
  <c r="Q839" i="2"/>
  <c r="P839" i="2"/>
  <c r="S838" i="2"/>
  <c r="R838" i="2"/>
  <c r="Q838" i="2"/>
  <c r="P838" i="2"/>
  <c r="S837" i="2"/>
  <c r="R837" i="2"/>
  <c r="Q837" i="2"/>
  <c r="P837" i="2"/>
  <c r="S836" i="2"/>
  <c r="R836" i="2"/>
  <c r="Q836" i="2"/>
  <c r="P836" i="2"/>
  <c r="S835" i="2"/>
  <c r="R835" i="2"/>
  <c r="Q835" i="2"/>
  <c r="P835" i="2"/>
  <c r="S834" i="2"/>
  <c r="R834" i="2"/>
  <c r="Q834" i="2"/>
  <c r="P834" i="2"/>
  <c r="S833" i="2"/>
  <c r="R833" i="2"/>
  <c r="Q833" i="2"/>
  <c r="P833" i="2"/>
  <c r="S832" i="2"/>
  <c r="R832" i="2"/>
  <c r="Q832" i="2"/>
  <c r="P832" i="2"/>
  <c r="S831" i="2"/>
  <c r="R831" i="2"/>
  <c r="Q831" i="2"/>
  <c r="P831" i="2"/>
  <c r="S830" i="2"/>
  <c r="R830" i="2"/>
  <c r="Q830" i="2"/>
  <c r="P830" i="2"/>
  <c r="S829" i="2"/>
  <c r="R829" i="2"/>
  <c r="Q829" i="2"/>
  <c r="P829" i="2"/>
  <c r="S828" i="2"/>
  <c r="R828" i="2"/>
  <c r="Q828" i="2"/>
  <c r="P828" i="2"/>
  <c r="S827" i="2"/>
  <c r="R827" i="2"/>
  <c r="Q827" i="2"/>
  <c r="P827" i="2"/>
  <c r="S826" i="2"/>
  <c r="R826" i="2"/>
  <c r="Q826" i="2"/>
  <c r="P826" i="2"/>
  <c r="S825" i="2"/>
  <c r="R825" i="2"/>
  <c r="Q825" i="2"/>
  <c r="P825" i="2"/>
  <c r="S824" i="2"/>
  <c r="R824" i="2"/>
  <c r="Q824" i="2"/>
  <c r="P824" i="2"/>
  <c r="S823" i="2"/>
  <c r="R823" i="2"/>
  <c r="Q823" i="2"/>
  <c r="P823" i="2"/>
  <c r="S822" i="2"/>
  <c r="R822" i="2"/>
  <c r="Q822" i="2"/>
  <c r="P822" i="2"/>
  <c r="S821" i="2"/>
  <c r="R821" i="2"/>
  <c r="Q821" i="2"/>
  <c r="P821" i="2"/>
  <c r="S820" i="2"/>
  <c r="R820" i="2"/>
  <c r="Q820" i="2"/>
  <c r="P820" i="2"/>
  <c r="S819" i="2"/>
  <c r="R819" i="2"/>
  <c r="Q819" i="2"/>
  <c r="P819" i="2"/>
  <c r="S818" i="2"/>
  <c r="R818" i="2"/>
  <c r="Q818" i="2"/>
  <c r="P818" i="2"/>
  <c r="S817" i="2"/>
  <c r="R817" i="2"/>
  <c r="Q817" i="2"/>
  <c r="P817" i="2"/>
  <c r="S816" i="2"/>
  <c r="R816" i="2"/>
  <c r="Q816" i="2"/>
  <c r="P816" i="2"/>
  <c r="S815" i="2"/>
  <c r="R815" i="2"/>
  <c r="Q815" i="2"/>
  <c r="P815" i="2"/>
  <c r="S814" i="2"/>
  <c r="R814" i="2"/>
  <c r="Q814" i="2"/>
  <c r="P814" i="2"/>
  <c r="S813" i="2"/>
  <c r="R813" i="2"/>
  <c r="Q813" i="2"/>
  <c r="P813" i="2"/>
  <c r="S812" i="2"/>
  <c r="R812" i="2"/>
  <c r="Q812" i="2"/>
  <c r="P812" i="2"/>
  <c r="S811" i="2"/>
  <c r="R811" i="2"/>
  <c r="Q811" i="2"/>
  <c r="P811" i="2"/>
  <c r="S810" i="2"/>
  <c r="R810" i="2"/>
  <c r="Q810" i="2"/>
  <c r="P810" i="2"/>
  <c r="S809" i="2"/>
  <c r="R809" i="2"/>
  <c r="Q809" i="2"/>
  <c r="P809" i="2"/>
  <c r="S808" i="2"/>
  <c r="R808" i="2"/>
  <c r="Q808" i="2"/>
  <c r="P808" i="2"/>
  <c r="S807" i="2"/>
  <c r="R807" i="2"/>
  <c r="Q807" i="2"/>
  <c r="P807" i="2"/>
  <c r="S806" i="2"/>
  <c r="R806" i="2"/>
  <c r="Q806" i="2"/>
  <c r="P806" i="2"/>
  <c r="S805" i="2"/>
  <c r="R805" i="2"/>
  <c r="Q805" i="2"/>
  <c r="P805" i="2"/>
  <c r="S804" i="2"/>
  <c r="R804" i="2"/>
  <c r="Q804" i="2"/>
  <c r="P804" i="2"/>
  <c r="S803" i="2"/>
  <c r="R803" i="2"/>
  <c r="Q803" i="2"/>
  <c r="P803" i="2"/>
  <c r="S802" i="2"/>
  <c r="R802" i="2"/>
  <c r="Q802" i="2"/>
  <c r="P802" i="2"/>
  <c r="S801" i="2"/>
  <c r="R801" i="2"/>
  <c r="Q801" i="2"/>
  <c r="P801" i="2"/>
  <c r="S800" i="2"/>
  <c r="R800" i="2"/>
  <c r="Q800" i="2"/>
  <c r="P800" i="2"/>
  <c r="S799" i="2"/>
  <c r="R799" i="2"/>
  <c r="Q799" i="2"/>
  <c r="P799" i="2"/>
  <c r="S798" i="2"/>
  <c r="R798" i="2"/>
  <c r="Q798" i="2"/>
  <c r="P798" i="2"/>
  <c r="S797" i="2"/>
  <c r="R797" i="2"/>
  <c r="Q797" i="2"/>
  <c r="P797" i="2"/>
  <c r="S796" i="2"/>
  <c r="R796" i="2"/>
  <c r="Q796" i="2"/>
  <c r="P796" i="2"/>
  <c r="S795" i="2"/>
  <c r="R795" i="2"/>
  <c r="Q795" i="2"/>
  <c r="P795" i="2"/>
  <c r="S794" i="2"/>
  <c r="R794" i="2"/>
  <c r="Q794" i="2"/>
  <c r="P794" i="2"/>
  <c r="S793" i="2"/>
  <c r="R793" i="2"/>
  <c r="Q793" i="2"/>
  <c r="P793" i="2"/>
  <c r="S792" i="2"/>
  <c r="R792" i="2"/>
  <c r="Q792" i="2"/>
  <c r="P792" i="2"/>
  <c r="S791" i="2"/>
  <c r="R791" i="2"/>
  <c r="Q791" i="2"/>
  <c r="P791" i="2"/>
  <c r="S790" i="2"/>
  <c r="R790" i="2"/>
  <c r="Q790" i="2"/>
  <c r="P790" i="2"/>
  <c r="S789" i="2"/>
  <c r="R789" i="2"/>
  <c r="Q789" i="2"/>
  <c r="P789" i="2"/>
  <c r="S788" i="2"/>
  <c r="R788" i="2"/>
  <c r="Q788" i="2"/>
  <c r="P788" i="2"/>
  <c r="S787" i="2"/>
  <c r="R787" i="2"/>
  <c r="Q787" i="2"/>
  <c r="P787" i="2"/>
  <c r="S786" i="2"/>
  <c r="R786" i="2"/>
  <c r="Q786" i="2"/>
  <c r="P786" i="2"/>
  <c r="S785" i="2"/>
  <c r="R785" i="2"/>
  <c r="Q785" i="2"/>
  <c r="P785" i="2"/>
  <c r="S784" i="2"/>
  <c r="R784" i="2"/>
  <c r="Q784" i="2"/>
  <c r="P784" i="2"/>
  <c r="S783" i="2"/>
  <c r="R783" i="2"/>
  <c r="Q783" i="2"/>
  <c r="P783" i="2"/>
  <c r="S782" i="2"/>
  <c r="R782" i="2"/>
  <c r="Q782" i="2"/>
  <c r="P782" i="2"/>
  <c r="S781" i="2"/>
  <c r="R781" i="2"/>
  <c r="Q781" i="2"/>
  <c r="P781" i="2"/>
  <c r="S780" i="2"/>
  <c r="R780" i="2"/>
  <c r="Q780" i="2"/>
  <c r="P780" i="2"/>
  <c r="S779" i="2"/>
  <c r="R779" i="2"/>
  <c r="Q779" i="2"/>
  <c r="P779" i="2"/>
  <c r="S778" i="2"/>
  <c r="R778" i="2"/>
  <c r="Q778" i="2"/>
  <c r="P778" i="2"/>
  <c r="S777" i="2"/>
  <c r="R777" i="2"/>
  <c r="Q777" i="2"/>
  <c r="P777" i="2"/>
  <c r="S776" i="2"/>
  <c r="R776" i="2"/>
  <c r="Q776" i="2"/>
  <c r="P776" i="2"/>
  <c r="S775" i="2"/>
  <c r="R775" i="2"/>
  <c r="Q775" i="2"/>
  <c r="P775" i="2"/>
  <c r="S774" i="2"/>
  <c r="R774" i="2"/>
  <c r="Q774" i="2"/>
  <c r="P774" i="2"/>
  <c r="S773" i="2"/>
  <c r="R773" i="2"/>
  <c r="Q773" i="2"/>
  <c r="P773" i="2"/>
  <c r="S772" i="2"/>
  <c r="R772" i="2"/>
  <c r="Q772" i="2"/>
  <c r="P772" i="2"/>
  <c r="S771" i="2"/>
  <c r="R771" i="2"/>
  <c r="Q771" i="2"/>
  <c r="P771" i="2"/>
  <c r="S770" i="2"/>
  <c r="R770" i="2"/>
  <c r="Q770" i="2"/>
  <c r="P770" i="2"/>
  <c r="S769" i="2"/>
  <c r="R769" i="2"/>
  <c r="Q769" i="2"/>
  <c r="P769" i="2"/>
  <c r="S768" i="2"/>
  <c r="R768" i="2"/>
  <c r="Q768" i="2"/>
  <c r="P768" i="2"/>
  <c r="S767" i="2"/>
  <c r="R767" i="2"/>
  <c r="Q767" i="2"/>
  <c r="P767" i="2"/>
  <c r="S766" i="2"/>
  <c r="R766" i="2"/>
  <c r="Q766" i="2"/>
  <c r="P766" i="2"/>
  <c r="S765" i="2"/>
  <c r="R765" i="2"/>
  <c r="Q765" i="2"/>
  <c r="P765" i="2"/>
  <c r="S764" i="2"/>
  <c r="R764" i="2"/>
  <c r="Q764" i="2"/>
  <c r="P764" i="2"/>
  <c r="S763" i="2"/>
  <c r="R763" i="2"/>
  <c r="Q763" i="2"/>
  <c r="P763" i="2"/>
  <c r="S762" i="2"/>
  <c r="R762" i="2"/>
  <c r="Q762" i="2"/>
  <c r="P762" i="2"/>
  <c r="S761" i="2"/>
  <c r="R761" i="2"/>
  <c r="Q761" i="2"/>
  <c r="P761" i="2"/>
  <c r="S760" i="2"/>
  <c r="R760" i="2"/>
  <c r="Q760" i="2"/>
  <c r="P760" i="2"/>
  <c r="S759" i="2"/>
  <c r="R759" i="2"/>
  <c r="Q759" i="2"/>
  <c r="P759" i="2"/>
  <c r="S758" i="2"/>
  <c r="R758" i="2"/>
  <c r="Q758" i="2"/>
  <c r="P758" i="2"/>
  <c r="S757" i="2"/>
  <c r="R757" i="2"/>
  <c r="Q757" i="2"/>
  <c r="P757" i="2"/>
  <c r="S756" i="2"/>
  <c r="R756" i="2"/>
  <c r="Q756" i="2"/>
  <c r="P756" i="2"/>
  <c r="S755" i="2"/>
  <c r="R755" i="2"/>
  <c r="Q755" i="2"/>
  <c r="P755" i="2"/>
  <c r="S754" i="2"/>
  <c r="R754" i="2"/>
  <c r="Q754" i="2"/>
  <c r="P754" i="2"/>
  <c r="S753" i="2"/>
  <c r="R753" i="2"/>
  <c r="Q753" i="2"/>
  <c r="P753" i="2"/>
  <c r="S752" i="2"/>
  <c r="R752" i="2"/>
  <c r="Q752" i="2"/>
  <c r="P752" i="2"/>
  <c r="S751" i="2"/>
  <c r="R751" i="2"/>
  <c r="Q751" i="2"/>
  <c r="P751" i="2"/>
  <c r="S750" i="2"/>
  <c r="R750" i="2"/>
  <c r="Q750" i="2"/>
  <c r="P750" i="2"/>
  <c r="S749" i="2"/>
  <c r="R749" i="2"/>
  <c r="Q749" i="2"/>
  <c r="P749" i="2"/>
  <c r="S748" i="2"/>
  <c r="R748" i="2"/>
  <c r="Q748" i="2"/>
  <c r="P748" i="2"/>
  <c r="S747" i="2"/>
  <c r="R747" i="2"/>
  <c r="Q747" i="2"/>
  <c r="P747" i="2"/>
  <c r="S746" i="2"/>
  <c r="R746" i="2"/>
  <c r="Q746" i="2"/>
  <c r="P746" i="2"/>
  <c r="S745" i="2"/>
  <c r="R745" i="2"/>
  <c r="Q745" i="2"/>
  <c r="P745" i="2"/>
  <c r="S744" i="2"/>
  <c r="R744" i="2"/>
  <c r="Q744" i="2"/>
  <c r="P744" i="2"/>
  <c r="S743" i="2"/>
  <c r="R743" i="2"/>
  <c r="Q743" i="2"/>
  <c r="P743" i="2"/>
  <c r="S742" i="2"/>
  <c r="R742" i="2"/>
  <c r="Q742" i="2"/>
  <c r="P742" i="2"/>
  <c r="S741" i="2"/>
  <c r="R741" i="2"/>
  <c r="Q741" i="2"/>
  <c r="P741" i="2"/>
  <c r="S740" i="2"/>
  <c r="R740" i="2"/>
  <c r="Q740" i="2"/>
  <c r="P740" i="2"/>
  <c r="S739" i="2"/>
  <c r="R739" i="2"/>
  <c r="Q739" i="2"/>
  <c r="P739" i="2"/>
  <c r="S738" i="2"/>
  <c r="R738" i="2"/>
  <c r="Q738" i="2"/>
  <c r="P738" i="2"/>
  <c r="S737" i="2"/>
  <c r="R737" i="2"/>
  <c r="Q737" i="2"/>
  <c r="P737" i="2"/>
  <c r="S736" i="2"/>
  <c r="R736" i="2"/>
  <c r="Q736" i="2"/>
  <c r="P736" i="2"/>
  <c r="S735" i="2"/>
  <c r="R735" i="2"/>
  <c r="Q735" i="2"/>
  <c r="P735" i="2"/>
  <c r="S734" i="2"/>
  <c r="R734" i="2"/>
  <c r="Q734" i="2"/>
  <c r="P734" i="2"/>
  <c r="S733" i="2"/>
  <c r="R733" i="2"/>
  <c r="Q733" i="2"/>
  <c r="P733" i="2"/>
  <c r="S732" i="2"/>
  <c r="R732" i="2"/>
  <c r="Q732" i="2"/>
  <c r="P732" i="2"/>
  <c r="S731" i="2"/>
  <c r="R731" i="2"/>
  <c r="Q731" i="2"/>
  <c r="P731" i="2"/>
  <c r="S730" i="2"/>
  <c r="R730" i="2"/>
  <c r="Q730" i="2"/>
  <c r="P730" i="2"/>
  <c r="S729" i="2"/>
  <c r="R729" i="2"/>
  <c r="Q729" i="2"/>
  <c r="P729" i="2"/>
  <c r="S728" i="2"/>
  <c r="R728" i="2"/>
  <c r="Q728" i="2"/>
  <c r="P728" i="2"/>
  <c r="S727" i="2"/>
  <c r="R727" i="2"/>
  <c r="Q727" i="2"/>
  <c r="P727" i="2"/>
  <c r="S726" i="2"/>
  <c r="R726" i="2"/>
  <c r="Q726" i="2"/>
  <c r="P726" i="2"/>
  <c r="S725" i="2"/>
  <c r="R725" i="2"/>
  <c r="Q725" i="2"/>
  <c r="P725" i="2"/>
  <c r="S724" i="2"/>
  <c r="R724" i="2"/>
  <c r="Q724" i="2"/>
  <c r="P724" i="2"/>
  <c r="S723" i="2"/>
  <c r="R723" i="2"/>
  <c r="Q723" i="2"/>
  <c r="P723" i="2"/>
  <c r="S722" i="2"/>
  <c r="R722" i="2"/>
  <c r="Q722" i="2"/>
  <c r="P722" i="2"/>
  <c r="S721" i="2"/>
  <c r="R721" i="2"/>
  <c r="Q721" i="2"/>
  <c r="P721" i="2"/>
  <c r="S720" i="2"/>
  <c r="R720" i="2"/>
  <c r="Q720" i="2"/>
  <c r="P720" i="2"/>
  <c r="S719" i="2"/>
  <c r="R719" i="2"/>
  <c r="Q719" i="2"/>
  <c r="P719" i="2"/>
  <c r="S718" i="2"/>
  <c r="R718" i="2"/>
  <c r="Q718" i="2"/>
  <c r="P718" i="2"/>
  <c r="S717" i="2"/>
  <c r="R717" i="2"/>
  <c r="Q717" i="2"/>
  <c r="P717" i="2"/>
  <c r="S716" i="2"/>
  <c r="R716" i="2"/>
  <c r="Q716" i="2"/>
  <c r="P716" i="2"/>
  <c r="S715" i="2"/>
  <c r="R715" i="2"/>
  <c r="Q715" i="2"/>
  <c r="P715" i="2"/>
  <c r="S714" i="2"/>
  <c r="R714" i="2"/>
  <c r="Q714" i="2"/>
  <c r="P714" i="2"/>
  <c r="S713" i="2"/>
  <c r="R713" i="2"/>
  <c r="Q713" i="2"/>
  <c r="P713" i="2"/>
  <c r="S712" i="2"/>
  <c r="R712" i="2"/>
  <c r="Q712" i="2"/>
  <c r="P712" i="2"/>
  <c r="S711" i="2"/>
  <c r="R711" i="2"/>
  <c r="Q711" i="2"/>
  <c r="P711" i="2"/>
  <c r="S710" i="2"/>
  <c r="R710" i="2"/>
  <c r="Q710" i="2"/>
  <c r="P710" i="2"/>
  <c r="S709" i="2"/>
  <c r="R709" i="2"/>
  <c r="Q709" i="2"/>
  <c r="P709" i="2"/>
  <c r="S708" i="2"/>
  <c r="R708" i="2"/>
  <c r="Q708" i="2"/>
  <c r="P708" i="2"/>
  <c r="S707" i="2"/>
  <c r="R707" i="2"/>
  <c r="Q707" i="2"/>
  <c r="P707" i="2"/>
  <c r="S706" i="2"/>
  <c r="R706" i="2"/>
  <c r="Q706" i="2"/>
  <c r="P706" i="2"/>
  <c r="S705" i="2"/>
  <c r="R705" i="2"/>
  <c r="Q705" i="2"/>
  <c r="P705" i="2"/>
  <c r="S704" i="2"/>
  <c r="R704" i="2"/>
  <c r="Q704" i="2"/>
  <c r="P704" i="2"/>
  <c r="S703" i="2"/>
  <c r="R703" i="2"/>
  <c r="Q703" i="2"/>
  <c r="P703" i="2"/>
  <c r="S702" i="2"/>
  <c r="R702" i="2"/>
  <c r="Q702" i="2"/>
  <c r="P702" i="2"/>
  <c r="S701" i="2"/>
  <c r="R701" i="2"/>
  <c r="Q701" i="2"/>
  <c r="P701" i="2"/>
  <c r="S700" i="2"/>
  <c r="R700" i="2"/>
  <c r="Q700" i="2"/>
  <c r="P700" i="2"/>
  <c r="S699" i="2"/>
  <c r="R699" i="2"/>
  <c r="Q699" i="2"/>
  <c r="P699" i="2"/>
  <c r="S698" i="2"/>
  <c r="R698" i="2"/>
  <c r="Q698" i="2"/>
  <c r="P698" i="2"/>
  <c r="S697" i="2"/>
  <c r="R697" i="2"/>
  <c r="Q697" i="2"/>
  <c r="P697" i="2"/>
  <c r="S696" i="2"/>
  <c r="R696" i="2"/>
  <c r="Q696" i="2"/>
  <c r="P696" i="2"/>
  <c r="S695" i="2"/>
  <c r="R695" i="2"/>
  <c r="Q695" i="2"/>
  <c r="P695" i="2"/>
  <c r="S694" i="2"/>
  <c r="R694" i="2"/>
  <c r="Q694" i="2"/>
  <c r="P694" i="2"/>
  <c r="S693" i="2"/>
  <c r="R693" i="2"/>
  <c r="Q693" i="2"/>
  <c r="P693" i="2"/>
  <c r="S692" i="2"/>
  <c r="R692" i="2"/>
  <c r="Q692" i="2"/>
  <c r="P692" i="2"/>
  <c r="S691" i="2"/>
  <c r="R691" i="2"/>
  <c r="Q691" i="2"/>
  <c r="P691" i="2"/>
  <c r="S690" i="2"/>
  <c r="R690" i="2"/>
  <c r="Q690" i="2"/>
  <c r="P690" i="2"/>
  <c r="S689" i="2"/>
  <c r="R689" i="2"/>
  <c r="Q689" i="2"/>
  <c r="P689" i="2"/>
  <c r="S688" i="2"/>
  <c r="R688" i="2"/>
  <c r="Q688" i="2"/>
  <c r="P688" i="2"/>
  <c r="S687" i="2"/>
  <c r="R687" i="2"/>
  <c r="Q687" i="2"/>
  <c r="P687" i="2"/>
  <c r="S686" i="2"/>
  <c r="R686" i="2"/>
  <c r="Q686" i="2"/>
  <c r="P686" i="2"/>
  <c r="S685" i="2"/>
  <c r="R685" i="2"/>
  <c r="Q685" i="2"/>
  <c r="P685" i="2"/>
  <c r="S684" i="2"/>
  <c r="R684" i="2"/>
  <c r="Q684" i="2"/>
  <c r="P684" i="2"/>
  <c r="S683" i="2"/>
  <c r="R683" i="2"/>
  <c r="Q683" i="2"/>
  <c r="P683" i="2"/>
  <c r="S682" i="2"/>
  <c r="R682" i="2"/>
  <c r="Q682" i="2"/>
  <c r="P682" i="2"/>
  <c r="S681" i="2"/>
  <c r="R681" i="2"/>
  <c r="Q681" i="2"/>
  <c r="P681" i="2"/>
  <c r="S680" i="2"/>
  <c r="R680" i="2"/>
  <c r="Q680" i="2"/>
  <c r="P680" i="2"/>
  <c r="S679" i="2"/>
  <c r="R679" i="2"/>
  <c r="Q679" i="2"/>
  <c r="P679" i="2"/>
  <c r="S678" i="2"/>
  <c r="R678" i="2"/>
  <c r="Q678" i="2"/>
  <c r="P678" i="2"/>
  <c r="S677" i="2"/>
  <c r="R677" i="2"/>
  <c r="Q677" i="2"/>
  <c r="P677" i="2"/>
  <c r="S676" i="2"/>
  <c r="R676" i="2"/>
  <c r="Q676" i="2"/>
  <c r="P676" i="2"/>
  <c r="S675" i="2"/>
  <c r="R675" i="2"/>
  <c r="Q675" i="2"/>
  <c r="P675" i="2"/>
  <c r="S674" i="2"/>
  <c r="R674" i="2"/>
  <c r="Q674" i="2"/>
  <c r="P674" i="2"/>
  <c r="S673" i="2"/>
  <c r="R673" i="2"/>
  <c r="Q673" i="2"/>
  <c r="P673" i="2"/>
  <c r="S672" i="2"/>
  <c r="R672" i="2"/>
  <c r="Q672" i="2"/>
  <c r="P672" i="2"/>
  <c r="S671" i="2"/>
  <c r="R671" i="2"/>
  <c r="Q671" i="2"/>
  <c r="P671" i="2"/>
  <c r="S670" i="2"/>
  <c r="R670" i="2"/>
  <c r="Q670" i="2"/>
  <c r="P670" i="2"/>
  <c r="S669" i="2"/>
  <c r="R669" i="2"/>
  <c r="Q669" i="2"/>
  <c r="P669" i="2"/>
  <c r="S668" i="2"/>
  <c r="R668" i="2"/>
  <c r="Q668" i="2"/>
  <c r="P668" i="2"/>
  <c r="S667" i="2"/>
  <c r="R667" i="2"/>
  <c r="Q667" i="2"/>
  <c r="P667" i="2"/>
  <c r="S666" i="2"/>
  <c r="R666" i="2"/>
  <c r="Q666" i="2"/>
  <c r="P666" i="2"/>
  <c r="S665" i="2"/>
  <c r="R665" i="2"/>
  <c r="Q665" i="2"/>
  <c r="P665" i="2"/>
  <c r="S664" i="2"/>
  <c r="R664" i="2"/>
  <c r="Q664" i="2"/>
  <c r="P664" i="2"/>
  <c r="S663" i="2"/>
  <c r="R663" i="2"/>
  <c r="Q663" i="2"/>
  <c r="P663" i="2"/>
  <c r="S662" i="2"/>
  <c r="R662" i="2"/>
  <c r="Q662" i="2"/>
  <c r="P662" i="2"/>
  <c r="S661" i="2"/>
  <c r="R661" i="2"/>
  <c r="Q661" i="2"/>
  <c r="P661" i="2"/>
  <c r="S660" i="2"/>
  <c r="R660" i="2"/>
  <c r="Q660" i="2"/>
  <c r="P660" i="2"/>
  <c r="S659" i="2"/>
  <c r="R659" i="2"/>
  <c r="Q659" i="2"/>
  <c r="P659" i="2"/>
  <c r="S658" i="2"/>
  <c r="R658" i="2"/>
  <c r="Q658" i="2"/>
  <c r="P658" i="2"/>
  <c r="S657" i="2"/>
  <c r="R657" i="2"/>
  <c r="Q657" i="2"/>
  <c r="P657" i="2"/>
  <c r="S656" i="2"/>
  <c r="R656" i="2"/>
  <c r="Q656" i="2"/>
  <c r="P656" i="2"/>
  <c r="S655" i="2"/>
  <c r="R655" i="2"/>
  <c r="Q655" i="2"/>
  <c r="P655" i="2"/>
  <c r="S654" i="2"/>
  <c r="R654" i="2"/>
  <c r="Q654" i="2"/>
  <c r="P654" i="2"/>
  <c r="S653" i="2"/>
  <c r="R653" i="2"/>
  <c r="Q653" i="2"/>
  <c r="P653" i="2"/>
  <c r="S652" i="2"/>
  <c r="R652" i="2"/>
  <c r="Q652" i="2"/>
  <c r="P652" i="2"/>
  <c r="S651" i="2"/>
  <c r="R651" i="2"/>
  <c r="Q651" i="2"/>
  <c r="P651" i="2"/>
  <c r="S650" i="2"/>
  <c r="R650" i="2"/>
  <c r="Q650" i="2"/>
  <c r="P650" i="2"/>
  <c r="S649" i="2"/>
  <c r="R649" i="2"/>
  <c r="Q649" i="2"/>
  <c r="P649" i="2"/>
  <c r="S648" i="2"/>
  <c r="R648" i="2"/>
  <c r="Q648" i="2"/>
  <c r="P648" i="2"/>
  <c r="S647" i="2"/>
  <c r="R647" i="2"/>
  <c r="Q647" i="2"/>
  <c r="P647" i="2"/>
  <c r="S646" i="2"/>
  <c r="R646" i="2"/>
  <c r="Q646" i="2"/>
  <c r="P646" i="2"/>
  <c r="S645" i="2"/>
  <c r="R645" i="2"/>
  <c r="Q645" i="2"/>
  <c r="P645" i="2"/>
  <c r="S644" i="2"/>
  <c r="R644" i="2"/>
  <c r="Q644" i="2"/>
  <c r="P644" i="2"/>
  <c r="S643" i="2"/>
  <c r="R643" i="2"/>
  <c r="Q643" i="2"/>
  <c r="P643" i="2"/>
  <c r="S642" i="2"/>
  <c r="R642" i="2"/>
  <c r="Q642" i="2"/>
  <c r="P642" i="2"/>
  <c r="S641" i="2"/>
  <c r="R641" i="2"/>
  <c r="Q641" i="2"/>
  <c r="P641" i="2"/>
  <c r="S640" i="2"/>
  <c r="R640" i="2"/>
  <c r="Q640" i="2"/>
  <c r="P640" i="2"/>
  <c r="S639" i="2"/>
  <c r="R639" i="2"/>
  <c r="Q639" i="2"/>
  <c r="P639" i="2"/>
  <c r="S638" i="2"/>
  <c r="R638" i="2"/>
  <c r="Q638" i="2"/>
  <c r="P638" i="2"/>
  <c r="S637" i="2"/>
  <c r="R637" i="2"/>
  <c r="Q637" i="2"/>
  <c r="P637" i="2"/>
  <c r="S636" i="2"/>
  <c r="R636" i="2"/>
  <c r="Q636" i="2"/>
  <c r="P636" i="2"/>
  <c r="S635" i="2"/>
  <c r="R635" i="2"/>
  <c r="Q635" i="2"/>
  <c r="P635" i="2"/>
  <c r="S634" i="2"/>
  <c r="R634" i="2"/>
  <c r="Q634" i="2"/>
  <c r="P634" i="2"/>
  <c r="S633" i="2"/>
  <c r="R633" i="2"/>
  <c r="Q633" i="2"/>
  <c r="P633" i="2"/>
  <c r="S632" i="2"/>
  <c r="R632" i="2"/>
  <c r="Q632" i="2"/>
  <c r="P632" i="2"/>
  <c r="S631" i="2"/>
  <c r="R631" i="2"/>
  <c r="Q631" i="2"/>
  <c r="P631" i="2"/>
  <c r="S630" i="2"/>
  <c r="R630" i="2"/>
  <c r="Q630" i="2"/>
  <c r="P630" i="2"/>
  <c r="S629" i="2"/>
  <c r="R629" i="2"/>
  <c r="Q629" i="2"/>
  <c r="P629" i="2"/>
  <c r="S628" i="2"/>
  <c r="R628" i="2"/>
  <c r="Q628" i="2"/>
  <c r="P628" i="2"/>
  <c r="S627" i="2"/>
  <c r="R627" i="2"/>
  <c r="Q627" i="2"/>
  <c r="P627" i="2"/>
  <c r="S626" i="2"/>
  <c r="R626" i="2"/>
  <c r="Q626" i="2"/>
  <c r="P626" i="2"/>
  <c r="S625" i="2"/>
  <c r="R625" i="2"/>
  <c r="Q625" i="2"/>
  <c r="P625" i="2"/>
  <c r="S624" i="2"/>
  <c r="R624" i="2"/>
  <c r="Q624" i="2"/>
  <c r="P624" i="2"/>
  <c r="S623" i="2"/>
  <c r="R623" i="2"/>
  <c r="Q623" i="2"/>
  <c r="P623" i="2"/>
  <c r="S622" i="2"/>
  <c r="R622" i="2"/>
  <c r="Q622" i="2"/>
  <c r="P622" i="2"/>
  <c r="S621" i="2"/>
  <c r="R621" i="2"/>
  <c r="Q621" i="2"/>
  <c r="P621" i="2"/>
  <c r="S620" i="2"/>
  <c r="R620" i="2"/>
  <c r="Q620" i="2"/>
  <c r="P620" i="2"/>
  <c r="S619" i="2"/>
  <c r="R619" i="2"/>
  <c r="Q619" i="2"/>
  <c r="P619" i="2"/>
  <c r="S618" i="2"/>
  <c r="R618" i="2"/>
  <c r="Q618" i="2"/>
  <c r="P618" i="2"/>
  <c r="S617" i="2"/>
  <c r="R617" i="2"/>
  <c r="Q617" i="2"/>
  <c r="P617" i="2"/>
  <c r="S616" i="2"/>
  <c r="R616" i="2"/>
  <c r="Q616" i="2"/>
  <c r="P616" i="2"/>
  <c r="S615" i="2"/>
  <c r="R615" i="2"/>
  <c r="Q615" i="2"/>
  <c r="P615" i="2"/>
  <c r="S614" i="2"/>
  <c r="R614" i="2"/>
  <c r="Q614" i="2"/>
  <c r="P614" i="2"/>
  <c r="S613" i="2"/>
  <c r="R613" i="2"/>
  <c r="Q613" i="2"/>
  <c r="P613" i="2"/>
  <c r="S612" i="2"/>
  <c r="R612" i="2"/>
  <c r="Q612" i="2"/>
  <c r="P612" i="2"/>
  <c r="S611" i="2"/>
  <c r="R611" i="2"/>
  <c r="Q611" i="2"/>
  <c r="P611" i="2"/>
  <c r="S610" i="2"/>
  <c r="R610" i="2"/>
  <c r="Q610" i="2"/>
  <c r="P610" i="2"/>
  <c r="S609" i="2"/>
  <c r="R609" i="2"/>
  <c r="Q609" i="2"/>
  <c r="P609" i="2"/>
  <c r="S608" i="2"/>
  <c r="R608" i="2"/>
  <c r="Q608" i="2"/>
  <c r="P608" i="2"/>
  <c r="S607" i="2"/>
  <c r="R607" i="2"/>
  <c r="Q607" i="2"/>
  <c r="P607" i="2"/>
  <c r="S606" i="2"/>
  <c r="R606" i="2"/>
  <c r="Q606" i="2"/>
  <c r="P606" i="2"/>
  <c r="S605" i="2"/>
  <c r="R605" i="2"/>
  <c r="Q605" i="2"/>
  <c r="P605" i="2"/>
  <c r="S604" i="2"/>
  <c r="R604" i="2"/>
  <c r="Q604" i="2"/>
  <c r="P604" i="2"/>
  <c r="S603" i="2"/>
  <c r="R603" i="2"/>
  <c r="Q603" i="2"/>
  <c r="P603" i="2"/>
  <c r="S602" i="2"/>
  <c r="R602" i="2"/>
  <c r="Q602" i="2"/>
  <c r="P602" i="2"/>
  <c r="S601" i="2"/>
  <c r="R601" i="2"/>
  <c r="Q601" i="2"/>
  <c r="P601" i="2"/>
  <c r="S600" i="2"/>
  <c r="R600" i="2"/>
  <c r="Q600" i="2"/>
  <c r="P600" i="2"/>
  <c r="S599" i="2"/>
  <c r="R599" i="2"/>
  <c r="Q599" i="2"/>
  <c r="P599" i="2"/>
  <c r="S598" i="2"/>
  <c r="R598" i="2"/>
  <c r="Q598" i="2"/>
  <c r="P598" i="2"/>
  <c r="S597" i="2"/>
  <c r="R597" i="2"/>
  <c r="Q597" i="2"/>
  <c r="P597" i="2"/>
  <c r="S596" i="2"/>
  <c r="R596" i="2"/>
  <c r="Q596" i="2"/>
  <c r="P596" i="2"/>
  <c r="S595" i="2"/>
  <c r="R595" i="2"/>
  <c r="Q595" i="2"/>
  <c r="P595" i="2"/>
  <c r="S594" i="2"/>
  <c r="R594" i="2"/>
  <c r="Q594" i="2"/>
  <c r="P594" i="2"/>
  <c r="S593" i="2"/>
  <c r="R593" i="2"/>
  <c r="Q593" i="2"/>
  <c r="P593" i="2"/>
  <c r="S592" i="2"/>
  <c r="R592" i="2"/>
  <c r="Q592" i="2"/>
  <c r="P592" i="2"/>
  <c r="S591" i="2"/>
  <c r="R591" i="2"/>
  <c r="Q591" i="2"/>
  <c r="P591" i="2"/>
  <c r="S590" i="2"/>
  <c r="R590" i="2"/>
  <c r="Q590" i="2"/>
  <c r="P590" i="2"/>
  <c r="S589" i="2"/>
  <c r="R589" i="2"/>
  <c r="Q589" i="2"/>
  <c r="P589" i="2"/>
  <c r="S588" i="2"/>
  <c r="R588" i="2"/>
  <c r="Q588" i="2"/>
  <c r="P588" i="2"/>
  <c r="S587" i="2"/>
  <c r="R587" i="2"/>
  <c r="Q587" i="2"/>
  <c r="P587" i="2"/>
  <c r="S586" i="2"/>
  <c r="R586" i="2"/>
  <c r="Q586" i="2"/>
  <c r="P586" i="2"/>
  <c r="S585" i="2"/>
  <c r="R585" i="2"/>
  <c r="Q585" i="2"/>
  <c r="P585" i="2"/>
  <c r="S584" i="2"/>
  <c r="R584" i="2"/>
  <c r="Q584" i="2"/>
  <c r="P584" i="2"/>
  <c r="S583" i="2"/>
  <c r="R583" i="2"/>
  <c r="Q583" i="2"/>
  <c r="P583" i="2"/>
  <c r="S582" i="2"/>
  <c r="R582" i="2"/>
  <c r="Q582" i="2"/>
  <c r="P582" i="2"/>
  <c r="S581" i="2"/>
  <c r="R581" i="2"/>
  <c r="Q581" i="2"/>
  <c r="P581" i="2"/>
  <c r="S580" i="2"/>
  <c r="R580" i="2"/>
  <c r="Q580" i="2"/>
  <c r="P580" i="2"/>
  <c r="S579" i="2"/>
  <c r="R579" i="2"/>
  <c r="Q579" i="2"/>
  <c r="P579" i="2"/>
  <c r="S578" i="2"/>
  <c r="R578" i="2"/>
  <c r="Q578" i="2"/>
  <c r="P578" i="2"/>
  <c r="S577" i="2"/>
  <c r="R577" i="2"/>
  <c r="Q577" i="2"/>
  <c r="P577" i="2"/>
  <c r="S576" i="2"/>
  <c r="R576" i="2"/>
  <c r="Q576" i="2"/>
  <c r="P576" i="2"/>
  <c r="S575" i="2"/>
  <c r="R575" i="2"/>
  <c r="Q575" i="2"/>
  <c r="P575" i="2"/>
  <c r="S574" i="2"/>
  <c r="R574" i="2"/>
  <c r="Q574" i="2"/>
  <c r="P574" i="2"/>
  <c r="S573" i="2"/>
  <c r="R573" i="2"/>
  <c r="Q573" i="2"/>
  <c r="P573" i="2"/>
  <c r="S572" i="2"/>
  <c r="R572" i="2"/>
  <c r="Q572" i="2"/>
  <c r="P572" i="2"/>
  <c r="S571" i="2"/>
  <c r="R571" i="2"/>
  <c r="Q571" i="2"/>
  <c r="P571" i="2"/>
  <c r="S570" i="2"/>
  <c r="R570" i="2"/>
  <c r="Q570" i="2"/>
  <c r="P570" i="2"/>
  <c r="S569" i="2"/>
  <c r="R569" i="2"/>
  <c r="Q569" i="2"/>
  <c r="P569" i="2"/>
  <c r="S568" i="2"/>
  <c r="R568" i="2"/>
  <c r="Q568" i="2"/>
  <c r="P568" i="2"/>
  <c r="S567" i="2"/>
  <c r="R567" i="2"/>
  <c r="Q567" i="2"/>
  <c r="P567" i="2"/>
  <c r="S566" i="2"/>
  <c r="R566" i="2"/>
  <c r="Q566" i="2"/>
  <c r="P566" i="2"/>
  <c r="S565" i="2"/>
  <c r="R565" i="2"/>
  <c r="Q565" i="2"/>
  <c r="P565" i="2"/>
  <c r="S564" i="2"/>
  <c r="R564" i="2"/>
  <c r="Q564" i="2"/>
  <c r="P564" i="2"/>
  <c r="S563" i="2"/>
  <c r="R563" i="2"/>
  <c r="Q563" i="2"/>
  <c r="P563" i="2"/>
  <c r="S562" i="2"/>
  <c r="R562" i="2"/>
  <c r="Q562" i="2"/>
  <c r="P562" i="2"/>
  <c r="S561" i="2"/>
  <c r="R561" i="2"/>
  <c r="Q561" i="2"/>
  <c r="P561" i="2"/>
  <c r="S560" i="2"/>
  <c r="R560" i="2"/>
  <c r="Q560" i="2"/>
  <c r="P560" i="2"/>
  <c r="S559" i="2"/>
  <c r="R559" i="2"/>
  <c r="Q559" i="2"/>
  <c r="P559" i="2"/>
  <c r="S558" i="2"/>
  <c r="R558" i="2"/>
  <c r="Q558" i="2"/>
  <c r="P558" i="2"/>
  <c r="S557" i="2"/>
  <c r="R557" i="2"/>
  <c r="Q557" i="2"/>
  <c r="P557" i="2"/>
  <c r="S556" i="2"/>
  <c r="R556" i="2"/>
  <c r="Q556" i="2"/>
  <c r="P556" i="2"/>
  <c r="S555" i="2"/>
  <c r="R555" i="2"/>
  <c r="Q555" i="2"/>
  <c r="P555" i="2"/>
  <c r="S554" i="2"/>
  <c r="R554" i="2"/>
  <c r="Q554" i="2"/>
  <c r="P554" i="2"/>
  <c r="S553" i="2"/>
  <c r="R553" i="2"/>
  <c r="Q553" i="2"/>
  <c r="P553" i="2"/>
  <c r="S552" i="2"/>
  <c r="R552" i="2"/>
  <c r="Q552" i="2"/>
  <c r="P552" i="2"/>
  <c r="S551" i="2"/>
  <c r="R551" i="2"/>
  <c r="Q551" i="2"/>
  <c r="P551" i="2"/>
  <c r="S550" i="2"/>
  <c r="R550" i="2"/>
  <c r="Q550" i="2"/>
  <c r="P550" i="2"/>
  <c r="S549" i="2"/>
  <c r="R549" i="2"/>
  <c r="Q549" i="2"/>
  <c r="P549" i="2"/>
  <c r="S548" i="2"/>
  <c r="R548" i="2"/>
  <c r="Q548" i="2"/>
  <c r="P548" i="2"/>
  <c r="S547" i="2"/>
  <c r="R547" i="2"/>
  <c r="Q547" i="2"/>
  <c r="P547" i="2"/>
  <c r="S546" i="2"/>
  <c r="R546" i="2"/>
  <c r="Q546" i="2"/>
  <c r="P546" i="2"/>
  <c r="S545" i="2"/>
  <c r="R545" i="2"/>
  <c r="Q545" i="2"/>
  <c r="P545" i="2"/>
  <c r="S544" i="2"/>
  <c r="R544" i="2"/>
  <c r="Q544" i="2"/>
  <c r="P544" i="2"/>
  <c r="S543" i="2"/>
  <c r="R543" i="2"/>
  <c r="Q543" i="2"/>
  <c r="P543" i="2"/>
  <c r="S542" i="2"/>
  <c r="R542" i="2"/>
  <c r="Q542" i="2"/>
  <c r="P542" i="2"/>
  <c r="S541" i="2"/>
  <c r="R541" i="2"/>
  <c r="Q541" i="2"/>
  <c r="P541" i="2"/>
  <c r="S540" i="2"/>
  <c r="R540" i="2"/>
  <c r="Q540" i="2"/>
  <c r="P540" i="2"/>
  <c r="S539" i="2"/>
  <c r="R539" i="2"/>
  <c r="Q539" i="2"/>
  <c r="P539" i="2"/>
  <c r="S538" i="2"/>
  <c r="R538" i="2"/>
  <c r="Q538" i="2"/>
  <c r="P538" i="2"/>
  <c r="S537" i="2"/>
  <c r="R537" i="2"/>
  <c r="Q537" i="2"/>
  <c r="P537" i="2"/>
  <c r="S536" i="2"/>
  <c r="R536" i="2"/>
  <c r="Q536" i="2"/>
  <c r="P536" i="2"/>
  <c r="S535" i="2"/>
  <c r="R535" i="2"/>
  <c r="Q535" i="2"/>
  <c r="P535" i="2"/>
  <c r="S534" i="2"/>
  <c r="R534" i="2"/>
  <c r="Q534" i="2"/>
  <c r="P534" i="2"/>
  <c r="S533" i="2"/>
  <c r="R533" i="2"/>
  <c r="Q533" i="2"/>
  <c r="P533" i="2"/>
  <c r="S532" i="2"/>
  <c r="R532" i="2"/>
  <c r="Q532" i="2"/>
  <c r="P532" i="2"/>
  <c r="S531" i="2"/>
  <c r="R531" i="2"/>
  <c r="Q531" i="2"/>
  <c r="P531" i="2"/>
  <c r="S530" i="2"/>
  <c r="R530" i="2"/>
  <c r="Q530" i="2"/>
  <c r="P530" i="2"/>
  <c r="S529" i="2"/>
  <c r="R529" i="2"/>
  <c r="Q529" i="2"/>
  <c r="P529" i="2"/>
  <c r="S528" i="2"/>
  <c r="R528" i="2"/>
  <c r="Q528" i="2"/>
  <c r="P528" i="2"/>
  <c r="S527" i="2"/>
  <c r="R527" i="2"/>
  <c r="Q527" i="2"/>
  <c r="P527" i="2"/>
  <c r="S526" i="2"/>
  <c r="R526" i="2"/>
  <c r="Q526" i="2"/>
  <c r="P526" i="2"/>
  <c r="S525" i="2"/>
  <c r="R525" i="2"/>
  <c r="Q525" i="2"/>
  <c r="P525" i="2"/>
  <c r="S524" i="2"/>
  <c r="R524" i="2"/>
  <c r="Q524" i="2"/>
  <c r="P524" i="2"/>
  <c r="S523" i="2"/>
  <c r="R523" i="2"/>
  <c r="Q523" i="2"/>
  <c r="P523" i="2"/>
  <c r="S522" i="2"/>
  <c r="R522" i="2"/>
  <c r="Q522" i="2"/>
  <c r="P522" i="2"/>
  <c r="S521" i="2"/>
  <c r="R521" i="2"/>
  <c r="Q521" i="2"/>
  <c r="P521" i="2"/>
  <c r="S520" i="2"/>
  <c r="R520" i="2"/>
  <c r="Q520" i="2"/>
  <c r="P520" i="2"/>
  <c r="S519" i="2"/>
  <c r="R519" i="2"/>
  <c r="Q519" i="2"/>
  <c r="P519" i="2"/>
  <c r="S518" i="2"/>
  <c r="R518" i="2"/>
  <c r="Q518" i="2"/>
  <c r="P518" i="2"/>
  <c r="S517" i="2"/>
  <c r="R517" i="2"/>
  <c r="Q517" i="2"/>
  <c r="P517" i="2"/>
  <c r="S516" i="2"/>
  <c r="R516" i="2"/>
  <c r="Q516" i="2"/>
  <c r="P516" i="2"/>
  <c r="S515" i="2"/>
  <c r="R515" i="2"/>
  <c r="Q515" i="2"/>
  <c r="P515" i="2"/>
  <c r="S514" i="2"/>
  <c r="R514" i="2"/>
  <c r="Q514" i="2"/>
  <c r="P514" i="2"/>
  <c r="S513" i="2"/>
  <c r="R513" i="2"/>
  <c r="Q513" i="2"/>
  <c r="P513" i="2"/>
  <c r="S512" i="2"/>
  <c r="R512" i="2"/>
  <c r="Q512" i="2"/>
  <c r="P512" i="2"/>
  <c r="S511" i="2"/>
  <c r="R511" i="2"/>
  <c r="Q511" i="2"/>
  <c r="P511" i="2"/>
  <c r="S510" i="2"/>
  <c r="R510" i="2"/>
  <c r="Q510" i="2"/>
  <c r="P510" i="2"/>
  <c r="S509" i="2"/>
  <c r="R509" i="2"/>
  <c r="Q509" i="2"/>
  <c r="P509" i="2"/>
  <c r="S508" i="2"/>
  <c r="R508" i="2"/>
  <c r="Q508" i="2"/>
  <c r="P508" i="2"/>
  <c r="S507" i="2"/>
  <c r="R507" i="2"/>
  <c r="Q507" i="2"/>
  <c r="P507" i="2"/>
  <c r="S506" i="2"/>
  <c r="R506" i="2"/>
  <c r="Q506" i="2"/>
  <c r="P506" i="2"/>
  <c r="S505" i="2"/>
  <c r="R505" i="2"/>
  <c r="Q505" i="2"/>
  <c r="P505" i="2"/>
  <c r="S504" i="2"/>
  <c r="R504" i="2"/>
  <c r="Q504" i="2"/>
  <c r="P504" i="2"/>
  <c r="S503" i="2"/>
  <c r="R503" i="2"/>
  <c r="Q503" i="2"/>
  <c r="P503" i="2"/>
  <c r="S502" i="2"/>
  <c r="R502" i="2"/>
  <c r="Q502" i="2"/>
  <c r="P502" i="2"/>
  <c r="S501" i="2"/>
  <c r="R501" i="2"/>
  <c r="Q501" i="2"/>
  <c r="P501" i="2"/>
  <c r="S500" i="2"/>
  <c r="R500" i="2"/>
  <c r="Q500" i="2"/>
  <c r="P500" i="2"/>
  <c r="S499" i="2"/>
  <c r="R499" i="2"/>
  <c r="Q499" i="2"/>
  <c r="P499" i="2"/>
  <c r="S498" i="2"/>
  <c r="R498" i="2"/>
  <c r="Q498" i="2"/>
  <c r="P498" i="2"/>
  <c r="S497" i="2"/>
  <c r="R497" i="2"/>
  <c r="Q497" i="2"/>
  <c r="P497" i="2"/>
  <c r="S496" i="2"/>
  <c r="R496" i="2"/>
  <c r="Q496" i="2"/>
  <c r="P496" i="2"/>
  <c r="S495" i="2"/>
  <c r="R495" i="2"/>
  <c r="Q495" i="2"/>
  <c r="P495" i="2"/>
  <c r="S494" i="2"/>
  <c r="R494" i="2"/>
  <c r="Q494" i="2"/>
  <c r="P494" i="2"/>
  <c r="S493" i="2"/>
  <c r="R493" i="2"/>
  <c r="Q493" i="2"/>
  <c r="P493" i="2"/>
  <c r="S492" i="2"/>
  <c r="R492" i="2"/>
  <c r="Q492" i="2"/>
  <c r="P492" i="2"/>
  <c r="S491" i="2"/>
  <c r="R491" i="2"/>
  <c r="Q491" i="2"/>
  <c r="P491" i="2"/>
  <c r="S490" i="2"/>
  <c r="R490" i="2"/>
  <c r="Q490" i="2"/>
  <c r="P490" i="2"/>
  <c r="S489" i="2"/>
  <c r="R489" i="2"/>
  <c r="Q489" i="2"/>
  <c r="P489" i="2"/>
  <c r="S488" i="2"/>
  <c r="R488" i="2"/>
  <c r="Q488" i="2"/>
  <c r="P488" i="2"/>
  <c r="S487" i="2"/>
  <c r="R487" i="2"/>
  <c r="Q487" i="2"/>
  <c r="P487" i="2"/>
  <c r="S486" i="2"/>
  <c r="R486" i="2"/>
  <c r="Q486" i="2"/>
  <c r="P486" i="2"/>
  <c r="S485" i="2"/>
  <c r="R485" i="2"/>
  <c r="Q485" i="2"/>
  <c r="P485" i="2"/>
  <c r="S484" i="2"/>
  <c r="R484" i="2"/>
  <c r="Q484" i="2"/>
  <c r="P484" i="2"/>
  <c r="S483" i="2"/>
  <c r="R483" i="2"/>
  <c r="Q483" i="2"/>
  <c r="P483" i="2"/>
  <c r="S482" i="2"/>
  <c r="R482" i="2"/>
  <c r="Q482" i="2"/>
  <c r="P482" i="2"/>
  <c r="S481" i="2"/>
  <c r="R481" i="2"/>
  <c r="Q481" i="2"/>
  <c r="P481" i="2"/>
  <c r="S480" i="2"/>
  <c r="R480" i="2"/>
  <c r="Q480" i="2"/>
  <c r="P480" i="2"/>
  <c r="S479" i="2"/>
  <c r="R479" i="2"/>
  <c r="Q479" i="2"/>
  <c r="P479" i="2"/>
  <c r="S478" i="2"/>
  <c r="R478" i="2"/>
  <c r="Q478" i="2"/>
  <c r="P478" i="2"/>
  <c r="S477" i="2"/>
  <c r="R477" i="2"/>
  <c r="Q477" i="2"/>
  <c r="P477" i="2"/>
  <c r="S476" i="2"/>
  <c r="R476" i="2"/>
  <c r="Q476" i="2"/>
  <c r="P476" i="2"/>
  <c r="S475" i="2"/>
  <c r="R475" i="2"/>
  <c r="Q475" i="2"/>
  <c r="P475" i="2"/>
  <c r="S474" i="2"/>
  <c r="R474" i="2"/>
  <c r="Q474" i="2"/>
  <c r="P474" i="2"/>
  <c r="S473" i="2"/>
  <c r="R473" i="2"/>
  <c r="Q473" i="2"/>
  <c r="P473" i="2"/>
  <c r="S472" i="2"/>
  <c r="R472" i="2"/>
  <c r="Q472" i="2"/>
  <c r="P472" i="2"/>
  <c r="S471" i="2"/>
  <c r="R471" i="2"/>
  <c r="Q471" i="2"/>
  <c r="P471" i="2"/>
  <c r="S470" i="2"/>
  <c r="R470" i="2"/>
  <c r="Q470" i="2"/>
  <c r="P470" i="2"/>
  <c r="S469" i="2"/>
  <c r="R469" i="2"/>
  <c r="Q469" i="2"/>
  <c r="P469" i="2"/>
  <c r="S468" i="2"/>
  <c r="R468" i="2"/>
  <c r="Q468" i="2"/>
  <c r="P468" i="2"/>
  <c r="S467" i="2"/>
  <c r="R467" i="2"/>
  <c r="Q467" i="2"/>
  <c r="P467" i="2"/>
  <c r="S466" i="2"/>
  <c r="R466" i="2"/>
  <c r="Q466" i="2"/>
  <c r="P466" i="2"/>
  <c r="S465" i="2"/>
  <c r="R465" i="2"/>
  <c r="Q465" i="2"/>
  <c r="P465" i="2"/>
  <c r="S464" i="2"/>
  <c r="R464" i="2"/>
  <c r="Q464" i="2"/>
  <c r="P464" i="2"/>
  <c r="S463" i="2"/>
  <c r="R463" i="2"/>
  <c r="Q463" i="2"/>
  <c r="P463" i="2"/>
  <c r="S462" i="2"/>
  <c r="R462" i="2"/>
  <c r="Q462" i="2"/>
  <c r="P462" i="2"/>
  <c r="S461" i="2"/>
  <c r="R461" i="2"/>
  <c r="Q461" i="2"/>
  <c r="P461" i="2"/>
  <c r="S460" i="2"/>
  <c r="R460" i="2"/>
  <c r="Q460" i="2"/>
  <c r="P460" i="2"/>
  <c r="S459" i="2"/>
  <c r="R459" i="2"/>
  <c r="Q459" i="2"/>
  <c r="P459" i="2"/>
  <c r="S458" i="2"/>
  <c r="R458" i="2"/>
  <c r="Q458" i="2"/>
  <c r="P458" i="2"/>
  <c r="S457" i="2"/>
  <c r="R457" i="2"/>
  <c r="Q457" i="2"/>
  <c r="P457" i="2"/>
  <c r="S456" i="2"/>
  <c r="R456" i="2"/>
  <c r="Q456" i="2"/>
  <c r="P456" i="2"/>
  <c r="S455" i="2"/>
  <c r="R455" i="2"/>
  <c r="Q455" i="2"/>
  <c r="P455" i="2"/>
  <c r="S454" i="2"/>
  <c r="R454" i="2"/>
  <c r="Q454" i="2"/>
  <c r="P454" i="2"/>
  <c r="S453" i="2"/>
  <c r="R453" i="2"/>
  <c r="Q453" i="2"/>
  <c r="P453" i="2"/>
  <c r="S452" i="2"/>
  <c r="R452" i="2"/>
  <c r="Q452" i="2"/>
  <c r="P452" i="2"/>
  <c r="S451" i="2"/>
  <c r="R451" i="2"/>
  <c r="Q451" i="2"/>
  <c r="P451" i="2"/>
  <c r="S450" i="2"/>
  <c r="R450" i="2"/>
  <c r="Q450" i="2"/>
  <c r="P450" i="2"/>
  <c r="S449" i="2"/>
  <c r="R449" i="2"/>
  <c r="Q449" i="2"/>
  <c r="P449" i="2"/>
  <c r="S448" i="2"/>
  <c r="R448" i="2"/>
  <c r="Q448" i="2"/>
  <c r="P448" i="2"/>
  <c r="S447" i="2"/>
  <c r="R447" i="2"/>
  <c r="Q447" i="2"/>
  <c r="P447" i="2"/>
  <c r="S446" i="2"/>
  <c r="R446" i="2"/>
  <c r="Q446" i="2"/>
  <c r="P446" i="2"/>
  <c r="S445" i="2"/>
  <c r="R445" i="2"/>
  <c r="Q445" i="2"/>
  <c r="P445" i="2"/>
  <c r="S444" i="2"/>
  <c r="R444" i="2"/>
  <c r="Q444" i="2"/>
  <c r="P444" i="2"/>
  <c r="S443" i="2"/>
  <c r="R443" i="2"/>
  <c r="Q443" i="2"/>
  <c r="P443" i="2"/>
  <c r="S442" i="2"/>
  <c r="R442" i="2"/>
  <c r="Q442" i="2"/>
  <c r="P442" i="2"/>
  <c r="S441" i="2"/>
  <c r="R441" i="2"/>
  <c r="Q441" i="2"/>
  <c r="P441" i="2"/>
  <c r="S440" i="2"/>
  <c r="R440" i="2"/>
  <c r="Q440" i="2"/>
  <c r="P440" i="2"/>
  <c r="S439" i="2"/>
  <c r="R439" i="2"/>
  <c r="Q439" i="2"/>
  <c r="P439" i="2"/>
  <c r="S438" i="2"/>
  <c r="R438" i="2"/>
  <c r="Q438" i="2"/>
  <c r="P438" i="2"/>
  <c r="S437" i="2"/>
  <c r="R437" i="2"/>
  <c r="Q437" i="2"/>
  <c r="P437" i="2"/>
  <c r="S436" i="2"/>
  <c r="R436" i="2"/>
  <c r="Q436" i="2"/>
  <c r="P436" i="2"/>
  <c r="S435" i="2"/>
  <c r="R435" i="2"/>
  <c r="Q435" i="2"/>
  <c r="P435" i="2"/>
  <c r="S434" i="2"/>
  <c r="R434" i="2"/>
  <c r="Q434" i="2"/>
  <c r="P434" i="2"/>
  <c r="S433" i="2"/>
  <c r="R433" i="2"/>
  <c r="Q433" i="2"/>
  <c r="P433" i="2"/>
  <c r="S432" i="2"/>
  <c r="R432" i="2"/>
  <c r="Q432" i="2"/>
  <c r="P432" i="2"/>
  <c r="S431" i="2"/>
  <c r="R431" i="2"/>
  <c r="Q431" i="2"/>
  <c r="P431" i="2"/>
  <c r="S430" i="2"/>
  <c r="R430" i="2"/>
  <c r="Q430" i="2"/>
  <c r="P430" i="2"/>
  <c r="S429" i="2"/>
  <c r="R429" i="2"/>
  <c r="Q429" i="2"/>
  <c r="P429" i="2"/>
  <c r="S428" i="2"/>
  <c r="R428" i="2"/>
  <c r="Q428" i="2"/>
  <c r="P428" i="2"/>
  <c r="S427" i="2"/>
  <c r="R427" i="2"/>
  <c r="Q427" i="2"/>
  <c r="P427" i="2"/>
  <c r="S426" i="2"/>
  <c r="R426" i="2"/>
  <c r="Q426" i="2"/>
  <c r="P426" i="2"/>
  <c r="S425" i="2"/>
  <c r="R425" i="2"/>
  <c r="Q425" i="2"/>
  <c r="P425" i="2"/>
  <c r="S424" i="2"/>
  <c r="R424" i="2"/>
  <c r="Q424" i="2"/>
  <c r="P424" i="2"/>
  <c r="S423" i="2"/>
  <c r="R423" i="2"/>
  <c r="Q423" i="2"/>
  <c r="P423" i="2"/>
  <c r="S422" i="2"/>
  <c r="R422" i="2"/>
  <c r="Q422" i="2"/>
  <c r="P422" i="2"/>
  <c r="S421" i="2"/>
  <c r="R421" i="2"/>
  <c r="Q421" i="2"/>
  <c r="P421" i="2"/>
  <c r="S420" i="2"/>
  <c r="R420" i="2"/>
  <c r="Q420" i="2"/>
  <c r="P420" i="2"/>
  <c r="S419" i="2"/>
  <c r="R419" i="2"/>
  <c r="Q419" i="2"/>
  <c r="P419" i="2"/>
  <c r="S418" i="2"/>
  <c r="R418" i="2"/>
  <c r="Q418" i="2"/>
  <c r="P418" i="2"/>
  <c r="S417" i="2"/>
  <c r="R417" i="2"/>
  <c r="Q417" i="2"/>
  <c r="P417" i="2"/>
  <c r="S416" i="2"/>
  <c r="R416" i="2"/>
  <c r="Q416" i="2"/>
  <c r="P416" i="2"/>
  <c r="S415" i="2"/>
  <c r="R415" i="2"/>
  <c r="Q415" i="2"/>
  <c r="P415" i="2"/>
  <c r="S414" i="2"/>
  <c r="R414" i="2"/>
  <c r="Q414" i="2"/>
  <c r="P414" i="2"/>
  <c r="S413" i="2"/>
  <c r="R413" i="2"/>
  <c r="Q413" i="2"/>
  <c r="P413" i="2"/>
  <c r="S412" i="2"/>
  <c r="R412" i="2"/>
  <c r="Q412" i="2"/>
  <c r="P412" i="2"/>
  <c r="S411" i="2"/>
  <c r="R411" i="2"/>
  <c r="Q411" i="2"/>
  <c r="P411" i="2"/>
  <c r="S410" i="2"/>
  <c r="R410" i="2"/>
  <c r="Q410" i="2"/>
  <c r="P410" i="2"/>
  <c r="S409" i="2"/>
  <c r="R409" i="2"/>
  <c r="Q409" i="2"/>
  <c r="P409" i="2"/>
  <c r="S408" i="2"/>
  <c r="R408" i="2"/>
  <c r="Q408" i="2"/>
  <c r="P408" i="2"/>
  <c r="S407" i="2"/>
  <c r="R407" i="2"/>
  <c r="Q407" i="2"/>
  <c r="P407" i="2"/>
  <c r="S406" i="2"/>
  <c r="R406" i="2"/>
  <c r="Q406" i="2"/>
  <c r="P406" i="2"/>
  <c r="S405" i="2"/>
  <c r="R405" i="2"/>
  <c r="Q405" i="2"/>
  <c r="P405" i="2"/>
  <c r="S404" i="2"/>
  <c r="R404" i="2"/>
  <c r="Q404" i="2"/>
  <c r="P404" i="2"/>
  <c r="S403" i="2"/>
  <c r="R403" i="2"/>
  <c r="Q403" i="2"/>
  <c r="P403" i="2"/>
  <c r="S402" i="2"/>
  <c r="R402" i="2"/>
  <c r="Q402" i="2"/>
  <c r="P402" i="2"/>
  <c r="S401" i="2"/>
  <c r="R401" i="2"/>
  <c r="Q401" i="2"/>
  <c r="P401" i="2"/>
  <c r="S400" i="2"/>
  <c r="R400" i="2"/>
  <c r="Q400" i="2"/>
  <c r="P400" i="2"/>
  <c r="S399" i="2"/>
  <c r="R399" i="2"/>
  <c r="Q399" i="2"/>
  <c r="P399" i="2"/>
  <c r="S398" i="2"/>
  <c r="R398" i="2"/>
  <c r="Q398" i="2"/>
  <c r="P398" i="2"/>
  <c r="S397" i="2"/>
  <c r="R397" i="2"/>
  <c r="Q397" i="2"/>
  <c r="P397" i="2"/>
  <c r="S396" i="2"/>
  <c r="R396" i="2"/>
  <c r="Q396" i="2"/>
  <c r="P396" i="2"/>
  <c r="S395" i="2"/>
  <c r="R395" i="2"/>
  <c r="Q395" i="2"/>
  <c r="P395" i="2"/>
  <c r="S394" i="2"/>
  <c r="R394" i="2"/>
  <c r="Q394" i="2"/>
  <c r="P394" i="2"/>
  <c r="S393" i="2"/>
  <c r="R393" i="2"/>
  <c r="Q393" i="2"/>
  <c r="P393" i="2"/>
  <c r="S392" i="2"/>
  <c r="R392" i="2"/>
  <c r="Q392" i="2"/>
  <c r="P392" i="2"/>
  <c r="S391" i="2"/>
  <c r="R391" i="2"/>
  <c r="Q391" i="2"/>
  <c r="P391" i="2"/>
  <c r="S390" i="2"/>
  <c r="R390" i="2"/>
  <c r="Q390" i="2"/>
  <c r="P390" i="2"/>
  <c r="S389" i="2"/>
  <c r="R389" i="2"/>
  <c r="Q389" i="2"/>
  <c r="P389" i="2"/>
  <c r="S388" i="2"/>
  <c r="R388" i="2"/>
  <c r="Q388" i="2"/>
  <c r="P388" i="2"/>
  <c r="S387" i="2"/>
  <c r="R387" i="2"/>
  <c r="Q387" i="2"/>
  <c r="P387" i="2"/>
  <c r="S386" i="2"/>
  <c r="R386" i="2"/>
  <c r="Q386" i="2"/>
  <c r="P386" i="2"/>
  <c r="S385" i="2"/>
  <c r="R385" i="2"/>
  <c r="Q385" i="2"/>
  <c r="P385" i="2"/>
  <c r="S384" i="2"/>
  <c r="R384" i="2"/>
  <c r="Q384" i="2"/>
  <c r="P384" i="2"/>
  <c r="S383" i="2"/>
  <c r="R383" i="2"/>
  <c r="Q383" i="2"/>
  <c r="P383" i="2"/>
  <c r="S382" i="2"/>
  <c r="R382" i="2"/>
  <c r="Q382" i="2"/>
  <c r="P382" i="2"/>
  <c r="S381" i="2"/>
  <c r="R381" i="2"/>
  <c r="Q381" i="2"/>
  <c r="P381" i="2"/>
  <c r="S380" i="2"/>
  <c r="R380" i="2"/>
  <c r="Q380" i="2"/>
  <c r="P380" i="2"/>
  <c r="S379" i="2"/>
  <c r="R379" i="2"/>
  <c r="Q379" i="2"/>
  <c r="P379" i="2"/>
  <c r="S378" i="2"/>
  <c r="R378" i="2"/>
  <c r="Q378" i="2"/>
  <c r="P378" i="2"/>
  <c r="S377" i="2"/>
  <c r="R377" i="2"/>
  <c r="Q377" i="2"/>
  <c r="P377" i="2"/>
  <c r="S376" i="2"/>
  <c r="R376" i="2"/>
  <c r="Q376" i="2"/>
  <c r="P376" i="2"/>
  <c r="S375" i="2"/>
  <c r="R375" i="2"/>
  <c r="Q375" i="2"/>
  <c r="P375" i="2"/>
  <c r="S374" i="2"/>
  <c r="R374" i="2"/>
  <c r="Q374" i="2"/>
  <c r="P374" i="2"/>
  <c r="S373" i="2"/>
  <c r="R373" i="2"/>
  <c r="Q373" i="2"/>
  <c r="P373" i="2"/>
  <c r="S372" i="2"/>
  <c r="R372" i="2"/>
  <c r="Q372" i="2"/>
  <c r="P372" i="2"/>
  <c r="S371" i="2"/>
  <c r="R371" i="2"/>
  <c r="Q371" i="2"/>
  <c r="P371" i="2"/>
  <c r="S370" i="2"/>
  <c r="R370" i="2"/>
  <c r="Q370" i="2"/>
  <c r="P370" i="2"/>
  <c r="S369" i="2"/>
  <c r="R369" i="2"/>
  <c r="Q369" i="2"/>
  <c r="P369" i="2"/>
  <c r="S368" i="2"/>
  <c r="R368" i="2"/>
  <c r="Q368" i="2"/>
  <c r="P368" i="2"/>
  <c r="S367" i="2"/>
  <c r="R367" i="2"/>
  <c r="Q367" i="2"/>
  <c r="P367" i="2"/>
  <c r="S366" i="2"/>
  <c r="R366" i="2"/>
  <c r="Q366" i="2"/>
  <c r="P366" i="2"/>
  <c r="S365" i="2"/>
  <c r="R365" i="2"/>
  <c r="Q365" i="2"/>
  <c r="P365" i="2"/>
  <c r="S364" i="2"/>
  <c r="R364" i="2"/>
  <c r="Q364" i="2"/>
  <c r="P364" i="2"/>
  <c r="S363" i="2"/>
  <c r="R363" i="2"/>
  <c r="Q363" i="2"/>
  <c r="P363" i="2"/>
  <c r="S362" i="2"/>
  <c r="R362" i="2"/>
  <c r="Q362" i="2"/>
  <c r="P362" i="2"/>
  <c r="S361" i="2"/>
  <c r="R361" i="2"/>
  <c r="Q361" i="2"/>
  <c r="P361" i="2"/>
  <c r="S360" i="2"/>
  <c r="R360" i="2"/>
  <c r="Q360" i="2"/>
  <c r="P360" i="2"/>
  <c r="S359" i="2"/>
  <c r="R359" i="2"/>
  <c r="Q359" i="2"/>
  <c r="P359" i="2"/>
  <c r="S358" i="2"/>
  <c r="R358" i="2"/>
  <c r="Q358" i="2"/>
  <c r="P358" i="2"/>
  <c r="S357" i="2"/>
  <c r="R357" i="2"/>
  <c r="Q357" i="2"/>
  <c r="P357" i="2"/>
  <c r="S356" i="2"/>
  <c r="R356" i="2"/>
  <c r="Q356" i="2"/>
  <c r="P356" i="2"/>
  <c r="S355" i="2"/>
  <c r="R355" i="2"/>
  <c r="Q355" i="2"/>
  <c r="P355" i="2"/>
  <c r="S354" i="2"/>
  <c r="R354" i="2"/>
  <c r="Q354" i="2"/>
  <c r="P354" i="2"/>
  <c r="S353" i="2"/>
  <c r="R353" i="2"/>
  <c r="Q353" i="2"/>
  <c r="P353" i="2"/>
  <c r="S352" i="2"/>
  <c r="R352" i="2"/>
  <c r="Q352" i="2"/>
  <c r="P352" i="2"/>
  <c r="S351" i="2"/>
  <c r="R351" i="2"/>
  <c r="Q351" i="2"/>
  <c r="P351" i="2"/>
  <c r="S350" i="2"/>
  <c r="R350" i="2"/>
  <c r="Q350" i="2"/>
  <c r="P350" i="2"/>
  <c r="S349" i="2"/>
  <c r="R349" i="2"/>
  <c r="Q349" i="2"/>
  <c r="P349" i="2"/>
  <c r="S348" i="2"/>
  <c r="R348" i="2"/>
  <c r="Q348" i="2"/>
  <c r="P348" i="2"/>
  <c r="S347" i="2"/>
  <c r="R347" i="2"/>
  <c r="Q347" i="2"/>
  <c r="P347" i="2"/>
  <c r="S346" i="2"/>
  <c r="R346" i="2"/>
  <c r="Q346" i="2"/>
  <c r="P346" i="2"/>
  <c r="S345" i="2"/>
  <c r="R345" i="2"/>
  <c r="Q345" i="2"/>
  <c r="P345" i="2"/>
  <c r="S344" i="2"/>
  <c r="R344" i="2"/>
  <c r="Q344" i="2"/>
  <c r="P344" i="2"/>
  <c r="S343" i="2"/>
  <c r="R343" i="2"/>
  <c r="Q343" i="2"/>
  <c r="P343" i="2"/>
  <c r="S342" i="2"/>
  <c r="R342" i="2"/>
  <c r="Q342" i="2"/>
  <c r="P342" i="2"/>
  <c r="S341" i="2"/>
  <c r="R341" i="2"/>
  <c r="Q341" i="2"/>
  <c r="P341" i="2"/>
  <c r="S340" i="2"/>
  <c r="R340" i="2"/>
  <c r="Q340" i="2"/>
  <c r="P340" i="2"/>
  <c r="S339" i="2"/>
  <c r="R339" i="2"/>
  <c r="Q339" i="2"/>
  <c r="P339" i="2"/>
  <c r="S338" i="2"/>
  <c r="R338" i="2"/>
  <c r="Q338" i="2"/>
  <c r="P338" i="2"/>
  <c r="S337" i="2"/>
  <c r="R337" i="2"/>
  <c r="Q337" i="2"/>
  <c r="P337" i="2"/>
  <c r="S336" i="2"/>
  <c r="R336" i="2"/>
  <c r="Q336" i="2"/>
  <c r="P336" i="2"/>
  <c r="S335" i="2"/>
  <c r="R335" i="2"/>
  <c r="Q335" i="2"/>
  <c r="P335" i="2"/>
  <c r="S334" i="2"/>
  <c r="R334" i="2"/>
  <c r="Q334" i="2"/>
  <c r="P334" i="2"/>
  <c r="S333" i="2"/>
  <c r="R333" i="2"/>
  <c r="Q333" i="2"/>
  <c r="P333" i="2"/>
  <c r="S332" i="2"/>
  <c r="R332" i="2"/>
  <c r="Q332" i="2"/>
  <c r="P332" i="2"/>
  <c r="S331" i="2"/>
  <c r="R331" i="2"/>
  <c r="Q331" i="2"/>
  <c r="P331" i="2"/>
  <c r="S330" i="2"/>
  <c r="R330" i="2"/>
  <c r="Q330" i="2"/>
  <c r="P330" i="2"/>
  <c r="S329" i="2"/>
  <c r="R329" i="2"/>
  <c r="Q329" i="2"/>
  <c r="P329" i="2"/>
  <c r="S328" i="2"/>
  <c r="R328" i="2"/>
  <c r="Q328" i="2"/>
  <c r="P328" i="2"/>
  <c r="S327" i="2"/>
  <c r="R327" i="2"/>
  <c r="Q327" i="2"/>
  <c r="P327" i="2"/>
  <c r="S326" i="2"/>
  <c r="R326" i="2"/>
  <c r="Q326" i="2"/>
  <c r="P326" i="2"/>
  <c r="S325" i="2"/>
  <c r="R325" i="2"/>
  <c r="Q325" i="2"/>
  <c r="P325" i="2"/>
  <c r="S324" i="2"/>
  <c r="R324" i="2"/>
  <c r="Q324" i="2"/>
  <c r="P324" i="2"/>
  <c r="S323" i="2"/>
  <c r="R323" i="2"/>
  <c r="Q323" i="2"/>
  <c r="P323" i="2"/>
  <c r="S322" i="2"/>
  <c r="R322" i="2"/>
  <c r="Q322" i="2"/>
  <c r="P322" i="2"/>
  <c r="S321" i="2"/>
  <c r="R321" i="2"/>
  <c r="Q321" i="2"/>
  <c r="P321" i="2"/>
  <c r="S320" i="2"/>
  <c r="R320" i="2"/>
  <c r="Q320" i="2"/>
  <c r="P320" i="2"/>
  <c r="S319" i="2"/>
  <c r="R319" i="2"/>
  <c r="Q319" i="2"/>
  <c r="P319" i="2"/>
  <c r="S318" i="2"/>
  <c r="R318" i="2"/>
  <c r="Q318" i="2"/>
  <c r="P318" i="2"/>
  <c r="S317" i="2"/>
  <c r="R317" i="2"/>
  <c r="Q317" i="2"/>
  <c r="P317" i="2"/>
  <c r="S316" i="2"/>
  <c r="R316" i="2"/>
  <c r="Q316" i="2"/>
  <c r="P316" i="2"/>
  <c r="S315" i="2"/>
  <c r="R315" i="2"/>
  <c r="Q315" i="2"/>
  <c r="P315" i="2"/>
  <c r="S314" i="2"/>
  <c r="R314" i="2"/>
  <c r="Q314" i="2"/>
  <c r="P314" i="2"/>
  <c r="S313" i="2"/>
  <c r="R313" i="2"/>
  <c r="Q313" i="2"/>
  <c r="P313" i="2"/>
  <c r="S312" i="2"/>
  <c r="R312" i="2"/>
  <c r="Q312" i="2"/>
  <c r="P312" i="2"/>
  <c r="S311" i="2"/>
  <c r="R311" i="2"/>
  <c r="Q311" i="2"/>
  <c r="P311" i="2"/>
  <c r="S310" i="2"/>
  <c r="R310" i="2"/>
  <c r="Q310" i="2"/>
  <c r="P310" i="2"/>
  <c r="S309" i="2"/>
  <c r="R309" i="2"/>
  <c r="Q309" i="2"/>
  <c r="P309" i="2"/>
  <c r="S308" i="2"/>
  <c r="R308" i="2"/>
  <c r="Q308" i="2"/>
  <c r="P308" i="2"/>
  <c r="S307" i="2"/>
  <c r="R307" i="2"/>
  <c r="Q307" i="2"/>
  <c r="P307" i="2"/>
  <c r="S306" i="2"/>
  <c r="R306" i="2"/>
  <c r="Q306" i="2"/>
  <c r="P306" i="2"/>
  <c r="S305" i="2"/>
  <c r="R305" i="2"/>
  <c r="Q305" i="2"/>
  <c r="P305" i="2"/>
  <c r="S304" i="2"/>
  <c r="R304" i="2"/>
  <c r="Q304" i="2"/>
  <c r="P304" i="2"/>
  <c r="S303" i="2"/>
  <c r="R303" i="2"/>
  <c r="Q303" i="2"/>
  <c r="P303" i="2"/>
  <c r="S302" i="2"/>
  <c r="R302" i="2"/>
  <c r="Q302" i="2"/>
  <c r="P302" i="2"/>
  <c r="S301" i="2"/>
  <c r="R301" i="2"/>
  <c r="Q301" i="2"/>
  <c r="P301" i="2"/>
  <c r="S300" i="2"/>
  <c r="R300" i="2"/>
  <c r="Q300" i="2"/>
  <c r="P300" i="2"/>
  <c r="S299" i="2"/>
  <c r="R299" i="2"/>
  <c r="Q299" i="2"/>
  <c r="P299" i="2"/>
  <c r="S298" i="2"/>
  <c r="R298" i="2"/>
  <c r="Q298" i="2"/>
  <c r="P298" i="2"/>
  <c r="S297" i="2"/>
  <c r="R297" i="2"/>
  <c r="Q297" i="2"/>
  <c r="P297" i="2"/>
  <c r="S296" i="2"/>
  <c r="R296" i="2"/>
  <c r="Q296" i="2"/>
  <c r="P296" i="2"/>
  <c r="S295" i="2"/>
  <c r="R295" i="2"/>
  <c r="Q295" i="2"/>
  <c r="P295" i="2"/>
  <c r="S294" i="2"/>
  <c r="R294" i="2"/>
  <c r="Q294" i="2"/>
  <c r="P294" i="2"/>
  <c r="S293" i="2"/>
  <c r="R293" i="2"/>
  <c r="Q293" i="2"/>
  <c r="P293" i="2"/>
  <c r="S292" i="2"/>
  <c r="R292" i="2"/>
  <c r="Q292" i="2"/>
  <c r="P292" i="2"/>
  <c r="S291" i="2"/>
  <c r="R291" i="2"/>
  <c r="Q291" i="2"/>
  <c r="P291" i="2"/>
  <c r="S290" i="2"/>
  <c r="R290" i="2"/>
  <c r="Q290" i="2"/>
  <c r="P290" i="2"/>
  <c r="S289" i="2"/>
  <c r="R289" i="2"/>
  <c r="Q289" i="2"/>
  <c r="P289" i="2"/>
  <c r="S288" i="2"/>
  <c r="R288" i="2"/>
  <c r="Q288" i="2"/>
  <c r="P288" i="2"/>
  <c r="S287" i="2"/>
  <c r="R287" i="2"/>
  <c r="Q287" i="2"/>
  <c r="P287" i="2"/>
  <c r="S286" i="2"/>
  <c r="R286" i="2"/>
  <c r="Q286" i="2"/>
  <c r="P286" i="2"/>
  <c r="S285" i="2"/>
  <c r="R285" i="2"/>
  <c r="Q285" i="2"/>
  <c r="P285" i="2"/>
  <c r="S284" i="2"/>
  <c r="R284" i="2"/>
  <c r="Q284" i="2"/>
  <c r="P284" i="2"/>
  <c r="S283" i="2"/>
  <c r="R283" i="2"/>
  <c r="Q283" i="2"/>
  <c r="P283" i="2"/>
  <c r="S282" i="2"/>
  <c r="R282" i="2"/>
  <c r="Q282" i="2"/>
  <c r="P282" i="2"/>
  <c r="S281" i="2"/>
  <c r="R281" i="2"/>
  <c r="Q281" i="2"/>
  <c r="P281" i="2"/>
  <c r="S280" i="2"/>
  <c r="R280" i="2"/>
  <c r="Q280" i="2"/>
  <c r="P280" i="2"/>
  <c r="S279" i="2"/>
  <c r="R279" i="2"/>
  <c r="Q279" i="2"/>
  <c r="P279" i="2"/>
  <c r="S278" i="2"/>
  <c r="R278" i="2"/>
  <c r="Q278" i="2"/>
  <c r="P278" i="2"/>
  <c r="S277" i="2"/>
  <c r="R277" i="2"/>
  <c r="Q277" i="2"/>
  <c r="P277" i="2"/>
  <c r="S276" i="2"/>
  <c r="R276" i="2"/>
  <c r="Q276" i="2"/>
  <c r="P276" i="2"/>
  <c r="S275" i="2"/>
  <c r="R275" i="2"/>
  <c r="Q275" i="2"/>
  <c r="P275" i="2"/>
  <c r="S274" i="2"/>
  <c r="R274" i="2"/>
  <c r="Q274" i="2"/>
  <c r="P274" i="2"/>
  <c r="S273" i="2"/>
  <c r="R273" i="2"/>
  <c r="Q273" i="2"/>
  <c r="P273" i="2"/>
  <c r="S272" i="2"/>
  <c r="R272" i="2"/>
  <c r="Q272" i="2"/>
  <c r="P272" i="2"/>
  <c r="S271" i="2"/>
  <c r="R271" i="2"/>
  <c r="Q271" i="2"/>
  <c r="P271" i="2"/>
  <c r="S270" i="2"/>
  <c r="R270" i="2"/>
  <c r="Q270" i="2"/>
  <c r="P270" i="2"/>
  <c r="S269" i="2"/>
  <c r="R269" i="2"/>
  <c r="Q269" i="2"/>
  <c r="P269" i="2"/>
  <c r="S268" i="2"/>
  <c r="R268" i="2"/>
  <c r="Q268" i="2"/>
  <c r="P268" i="2"/>
  <c r="S267" i="2"/>
  <c r="R267" i="2"/>
  <c r="Q267" i="2"/>
  <c r="P267" i="2"/>
  <c r="S266" i="2"/>
  <c r="R266" i="2"/>
  <c r="Q266" i="2"/>
  <c r="P266" i="2"/>
  <c r="S265" i="2"/>
  <c r="R265" i="2"/>
  <c r="Q265" i="2"/>
  <c r="P265" i="2"/>
  <c r="S264" i="2"/>
  <c r="R264" i="2"/>
  <c r="Q264" i="2"/>
  <c r="P264" i="2"/>
  <c r="S263" i="2"/>
  <c r="R263" i="2"/>
  <c r="Q263" i="2"/>
  <c r="P263" i="2"/>
  <c r="S262" i="2"/>
  <c r="R262" i="2"/>
  <c r="Q262" i="2"/>
  <c r="P262" i="2"/>
  <c r="S261" i="2"/>
  <c r="R261" i="2"/>
  <c r="Q261" i="2"/>
  <c r="P261" i="2"/>
  <c r="S260" i="2"/>
  <c r="R260" i="2"/>
  <c r="Q260" i="2"/>
  <c r="P260" i="2"/>
  <c r="S259" i="2"/>
  <c r="R259" i="2"/>
  <c r="Q259" i="2"/>
  <c r="P259" i="2"/>
  <c r="S258" i="2"/>
  <c r="R258" i="2"/>
  <c r="Q258" i="2"/>
  <c r="P258" i="2"/>
  <c r="S257" i="2"/>
  <c r="R257" i="2"/>
  <c r="Q257" i="2"/>
  <c r="P257" i="2"/>
  <c r="S256" i="2"/>
  <c r="R256" i="2"/>
  <c r="Q256" i="2"/>
  <c r="P256" i="2"/>
  <c r="S255" i="2"/>
  <c r="R255" i="2"/>
  <c r="Q255" i="2"/>
  <c r="P255" i="2"/>
  <c r="S254" i="2"/>
  <c r="R254" i="2"/>
  <c r="Q254" i="2"/>
  <c r="P254" i="2"/>
  <c r="S253" i="2"/>
  <c r="R253" i="2"/>
  <c r="Q253" i="2"/>
  <c r="P253" i="2"/>
  <c r="S252" i="2"/>
  <c r="R252" i="2"/>
  <c r="Q252" i="2"/>
  <c r="P252" i="2"/>
  <c r="S251" i="2"/>
  <c r="R251" i="2"/>
  <c r="Q251" i="2"/>
  <c r="P251" i="2"/>
  <c r="S250" i="2"/>
  <c r="R250" i="2"/>
  <c r="Q250" i="2"/>
  <c r="P250" i="2"/>
  <c r="S249" i="2"/>
  <c r="R249" i="2"/>
  <c r="Q249" i="2"/>
  <c r="P249" i="2"/>
  <c r="S248" i="2"/>
  <c r="R248" i="2"/>
  <c r="Q248" i="2"/>
  <c r="P248" i="2"/>
  <c r="S247" i="2"/>
  <c r="R247" i="2"/>
  <c r="Q247" i="2"/>
  <c r="P247" i="2"/>
  <c r="S246" i="2"/>
  <c r="R246" i="2"/>
  <c r="Q246" i="2"/>
  <c r="P246" i="2"/>
  <c r="S245" i="2"/>
  <c r="R245" i="2"/>
  <c r="Q245" i="2"/>
  <c r="P245" i="2"/>
  <c r="S244" i="2"/>
  <c r="R244" i="2"/>
  <c r="Q244" i="2"/>
  <c r="P244" i="2"/>
  <c r="S243" i="2"/>
  <c r="R243" i="2"/>
  <c r="Q243" i="2"/>
  <c r="P243" i="2"/>
  <c r="S242" i="2"/>
  <c r="R242" i="2"/>
  <c r="Q242" i="2"/>
  <c r="P242" i="2"/>
  <c r="S241" i="2"/>
  <c r="R241" i="2"/>
  <c r="Q241" i="2"/>
  <c r="P241" i="2"/>
  <c r="S240" i="2"/>
  <c r="R240" i="2"/>
  <c r="Q240" i="2"/>
  <c r="P240" i="2"/>
  <c r="S239" i="2"/>
  <c r="R239" i="2"/>
  <c r="Q239" i="2"/>
  <c r="P239" i="2"/>
  <c r="S238" i="2"/>
  <c r="R238" i="2"/>
  <c r="Q238" i="2"/>
  <c r="P238" i="2"/>
  <c r="S237" i="2"/>
  <c r="R237" i="2"/>
  <c r="Q237" i="2"/>
  <c r="P237" i="2"/>
  <c r="S236" i="2"/>
  <c r="R236" i="2"/>
  <c r="Q236" i="2"/>
  <c r="P236" i="2"/>
  <c r="S235" i="2"/>
  <c r="R235" i="2"/>
  <c r="Q235" i="2"/>
  <c r="P235" i="2"/>
  <c r="S234" i="2"/>
  <c r="R234" i="2"/>
  <c r="Q234" i="2"/>
  <c r="P234" i="2"/>
  <c r="S233" i="2"/>
  <c r="R233" i="2"/>
  <c r="Q233" i="2"/>
  <c r="P233" i="2"/>
  <c r="S232" i="2"/>
  <c r="R232" i="2"/>
  <c r="Q232" i="2"/>
  <c r="P232" i="2"/>
  <c r="S231" i="2"/>
  <c r="R231" i="2"/>
  <c r="Q231" i="2"/>
  <c r="P231" i="2"/>
  <c r="S230" i="2"/>
  <c r="R230" i="2"/>
  <c r="Q230" i="2"/>
  <c r="P230" i="2"/>
  <c r="S229" i="2"/>
  <c r="R229" i="2"/>
  <c r="Q229" i="2"/>
  <c r="P229" i="2"/>
  <c r="S228" i="2"/>
  <c r="R228" i="2"/>
  <c r="Q228" i="2"/>
  <c r="P228" i="2"/>
  <c r="S227" i="2"/>
  <c r="R227" i="2"/>
  <c r="Q227" i="2"/>
  <c r="P227" i="2"/>
  <c r="S226" i="2"/>
  <c r="R226" i="2"/>
  <c r="Q226" i="2"/>
  <c r="P226" i="2"/>
  <c r="S225" i="2"/>
  <c r="R225" i="2"/>
  <c r="Q225" i="2"/>
  <c r="P225" i="2"/>
  <c r="S224" i="2"/>
  <c r="R224" i="2"/>
  <c r="Q224" i="2"/>
  <c r="P224" i="2"/>
  <c r="S223" i="2"/>
  <c r="R223" i="2"/>
  <c r="Q223" i="2"/>
  <c r="P223" i="2"/>
  <c r="S222" i="2"/>
  <c r="R222" i="2"/>
  <c r="Q222" i="2"/>
  <c r="P222" i="2"/>
  <c r="S221" i="2"/>
  <c r="R221" i="2"/>
  <c r="Q221" i="2"/>
  <c r="P221" i="2"/>
  <c r="S220" i="2"/>
  <c r="R220" i="2"/>
  <c r="Q220" i="2"/>
  <c r="P220" i="2"/>
  <c r="S219" i="2"/>
  <c r="R219" i="2"/>
  <c r="Q219" i="2"/>
  <c r="P219" i="2"/>
  <c r="S218" i="2"/>
  <c r="R218" i="2"/>
  <c r="Q218" i="2"/>
  <c r="P218" i="2"/>
  <c r="S217" i="2"/>
  <c r="R217" i="2"/>
  <c r="Q217" i="2"/>
  <c r="P217" i="2"/>
  <c r="S216" i="2"/>
  <c r="R216" i="2"/>
  <c r="Q216" i="2"/>
  <c r="P216" i="2"/>
  <c r="S215" i="2"/>
  <c r="R215" i="2"/>
  <c r="Q215" i="2"/>
  <c r="P215" i="2"/>
  <c r="S214" i="2"/>
  <c r="R214" i="2"/>
  <c r="Q214" i="2"/>
  <c r="P214" i="2"/>
  <c r="S213" i="2"/>
  <c r="R213" i="2"/>
  <c r="Q213" i="2"/>
  <c r="P213" i="2"/>
  <c r="S212" i="2"/>
  <c r="R212" i="2"/>
  <c r="Q212" i="2"/>
  <c r="P212" i="2"/>
  <c r="S211" i="2"/>
  <c r="R211" i="2"/>
  <c r="Q211" i="2"/>
  <c r="P211" i="2"/>
  <c r="S210" i="2"/>
  <c r="R210" i="2"/>
  <c r="Q210" i="2"/>
  <c r="P210" i="2"/>
  <c r="S209" i="2"/>
  <c r="R209" i="2"/>
  <c r="Q209" i="2"/>
  <c r="P209" i="2"/>
  <c r="S208" i="2"/>
  <c r="R208" i="2"/>
  <c r="Q208" i="2"/>
  <c r="P208" i="2"/>
  <c r="S207" i="2"/>
  <c r="R207" i="2"/>
  <c r="Q207" i="2"/>
  <c r="P207" i="2"/>
  <c r="S206" i="2"/>
  <c r="R206" i="2"/>
  <c r="Q206" i="2"/>
  <c r="P206" i="2"/>
  <c r="S205" i="2"/>
  <c r="R205" i="2"/>
  <c r="Q205" i="2"/>
  <c r="P205" i="2"/>
  <c r="S204" i="2"/>
  <c r="R204" i="2"/>
  <c r="Q204" i="2"/>
  <c r="P204" i="2"/>
  <c r="S203" i="2"/>
  <c r="R203" i="2"/>
  <c r="Q203" i="2"/>
  <c r="P203" i="2"/>
  <c r="S202" i="2"/>
  <c r="R202" i="2"/>
  <c r="Q202" i="2"/>
  <c r="P202" i="2"/>
  <c r="S201" i="2"/>
  <c r="R201" i="2"/>
  <c r="Q201" i="2"/>
  <c r="P201" i="2"/>
  <c r="S200" i="2"/>
  <c r="R200" i="2"/>
  <c r="Q200" i="2"/>
  <c r="P200" i="2"/>
  <c r="S199" i="2"/>
  <c r="R199" i="2"/>
  <c r="Q199" i="2"/>
  <c r="P199" i="2"/>
  <c r="S198" i="2"/>
  <c r="R198" i="2"/>
  <c r="Q198" i="2"/>
  <c r="P198" i="2"/>
  <c r="S197" i="2"/>
  <c r="R197" i="2"/>
  <c r="Q197" i="2"/>
  <c r="P197" i="2"/>
  <c r="S196" i="2"/>
  <c r="R196" i="2"/>
  <c r="Q196" i="2"/>
  <c r="P196" i="2"/>
  <c r="S195" i="2"/>
  <c r="R195" i="2"/>
  <c r="Q195" i="2"/>
  <c r="P195" i="2"/>
  <c r="S194" i="2"/>
  <c r="R194" i="2"/>
  <c r="Q194" i="2"/>
  <c r="P194" i="2"/>
  <c r="S193" i="2"/>
  <c r="R193" i="2"/>
  <c r="Q193" i="2"/>
  <c r="P193" i="2"/>
  <c r="S192" i="2"/>
  <c r="R192" i="2"/>
  <c r="Q192" i="2"/>
  <c r="P192" i="2"/>
  <c r="S191" i="2"/>
  <c r="R191" i="2"/>
  <c r="Q191" i="2"/>
  <c r="P191" i="2"/>
  <c r="S190" i="2"/>
  <c r="R190" i="2"/>
  <c r="Q190" i="2"/>
  <c r="P190" i="2"/>
  <c r="S189" i="2"/>
  <c r="R189" i="2"/>
  <c r="Q189" i="2"/>
  <c r="P189" i="2"/>
  <c r="S188" i="2"/>
  <c r="R188" i="2"/>
  <c r="Q188" i="2"/>
  <c r="P188" i="2"/>
  <c r="S187" i="2"/>
  <c r="R187" i="2"/>
  <c r="Q187" i="2"/>
  <c r="P187" i="2"/>
  <c r="S186" i="2"/>
  <c r="R186" i="2"/>
  <c r="Q186" i="2"/>
  <c r="P186" i="2"/>
  <c r="S185" i="2"/>
  <c r="R185" i="2"/>
  <c r="Q185" i="2"/>
  <c r="P185" i="2"/>
  <c r="S184" i="2"/>
  <c r="R184" i="2"/>
  <c r="Q184" i="2"/>
  <c r="P184" i="2"/>
  <c r="S183" i="2"/>
  <c r="R183" i="2"/>
  <c r="Q183" i="2"/>
  <c r="P183" i="2"/>
  <c r="S182" i="2"/>
  <c r="R182" i="2"/>
  <c r="Q182" i="2"/>
  <c r="P182" i="2"/>
  <c r="S181" i="2"/>
  <c r="R181" i="2"/>
  <c r="Q181" i="2"/>
  <c r="P181" i="2"/>
  <c r="S180" i="2"/>
  <c r="R180" i="2"/>
  <c r="Q180" i="2"/>
  <c r="P180" i="2"/>
  <c r="S179" i="2"/>
  <c r="R179" i="2"/>
  <c r="Q179" i="2"/>
  <c r="P179" i="2"/>
  <c r="S178" i="2"/>
  <c r="R178" i="2"/>
  <c r="Q178" i="2"/>
  <c r="P178" i="2"/>
  <c r="S177" i="2"/>
  <c r="R177" i="2"/>
  <c r="Q177" i="2"/>
  <c r="P177" i="2"/>
  <c r="S176" i="2"/>
  <c r="R176" i="2"/>
  <c r="Q176" i="2"/>
  <c r="P176" i="2"/>
  <c r="S175" i="2"/>
  <c r="R175" i="2"/>
  <c r="Q175" i="2"/>
  <c r="P175" i="2"/>
  <c r="S174" i="2"/>
  <c r="R174" i="2"/>
  <c r="Q174" i="2"/>
  <c r="P174" i="2"/>
  <c r="S173" i="2"/>
  <c r="R173" i="2"/>
  <c r="Q173" i="2"/>
  <c r="P173" i="2"/>
  <c r="S172" i="2"/>
  <c r="R172" i="2"/>
  <c r="Q172" i="2"/>
  <c r="P172" i="2"/>
  <c r="S171" i="2"/>
  <c r="R171" i="2"/>
  <c r="Q171" i="2"/>
  <c r="P171" i="2"/>
  <c r="S170" i="2"/>
  <c r="R170" i="2"/>
  <c r="Q170" i="2"/>
  <c r="P170" i="2"/>
  <c r="S169" i="2"/>
  <c r="R169" i="2"/>
  <c r="Q169" i="2"/>
  <c r="P169" i="2"/>
  <c r="S168" i="2"/>
  <c r="R168" i="2"/>
  <c r="Q168" i="2"/>
  <c r="P168" i="2"/>
  <c r="S167" i="2"/>
  <c r="R167" i="2"/>
  <c r="Q167" i="2"/>
  <c r="P167" i="2"/>
  <c r="S166" i="2"/>
  <c r="R166" i="2"/>
  <c r="Q166" i="2"/>
  <c r="P166" i="2"/>
  <c r="S165" i="2"/>
  <c r="R165" i="2"/>
  <c r="Q165" i="2"/>
  <c r="P165" i="2"/>
  <c r="S164" i="2"/>
  <c r="R164" i="2"/>
  <c r="Q164" i="2"/>
  <c r="P164" i="2"/>
  <c r="S163" i="2"/>
  <c r="R163" i="2"/>
  <c r="Q163" i="2"/>
  <c r="P163" i="2"/>
  <c r="S162" i="2"/>
  <c r="R162" i="2"/>
  <c r="Q162" i="2"/>
  <c r="P162" i="2"/>
  <c r="S161" i="2"/>
  <c r="R161" i="2"/>
  <c r="Q161" i="2"/>
  <c r="P161" i="2"/>
  <c r="S160" i="2"/>
  <c r="R160" i="2"/>
  <c r="Q160" i="2"/>
  <c r="P160" i="2"/>
  <c r="S159" i="2"/>
  <c r="R159" i="2"/>
  <c r="Q159" i="2"/>
  <c r="P159" i="2"/>
  <c r="S158" i="2"/>
  <c r="R158" i="2"/>
  <c r="Q158" i="2"/>
  <c r="P158" i="2"/>
  <c r="S157" i="2"/>
  <c r="R157" i="2"/>
  <c r="Q157" i="2"/>
  <c r="P157" i="2"/>
  <c r="S156" i="2"/>
  <c r="R156" i="2"/>
  <c r="Q156" i="2"/>
  <c r="P156" i="2"/>
  <c r="S155" i="2"/>
  <c r="R155" i="2"/>
  <c r="Q155" i="2"/>
  <c r="P155" i="2"/>
  <c r="S154" i="2"/>
  <c r="R154" i="2"/>
  <c r="Q154" i="2"/>
  <c r="P154" i="2"/>
  <c r="S153" i="2"/>
  <c r="R153" i="2"/>
  <c r="Q153" i="2"/>
  <c r="P153" i="2"/>
  <c r="S152" i="2"/>
  <c r="R152" i="2"/>
  <c r="Q152" i="2"/>
  <c r="P152" i="2"/>
  <c r="S151" i="2"/>
  <c r="R151" i="2"/>
  <c r="Q151" i="2"/>
  <c r="P151" i="2"/>
  <c r="S150" i="2"/>
  <c r="R150" i="2"/>
  <c r="Q150" i="2"/>
  <c r="P150" i="2"/>
  <c r="S149" i="2"/>
  <c r="R149" i="2"/>
  <c r="Q149" i="2"/>
  <c r="P149" i="2"/>
  <c r="S148" i="2"/>
  <c r="R148" i="2"/>
  <c r="Q148" i="2"/>
  <c r="P148" i="2"/>
  <c r="S147" i="2"/>
  <c r="R147" i="2"/>
  <c r="Q147" i="2"/>
  <c r="P147" i="2"/>
  <c r="S146" i="2"/>
  <c r="R146" i="2"/>
  <c r="Q146" i="2"/>
  <c r="P146" i="2"/>
  <c r="S145" i="2"/>
  <c r="R145" i="2"/>
  <c r="Q145" i="2"/>
  <c r="P145" i="2"/>
  <c r="S144" i="2"/>
  <c r="R144" i="2"/>
  <c r="Q144" i="2"/>
  <c r="P144" i="2"/>
  <c r="S143" i="2"/>
  <c r="R143" i="2"/>
  <c r="Q143" i="2"/>
  <c r="P143" i="2"/>
  <c r="S142" i="2"/>
  <c r="R142" i="2"/>
  <c r="Q142" i="2"/>
  <c r="P142" i="2"/>
  <c r="S141" i="2"/>
  <c r="R141" i="2"/>
  <c r="Q141" i="2"/>
  <c r="P141" i="2"/>
  <c r="S140" i="2"/>
  <c r="R140" i="2"/>
  <c r="Q140" i="2"/>
  <c r="P140" i="2"/>
  <c r="S139" i="2"/>
  <c r="R139" i="2"/>
  <c r="Q139" i="2"/>
  <c r="P139" i="2"/>
  <c r="S138" i="2"/>
  <c r="R138" i="2"/>
  <c r="Q138" i="2"/>
  <c r="P138" i="2"/>
  <c r="S137" i="2"/>
  <c r="R137" i="2"/>
  <c r="Q137" i="2"/>
  <c r="P137" i="2"/>
  <c r="S136" i="2"/>
  <c r="R136" i="2"/>
  <c r="Q136" i="2"/>
  <c r="P136" i="2"/>
  <c r="S135" i="2"/>
  <c r="R135" i="2"/>
  <c r="Q135" i="2"/>
  <c r="P135" i="2"/>
  <c r="S134" i="2"/>
  <c r="R134" i="2"/>
  <c r="Q134" i="2"/>
  <c r="P134" i="2"/>
  <c r="S133" i="2"/>
  <c r="R133" i="2"/>
  <c r="Q133" i="2"/>
  <c r="P133" i="2"/>
  <c r="S132" i="2"/>
  <c r="R132" i="2"/>
  <c r="Q132" i="2"/>
  <c r="P132" i="2"/>
  <c r="S131" i="2"/>
  <c r="R131" i="2"/>
  <c r="Q131" i="2"/>
  <c r="P131" i="2"/>
  <c r="S130" i="2"/>
  <c r="R130" i="2"/>
  <c r="Q130" i="2"/>
  <c r="P130" i="2"/>
  <c r="S129" i="2"/>
  <c r="R129" i="2"/>
  <c r="Q129" i="2"/>
  <c r="P129" i="2"/>
  <c r="S128" i="2"/>
  <c r="R128" i="2"/>
  <c r="Q128" i="2"/>
  <c r="P128" i="2"/>
  <c r="S127" i="2"/>
  <c r="R127" i="2"/>
  <c r="Q127" i="2"/>
  <c r="P127" i="2"/>
  <c r="S126" i="2"/>
  <c r="R126" i="2"/>
  <c r="Q126" i="2"/>
  <c r="P126" i="2"/>
  <c r="S125" i="2"/>
  <c r="R125" i="2"/>
  <c r="Q125" i="2"/>
  <c r="P125" i="2"/>
  <c r="S124" i="2"/>
  <c r="R124" i="2"/>
  <c r="Q124" i="2"/>
  <c r="P124" i="2"/>
  <c r="S123" i="2"/>
  <c r="R123" i="2"/>
  <c r="Q123" i="2"/>
  <c r="P123" i="2"/>
  <c r="S122" i="2"/>
  <c r="R122" i="2"/>
  <c r="Q122" i="2"/>
  <c r="P122" i="2"/>
  <c r="S121" i="2"/>
  <c r="R121" i="2"/>
  <c r="Q121" i="2"/>
  <c r="P121" i="2"/>
  <c r="S120" i="2"/>
  <c r="R120" i="2"/>
  <c r="Q120" i="2"/>
  <c r="P120" i="2"/>
  <c r="S119" i="2"/>
  <c r="R119" i="2"/>
  <c r="Q119" i="2"/>
  <c r="P119" i="2"/>
  <c r="S118" i="2"/>
  <c r="R118" i="2"/>
  <c r="Q118" i="2"/>
  <c r="P118" i="2"/>
  <c r="S117" i="2"/>
  <c r="R117" i="2"/>
  <c r="Q117" i="2"/>
  <c r="P117" i="2"/>
  <c r="S116" i="2"/>
  <c r="R116" i="2"/>
  <c r="Q116" i="2"/>
  <c r="P116" i="2"/>
  <c r="S115" i="2"/>
  <c r="R115" i="2"/>
  <c r="Q115" i="2"/>
  <c r="P115" i="2"/>
  <c r="S114" i="2"/>
  <c r="R114" i="2"/>
  <c r="Q114" i="2"/>
  <c r="P114" i="2"/>
  <c r="S113" i="2"/>
  <c r="R113" i="2"/>
  <c r="Q113" i="2"/>
  <c r="P113" i="2"/>
  <c r="S112" i="2"/>
  <c r="R112" i="2"/>
  <c r="Q112" i="2"/>
  <c r="P112" i="2"/>
  <c r="S111" i="2"/>
  <c r="R111" i="2"/>
  <c r="Q111" i="2"/>
  <c r="P111" i="2"/>
  <c r="S110" i="2"/>
  <c r="R110" i="2"/>
  <c r="Q110" i="2"/>
  <c r="P110" i="2"/>
  <c r="S109" i="2"/>
  <c r="R109" i="2"/>
  <c r="Q109" i="2"/>
  <c r="P109" i="2"/>
  <c r="S108" i="2"/>
  <c r="R108" i="2"/>
  <c r="Q108" i="2"/>
  <c r="P108" i="2"/>
  <c r="S107" i="2"/>
  <c r="R107" i="2"/>
  <c r="Q107" i="2"/>
  <c r="P107" i="2"/>
  <c r="S106" i="2"/>
  <c r="R106" i="2"/>
  <c r="Q106" i="2"/>
  <c r="P106" i="2"/>
  <c r="S105" i="2"/>
  <c r="R105" i="2"/>
  <c r="Q105" i="2"/>
  <c r="P105" i="2"/>
  <c r="S104" i="2"/>
  <c r="R104" i="2"/>
  <c r="Q104" i="2"/>
  <c r="P104" i="2"/>
  <c r="S103" i="2"/>
  <c r="R103" i="2"/>
  <c r="Q103" i="2"/>
  <c r="P103" i="2"/>
  <c r="S102" i="2"/>
  <c r="R102" i="2"/>
  <c r="Q102" i="2"/>
  <c r="P102" i="2"/>
  <c r="S101" i="2"/>
  <c r="R101" i="2"/>
  <c r="Q101" i="2"/>
  <c r="P101" i="2"/>
  <c r="S100" i="2"/>
  <c r="R100" i="2"/>
  <c r="Q100" i="2"/>
  <c r="P100" i="2"/>
  <c r="S99" i="2"/>
  <c r="R99" i="2"/>
  <c r="Q99" i="2"/>
  <c r="P99" i="2"/>
  <c r="S98" i="2"/>
  <c r="R98" i="2"/>
  <c r="Q98" i="2"/>
  <c r="P98" i="2"/>
  <c r="S97" i="2"/>
  <c r="R97" i="2"/>
  <c r="Q97" i="2"/>
  <c r="P97" i="2"/>
  <c r="S96" i="2"/>
  <c r="R96" i="2"/>
  <c r="Q96" i="2"/>
  <c r="P96" i="2"/>
  <c r="S95" i="2"/>
  <c r="R95" i="2"/>
  <c r="Q95" i="2"/>
  <c r="P95" i="2"/>
  <c r="S94" i="2"/>
  <c r="R94" i="2"/>
  <c r="Q94" i="2"/>
  <c r="P94" i="2"/>
  <c r="S93" i="2"/>
  <c r="R93" i="2"/>
  <c r="Q93" i="2"/>
  <c r="P93" i="2"/>
  <c r="S92" i="2"/>
  <c r="R92" i="2"/>
  <c r="Q92" i="2"/>
  <c r="P92" i="2"/>
  <c r="S91" i="2"/>
  <c r="R91" i="2"/>
  <c r="Q91" i="2"/>
  <c r="P91" i="2"/>
  <c r="S90" i="2"/>
  <c r="R90" i="2"/>
  <c r="Q90" i="2"/>
  <c r="P90" i="2"/>
  <c r="S89" i="2"/>
  <c r="R89" i="2"/>
  <c r="Q89" i="2"/>
  <c r="P89" i="2"/>
  <c r="S88" i="2"/>
  <c r="R88" i="2"/>
  <c r="Q88" i="2"/>
  <c r="P88" i="2"/>
  <c r="S87" i="2"/>
  <c r="R87" i="2"/>
  <c r="Q87" i="2"/>
  <c r="P87" i="2"/>
  <c r="S86" i="2"/>
  <c r="R86" i="2"/>
  <c r="Q86" i="2"/>
  <c r="P86" i="2"/>
  <c r="S85" i="2"/>
  <c r="R85" i="2"/>
  <c r="Q85" i="2"/>
  <c r="P85" i="2"/>
  <c r="S84" i="2"/>
  <c r="R84" i="2"/>
  <c r="Q84" i="2"/>
  <c r="P84" i="2"/>
  <c r="S83" i="2"/>
  <c r="R83" i="2"/>
  <c r="Q83" i="2"/>
  <c r="P83" i="2"/>
  <c r="S82" i="2"/>
  <c r="R82" i="2"/>
  <c r="Q82" i="2"/>
  <c r="P82" i="2"/>
  <c r="S81" i="2"/>
  <c r="R81" i="2"/>
  <c r="Q81" i="2"/>
  <c r="P81" i="2"/>
  <c r="S80" i="2"/>
  <c r="R80" i="2"/>
  <c r="Q80" i="2"/>
  <c r="P80" i="2"/>
  <c r="S79" i="2"/>
  <c r="R79" i="2"/>
  <c r="Q79" i="2"/>
  <c r="P79" i="2"/>
  <c r="S78" i="2"/>
  <c r="R78" i="2"/>
  <c r="Q78" i="2"/>
  <c r="P78" i="2"/>
  <c r="S77" i="2"/>
  <c r="R77" i="2"/>
  <c r="Q77" i="2"/>
  <c r="P77" i="2"/>
  <c r="S76" i="2"/>
  <c r="R76" i="2"/>
  <c r="Q76" i="2"/>
  <c r="P76" i="2"/>
  <c r="S75" i="2"/>
  <c r="R75" i="2"/>
  <c r="Q75" i="2"/>
  <c r="P75" i="2"/>
  <c r="S74" i="2"/>
  <c r="R74" i="2"/>
  <c r="Q74" i="2"/>
  <c r="P74" i="2"/>
  <c r="S73" i="2"/>
  <c r="R73" i="2"/>
  <c r="Q73" i="2"/>
  <c r="P73" i="2"/>
  <c r="S72" i="2"/>
  <c r="R72" i="2"/>
  <c r="Q72" i="2"/>
  <c r="P72" i="2"/>
  <c r="S71" i="2"/>
  <c r="R71" i="2"/>
  <c r="Q71" i="2"/>
  <c r="P71" i="2"/>
  <c r="S70" i="2"/>
  <c r="R70" i="2"/>
  <c r="Q70" i="2"/>
  <c r="P70" i="2"/>
  <c r="S69" i="2"/>
  <c r="R69" i="2"/>
  <c r="Q69" i="2"/>
  <c r="P69" i="2"/>
  <c r="S68" i="2"/>
  <c r="R68" i="2"/>
  <c r="Q68" i="2"/>
  <c r="P68" i="2"/>
  <c r="S67" i="2"/>
  <c r="R67" i="2"/>
  <c r="Q67" i="2"/>
  <c r="P67" i="2"/>
  <c r="S66" i="2"/>
  <c r="R66" i="2"/>
  <c r="Q66" i="2"/>
  <c r="P66" i="2"/>
  <c r="S65" i="2"/>
  <c r="R65" i="2"/>
  <c r="Q65" i="2"/>
  <c r="P65" i="2"/>
  <c r="S64" i="2"/>
  <c r="R64" i="2"/>
  <c r="Q64" i="2"/>
  <c r="P64" i="2"/>
  <c r="S63" i="2"/>
  <c r="R63" i="2"/>
  <c r="Q63" i="2"/>
  <c r="P63" i="2"/>
  <c r="S62" i="2"/>
  <c r="R62" i="2"/>
  <c r="Q62" i="2"/>
  <c r="P62" i="2"/>
  <c r="S61" i="2"/>
  <c r="R61" i="2"/>
  <c r="Q61" i="2"/>
  <c r="P61" i="2"/>
  <c r="S60" i="2"/>
  <c r="R60" i="2"/>
  <c r="Q60" i="2"/>
  <c r="P60" i="2"/>
  <c r="S59" i="2"/>
  <c r="R59" i="2"/>
  <c r="Q59" i="2"/>
  <c r="P59" i="2"/>
  <c r="S58" i="2"/>
  <c r="R58" i="2"/>
  <c r="Q58" i="2"/>
  <c r="P58" i="2"/>
  <c r="S57" i="2"/>
  <c r="R57" i="2"/>
  <c r="Q57" i="2"/>
  <c r="P57" i="2"/>
  <c r="S56" i="2"/>
  <c r="R56" i="2"/>
  <c r="Q56" i="2"/>
  <c r="P56" i="2"/>
  <c r="S55" i="2"/>
  <c r="R55" i="2"/>
  <c r="Q55" i="2"/>
  <c r="P55" i="2"/>
  <c r="S54" i="2"/>
  <c r="R54" i="2"/>
  <c r="Q54" i="2"/>
  <c r="P54" i="2"/>
  <c r="S53" i="2"/>
  <c r="R53" i="2"/>
  <c r="Q53" i="2"/>
  <c r="P53" i="2"/>
  <c r="S52" i="2"/>
  <c r="R52" i="2"/>
  <c r="Q52" i="2"/>
  <c r="P52" i="2"/>
  <c r="S51" i="2"/>
  <c r="R51" i="2"/>
  <c r="Q51" i="2"/>
  <c r="P51" i="2"/>
  <c r="S50" i="2"/>
  <c r="R50" i="2"/>
  <c r="Q50" i="2"/>
  <c r="P50" i="2"/>
  <c r="S49" i="2"/>
  <c r="R49" i="2"/>
  <c r="Q49" i="2"/>
  <c r="P49" i="2"/>
  <c r="S48" i="2"/>
  <c r="R48" i="2"/>
  <c r="Q48" i="2"/>
  <c r="P48" i="2"/>
  <c r="S47" i="2"/>
  <c r="R47" i="2"/>
  <c r="Q47" i="2"/>
  <c r="P47" i="2"/>
  <c r="S46" i="2"/>
  <c r="R46" i="2"/>
  <c r="Q46" i="2"/>
  <c r="P46" i="2"/>
  <c r="S45" i="2"/>
  <c r="R45" i="2"/>
  <c r="Q45" i="2"/>
  <c r="P45" i="2"/>
  <c r="S44" i="2"/>
  <c r="R44" i="2"/>
  <c r="Q44" i="2"/>
  <c r="P44" i="2"/>
  <c r="S43" i="2"/>
  <c r="R43" i="2"/>
  <c r="Q43" i="2"/>
  <c r="P43" i="2"/>
  <c r="AC30" i="2"/>
  <c r="AD30" i="2" s="1"/>
  <c r="AB30" i="2"/>
  <c r="AA30" i="2"/>
  <c r="AN30" i="2" s="1"/>
  <c r="Z30" i="2"/>
  <c r="Y30" i="2"/>
  <c r="X30" i="2"/>
  <c r="W30" i="2"/>
  <c r="V30" i="2"/>
  <c r="U30" i="2"/>
  <c r="T30" i="2"/>
  <c r="S30" i="2"/>
  <c r="R30" i="2"/>
  <c r="Q30" i="2"/>
  <c r="P30" i="2"/>
  <c r="AR30" i="2" s="1"/>
  <c r="AH29" i="2"/>
  <c r="AA29" i="2"/>
  <c r="AN29" i="2" s="1"/>
  <c r="Z29" i="2"/>
  <c r="Y29" i="2"/>
  <c r="X29" i="2"/>
  <c r="W29" i="2"/>
  <c r="V29" i="2"/>
  <c r="U29" i="2"/>
  <c r="T29" i="2"/>
  <c r="AB29" i="2" s="1"/>
  <c r="S29" i="2"/>
  <c r="R29" i="2"/>
  <c r="Q29" i="2"/>
  <c r="P29" i="2"/>
  <c r="AC29" i="2" s="1"/>
  <c r="AD29" i="2" s="1"/>
  <c r="AA28" i="2"/>
  <c r="AN28" i="2" s="1"/>
  <c r="Z28" i="2"/>
  <c r="Y28" i="2"/>
  <c r="X28" i="2"/>
  <c r="AH28" i="2" s="1"/>
  <c r="W28" i="2"/>
  <c r="V28" i="2"/>
  <c r="U28" i="2"/>
  <c r="T28" i="2"/>
  <c r="AB28" i="2" s="1"/>
  <c r="S28" i="2"/>
  <c r="R28" i="2"/>
  <c r="AC28" i="2" s="1"/>
  <c r="AD28" i="2" s="1"/>
  <c r="Q28" i="2"/>
  <c r="P28" i="2"/>
  <c r="AN27" i="2"/>
  <c r="AH27" i="2"/>
  <c r="AA27" i="2"/>
  <c r="Z27" i="2"/>
  <c r="Y27" i="2"/>
  <c r="X27" i="2"/>
  <c r="W27" i="2"/>
  <c r="V27" i="2"/>
  <c r="AE27" i="2" s="1"/>
  <c r="U27" i="2"/>
  <c r="T27" i="2"/>
  <c r="AC27" i="2" s="1"/>
  <c r="AD27" i="2" s="1"/>
  <c r="S27" i="2"/>
  <c r="R27" i="2"/>
  <c r="Q27" i="2"/>
  <c r="P27" i="2"/>
  <c r="AR27" i="2" s="1"/>
  <c r="AQ27" i="2" s="1"/>
  <c r="AO26" i="2"/>
  <c r="AP26" i="2" s="1"/>
  <c r="AA26" i="2"/>
  <c r="AN26" i="2" s="1"/>
  <c r="Z26" i="2"/>
  <c r="Y26" i="2"/>
  <c r="X26" i="2"/>
  <c r="W26" i="2"/>
  <c r="V26" i="2"/>
  <c r="U26" i="2"/>
  <c r="T26" i="2"/>
  <c r="AB26" i="2" s="1"/>
  <c r="S26" i="2"/>
  <c r="R26" i="2"/>
  <c r="Q26" i="2"/>
  <c r="P26" i="2"/>
  <c r="AC26" i="2" s="1"/>
  <c r="AD26" i="2" s="1"/>
  <c r="AR25" i="2"/>
  <c r="AQ25" i="2" s="1"/>
  <c r="AH25" i="2"/>
  <c r="AB25" i="2"/>
  <c r="AA25" i="2"/>
  <c r="AN25" i="2" s="1"/>
  <c r="Z25" i="2"/>
  <c r="Y25" i="2"/>
  <c r="X25" i="2"/>
  <c r="W25" i="2"/>
  <c r="V25" i="2"/>
  <c r="U25" i="2"/>
  <c r="T25" i="2"/>
  <c r="S25" i="2"/>
  <c r="R25" i="2"/>
  <c r="AC25" i="2" s="1"/>
  <c r="AD25" i="2" s="1"/>
  <c r="Q25" i="2"/>
  <c r="P25" i="2"/>
  <c r="AR24" i="2"/>
  <c r="AQ24" i="2"/>
  <c r="AN24" i="2"/>
  <c r="AH24" i="2"/>
  <c r="AC24" i="2"/>
  <c r="AD24" i="2" s="1"/>
  <c r="AA24" i="2"/>
  <c r="Z24" i="2"/>
  <c r="Y24" i="2"/>
  <c r="X24" i="2"/>
  <c r="W24" i="2"/>
  <c r="V24" i="2"/>
  <c r="U24" i="2"/>
  <c r="T24" i="2"/>
  <c r="AB24" i="2" s="1"/>
  <c r="S24" i="2"/>
  <c r="R24" i="2"/>
  <c r="Q24" i="2"/>
  <c r="AS24" i="2" s="1"/>
  <c r="AT24" i="2" s="1"/>
  <c r="P24" i="2"/>
  <c r="AH23" i="2"/>
  <c r="AA23" i="2"/>
  <c r="Z23" i="2"/>
  <c r="AN23" i="2" s="1"/>
  <c r="Y23" i="2"/>
  <c r="X23" i="2"/>
  <c r="W23" i="2"/>
  <c r="V23" i="2"/>
  <c r="AE23" i="2" s="1"/>
  <c r="U23" i="2"/>
  <c r="T23" i="2"/>
  <c r="S23" i="2"/>
  <c r="R23" i="2"/>
  <c r="AB23" i="2" s="1"/>
  <c r="Q23" i="2"/>
  <c r="P23" i="2"/>
  <c r="AC23" i="2" s="1"/>
  <c r="AD23" i="2" s="1"/>
  <c r="AH22" i="2"/>
  <c r="AA22" i="2"/>
  <c r="AN22" i="2" s="1"/>
  <c r="Z22" i="2"/>
  <c r="Y22" i="2"/>
  <c r="X22" i="2"/>
  <c r="W22" i="2"/>
  <c r="V22" i="2"/>
  <c r="U22" i="2"/>
  <c r="T22" i="2"/>
  <c r="AC22" i="2" s="1"/>
  <c r="AD22" i="2" s="1"/>
  <c r="S22" i="2"/>
  <c r="R22" i="2"/>
  <c r="Q22" i="2"/>
  <c r="P22" i="2"/>
  <c r="AR22" i="2" s="1"/>
  <c r="AN21" i="2"/>
  <c r="AA21" i="2"/>
  <c r="Z21" i="2"/>
  <c r="Y21" i="2"/>
  <c r="X21" i="2"/>
  <c r="W21" i="2"/>
  <c r="V21" i="2"/>
  <c r="U21" i="2"/>
  <c r="T21" i="2"/>
  <c r="S21" i="2"/>
  <c r="R21" i="2"/>
  <c r="AB21" i="2" s="1"/>
  <c r="Q21" i="2"/>
  <c r="P21" i="2"/>
  <c r="AC21" i="2" s="1"/>
  <c r="AD21" i="2" s="1"/>
  <c r="AS20" i="2"/>
  <c r="AT20" i="2" s="1"/>
  <c r="AR20" i="2"/>
  <c r="AQ20" i="2"/>
  <c r="AH20" i="2"/>
  <c r="AA20" i="2"/>
  <c r="AN20" i="2" s="1"/>
  <c r="Z20" i="2"/>
  <c r="Y20" i="2"/>
  <c r="X20" i="2"/>
  <c r="W20" i="2"/>
  <c r="V20" i="2"/>
  <c r="U20" i="2"/>
  <c r="T20" i="2"/>
  <c r="S20" i="2"/>
  <c r="R20" i="2"/>
  <c r="AC20" i="2" s="1"/>
  <c r="AD20" i="2" s="1"/>
  <c r="Q20" i="2"/>
  <c r="P20" i="2"/>
  <c r="AN19" i="2"/>
  <c r="AD19" i="2"/>
  <c r="AL19" i="2" s="1"/>
  <c r="AC19" i="2"/>
  <c r="AB19" i="2"/>
  <c r="AA19" i="2"/>
  <c r="Z19" i="2"/>
  <c r="Y19" i="2"/>
  <c r="X19" i="2"/>
  <c r="AY19" i="2" s="1"/>
  <c r="W19" i="2"/>
  <c r="V19" i="2"/>
  <c r="AE19" i="2" s="1"/>
  <c r="U19" i="2"/>
  <c r="T19" i="2"/>
  <c r="S19" i="2"/>
  <c r="R19" i="2"/>
  <c r="Q19" i="2"/>
  <c r="P19" i="2"/>
  <c r="AR19" i="2" s="1"/>
  <c r="AQ19" i="2" s="1"/>
  <c r="AA18" i="2"/>
  <c r="AN18" i="2" s="1"/>
  <c r="Z18" i="2"/>
  <c r="Y18" i="2"/>
  <c r="X18" i="2"/>
  <c r="AH18" i="2" s="1"/>
  <c r="W18" i="2"/>
  <c r="V18" i="2"/>
  <c r="U18" i="2"/>
  <c r="T18" i="2"/>
  <c r="S18" i="2"/>
  <c r="R18" i="2"/>
  <c r="Q18" i="2"/>
  <c r="P18" i="2"/>
  <c r="AC18" i="2" s="1"/>
  <c r="AD18" i="2" s="1"/>
  <c r="AA17" i="2"/>
  <c r="AN17" i="2" s="1"/>
  <c r="Z17" i="2"/>
  <c r="Y17" i="2"/>
  <c r="X17" i="2"/>
  <c r="W17" i="2"/>
  <c r="V17" i="2"/>
  <c r="U17" i="2"/>
  <c r="T17" i="2"/>
  <c r="AB17" i="2" s="1"/>
  <c r="S17" i="2"/>
  <c r="R17" i="2"/>
  <c r="AC17" i="2" s="1"/>
  <c r="AD17" i="2" s="1"/>
  <c r="Q17" i="2"/>
  <c r="P17" i="2"/>
  <c r="AO16" i="2"/>
  <c r="AP16" i="2" s="1"/>
  <c r="AN16" i="2"/>
  <c r="AA16" i="2"/>
  <c r="Z16" i="2"/>
  <c r="Y16" i="2"/>
  <c r="X16" i="2"/>
  <c r="AH16" i="2" s="1"/>
  <c r="W16" i="2"/>
  <c r="V16" i="2"/>
  <c r="AE16" i="2" s="1"/>
  <c r="U16" i="2"/>
  <c r="T16" i="2"/>
  <c r="S16" i="2"/>
  <c r="R16" i="2"/>
  <c r="AC16" i="2" s="1"/>
  <c r="AD16" i="2" s="1"/>
  <c r="Q16" i="2"/>
  <c r="P16" i="2"/>
  <c r="AR15" i="2"/>
  <c r="AQ15" i="2" s="1"/>
  <c r="AA15" i="2"/>
  <c r="AN15" i="2" s="1"/>
  <c r="Z15" i="2"/>
  <c r="Y15" i="2"/>
  <c r="X15" i="2"/>
  <c r="W15" i="2"/>
  <c r="V15" i="2"/>
  <c r="U15" i="2"/>
  <c r="T15" i="2"/>
  <c r="AB15" i="2" s="1"/>
  <c r="S15" i="2"/>
  <c r="R15" i="2"/>
  <c r="AC15" i="2" s="1"/>
  <c r="AD15" i="2" s="1"/>
  <c r="Q15" i="2"/>
  <c r="AS15" i="2" s="1"/>
  <c r="P15" i="2"/>
  <c r="AC14" i="2"/>
  <c r="AD14" i="2" s="1"/>
  <c r="AA14" i="2"/>
  <c r="AN14" i="2" s="1"/>
  <c r="Z14" i="2"/>
  <c r="Y14" i="2"/>
  <c r="X14" i="2"/>
  <c r="W14" i="2"/>
  <c r="V14" i="2"/>
  <c r="U14" i="2"/>
  <c r="T14" i="2"/>
  <c r="AB14" i="2" s="1"/>
  <c r="S14" i="2"/>
  <c r="R14" i="2"/>
  <c r="Q14" i="2"/>
  <c r="P14" i="2"/>
  <c r="AR14" i="2" s="1"/>
  <c r="AH13" i="2"/>
  <c r="AA13" i="2"/>
  <c r="AN13" i="2" s="1"/>
  <c r="Z13" i="2"/>
  <c r="Y13" i="2"/>
  <c r="X13" i="2"/>
  <c r="W13" i="2"/>
  <c r="V13" i="2"/>
  <c r="U13" i="2"/>
  <c r="T13" i="2"/>
  <c r="AB13" i="2" s="1"/>
  <c r="S13" i="2"/>
  <c r="R13" i="2"/>
  <c r="Q13" i="2"/>
  <c r="P13" i="2"/>
  <c r="AC13" i="2" s="1"/>
  <c r="AD13" i="2" s="1"/>
  <c r="AR12" i="2"/>
  <c r="AQ12" i="2" s="1"/>
  <c r="AA12" i="2"/>
  <c r="AN12" i="2" s="1"/>
  <c r="Z12" i="2"/>
  <c r="Y12" i="2"/>
  <c r="X12" i="2"/>
  <c r="AH12" i="2" s="1"/>
  <c r="W12" i="2"/>
  <c r="V12" i="2"/>
  <c r="U12" i="2"/>
  <c r="T12" i="2"/>
  <c r="AB12" i="2" s="1"/>
  <c r="S12" i="2"/>
  <c r="R12" i="2"/>
  <c r="AC12" i="2" s="1"/>
  <c r="AD12" i="2" s="1"/>
  <c r="Q12" i="2"/>
  <c r="AS12" i="2" s="1"/>
  <c r="P12" i="2"/>
  <c r="AN11" i="2"/>
  <c r="AH11" i="2"/>
  <c r="AA11" i="2"/>
  <c r="Z11" i="2"/>
  <c r="Y11" i="2"/>
  <c r="X11" i="2"/>
  <c r="W11" i="2"/>
  <c r="V11" i="2"/>
  <c r="AE11" i="2" s="1"/>
  <c r="U11" i="2"/>
  <c r="T11" i="2"/>
  <c r="AC11" i="2" s="1"/>
  <c r="AD11" i="2" s="1"/>
  <c r="S11" i="2"/>
  <c r="R11" i="2"/>
  <c r="Q11" i="2"/>
  <c r="AS11" i="2" s="1"/>
  <c r="AT11" i="2" s="1"/>
  <c r="P11" i="2"/>
  <c r="AR11" i="2" s="1"/>
  <c r="AQ11" i="2" s="1"/>
  <c r="AO10" i="2"/>
  <c r="AH10" i="2"/>
  <c r="AA10" i="2"/>
  <c r="AN10" i="2" s="1"/>
  <c r="Z10" i="2"/>
  <c r="Y10" i="2"/>
  <c r="X10" i="2"/>
  <c r="W10" i="2"/>
  <c r="V10" i="2"/>
  <c r="U10" i="2"/>
  <c r="T10" i="2"/>
  <c r="AB10" i="2" s="1"/>
  <c r="S10" i="2"/>
  <c r="R10" i="2"/>
  <c r="Q10" i="2"/>
  <c r="P10" i="2"/>
  <c r="AC10" i="2" s="1"/>
  <c r="AD10" i="2" s="1"/>
  <c r="AR9" i="2"/>
  <c r="AQ9" i="2" s="1"/>
  <c r="AH9" i="2"/>
  <c r="AB9" i="2"/>
  <c r="AA9" i="2"/>
  <c r="AN9" i="2" s="1"/>
  <c r="Z9" i="2"/>
  <c r="Y9" i="2"/>
  <c r="X9" i="2"/>
  <c r="W9" i="2"/>
  <c r="V9" i="2"/>
  <c r="AE9" i="2" s="1"/>
  <c r="U9" i="2"/>
  <c r="T9" i="2"/>
  <c r="S9" i="2"/>
  <c r="R9" i="2"/>
  <c r="AC9" i="2" s="1"/>
  <c r="AD9" i="2" s="1"/>
  <c r="Q9" i="2"/>
  <c r="P9" i="2"/>
  <c r="AR8" i="2"/>
  <c r="AQ8" i="2"/>
  <c r="AN8" i="2"/>
  <c r="AH8" i="2"/>
  <c r="AC8" i="2"/>
  <c r="AD8" i="2" s="1"/>
  <c r="AA8" i="2"/>
  <c r="Z8" i="2"/>
  <c r="Y8" i="2"/>
  <c r="X8" i="2"/>
  <c r="W8" i="2"/>
  <c r="V8" i="2"/>
  <c r="U8" i="2"/>
  <c r="T8" i="2"/>
  <c r="AB8" i="2" s="1"/>
  <c r="S8" i="2"/>
  <c r="R8" i="2"/>
  <c r="Q8" i="2"/>
  <c r="AS8" i="2" s="1"/>
  <c r="AT8" i="2" s="1"/>
  <c r="P8" i="2"/>
  <c r="AH7" i="2"/>
  <c r="AA7" i="2"/>
  <c r="Z7" i="2"/>
  <c r="AN7" i="2" s="1"/>
  <c r="Y7" i="2"/>
  <c r="X7" i="2"/>
  <c r="W7" i="2"/>
  <c r="V7" i="2"/>
  <c r="AE7" i="2" s="1"/>
  <c r="U7" i="2"/>
  <c r="T7" i="2"/>
  <c r="S7" i="2"/>
  <c r="R7" i="2"/>
  <c r="AB7" i="2" s="1"/>
  <c r="Q7" i="2"/>
  <c r="P7" i="2"/>
  <c r="AC7" i="2" s="1"/>
  <c r="AD7" i="2" s="1"/>
  <c r="AH6" i="2"/>
  <c r="AB6" i="2"/>
  <c r="AA6" i="2"/>
  <c r="AN6" i="2" s="1"/>
  <c r="Z6" i="2"/>
  <c r="Y6" i="2"/>
  <c r="X6" i="2"/>
  <c r="W6" i="2"/>
  <c r="V6" i="2"/>
  <c r="U6" i="2"/>
  <c r="T6" i="2"/>
  <c r="S6" i="2"/>
  <c r="R6" i="2"/>
  <c r="Q6" i="2"/>
  <c r="P6" i="2"/>
  <c r="AC6" i="2" s="1"/>
  <c r="AD6" i="2" s="1"/>
  <c r="L5" i="2"/>
  <c r="AO15" i="2" s="1"/>
  <c r="L4" i="2"/>
  <c r="L3" i="2"/>
  <c r="S1292" i="1"/>
  <c r="R1292" i="1"/>
  <c r="Q1292" i="1"/>
  <c r="P1292" i="1"/>
  <c r="S1291" i="1"/>
  <c r="R1291" i="1"/>
  <c r="Q1291" i="1"/>
  <c r="P1291" i="1"/>
  <c r="S1290" i="1"/>
  <c r="R1290" i="1"/>
  <c r="Q1290" i="1"/>
  <c r="P1290" i="1"/>
  <c r="S1289" i="1"/>
  <c r="R1289" i="1"/>
  <c r="Q1289" i="1"/>
  <c r="P1289" i="1"/>
  <c r="S1288" i="1"/>
  <c r="R1288" i="1"/>
  <c r="Q1288" i="1"/>
  <c r="P1288" i="1"/>
  <c r="S1287" i="1"/>
  <c r="R1287" i="1"/>
  <c r="Q1287" i="1"/>
  <c r="P1287" i="1"/>
  <c r="S1286" i="1"/>
  <c r="R1286" i="1"/>
  <c r="Q1286" i="1"/>
  <c r="P1286" i="1"/>
  <c r="S1285" i="1"/>
  <c r="R1285" i="1"/>
  <c r="Q1285" i="1"/>
  <c r="P1285" i="1"/>
  <c r="S1284" i="1"/>
  <c r="R1284" i="1"/>
  <c r="Q1284" i="1"/>
  <c r="P1284" i="1"/>
  <c r="S1283" i="1"/>
  <c r="R1283" i="1"/>
  <c r="Q1283" i="1"/>
  <c r="P1283" i="1"/>
  <c r="S1282" i="1"/>
  <c r="R1282" i="1"/>
  <c r="Q1282" i="1"/>
  <c r="P1282" i="1"/>
  <c r="S1281" i="1"/>
  <c r="R1281" i="1"/>
  <c r="Q1281" i="1"/>
  <c r="P1281" i="1"/>
  <c r="S1280" i="1"/>
  <c r="R1280" i="1"/>
  <c r="Q1280" i="1"/>
  <c r="P1280" i="1"/>
  <c r="S1279" i="1"/>
  <c r="R1279" i="1"/>
  <c r="Q1279" i="1"/>
  <c r="P1279" i="1"/>
  <c r="S1278" i="1"/>
  <c r="R1278" i="1"/>
  <c r="Q1278" i="1"/>
  <c r="P1278" i="1"/>
  <c r="S1277" i="1"/>
  <c r="R1277" i="1"/>
  <c r="Q1277" i="1"/>
  <c r="P1277" i="1"/>
  <c r="S1276" i="1"/>
  <c r="R1276" i="1"/>
  <c r="Q1276" i="1"/>
  <c r="P1276" i="1"/>
  <c r="S1275" i="1"/>
  <c r="R1275" i="1"/>
  <c r="Q1275" i="1"/>
  <c r="P1275" i="1"/>
  <c r="S924" i="1"/>
  <c r="R924" i="1"/>
  <c r="Q924" i="1"/>
  <c r="P924" i="1"/>
  <c r="S923" i="1"/>
  <c r="R923" i="1"/>
  <c r="Q923" i="1"/>
  <c r="P923" i="1"/>
  <c r="S922" i="1"/>
  <c r="R922" i="1"/>
  <c r="Q922" i="1"/>
  <c r="P922" i="1"/>
  <c r="S921" i="1"/>
  <c r="R921" i="1"/>
  <c r="Q921" i="1"/>
  <c r="P921" i="1"/>
  <c r="S920" i="1"/>
  <c r="R920" i="1"/>
  <c r="Q920" i="1"/>
  <c r="P920" i="1"/>
  <c r="S919" i="1"/>
  <c r="R919" i="1"/>
  <c r="Q919" i="1"/>
  <c r="P919" i="1"/>
  <c r="S918" i="1"/>
  <c r="R918" i="1"/>
  <c r="Q918" i="1"/>
  <c r="P918" i="1"/>
  <c r="S917" i="1"/>
  <c r="R917" i="1"/>
  <c r="Q917" i="1"/>
  <c r="P917" i="1"/>
  <c r="S916" i="1"/>
  <c r="R916" i="1"/>
  <c r="Q916" i="1"/>
  <c r="P916" i="1"/>
  <c r="S915" i="1"/>
  <c r="R915" i="1"/>
  <c r="Q915" i="1"/>
  <c r="P915" i="1"/>
  <c r="S914" i="1"/>
  <c r="R914" i="1"/>
  <c r="Q914" i="1"/>
  <c r="P914" i="1"/>
  <c r="S913" i="1"/>
  <c r="R913" i="1"/>
  <c r="Q913" i="1"/>
  <c r="P913" i="1"/>
  <c r="S912" i="1"/>
  <c r="R912" i="1"/>
  <c r="Q912" i="1"/>
  <c r="P912" i="1"/>
  <c r="S911" i="1"/>
  <c r="R911" i="1"/>
  <c r="Q911" i="1"/>
  <c r="P911" i="1"/>
  <c r="S910" i="1"/>
  <c r="R910" i="1"/>
  <c r="Q910" i="1"/>
  <c r="P910" i="1"/>
  <c r="S909" i="1"/>
  <c r="R909" i="1"/>
  <c r="Q909" i="1"/>
  <c r="P909" i="1"/>
  <c r="S908" i="1"/>
  <c r="R908" i="1"/>
  <c r="Q908" i="1"/>
  <c r="P908" i="1"/>
  <c r="S907" i="1"/>
  <c r="R907" i="1"/>
  <c r="Q907" i="1"/>
  <c r="P907" i="1"/>
  <c r="S906" i="1"/>
  <c r="R906" i="1"/>
  <c r="Q906" i="1"/>
  <c r="P906" i="1"/>
  <c r="S905" i="1"/>
  <c r="R905" i="1"/>
  <c r="Q905" i="1"/>
  <c r="P905" i="1"/>
  <c r="S904" i="1"/>
  <c r="R904" i="1"/>
  <c r="Q904" i="1"/>
  <c r="P904" i="1"/>
  <c r="S903" i="1"/>
  <c r="R903" i="1"/>
  <c r="Q903" i="1"/>
  <c r="P903" i="1"/>
  <c r="S902" i="1"/>
  <c r="R902" i="1"/>
  <c r="Q902" i="1"/>
  <c r="P902" i="1"/>
  <c r="S901" i="1"/>
  <c r="R901" i="1"/>
  <c r="Q901" i="1"/>
  <c r="P901" i="1"/>
  <c r="S900" i="1"/>
  <c r="R900" i="1"/>
  <c r="Q900" i="1"/>
  <c r="P900" i="1"/>
  <c r="S899" i="1"/>
  <c r="R899" i="1"/>
  <c r="Q899" i="1"/>
  <c r="P899" i="1"/>
  <c r="S898" i="1"/>
  <c r="R898" i="1"/>
  <c r="Q898" i="1"/>
  <c r="P898" i="1"/>
  <c r="S897" i="1"/>
  <c r="R897" i="1"/>
  <c r="Q897" i="1"/>
  <c r="P897" i="1"/>
  <c r="S896" i="1"/>
  <c r="R896" i="1"/>
  <c r="Q896" i="1"/>
  <c r="P896" i="1"/>
  <c r="S895" i="1"/>
  <c r="R895" i="1"/>
  <c r="Q895" i="1"/>
  <c r="P895" i="1"/>
  <c r="S894" i="1"/>
  <c r="R894" i="1"/>
  <c r="Q894" i="1"/>
  <c r="P894" i="1"/>
  <c r="S893" i="1"/>
  <c r="R893" i="1"/>
  <c r="Q893" i="1"/>
  <c r="P893" i="1"/>
  <c r="S892" i="1"/>
  <c r="R892" i="1"/>
  <c r="Q892" i="1"/>
  <c r="P892" i="1"/>
  <c r="S891" i="1"/>
  <c r="R891" i="1"/>
  <c r="Q891" i="1"/>
  <c r="P891" i="1"/>
  <c r="S890" i="1"/>
  <c r="R890" i="1"/>
  <c r="Q890" i="1"/>
  <c r="P890" i="1"/>
  <c r="S889" i="1"/>
  <c r="R889" i="1"/>
  <c r="Q889" i="1"/>
  <c r="P889" i="1"/>
  <c r="S888" i="1"/>
  <c r="R888" i="1"/>
  <c r="Q888" i="1"/>
  <c r="P888" i="1"/>
  <c r="S887" i="1"/>
  <c r="R887" i="1"/>
  <c r="Q887" i="1"/>
  <c r="P887" i="1"/>
  <c r="S886" i="1"/>
  <c r="R886" i="1"/>
  <c r="Q886" i="1"/>
  <c r="P886" i="1"/>
  <c r="S885" i="1"/>
  <c r="R885" i="1"/>
  <c r="Q885" i="1"/>
  <c r="P885" i="1"/>
  <c r="S884" i="1"/>
  <c r="R884" i="1"/>
  <c r="Q884" i="1"/>
  <c r="P884" i="1"/>
  <c r="S883" i="1"/>
  <c r="R883" i="1"/>
  <c r="Q883" i="1"/>
  <c r="P883" i="1"/>
  <c r="S882" i="1"/>
  <c r="R882" i="1"/>
  <c r="Q882" i="1"/>
  <c r="P882" i="1"/>
  <c r="S881" i="1"/>
  <c r="R881" i="1"/>
  <c r="Q881" i="1"/>
  <c r="P881" i="1"/>
  <c r="S880" i="1"/>
  <c r="R880" i="1"/>
  <c r="Q880" i="1"/>
  <c r="P880" i="1"/>
  <c r="S879" i="1"/>
  <c r="R879" i="1"/>
  <c r="Q879" i="1"/>
  <c r="P879" i="1"/>
  <c r="S878" i="1"/>
  <c r="R878" i="1"/>
  <c r="Q878" i="1"/>
  <c r="P878" i="1"/>
  <c r="S877" i="1"/>
  <c r="R877" i="1"/>
  <c r="Q877" i="1"/>
  <c r="P877" i="1"/>
  <c r="S876" i="1"/>
  <c r="R876" i="1"/>
  <c r="Q876" i="1"/>
  <c r="P876" i="1"/>
  <c r="S875" i="1"/>
  <c r="R875" i="1"/>
  <c r="Q875" i="1"/>
  <c r="P875" i="1"/>
  <c r="S874" i="1"/>
  <c r="R874" i="1"/>
  <c r="Q874" i="1"/>
  <c r="P874" i="1"/>
  <c r="S873" i="1"/>
  <c r="R873" i="1"/>
  <c r="Q873" i="1"/>
  <c r="P873" i="1"/>
  <c r="S872" i="1"/>
  <c r="R872" i="1"/>
  <c r="Q872" i="1"/>
  <c r="P872" i="1"/>
  <c r="S871" i="1"/>
  <c r="R871" i="1"/>
  <c r="Q871" i="1"/>
  <c r="P871" i="1"/>
  <c r="S870" i="1"/>
  <c r="R870" i="1"/>
  <c r="Q870" i="1"/>
  <c r="P870" i="1"/>
  <c r="S869" i="1"/>
  <c r="R869" i="1"/>
  <c r="Q869" i="1"/>
  <c r="P869" i="1"/>
  <c r="S868" i="1"/>
  <c r="R868" i="1"/>
  <c r="Q868" i="1"/>
  <c r="P868" i="1"/>
  <c r="S867" i="1"/>
  <c r="R867" i="1"/>
  <c r="Q867" i="1"/>
  <c r="P867" i="1"/>
  <c r="S866" i="1"/>
  <c r="R866" i="1"/>
  <c r="Q866" i="1"/>
  <c r="P866" i="1"/>
  <c r="S865" i="1"/>
  <c r="R865" i="1"/>
  <c r="Q865" i="1"/>
  <c r="P865" i="1"/>
  <c r="S864" i="1"/>
  <c r="R864" i="1"/>
  <c r="Q864" i="1"/>
  <c r="P864" i="1"/>
  <c r="S863" i="1"/>
  <c r="R863" i="1"/>
  <c r="Q863" i="1"/>
  <c r="P863" i="1"/>
  <c r="S862" i="1"/>
  <c r="R862" i="1"/>
  <c r="Q862" i="1"/>
  <c r="P862" i="1"/>
  <c r="S861" i="1"/>
  <c r="R861" i="1"/>
  <c r="Q861" i="1"/>
  <c r="P861" i="1"/>
  <c r="S860" i="1"/>
  <c r="R860" i="1"/>
  <c r="Q860" i="1"/>
  <c r="P860" i="1"/>
  <c r="S859" i="1"/>
  <c r="R859" i="1"/>
  <c r="Q859" i="1"/>
  <c r="P859" i="1"/>
  <c r="S858" i="1"/>
  <c r="R858" i="1"/>
  <c r="Q858" i="1"/>
  <c r="P858" i="1"/>
  <c r="S857" i="1"/>
  <c r="R857" i="1"/>
  <c r="Q857" i="1"/>
  <c r="P857" i="1"/>
  <c r="S856" i="1"/>
  <c r="R856" i="1"/>
  <c r="Q856" i="1"/>
  <c r="P856" i="1"/>
  <c r="S855" i="1"/>
  <c r="R855" i="1"/>
  <c r="Q855" i="1"/>
  <c r="P855" i="1"/>
  <c r="S854" i="1"/>
  <c r="R854" i="1"/>
  <c r="Q854" i="1"/>
  <c r="P854" i="1"/>
  <c r="S853" i="1"/>
  <c r="R853" i="1"/>
  <c r="Q853" i="1"/>
  <c r="P853" i="1"/>
  <c r="S852" i="1"/>
  <c r="R852" i="1"/>
  <c r="Q852" i="1"/>
  <c r="P852" i="1"/>
  <c r="S851" i="1"/>
  <c r="R851" i="1"/>
  <c r="Q851" i="1"/>
  <c r="P851" i="1"/>
  <c r="S850" i="1"/>
  <c r="R850" i="1"/>
  <c r="Q850" i="1"/>
  <c r="P850" i="1"/>
  <c r="S849" i="1"/>
  <c r="R849" i="1"/>
  <c r="Q849" i="1"/>
  <c r="P849" i="1"/>
  <c r="S848" i="1"/>
  <c r="R848" i="1"/>
  <c r="Q848" i="1"/>
  <c r="P848" i="1"/>
  <c r="S847" i="1"/>
  <c r="R847" i="1"/>
  <c r="Q847" i="1"/>
  <c r="P847" i="1"/>
  <c r="S846" i="1"/>
  <c r="R846" i="1"/>
  <c r="Q846" i="1"/>
  <c r="P846" i="1"/>
  <c r="S845" i="1"/>
  <c r="R845" i="1"/>
  <c r="Q845" i="1"/>
  <c r="P845" i="1"/>
  <c r="S844" i="1"/>
  <c r="R844" i="1"/>
  <c r="Q844" i="1"/>
  <c r="P844" i="1"/>
  <c r="S843" i="1"/>
  <c r="R843" i="1"/>
  <c r="Q843" i="1"/>
  <c r="P843" i="1"/>
  <c r="S842" i="1"/>
  <c r="R842" i="1"/>
  <c r="Q842" i="1"/>
  <c r="P842" i="1"/>
  <c r="S841" i="1"/>
  <c r="R841" i="1"/>
  <c r="Q841" i="1"/>
  <c r="P841" i="1"/>
  <c r="S840" i="1"/>
  <c r="R840" i="1"/>
  <c r="Q840" i="1"/>
  <c r="P840" i="1"/>
  <c r="S839" i="1"/>
  <c r="R839" i="1"/>
  <c r="Q839" i="1"/>
  <c r="P839" i="1"/>
  <c r="S838" i="1"/>
  <c r="R838" i="1"/>
  <c r="Q838" i="1"/>
  <c r="P838" i="1"/>
  <c r="S837" i="1"/>
  <c r="R837" i="1"/>
  <c r="Q837" i="1"/>
  <c r="P837" i="1"/>
  <c r="S836" i="1"/>
  <c r="R836" i="1"/>
  <c r="Q836" i="1"/>
  <c r="P836" i="1"/>
  <c r="S835" i="1"/>
  <c r="R835" i="1"/>
  <c r="Q835" i="1"/>
  <c r="P835" i="1"/>
  <c r="S834" i="1"/>
  <c r="R834" i="1"/>
  <c r="Q834" i="1"/>
  <c r="P834" i="1"/>
  <c r="S833" i="1"/>
  <c r="R833" i="1"/>
  <c r="Q833" i="1"/>
  <c r="P833" i="1"/>
  <c r="S832" i="1"/>
  <c r="R832" i="1"/>
  <c r="Q832" i="1"/>
  <c r="P832" i="1"/>
  <c r="S831" i="1"/>
  <c r="R831" i="1"/>
  <c r="Q831" i="1"/>
  <c r="P831" i="1"/>
  <c r="S830" i="1"/>
  <c r="R830" i="1"/>
  <c r="Q830" i="1"/>
  <c r="P830" i="1"/>
  <c r="S829" i="1"/>
  <c r="R829" i="1"/>
  <c r="Q829" i="1"/>
  <c r="P829" i="1"/>
  <c r="S828" i="1"/>
  <c r="R828" i="1"/>
  <c r="Q828" i="1"/>
  <c r="P828" i="1"/>
  <c r="S827" i="1"/>
  <c r="R827" i="1"/>
  <c r="Q827" i="1"/>
  <c r="P827" i="1"/>
  <c r="S826" i="1"/>
  <c r="R826" i="1"/>
  <c r="Q826" i="1"/>
  <c r="P826" i="1"/>
  <c r="S825" i="1"/>
  <c r="R825" i="1"/>
  <c r="Q825" i="1"/>
  <c r="P825" i="1"/>
  <c r="S824" i="1"/>
  <c r="R824" i="1"/>
  <c r="Q824" i="1"/>
  <c r="P824" i="1"/>
  <c r="S823" i="1"/>
  <c r="R823" i="1"/>
  <c r="Q823" i="1"/>
  <c r="P823" i="1"/>
  <c r="S822" i="1"/>
  <c r="R822" i="1"/>
  <c r="Q822" i="1"/>
  <c r="P822" i="1"/>
  <c r="S821" i="1"/>
  <c r="R821" i="1"/>
  <c r="Q821" i="1"/>
  <c r="P821" i="1"/>
  <c r="S820" i="1"/>
  <c r="R820" i="1"/>
  <c r="Q820" i="1"/>
  <c r="P820" i="1"/>
  <c r="S819" i="1"/>
  <c r="R819" i="1"/>
  <c r="Q819" i="1"/>
  <c r="P819" i="1"/>
  <c r="S818" i="1"/>
  <c r="R818" i="1"/>
  <c r="Q818" i="1"/>
  <c r="P818" i="1"/>
  <c r="S817" i="1"/>
  <c r="R817" i="1"/>
  <c r="Q817" i="1"/>
  <c r="P817" i="1"/>
  <c r="S816" i="1"/>
  <c r="R816" i="1"/>
  <c r="Q816" i="1"/>
  <c r="P816" i="1"/>
  <c r="S815" i="1"/>
  <c r="R815" i="1"/>
  <c r="Q815" i="1"/>
  <c r="P815" i="1"/>
  <c r="S814" i="1"/>
  <c r="R814" i="1"/>
  <c r="Q814" i="1"/>
  <c r="P814" i="1"/>
  <c r="S813" i="1"/>
  <c r="R813" i="1"/>
  <c r="Q813" i="1"/>
  <c r="P813" i="1"/>
  <c r="S812" i="1"/>
  <c r="R812" i="1"/>
  <c r="Q812" i="1"/>
  <c r="P812" i="1"/>
  <c r="S811" i="1"/>
  <c r="R811" i="1"/>
  <c r="Q811" i="1"/>
  <c r="P811" i="1"/>
  <c r="S810" i="1"/>
  <c r="R810" i="1"/>
  <c r="Q810" i="1"/>
  <c r="P810" i="1"/>
  <c r="S809" i="1"/>
  <c r="R809" i="1"/>
  <c r="Q809" i="1"/>
  <c r="P809" i="1"/>
  <c r="S808" i="1"/>
  <c r="R808" i="1"/>
  <c r="Q808" i="1"/>
  <c r="P808" i="1"/>
  <c r="S807" i="1"/>
  <c r="R807" i="1"/>
  <c r="Q807" i="1"/>
  <c r="P807" i="1"/>
  <c r="S806" i="1"/>
  <c r="R806" i="1"/>
  <c r="Q806" i="1"/>
  <c r="P806" i="1"/>
  <c r="S805" i="1"/>
  <c r="R805" i="1"/>
  <c r="Q805" i="1"/>
  <c r="P805" i="1"/>
  <c r="S804" i="1"/>
  <c r="R804" i="1"/>
  <c r="Q804" i="1"/>
  <c r="P804" i="1"/>
  <c r="S803" i="1"/>
  <c r="R803" i="1"/>
  <c r="Q803" i="1"/>
  <c r="P803" i="1"/>
  <c r="S802" i="1"/>
  <c r="R802" i="1"/>
  <c r="Q802" i="1"/>
  <c r="P802" i="1"/>
  <c r="S801" i="1"/>
  <c r="R801" i="1"/>
  <c r="Q801" i="1"/>
  <c r="P801" i="1"/>
  <c r="S800" i="1"/>
  <c r="R800" i="1"/>
  <c r="Q800" i="1"/>
  <c r="P800" i="1"/>
  <c r="S799" i="1"/>
  <c r="R799" i="1"/>
  <c r="Q799" i="1"/>
  <c r="P799" i="1"/>
  <c r="S798" i="1"/>
  <c r="R798" i="1"/>
  <c r="Q798" i="1"/>
  <c r="P798" i="1"/>
  <c r="S797" i="1"/>
  <c r="R797" i="1"/>
  <c r="Q797" i="1"/>
  <c r="P797" i="1"/>
  <c r="S796" i="1"/>
  <c r="R796" i="1"/>
  <c r="Q796" i="1"/>
  <c r="P796" i="1"/>
  <c r="S795" i="1"/>
  <c r="R795" i="1"/>
  <c r="Q795" i="1"/>
  <c r="P795" i="1"/>
  <c r="S794" i="1"/>
  <c r="R794" i="1"/>
  <c r="Q794" i="1"/>
  <c r="P794" i="1"/>
  <c r="S793" i="1"/>
  <c r="R793" i="1"/>
  <c r="Q793" i="1"/>
  <c r="P793" i="1"/>
  <c r="S792" i="1"/>
  <c r="R792" i="1"/>
  <c r="Q792" i="1"/>
  <c r="P792" i="1"/>
  <c r="S791" i="1"/>
  <c r="R791" i="1"/>
  <c r="Q791" i="1"/>
  <c r="P791" i="1"/>
  <c r="S790" i="1"/>
  <c r="R790" i="1"/>
  <c r="Q790" i="1"/>
  <c r="P790" i="1"/>
  <c r="S789" i="1"/>
  <c r="R789" i="1"/>
  <c r="Q789" i="1"/>
  <c r="P789" i="1"/>
  <c r="S788" i="1"/>
  <c r="R788" i="1"/>
  <c r="Q788" i="1"/>
  <c r="P788" i="1"/>
  <c r="S787" i="1"/>
  <c r="R787" i="1"/>
  <c r="Q787" i="1"/>
  <c r="P787" i="1"/>
  <c r="S786" i="1"/>
  <c r="R786" i="1"/>
  <c r="Q786" i="1"/>
  <c r="P786" i="1"/>
  <c r="S785" i="1"/>
  <c r="R785" i="1"/>
  <c r="Q785" i="1"/>
  <c r="P785" i="1"/>
  <c r="S784" i="1"/>
  <c r="R784" i="1"/>
  <c r="Q784" i="1"/>
  <c r="P784" i="1"/>
  <c r="S783" i="1"/>
  <c r="R783" i="1"/>
  <c r="Q783" i="1"/>
  <c r="P783" i="1"/>
  <c r="S782" i="1"/>
  <c r="R782" i="1"/>
  <c r="Q782" i="1"/>
  <c r="P782" i="1"/>
  <c r="S781" i="1"/>
  <c r="R781" i="1"/>
  <c r="Q781" i="1"/>
  <c r="P781" i="1"/>
  <c r="S780" i="1"/>
  <c r="R780" i="1"/>
  <c r="Q780" i="1"/>
  <c r="P780" i="1"/>
  <c r="S779" i="1"/>
  <c r="R779" i="1"/>
  <c r="Q779" i="1"/>
  <c r="P779" i="1"/>
  <c r="S778" i="1"/>
  <c r="R778" i="1"/>
  <c r="Q778" i="1"/>
  <c r="P778" i="1"/>
  <c r="S777" i="1"/>
  <c r="R777" i="1"/>
  <c r="Q777" i="1"/>
  <c r="P777" i="1"/>
  <c r="S776" i="1"/>
  <c r="R776" i="1"/>
  <c r="Q776" i="1"/>
  <c r="P776" i="1"/>
  <c r="S775" i="1"/>
  <c r="R775" i="1"/>
  <c r="Q775" i="1"/>
  <c r="P775" i="1"/>
  <c r="S774" i="1"/>
  <c r="R774" i="1"/>
  <c r="Q774" i="1"/>
  <c r="P774" i="1"/>
  <c r="S773" i="1"/>
  <c r="R773" i="1"/>
  <c r="Q773" i="1"/>
  <c r="P773" i="1"/>
  <c r="S772" i="1"/>
  <c r="R772" i="1"/>
  <c r="Q772" i="1"/>
  <c r="P772" i="1"/>
  <c r="S771" i="1"/>
  <c r="R771" i="1"/>
  <c r="Q771" i="1"/>
  <c r="P771" i="1"/>
  <c r="S770" i="1"/>
  <c r="R770" i="1"/>
  <c r="Q770" i="1"/>
  <c r="P770" i="1"/>
  <c r="S769" i="1"/>
  <c r="R769" i="1"/>
  <c r="Q769" i="1"/>
  <c r="P769" i="1"/>
  <c r="S768" i="1"/>
  <c r="R768" i="1"/>
  <c r="Q768" i="1"/>
  <c r="P768" i="1"/>
  <c r="S767" i="1"/>
  <c r="R767" i="1"/>
  <c r="Q767" i="1"/>
  <c r="P767" i="1"/>
  <c r="S766" i="1"/>
  <c r="R766" i="1"/>
  <c r="Q766" i="1"/>
  <c r="P766" i="1"/>
  <c r="S765" i="1"/>
  <c r="R765" i="1"/>
  <c r="Q765" i="1"/>
  <c r="P765" i="1"/>
  <c r="S764" i="1"/>
  <c r="R764" i="1"/>
  <c r="Q764" i="1"/>
  <c r="P764" i="1"/>
  <c r="S763" i="1"/>
  <c r="R763" i="1"/>
  <c r="Q763" i="1"/>
  <c r="P763" i="1"/>
  <c r="S762" i="1"/>
  <c r="R762" i="1"/>
  <c r="Q762" i="1"/>
  <c r="P762" i="1"/>
  <c r="S761" i="1"/>
  <c r="R761" i="1"/>
  <c r="Q761" i="1"/>
  <c r="P761" i="1"/>
  <c r="S760" i="1"/>
  <c r="R760" i="1"/>
  <c r="Q760" i="1"/>
  <c r="P760" i="1"/>
  <c r="S759" i="1"/>
  <c r="R759" i="1"/>
  <c r="Q759" i="1"/>
  <c r="P759" i="1"/>
  <c r="S758" i="1"/>
  <c r="R758" i="1"/>
  <c r="Q758" i="1"/>
  <c r="P758" i="1"/>
  <c r="S757" i="1"/>
  <c r="R757" i="1"/>
  <c r="Q757" i="1"/>
  <c r="P757" i="1"/>
  <c r="S756" i="1"/>
  <c r="R756" i="1"/>
  <c r="Q756" i="1"/>
  <c r="P756" i="1"/>
  <c r="S755" i="1"/>
  <c r="R755" i="1"/>
  <c r="Q755" i="1"/>
  <c r="P755" i="1"/>
  <c r="S754" i="1"/>
  <c r="R754" i="1"/>
  <c r="Q754" i="1"/>
  <c r="P754" i="1"/>
  <c r="S753" i="1"/>
  <c r="R753" i="1"/>
  <c r="Q753" i="1"/>
  <c r="P753" i="1"/>
  <c r="S752" i="1"/>
  <c r="R752" i="1"/>
  <c r="Q752" i="1"/>
  <c r="P752" i="1"/>
  <c r="S751" i="1"/>
  <c r="R751" i="1"/>
  <c r="Q751" i="1"/>
  <c r="P751" i="1"/>
  <c r="S750" i="1"/>
  <c r="R750" i="1"/>
  <c r="Q750" i="1"/>
  <c r="P750" i="1"/>
  <c r="S749" i="1"/>
  <c r="R749" i="1"/>
  <c r="Q749" i="1"/>
  <c r="P749" i="1"/>
  <c r="S748" i="1"/>
  <c r="R748" i="1"/>
  <c r="Q748" i="1"/>
  <c r="P748" i="1"/>
  <c r="S747" i="1"/>
  <c r="R747" i="1"/>
  <c r="Q747" i="1"/>
  <c r="P747" i="1"/>
  <c r="S746" i="1"/>
  <c r="R746" i="1"/>
  <c r="Q746" i="1"/>
  <c r="P746" i="1"/>
  <c r="S745" i="1"/>
  <c r="R745" i="1"/>
  <c r="Q745" i="1"/>
  <c r="P745" i="1"/>
  <c r="S744" i="1"/>
  <c r="R744" i="1"/>
  <c r="Q744" i="1"/>
  <c r="P744" i="1"/>
  <c r="S743" i="1"/>
  <c r="R743" i="1"/>
  <c r="Q743" i="1"/>
  <c r="P743" i="1"/>
  <c r="S742" i="1"/>
  <c r="R742" i="1"/>
  <c r="Q742" i="1"/>
  <c r="P742" i="1"/>
  <c r="S741" i="1"/>
  <c r="R741" i="1"/>
  <c r="Q741" i="1"/>
  <c r="P741" i="1"/>
  <c r="S740" i="1"/>
  <c r="R740" i="1"/>
  <c r="Q740" i="1"/>
  <c r="P740" i="1"/>
  <c r="S739" i="1"/>
  <c r="R739" i="1"/>
  <c r="Q739" i="1"/>
  <c r="P739" i="1"/>
  <c r="S738" i="1"/>
  <c r="R738" i="1"/>
  <c r="Q738" i="1"/>
  <c r="P738" i="1"/>
  <c r="S737" i="1"/>
  <c r="R737" i="1"/>
  <c r="Q737" i="1"/>
  <c r="P737" i="1"/>
  <c r="S736" i="1"/>
  <c r="R736" i="1"/>
  <c r="Q736" i="1"/>
  <c r="P736" i="1"/>
  <c r="S735" i="1"/>
  <c r="R735" i="1"/>
  <c r="Q735" i="1"/>
  <c r="P735" i="1"/>
  <c r="S734" i="1"/>
  <c r="R734" i="1"/>
  <c r="Q734" i="1"/>
  <c r="P734" i="1"/>
  <c r="S733" i="1"/>
  <c r="R733" i="1"/>
  <c r="Q733" i="1"/>
  <c r="P733" i="1"/>
  <c r="S732" i="1"/>
  <c r="R732" i="1"/>
  <c r="Q732" i="1"/>
  <c r="P732" i="1"/>
  <c r="S731" i="1"/>
  <c r="R731" i="1"/>
  <c r="Q731" i="1"/>
  <c r="P731" i="1"/>
  <c r="S730" i="1"/>
  <c r="R730" i="1"/>
  <c r="Q730" i="1"/>
  <c r="P730" i="1"/>
  <c r="S729" i="1"/>
  <c r="R729" i="1"/>
  <c r="Q729" i="1"/>
  <c r="P729" i="1"/>
  <c r="S728" i="1"/>
  <c r="R728" i="1"/>
  <c r="Q728" i="1"/>
  <c r="P728" i="1"/>
  <c r="S727" i="1"/>
  <c r="R727" i="1"/>
  <c r="Q727" i="1"/>
  <c r="P727" i="1"/>
  <c r="S726" i="1"/>
  <c r="R726" i="1"/>
  <c r="Q726" i="1"/>
  <c r="P726" i="1"/>
  <c r="S725" i="1"/>
  <c r="R725" i="1"/>
  <c r="Q725" i="1"/>
  <c r="P725" i="1"/>
  <c r="S724" i="1"/>
  <c r="R724" i="1"/>
  <c r="Q724" i="1"/>
  <c r="P724" i="1"/>
  <c r="S723" i="1"/>
  <c r="R723" i="1"/>
  <c r="Q723" i="1"/>
  <c r="P723" i="1"/>
  <c r="S722" i="1"/>
  <c r="R722" i="1"/>
  <c r="Q722" i="1"/>
  <c r="P722" i="1"/>
  <c r="S721" i="1"/>
  <c r="R721" i="1"/>
  <c r="Q721" i="1"/>
  <c r="P721" i="1"/>
  <c r="S720" i="1"/>
  <c r="R720" i="1"/>
  <c r="Q720" i="1"/>
  <c r="P720" i="1"/>
  <c r="S719" i="1"/>
  <c r="R719" i="1"/>
  <c r="Q719" i="1"/>
  <c r="P719" i="1"/>
  <c r="S718" i="1"/>
  <c r="R718" i="1"/>
  <c r="Q718" i="1"/>
  <c r="P718" i="1"/>
  <c r="S717" i="1"/>
  <c r="R717" i="1"/>
  <c r="Q717" i="1"/>
  <c r="P717" i="1"/>
  <c r="S716" i="1"/>
  <c r="R716" i="1"/>
  <c r="Q716" i="1"/>
  <c r="P716" i="1"/>
  <c r="S715" i="1"/>
  <c r="R715" i="1"/>
  <c r="Q715" i="1"/>
  <c r="P715" i="1"/>
  <c r="S714" i="1"/>
  <c r="R714" i="1"/>
  <c r="Q714" i="1"/>
  <c r="P714" i="1"/>
  <c r="S713" i="1"/>
  <c r="R713" i="1"/>
  <c r="Q713" i="1"/>
  <c r="P713" i="1"/>
  <c r="S712" i="1"/>
  <c r="R712" i="1"/>
  <c r="Q712" i="1"/>
  <c r="P712" i="1"/>
  <c r="S711" i="1"/>
  <c r="R711" i="1"/>
  <c r="Q711" i="1"/>
  <c r="P711" i="1"/>
  <c r="S710" i="1"/>
  <c r="R710" i="1"/>
  <c r="Q710" i="1"/>
  <c r="P710" i="1"/>
  <c r="S709" i="1"/>
  <c r="R709" i="1"/>
  <c r="Q709" i="1"/>
  <c r="P709" i="1"/>
  <c r="S708" i="1"/>
  <c r="R708" i="1"/>
  <c r="Q708" i="1"/>
  <c r="P708" i="1"/>
  <c r="S707" i="1"/>
  <c r="R707" i="1"/>
  <c r="Q707" i="1"/>
  <c r="P707" i="1"/>
  <c r="S706" i="1"/>
  <c r="R706" i="1"/>
  <c r="Q706" i="1"/>
  <c r="P706" i="1"/>
  <c r="S705" i="1"/>
  <c r="R705" i="1"/>
  <c r="Q705" i="1"/>
  <c r="P705" i="1"/>
  <c r="S704" i="1"/>
  <c r="R704" i="1"/>
  <c r="Q704" i="1"/>
  <c r="P704" i="1"/>
  <c r="S703" i="1"/>
  <c r="R703" i="1"/>
  <c r="Q703" i="1"/>
  <c r="P703" i="1"/>
  <c r="S702" i="1"/>
  <c r="R702" i="1"/>
  <c r="Q702" i="1"/>
  <c r="P702" i="1"/>
  <c r="S701" i="1"/>
  <c r="R701" i="1"/>
  <c r="Q701" i="1"/>
  <c r="P701" i="1"/>
  <c r="S700" i="1"/>
  <c r="R700" i="1"/>
  <c r="Q700" i="1"/>
  <c r="P700" i="1"/>
  <c r="S699" i="1"/>
  <c r="R699" i="1"/>
  <c r="Q699" i="1"/>
  <c r="P699" i="1"/>
  <c r="S698" i="1"/>
  <c r="R698" i="1"/>
  <c r="Q698" i="1"/>
  <c r="P698" i="1"/>
  <c r="S697" i="1"/>
  <c r="R697" i="1"/>
  <c r="Q697" i="1"/>
  <c r="P697" i="1"/>
  <c r="S696" i="1"/>
  <c r="R696" i="1"/>
  <c r="Q696" i="1"/>
  <c r="P696" i="1"/>
  <c r="S695" i="1"/>
  <c r="R695" i="1"/>
  <c r="Q695" i="1"/>
  <c r="P695" i="1"/>
  <c r="S694" i="1"/>
  <c r="R694" i="1"/>
  <c r="Q694" i="1"/>
  <c r="P694" i="1"/>
  <c r="S693" i="1"/>
  <c r="R693" i="1"/>
  <c r="Q693" i="1"/>
  <c r="P693" i="1"/>
  <c r="S692" i="1"/>
  <c r="R692" i="1"/>
  <c r="Q692" i="1"/>
  <c r="P692" i="1"/>
  <c r="S691" i="1"/>
  <c r="R691" i="1"/>
  <c r="Q691" i="1"/>
  <c r="P691" i="1"/>
  <c r="S690" i="1"/>
  <c r="R690" i="1"/>
  <c r="Q690" i="1"/>
  <c r="P690" i="1"/>
  <c r="S689" i="1"/>
  <c r="R689" i="1"/>
  <c r="Q689" i="1"/>
  <c r="P689" i="1"/>
  <c r="S688" i="1"/>
  <c r="R688" i="1"/>
  <c r="Q688" i="1"/>
  <c r="P688" i="1"/>
  <c r="S687" i="1"/>
  <c r="R687" i="1"/>
  <c r="Q687" i="1"/>
  <c r="P687" i="1"/>
  <c r="S686" i="1"/>
  <c r="R686" i="1"/>
  <c r="Q686" i="1"/>
  <c r="P686" i="1"/>
  <c r="S685" i="1"/>
  <c r="R685" i="1"/>
  <c r="Q685" i="1"/>
  <c r="P685" i="1"/>
  <c r="S684" i="1"/>
  <c r="R684" i="1"/>
  <c r="Q684" i="1"/>
  <c r="P684" i="1"/>
  <c r="S683" i="1"/>
  <c r="R683" i="1"/>
  <c r="Q683" i="1"/>
  <c r="P683" i="1"/>
  <c r="S682" i="1"/>
  <c r="R682" i="1"/>
  <c r="Q682" i="1"/>
  <c r="P682" i="1"/>
  <c r="S681" i="1"/>
  <c r="R681" i="1"/>
  <c r="Q681" i="1"/>
  <c r="P681" i="1"/>
  <c r="S680" i="1"/>
  <c r="R680" i="1"/>
  <c r="Q680" i="1"/>
  <c r="P680" i="1"/>
  <c r="S679" i="1"/>
  <c r="R679" i="1"/>
  <c r="Q679" i="1"/>
  <c r="P679" i="1"/>
  <c r="S678" i="1"/>
  <c r="R678" i="1"/>
  <c r="Q678" i="1"/>
  <c r="P678" i="1"/>
  <c r="S677" i="1"/>
  <c r="R677" i="1"/>
  <c r="Q677" i="1"/>
  <c r="P677" i="1"/>
  <c r="S676" i="1"/>
  <c r="R676" i="1"/>
  <c r="Q676" i="1"/>
  <c r="P676" i="1"/>
  <c r="S675" i="1"/>
  <c r="R675" i="1"/>
  <c r="Q675" i="1"/>
  <c r="P675" i="1"/>
  <c r="S674" i="1"/>
  <c r="R674" i="1"/>
  <c r="Q674" i="1"/>
  <c r="P674" i="1"/>
  <c r="S673" i="1"/>
  <c r="R673" i="1"/>
  <c r="Q673" i="1"/>
  <c r="P673" i="1"/>
  <c r="S672" i="1"/>
  <c r="R672" i="1"/>
  <c r="Q672" i="1"/>
  <c r="P672" i="1"/>
  <c r="S671" i="1"/>
  <c r="R671" i="1"/>
  <c r="Q671" i="1"/>
  <c r="P671" i="1"/>
  <c r="S670" i="1"/>
  <c r="R670" i="1"/>
  <c r="Q670" i="1"/>
  <c r="P670" i="1"/>
  <c r="S669" i="1"/>
  <c r="R669" i="1"/>
  <c r="Q669" i="1"/>
  <c r="P669" i="1"/>
  <c r="S668" i="1"/>
  <c r="R668" i="1"/>
  <c r="Q668" i="1"/>
  <c r="P668" i="1"/>
  <c r="S667" i="1"/>
  <c r="R667" i="1"/>
  <c r="Q667" i="1"/>
  <c r="P667" i="1"/>
  <c r="S666" i="1"/>
  <c r="R666" i="1"/>
  <c r="Q666" i="1"/>
  <c r="P666" i="1"/>
  <c r="S665" i="1"/>
  <c r="R665" i="1"/>
  <c r="Q665" i="1"/>
  <c r="P665" i="1"/>
  <c r="S664" i="1"/>
  <c r="R664" i="1"/>
  <c r="Q664" i="1"/>
  <c r="P664" i="1"/>
  <c r="S663" i="1"/>
  <c r="R663" i="1"/>
  <c r="Q663" i="1"/>
  <c r="P663" i="1"/>
  <c r="S662" i="1"/>
  <c r="R662" i="1"/>
  <c r="Q662" i="1"/>
  <c r="P662" i="1"/>
  <c r="S661" i="1"/>
  <c r="R661" i="1"/>
  <c r="Q661" i="1"/>
  <c r="P661" i="1"/>
  <c r="S660" i="1"/>
  <c r="R660" i="1"/>
  <c r="Q660" i="1"/>
  <c r="P660" i="1"/>
  <c r="S659" i="1"/>
  <c r="R659" i="1"/>
  <c r="Q659" i="1"/>
  <c r="P659" i="1"/>
  <c r="S658" i="1"/>
  <c r="R658" i="1"/>
  <c r="Q658" i="1"/>
  <c r="P658" i="1"/>
  <c r="S657" i="1"/>
  <c r="R657" i="1"/>
  <c r="Q657" i="1"/>
  <c r="P657" i="1"/>
  <c r="S656" i="1"/>
  <c r="R656" i="1"/>
  <c r="Q656" i="1"/>
  <c r="P656" i="1"/>
  <c r="S655" i="1"/>
  <c r="R655" i="1"/>
  <c r="Q655" i="1"/>
  <c r="P655" i="1"/>
  <c r="S654" i="1"/>
  <c r="R654" i="1"/>
  <c r="Q654" i="1"/>
  <c r="P654" i="1"/>
  <c r="S653" i="1"/>
  <c r="R653" i="1"/>
  <c r="Q653" i="1"/>
  <c r="P653" i="1"/>
  <c r="S652" i="1"/>
  <c r="R652" i="1"/>
  <c r="Q652" i="1"/>
  <c r="P652" i="1"/>
  <c r="S651" i="1"/>
  <c r="R651" i="1"/>
  <c r="Q651" i="1"/>
  <c r="P651" i="1"/>
  <c r="S650" i="1"/>
  <c r="R650" i="1"/>
  <c r="Q650" i="1"/>
  <c r="P650" i="1"/>
  <c r="S649" i="1"/>
  <c r="R649" i="1"/>
  <c r="Q649" i="1"/>
  <c r="P649" i="1"/>
  <c r="S648" i="1"/>
  <c r="R648" i="1"/>
  <c r="Q648" i="1"/>
  <c r="P648" i="1"/>
  <c r="S647" i="1"/>
  <c r="R647" i="1"/>
  <c r="Q647" i="1"/>
  <c r="P647" i="1"/>
  <c r="S646" i="1"/>
  <c r="R646" i="1"/>
  <c r="Q646" i="1"/>
  <c r="P646" i="1"/>
  <c r="S645" i="1"/>
  <c r="R645" i="1"/>
  <c r="Q645" i="1"/>
  <c r="P645" i="1"/>
  <c r="S644" i="1"/>
  <c r="R644" i="1"/>
  <c r="Q644" i="1"/>
  <c r="P644" i="1"/>
  <c r="S643" i="1"/>
  <c r="R643" i="1"/>
  <c r="Q643" i="1"/>
  <c r="P643" i="1"/>
  <c r="S642" i="1"/>
  <c r="R642" i="1"/>
  <c r="Q642" i="1"/>
  <c r="P642" i="1"/>
  <c r="S641" i="1"/>
  <c r="R641" i="1"/>
  <c r="Q641" i="1"/>
  <c r="P641" i="1"/>
  <c r="S640" i="1"/>
  <c r="R640" i="1"/>
  <c r="Q640" i="1"/>
  <c r="P640" i="1"/>
  <c r="S639" i="1"/>
  <c r="R639" i="1"/>
  <c r="Q639" i="1"/>
  <c r="P639" i="1"/>
  <c r="S638" i="1"/>
  <c r="R638" i="1"/>
  <c r="Q638" i="1"/>
  <c r="P638" i="1"/>
  <c r="S637" i="1"/>
  <c r="R637" i="1"/>
  <c r="Q637" i="1"/>
  <c r="P637" i="1"/>
  <c r="S636" i="1"/>
  <c r="R636" i="1"/>
  <c r="Q636" i="1"/>
  <c r="P636" i="1"/>
  <c r="S635" i="1"/>
  <c r="R635" i="1"/>
  <c r="Q635" i="1"/>
  <c r="P635" i="1"/>
  <c r="S634" i="1"/>
  <c r="R634" i="1"/>
  <c r="Q634" i="1"/>
  <c r="P634" i="1"/>
  <c r="S633" i="1"/>
  <c r="R633" i="1"/>
  <c r="Q633" i="1"/>
  <c r="P633" i="1"/>
  <c r="S632" i="1"/>
  <c r="R632" i="1"/>
  <c r="Q632" i="1"/>
  <c r="P632" i="1"/>
  <c r="S631" i="1"/>
  <c r="R631" i="1"/>
  <c r="Q631" i="1"/>
  <c r="P631" i="1"/>
  <c r="S630" i="1"/>
  <c r="R630" i="1"/>
  <c r="Q630" i="1"/>
  <c r="P630" i="1"/>
  <c r="S629" i="1"/>
  <c r="R629" i="1"/>
  <c r="Q629" i="1"/>
  <c r="P629" i="1"/>
  <c r="S628" i="1"/>
  <c r="R628" i="1"/>
  <c r="Q628" i="1"/>
  <c r="P628" i="1"/>
  <c r="S627" i="1"/>
  <c r="R627" i="1"/>
  <c r="Q627" i="1"/>
  <c r="P627" i="1"/>
  <c r="S626" i="1"/>
  <c r="R626" i="1"/>
  <c r="Q626" i="1"/>
  <c r="P626" i="1"/>
  <c r="S625" i="1"/>
  <c r="R625" i="1"/>
  <c r="Q625" i="1"/>
  <c r="P625" i="1"/>
  <c r="S624" i="1"/>
  <c r="R624" i="1"/>
  <c r="Q624" i="1"/>
  <c r="P624" i="1"/>
  <c r="S623" i="1"/>
  <c r="R623" i="1"/>
  <c r="Q623" i="1"/>
  <c r="P623" i="1"/>
  <c r="S622" i="1"/>
  <c r="R622" i="1"/>
  <c r="Q622" i="1"/>
  <c r="P622" i="1"/>
  <c r="S621" i="1"/>
  <c r="R621" i="1"/>
  <c r="Q621" i="1"/>
  <c r="P621" i="1"/>
  <c r="S620" i="1"/>
  <c r="R620" i="1"/>
  <c r="Q620" i="1"/>
  <c r="P620" i="1"/>
  <c r="S619" i="1"/>
  <c r="R619" i="1"/>
  <c r="Q619" i="1"/>
  <c r="P619" i="1"/>
  <c r="S618" i="1"/>
  <c r="R618" i="1"/>
  <c r="Q618" i="1"/>
  <c r="P618" i="1"/>
  <c r="S617" i="1"/>
  <c r="R617" i="1"/>
  <c r="Q617" i="1"/>
  <c r="P617" i="1"/>
  <c r="S616" i="1"/>
  <c r="R616" i="1"/>
  <c r="Q616" i="1"/>
  <c r="P616" i="1"/>
  <c r="S615" i="1"/>
  <c r="R615" i="1"/>
  <c r="Q615" i="1"/>
  <c r="P615" i="1"/>
  <c r="S614" i="1"/>
  <c r="R614" i="1"/>
  <c r="Q614" i="1"/>
  <c r="P614" i="1"/>
  <c r="S613" i="1"/>
  <c r="R613" i="1"/>
  <c r="Q613" i="1"/>
  <c r="P613" i="1"/>
  <c r="S612" i="1"/>
  <c r="R612" i="1"/>
  <c r="Q612" i="1"/>
  <c r="P612" i="1"/>
  <c r="S611" i="1"/>
  <c r="R611" i="1"/>
  <c r="Q611" i="1"/>
  <c r="P611" i="1"/>
  <c r="S610" i="1"/>
  <c r="R610" i="1"/>
  <c r="Q610" i="1"/>
  <c r="P610" i="1"/>
  <c r="S609" i="1"/>
  <c r="R609" i="1"/>
  <c r="Q609" i="1"/>
  <c r="P609" i="1"/>
  <c r="S608" i="1"/>
  <c r="R608" i="1"/>
  <c r="Q608" i="1"/>
  <c r="P608" i="1"/>
  <c r="S607" i="1"/>
  <c r="R607" i="1"/>
  <c r="Q607" i="1"/>
  <c r="P607" i="1"/>
  <c r="S606" i="1"/>
  <c r="R606" i="1"/>
  <c r="Q606" i="1"/>
  <c r="P606" i="1"/>
  <c r="S605" i="1"/>
  <c r="R605" i="1"/>
  <c r="Q605" i="1"/>
  <c r="P605" i="1"/>
  <c r="S604" i="1"/>
  <c r="R604" i="1"/>
  <c r="Q604" i="1"/>
  <c r="P604" i="1"/>
  <c r="S603" i="1"/>
  <c r="R603" i="1"/>
  <c r="Q603" i="1"/>
  <c r="P603" i="1"/>
  <c r="S602" i="1"/>
  <c r="R602" i="1"/>
  <c r="Q602" i="1"/>
  <c r="P602" i="1"/>
  <c r="S601" i="1"/>
  <c r="R601" i="1"/>
  <c r="Q601" i="1"/>
  <c r="P601" i="1"/>
  <c r="S600" i="1"/>
  <c r="R600" i="1"/>
  <c r="Q600" i="1"/>
  <c r="P600" i="1"/>
  <c r="S599" i="1"/>
  <c r="R599" i="1"/>
  <c r="Q599" i="1"/>
  <c r="P599" i="1"/>
  <c r="S598" i="1"/>
  <c r="R598" i="1"/>
  <c r="Q598" i="1"/>
  <c r="P598" i="1"/>
  <c r="S597" i="1"/>
  <c r="R597" i="1"/>
  <c r="Q597" i="1"/>
  <c r="P597" i="1"/>
  <c r="S596" i="1"/>
  <c r="R596" i="1"/>
  <c r="Q596" i="1"/>
  <c r="P596" i="1"/>
  <c r="S595" i="1"/>
  <c r="R595" i="1"/>
  <c r="Q595" i="1"/>
  <c r="P595" i="1"/>
  <c r="S594" i="1"/>
  <c r="R594" i="1"/>
  <c r="Q594" i="1"/>
  <c r="P594" i="1"/>
  <c r="S593" i="1"/>
  <c r="R593" i="1"/>
  <c r="Q593" i="1"/>
  <c r="P593" i="1"/>
  <c r="S592" i="1"/>
  <c r="R592" i="1"/>
  <c r="Q592" i="1"/>
  <c r="P592" i="1"/>
  <c r="S591" i="1"/>
  <c r="R591" i="1"/>
  <c r="Q591" i="1"/>
  <c r="P591" i="1"/>
  <c r="S590" i="1"/>
  <c r="R590" i="1"/>
  <c r="Q590" i="1"/>
  <c r="P590" i="1"/>
  <c r="S589" i="1"/>
  <c r="R589" i="1"/>
  <c r="Q589" i="1"/>
  <c r="P589" i="1"/>
  <c r="S588" i="1"/>
  <c r="R588" i="1"/>
  <c r="Q588" i="1"/>
  <c r="P588" i="1"/>
  <c r="S587" i="1"/>
  <c r="R587" i="1"/>
  <c r="Q587" i="1"/>
  <c r="P587" i="1"/>
  <c r="S586" i="1"/>
  <c r="R586" i="1"/>
  <c r="Q586" i="1"/>
  <c r="P586" i="1"/>
  <c r="S585" i="1"/>
  <c r="R585" i="1"/>
  <c r="Q585" i="1"/>
  <c r="P585" i="1"/>
  <c r="S584" i="1"/>
  <c r="R584" i="1"/>
  <c r="Q584" i="1"/>
  <c r="P584" i="1"/>
  <c r="S583" i="1"/>
  <c r="R583" i="1"/>
  <c r="Q583" i="1"/>
  <c r="P583" i="1"/>
  <c r="S582" i="1"/>
  <c r="R582" i="1"/>
  <c r="Q582" i="1"/>
  <c r="P582" i="1"/>
  <c r="S581" i="1"/>
  <c r="R581" i="1"/>
  <c r="Q581" i="1"/>
  <c r="P581" i="1"/>
  <c r="S580" i="1"/>
  <c r="R580" i="1"/>
  <c r="Q580" i="1"/>
  <c r="P580" i="1"/>
  <c r="S579" i="1"/>
  <c r="R579" i="1"/>
  <c r="Q579" i="1"/>
  <c r="P579" i="1"/>
  <c r="S578" i="1"/>
  <c r="R578" i="1"/>
  <c r="Q578" i="1"/>
  <c r="P578" i="1"/>
  <c r="S577" i="1"/>
  <c r="R577" i="1"/>
  <c r="Q577" i="1"/>
  <c r="P577" i="1"/>
  <c r="S576" i="1"/>
  <c r="R576" i="1"/>
  <c r="Q576" i="1"/>
  <c r="P576" i="1"/>
  <c r="S575" i="1"/>
  <c r="R575" i="1"/>
  <c r="Q575" i="1"/>
  <c r="P575" i="1"/>
  <c r="S574" i="1"/>
  <c r="R574" i="1"/>
  <c r="Q574" i="1"/>
  <c r="P574" i="1"/>
  <c r="S573" i="1"/>
  <c r="R573" i="1"/>
  <c r="Q573" i="1"/>
  <c r="P573" i="1"/>
  <c r="S572" i="1"/>
  <c r="R572" i="1"/>
  <c r="Q572" i="1"/>
  <c r="P572" i="1"/>
  <c r="S571" i="1"/>
  <c r="R571" i="1"/>
  <c r="Q571" i="1"/>
  <c r="P571" i="1"/>
  <c r="S570" i="1"/>
  <c r="R570" i="1"/>
  <c r="Q570" i="1"/>
  <c r="P570" i="1"/>
  <c r="S569" i="1"/>
  <c r="R569" i="1"/>
  <c r="Q569" i="1"/>
  <c r="P569" i="1"/>
  <c r="S568" i="1"/>
  <c r="R568" i="1"/>
  <c r="Q568" i="1"/>
  <c r="P568" i="1"/>
  <c r="S567" i="1"/>
  <c r="R567" i="1"/>
  <c r="Q567" i="1"/>
  <c r="P567" i="1"/>
  <c r="S566" i="1"/>
  <c r="R566" i="1"/>
  <c r="Q566" i="1"/>
  <c r="P566" i="1"/>
  <c r="S565" i="1"/>
  <c r="R565" i="1"/>
  <c r="Q565" i="1"/>
  <c r="P565" i="1"/>
  <c r="S564" i="1"/>
  <c r="R564" i="1"/>
  <c r="Q564" i="1"/>
  <c r="P564" i="1"/>
  <c r="S563" i="1"/>
  <c r="R563" i="1"/>
  <c r="Q563" i="1"/>
  <c r="P563" i="1"/>
  <c r="S562" i="1"/>
  <c r="R562" i="1"/>
  <c r="Q562" i="1"/>
  <c r="P562" i="1"/>
  <c r="S561" i="1"/>
  <c r="R561" i="1"/>
  <c r="Q561" i="1"/>
  <c r="P561" i="1"/>
  <c r="S560" i="1"/>
  <c r="R560" i="1"/>
  <c r="Q560" i="1"/>
  <c r="P560" i="1"/>
  <c r="S559" i="1"/>
  <c r="R559" i="1"/>
  <c r="Q559" i="1"/>
  <c r="P559" i="1"/>
  <c r="S558" i="1"/>
  <c r="R558" i="1"/>
  <c r="Q558" i="1"/>
  <c r="P558" i="1"/>
  <c r="S557" i="1"/>
  <c r="R557" i="1"/>
  <c r="Q557" i="1"/>
  <c r="P557" i="1"/>
  <c r="S556" i="1"/>
  <c r="R556" i="1"/>
  <c r="Q556" i="1"/>
  <c r="P556" i="1"/>
  <c r="S555" i="1"/>
  <c r="R555" i="1"/>
  <c r="Q555" i="1"/>
  <c r="P555" i="1"/>
  <c r="S554" i="1"/>
  <c r="R554" i="1"/>
  <c r="Q554" i="1"/>
  <c r="P554" i="1"/>
  <c r="S553" i="1"/>
  <c r="R553" i="1"/>
  <c r="Q553" i="1"/>
  <c r="P553" i="1"/>
  <c r="S552" i="1"/>
  <c r="R552" i="1"/>
  <c r="Q552" i="1"/>
  <c r="P552" i="1"/>
  <c r="S551" i="1"/>
  <c r="R551" i="1"/>
  <c r="Q551" i="1"/>
  <c r="P551" i="1"/>
  <c r="S550" i="1"/>
  <c r="R550" i="1"/>
  <c r="Q550" i="1"/>
  <c r="P550" i="1"/>
  <c r="S549" i="1"/>
  <c r="R549" i="1"/>
  <c r="Q549" i="1"/>
  <c r="P549" i="1"/>
  <c r="S548" i="1"/>
  <c r="R548" i="1"/>
  <c r="Q548" i="1"/>
  <c r="P548" i="1"/>
  <c r="S547" i="1"/>
  <c r="R547" i="1"/>
  <c r="Q547" i="1"/>
  <c r="P547" i="1"/>
  <c r="S546" i="1"/>
  <c r="R546" i="1"/>
  <c r="Q546" i="1"/>
  <c r="P546" i="1"/>
  <c r="S545" i="1"/>
  <c r="R545" i="1"/>
  <c r="Q545" i="1"/>
  <c r="P545" i="1"/>
  <c r="S544" i="1"/>
  <c r="R544" i="1"/>
  <c r="Q544" i="1"/>
  <c r="P544" i="1"/>
  <c r="S543" i="1"/>
  <c r="R543" i="1"/>
  <c r="Q543" i="1"/>
  <c r="P543" i="1"/>
  <c r="S542" i="1"/>
  <c r="R542" i="1"/>
  <c r="Q542" i="1"/>
  <c r="P542" i="1"/>
  <c r="S541" i="1"/>
  <c r="R541" i="1"/>
  <c r="Q541" i="1"/>
  <c r="P541" i="1"/>
  <c r="S540" i="1"/>
  <c r="R540" i="1"/>
  <c r="Q540" i="1"/>
  <c r="P540" i="1"/>
  <c r="S539" i="1"/>
  <c r="R539" i="1"/>
  <c r="Q539" i="1"/>
  <c r="P539" i="1"/>
  <c r="S538" i="1"/>
  <c r="R538" i="1"/>
  <c r="Q538" i="1"/>
  <c r="P538" i="1"/>
  <c r="S537" i="1"/>
  <c r="R537" i="1"/>
  <c r="Q537" i="1"/>
  <c r="P537" i="1"/>
  <c r="S536" i="1"/>
  <c r="R536" i="1"/>
  <c r="Q536" i="1"/>
  <c r="P536" i="1"/>
  <c r="S535" i="1"/>
  <c r="R535" i="1"/>
  <c r="Q535" i="1"/>
  <c r="P535" i="1"/>
  <c r="S534" i="1"/>
  <c r="R534" i="1"/>
  <c r="Q534" i="1"/>
  <c r="P534" i="1"/>
  <c r="S533" i="1"/>
  <c r="R533" i="1"/>
  <c r="Q533" i="1"/>
  <c r="P533" i="1"/>
  <c r="S532" i="1"/>
  <c r="R532" i="1"/>
  <c r="Q532" i="1"/>
  <c r="P532" i="1"/>
  <c r="S531" i="1"/>
  <c r="R531" i="1"/>
  <c r="Q531" i="1"/>
  <c r="P531" i="1"/>
  <c r="S530" i="1"/>
  <c r="R530" i="1"/>
  <c r="Q530" i="1"/>
  <c r="P530" i="1"/>
  <c r="S529" i="1"/>
  <c r="R529" i="1"/>
  <c r="Q529" i="1"/>
  <c r="P529" i="1"/>
  <c r="S528" i="1"/>
  <c r="R528" i="1"/>
  <c r="Q528" i="1"/>
  <c r="P528" i="1"/>
  <c r="S527" i="1"/>
  <c r="R527" i="1"/>
  <c r="Q527" i="1"/>
  <c r="P527" i="1"/>
  <c r="S526" i="1"/>
  <c r="R526" i="1"/>
  <c r="Q526" i="1"/>
  <c r="P526" i="1"/>
  <c r="S525" i="1"/>
  <c r="R525" i="1"/>
  <c r="Q525" i="1"/>
  <c r="P525" i="1"/>
  <c r="S524" i="1"/>
  <c r="R524" i="1"/>
  <c r="Q524" i="1"/>
  <c r="P524" i="1"/>
  <c r="S523" i="1"/>
  <c r="R523" i="1"/>
  <c r="Q523" i="1"/>
  <c r="P523" i="1"/>
  <c r="S522" i="1"/>
  <c r="R522" i="1"/>
  <c r="Q522" i="1"/>
  <c r="P522" i="1"/>
  <c r="S521" i="1"/>
  <c r="R521" i="1"/>
  <c r="Q521" i="1"/>
  <c r="P521" i="1"/>
  <c r="S520" i="1"/>
  <c r="R520" i="1"/>
  <c r="Q520" i="1"/>
  <c r="P520" i="1"/>
  <c r="S519" i="1"/>
  <c r="R519" i="1"/>
  <c r="Q519" i="1"/>
  <c r="P519" i="1"/>
  <c r="S518" i="1"/>
  <c r="R518" i="1"/>
  <c r="Q518" i="1"/>
  <c r="P518" i="1"/>
  <c r="S517" i="1"/>
  <c r="R517" i="1"/>
  <c r="Q517" i="1"/>
  <c r="P517" i="1"/>
  <c r="S516" i="1"/>
  <c r="R516" i="1"/>
  <c r="Q516" i="1"/>
  <c r="P516" i="1"/>
  <c r="S515" i="1"/>
  <c r="R515" i="1"/>
  <c r="Q515" i="1"/>
  <c r="P515" i="1"/>
  <c r="S514" i="1"/>
  <c r="R514" i="1"/>
  <c r="Q514" i="1"/>
  <c r="P514" i="1"/>
  <c r="S513" i="1"/>
  <c r="R513" i="1"/>
  <c r="Q513" i="1"/>
  <c r="P513" i="1"/>
  <c r="S512" i="1"/>
  <c r="R512" i="1"/>
  <c r="Q512" i="1"/>
  <c r="P512" i="1"/>
  <c r="S511" i="1"/>
  <c r="R511" i="1"/>
  <c r="Q511" i="1"/>
  <c r="P511" i="1"/>
  <c r="S510" i="1"/>
  <c r="R510" i="1"/>
  <c r="Q510" i="1"/>
  <c r="P510" i="1"/>
  <c r="S509" i="1"/>
  <c r="R509" i="1"/>
  <c r="Q509" i="1"/>
  <c r="P509" i="1"/>
  <c r="S508" i="1"/>
  <c r="R508" i="1"/>
  <c r="Q508" i="1"/>
  <c r="P508" i="1"/>
  <c r="S507" i="1"/>
  <c r="R507" i="1"/>
  <c r="Q507" i="1"/>
  <c r="P507" i="1"/>
  <c r="S506" i="1"/>
  <c r="R506" i="1"/>
  <c r="Q506" i="1"/>
  <c r="P506" i="1"/>
  <c r="S505" i="1"/>
  <c r="R505" i="1"/>
  <c r="Q505" i="1"/>
  <c r="P505" i="1"/>
  <c r="S504" i="1"/>
  <c r="R504" i="1"/>
  <c r="Q504" i="1"/>
  <c r="P504" i="1"/>
  <c r="S503" i="1"/>
  <c r="R503" i="1"/>
  <c r="Q503" i="1"/>
  <c r="P503" i="1"/>
  <c r="S502" i="1"/>
  <c r="R502" i="1"/>
  <c r="Q502" i="1"/>
  <c r="P502" i="1"/>
  <c r="S501" i="1"/>
  <c r="R501" i="1"/>
  <c r="Q501" i="1"/>
  <c r="P501" i="1"/>
  <c r="S500" i="1"/>
  <c r="R500" i="1"/>
  <c r="Q500" i="1"/>
  <c r="P500" i="1"/>
  <c r="S499" i="1"/>
  <c r="R499" i="1"/>
  <c r="Q499" i="1"/>
  <c r="P499" i="1"/>
  <c r="S498" i="1"/>
  <c r="R498" i="1"/>
  <c r="Q498" i="1"/>
  <c r="P498" i="1"/>
  <c r="S497" i="1"/>
  <c r="R497" i="1"/>
  <c r="Q497" i="1"/>
  <c r="P497" i="1"/>
  <c r="S496" i="1"/>
  <c r="R496" i="1"/>
  <c r="Q496" i="1"/>
  <c r="P496" i="1"/>
  <c r="S495" i="1"/>
  <c r="R495" i="1"/>
  <c r="Q495" i="1"/>
  <c r="P495" i="1"/>
  <c r="S494" i="1"/>
  <c r="R494" i="1"/>
  <c r="Q494" i="1"/>
  <c r="P494" i="1"/>
  <c r="S493" i="1"/>
  <c r="R493" i="1"/>
  <c r="Q493" i="1"/>
  <c r="P493" i="1"/>
  <c r="S492" i="1"/>
  <c r="R492" i="1"/>
  <c r="Q492" i="1"/>
  <c r="P492" i="1"/>
  <c r="S491" i="1"/>
  <c r="R491" i="1"/>
  <c r="Q491" i="1"/>
  <c r="P491" i="1"/>
  <c r="S490" i="1"/>
  <c r="R490" i="1"/>
  <c r="Q490" i="1"/>
  <c r="P490" i="1"/>
  <c r="S489" i="1"/>
  <c r="R489" i="1"/>
  <c r="Q489" i="1"/>
  <c r="P489" i="1"/>
  <c r="S488" i="1"/>
  <c r="R488" i="1"/>
  <c r="Q488" i="1"/>
  <c r="P488" i="1"/>
  <c r="S487" i="1"/>
  <c r="R487" i="1"/>
  <c r="Q487" i="1"/>
  <c r="P487" i="1"/>
  <c r="S486" i="1"/>
  <c r="R486" i="1"/>
  <c r="Q486" i="1"/>
  <c r="P486" i="1"/>
  <c r="S485" i="1"/>
  <c r="R485" i="1"/>
  <c r="Q485" i="1"/>
  <c r="P485" i="1"/>
  <c r="S484" i="1"/>
  <c r="R484" i="1"/>
  <c r="Q484" i="1"/>
  <c r="P484" i="1"/>
  <c r="S483" i="1"/>
  <c r="R483" i="1"/>
  <c r="Q483" i="1"/>
  <c r="P483" i="1"/>
  <c r="S482" i="1"/>
  <c r="R482" i="1"/>
  <c r="Q482" i="1"/>
  <c r="P482" i="1"/>
  <c r="S481" i="1"/>
  <c r="R481" i="1"/>
  <c r="Q481" i="1"/>
  <c r="P481" i="1"/>
  <c r="S480" i="1"/>
  <c r="R480" i="1"/>
  <c r="Q480" i="1"/>
  <c r="P480" i="1"/>
  <c r="S479" i="1"/>
  <c r="R479" i="1"/>
  <c r="Q479" i="1"/>
  <c r="P479" i="1"/>
  <c r="S478" i="1"/>
  <c r="R478" i="1"/>
  <c r="Q478" i="1"/>
  <c r="P478" i="1"/>
  <c r="S477" i="1"/>
  <c r="R477" i="1"/>
  <c r="Q477" i="1"/>
  <c r="P477" i="1"/>
  <c r="S476" i="1"/>
  <c r="R476" i="1"/>
  <c r="Q476" i="1"/>
  <c r="P476" i="1"/>
  <c r="S475" i="1"/>
  <c r="R475" i="1"/>
  <c r="Q475" i="1"/>
  <c r="P475" i="1"/>
  <c r="S474" i="1"/>
  <c r="R474" i="1"/>
  <c r="Q474" i="1"/>
  <c r="P474" i="1"/>
  <c r="S473" i="1"/>
  <c r="R473" i="1"/>
  <c r="Q473" i="1"/>
  <c r="P473" i="1"/>
  <c r="S472" i="1"/>
  <c r="R472" i="1"/>
  <c r="Q472" i="1"/>
  <c r="P472" i="1"/>
  <c r="S471" i="1"/>
  <c r="R471" i="1"/>
  <c r="Q471" i="1"/>
  <c r="P471" i="1"/>
  <c r="S470" i="1"/>
  <c r="R470" i="1"/>
  <c r="Q470" i="1"/>
  <c r="P470" i="1"/>
  <c r="S469" i="1"/>
  <c r="R469" i="1"/>
  <c r="Q469" i="1"/>
  <c r="P469" i="1"/>
  <c r="S468" i="1"/>
  <c r="R468" i="1"/>
  <c r="Q468" i="1"/>
  <c r="P468" i="1"/>
  <c r="S467" i="1"/>
  <c r="R467" i="1"/>
  <c r="Q467" i="1"/>
  <c r="P467" i="1"/>
  <c r="S466" i="1"/>
  <c r="R466" i="1"/>
  <c r="Q466" i="1"/>
  <c r="P466" i="1"/>
  <c r="S465" i="1"/>
  <c r="R465" i="1"/>
  <c r="Q465" i="1"/>
  <c r="P465" i="1"/>
  <c r="S464" i="1"/>
  <c r="R464" i="1"/>
  <c r="Q464" i="1"/>
  <c r="P464" i="1"/>
  <c r="S463" i="1"/>
  <c r="R463" i="1"/>
  <c r="Q463" i="1"/>
  <c r="P463" i="1"/>
  <c r="S462" i="1"/>
  <c r="R462" i="1"/>
  <c r="Q462" i="1"/>
  <c r="P462" i="1"/>
  <c r="S461" i="1"/>
  <c r="R461" i="1"/>
  <c r="Q461" i="1"/>
  <c r="P461" i="1"/>
  <c r="S460" i="1"/>
  <c r="R460" i="1"/>
  <c r="Q460" i="1"/>
  <c r="P460" i="1"/>
  <c r="S459" i="1"/>
  <c r="R459" i="1"/>
  <c r="Q459" i="1"/>
  <c r="P459" i="1"/>
  <c r="S458" i="1"/>
  <c r="R458" i="1"/>
  <c r="Q458" i="1"/>
  <c r="P458" i="1"/>
  <c r="S457" i="1"/>
  <c r="R457" i="1"/>
  <c r="Q457" i="1"/>
  <c r="P457" i="1"/>
  <c r="S456" i="1"/>
  <c r="R456" i="1"/>
  <c r="Q456" i="1"/>
  <c r="P456" i="1"/>
  <c r="S455" i="1"/>
  <c r="R455" i="1"/>
  <c r="Q455" i="1"/>
  <c r="P455" i="1"/>
  <c r="S454" i="1"/>
  <c r="R454" i="1"/>
  <c r="Q454" i="1"/>
  <c r="P454" i="1"/>
  <c r="S453" i="1"/>
  <c r="R453" i="1"/>
  <c r="Q453" i="1"/>
  <c r="P453" i="1"/>
  <c r="S452" i="1"/>
  <c r="R452" i="1"/>
  <c r="Q452" i="1"/>
  <c r="P452" i="1"/>
  <c r="S451" i="1"/>
  <c r="R451" i="1"/>
  <c r="Q451" i="1"/>
  <c r="P451" i="1"/>
  <c r="S450" i="1"/>
  <c r="R450" i="1"/>
  <c r="Q450" i="1"/>
  <c r="P450" i="1"/>
  <c r="S449" i="1"/>
  <c r="R449" i="1"/>
  <c r="Q449" i="1"/>
  <c r="P449" i="1"/>
  <c r="S448" i="1"/>
  <c r="R448" i="1"/>
  <c r="Q448" i="1"/>
  <c r="P448" i="1"/>
  <c r="S447" i="1"/>
  <c r="R447" i="1"/>
  <c r="Q447" i="1"/>
  <c r="P447" i="1"/>
  <c r="S446" i="1"/>
  <c r="R446" i="1"/>
  <c r="Q446" i="1"/>
  <c r="P446" i="1"/>
  <c r="S445" i="1"/>
  <c r="R445" i="1"/>
  <c r="Q445" i="1"/>
  <c r="P445" i="1"/>
  <c r="S444" i="1"/>
  <c r="R444" i="1"/>
  <c r="Q444" i="1"/>
  <c r="P444" i="1"/>
  <c r="S443" i="1"/>
  <c r="R443" i="1"/>
  <c r="Q443" i="1"/>
  <c r="P443" i="1"/>
  <c r="S442" i="1"/>
  <c r="R442" i="1"/>
  <c r="Q442" i="1"/>
  <c r="P442" i="1"/>
  <c r="S441" i="1"/>
  <c r="R441" i="1"/>
  <c r="Q441" i="1"/>
  <c r="P441" i="1"/>
  <c r="S440" i="1"/>
  <c r="R440" i="1"/>
  <c r="Q440" i="1"/>
  <c r="P440" i="1"/>
  <c r="S439" i="1"/>
  <c r="R439" i="1"/>
  <c r="Q439" i="1"/>
  <c r="P439" i="1"/>
  <c r="S438" i="1"/>
  <c r="R438" i="1"/>
  <c r="Q438" i="1"/>
  <c r="P438" i="1"/>
  <c r="S437" i="1"/>
  <c r="R437" i="1"/>
  <c r="Q437" i="1"/>
  <c r="P437" i="1"/>
  <c r="S436" i="1"/>
  <c r="R436" i="1"/>
  <c r="Q436" i="1"/>
  <c r="P436" i="1"/>
  <c r="S435" i="1"/>
  <c r="R435" i="1"/>
  <c r="Q435" i="1"/>
  <c r="P435" i="1"/>
  <c r="S434" i="1"/>
  <c r="R434" i="1"/>
  <c r="Q434" i="1"/>
  <c r="P434" i="1"/>
  <c r="S433" i="1"/>
  <c r="R433" i="1"/>
  <c r="Q433" i="1"/>
  <c r="P433" i="1"/>
  <c r="S432" i="1"/>
  <c r="R432" i="1"/>
  <c r="Q432" i="1"/>
  <c r="P432" i="1"/>
  <c r="S431" i="1"/>
  <c r="R431" i="1"/>
  <c r="Q431" i="1"/>
  <c r="P431" i="1"/>
  <c r="S430" i="1"/>
  <c r="R430" i="1"/>
  <c r="Q430" i="1"/>
  <c r="P430" i="1"/>
  <c r="S429" i="1"/>
  <c r="R429" i="1"/>
  <c r="Q429" i="1"/>
  <c r="P429" i="1"/>
  <c r="S428" i="1"/>
  <c r="R428" i="1"/>
  <c r="Q428" i="1"/>
  <c r="P428" i="1"/>
  <c r="S427" i="1"/>
  <c r="R427" i="1"/>
  <c r="Q427" i="1"/>
  <c r="P427" i="1"/>
  <c r="S426" i="1"/>
  <c r="R426" i="1"/>
  <c r="Q426" i="1"/>
  <c r="P426" i="1"/>
  <c r="S425" i="1"/>
  <c r="R425" i="1"/>
  <c r="Q425" i="1"/>
  <c r="P425" i="1"/>
  <c r="S424" i="1"/>
  <c r="R424" i="1"/>
  <c r="Q424" i="1"/>
  <c r="P424" i="1"/>
  <c r="S423" i="1"/>
  <c r="R423" i="1"/>
  <c r="Q423" i="1"/>
  <c r="P423" i="1"/>
  <c r="S422" i="1"/>
  <c r="R422" i="1"/>
  <c r="Q422" i="1"/>
  <c r="P422" i="1"/>
  <c r="S421" i="1"/>
  <c r="R421" i="1"/>
  <c r="Q421" i="1"/>
  <c r="P421" i="1"/>
  <c r="S420" i="1"/>
  <c r="R420" i="1"/>
  <c r="Q420" i="1"/>
  <c r="P420" i="1"/>
  <c r="S419" i="1"/>
  <c r="R419" i="1"/>
  <c r="Q419" i="1"/>
  <c r="P419" i="1"/>
  <c r="S418" i="1"/>
  <c r="R418" i="1"/>
  <c r="Q418" i="1"/>
  <c r="P418" i="1"/>
  <c r="S417" i="1"/>
  <c r="R417" i="1"/>
  <c r="Q417" i="1"/>
  <c r="P417" i="1"/>
  <c r="S416" i="1"/>
  <c r="R416" i="1"/>
  <c r="Q416" i="1"/>
  <c r="P416" i="1"/>
  <c r="S415" i="1"/>
  <c r="R415" i="1"/>
  <c r="Q415" i="1"/>
  <c r="P415" i="1"/>
  <c r="S414" i="1"/>
  <c r="R414" i="1"/>
  <c r="Q414" i="1"/>
  <c r="P414" i="1"/>
  <c r="S413" i="1"/>
  <c r="R413" i="1"/>
  <c r="Q413" i="1"/>
  <c r="P413" i="1"/>
  <c r="S412" i="1"/>
  <c r="R412" i="1"/>
  <c r="Q412" i="1"/>
  <c r="P412" i="1"/>
  <c r="S411" i="1"/>
  <c r="R411" i="1"/>
  <c r="Q411" i="1"/>
  <c r="P411" i="1"/>
  <c r="S410" i="1"/>
  <c r="R410" i="1"/>
  <c r="Q410" i="1"/>
  <c r="P410" i="1"/>
  <c r="S409" i="1"/>
  <c r="R409" i="1"/>
  <c r="Q409" i="1"/>
  <c r="P409" i="1"/>
  <c r="S408" i="1"/>
  <c r="R408" i="1"/>
  <c r="Q408" i="1"/>
  <c r="P408" i="1"/>
  <c r="S407" i="1"/>
  <c r="R407" i="1"/>
  <c r="Q407" i="1"/>
  <c r="P407" i="1"/>
  <c r="S406" i="1"/>
  <c r="R406" i="1"/>
  <c r="Q406" i="1"/>
  <c r="P406" i="1"/>
  <c r="S405" i="1"/>
  <c r="R405" i="1"/>
  <c r="Q405" i="1"/>
  <c r="P405" i="1"/>
  <c r="S404" i="1"/>
  <c r="R404" i="1"/>
  <c r="Q404" i="1"/>
  <c r="P404" i="1"/>
  <c r="S403" i="1"/>
  <c r="R403" i="1"/>
  <c r="Q403" i="1"/>
  <c r="P403" i="1"/>
  <c r="S402" i="1"/>
  <c r="R402" i="1"/>
  <c r="Q402" i="1"/>
  <c r="P402" i="1"/>
  <c r="S401" i="1"/>
  <c r="R401" i="1"/>
  <c r="Q401" i="1"/>
  <c r="P401" i="1"/>
  <c r="S400" i="1"/>
  <c r="R400" i="1"/>
  <c r="Q400" i="1"/>
  <c r="P400" i="1"/>
  <c r="S399" i="1"/>
  <c r="R399" i="1"/>
  <c r="Q399" i="1"/>
  <c r="P399" i="1"/>
  <c r="S398" i="1"/>
  <c r="R398" i="1"/>
  <c r="Q398" i="1"/>
  <c r="P398" i="1"/>
  <c r="S397" i="1"/>
  <c r="R397" i="1"/>
  <c r="Q397" i="1"/>
  <c r="P397" i="1"/>
  <c r="S396" i="1"/>
  <c r="R396" i="1"/>
  <c r="Q396" i="1"/>
  <c r="P396" i="1"/>
  <c r="S395" i="1"/>
  <c r="R395" i="1"/>
  <c r="Q395" i="1"/>
  <c r="P395" i="1"/>
  <c r="S394" i="1"/>
  <c r="R394" i="1"/>
  <c r="Q394" i="1"/>
  <c r="P394" i="1"/>
  <c r="S393" i="1"/>
  <c r="R393" i="1"/>
  <c r="Q393" i="1"/>
  <c r="P393" i="1"/>
  <c r="S392" i="1"/>
  <c r="R392" i="1"/>
  <c r="Q392" i="1"/>
  <c r="P392" i="1"/>
  <c r="S391" i="1"/>
  <c r="R391" i="1"/>
  <c r="Q391" i="1"/>
  <c r="P391" i="1"/>
  <c r="S390" i="1"/>
  <c r="R390" i="1"/>
  <c r="Q390" i="1"/>
  <c r="P390" i="1"/>
  <c r="S389" i="1"/>
  <c r="R389" i="1"/>
  <c r="Q389" i="1"/>
  <c r="P389" i="1"/>
  <c r="S388" i="1"/>
  <c r="R388" i="1"/>
  <c r="Q388" i="1"/>
  <c r="P388" i="1"/>
  <c r="S387" i="1"/>
  <c r="R387" i="1"/>
  <c r="Q387" i="1"/>
  <c r="P387" i="1"/>
  <c r="S386" i="1"/>
  <c r="R386" i="1"/>
  <c r="Q386" i="1"/>
  <c r="P386" i="1"/>
  <c r="S385" i="1"/>
  <c r="R385" i="1"/>
  <c r="Q385" i="1"/>
  <c r="P385" i="1"/>
  <c r="S384" i="1"/>
  <c r="R384" i="1"/>
  <c r="Q384" i="1"/>
  <c r="P384" i="1"/>
  <c r="S383" i="1"/>
  <c r="R383" i="1"/>
  <c r="Q383" i="1"/>
  <c r="P383" i="1"/>
  <c r="S382" i="1"/>
  <c r="R382" i="1"/>
  <c r="Q382" i="1"/>
  <c r="P382" i="1"/>
  <c r="S381" i="1"/>
  <c r="R381" i="1"/>
  <c r="Q381" i="1"/>
  <c r="P381" i="1"/>
  <c r="S380" i="1"/>
  <c r="R380" i="1"/>
  <c r="Q380" i="1"/>
  <c r="P380" i="1"/>
  <c r="S379" i="1"/>
  <c r="R379" i="1"/>
  <c r="Q379" i="1"/>
  <c r="P379" i="1"/>
  <c r="S378" i="1"/>
  <c r="R378" i="1"/>
  <c r="Q378" i="1"/>
  <c r="P378" i="1"/>
  <c r="S377" i="1"/>
  <c r="R377" i="1"/>
  <c r="Q377" i="1"/>
  <c r="P377" i="1"/>
  <c r="S376" i="1"/>
  <c r="R376" i="1"/>
  <c r="Q376" i="1"/>
  <c r="P376" i="1"/>
  <c r="S375" i="1"/>
  <c r="R375" i="1"/>
  <c r="Q375" i="1"/>
  <c r="P375" i="1"/>
  <c r="S374" i="1"/>
  <c r="R374" i="1"/>
  <c r="Q374" i="1"/>
  <c r="P374" i="1"/>
  <c r="S373" i="1"/>
  <c r="R373" i="1"/>
  <c r="Q373" i="1"/>
  <c r="P373" i="1"/>
  <c r="S372" i="1"/>
  <c r="R372" i="1"/>
  <c r="Q372" i="1"/>
  <c r="P372" i="1"/>
  <c r="S371" i="1"/>
  <c r="R371" i="1"/>
  <c r="Q371" i="1"/>
  <c r="P371" i="1"/>
  <c r="S370" i="1"/>
  <c r="R370" i="1"/>
  <c r="Q370" i="1"/>
  <c r="P370" i="1"/>
  <c r="S369" i="1"/>
  <c r="R369" i="1"/>
  <c r="Q369" i="1"/>
  <c r="P369" i="1"/>
  <c r="S368" i="1"/>
  <c r="R368" i="1"/>
  <c r="Q368" i="1"/>
  <c r="P368" i="1"/>
  <c r="S367" i="1"/>
  <c r="R367" i="1"/>
  <c r="Q367" i="1"/>
  <c r="P367" i="1"/>
  <c r="S366" i="1"/>
  <c r="R366" i="1"/>
  <c r="Q366" i="1"/>
  <c r="P366" i="1"/>
  <c r="S365" i="1"/>
  <c r="R365" i="1"/>
  <c r="Q365" i="1"/>
  <c r="P365" i="1"/>
  <c r="S364" i="1"/>
  <c r="R364" i="1"/>
  <c r="Q364" i="1"/>
  <c r="P364" i="1"/>
  <c r="S363" i="1"/>
  <c r="R363" i="1"/>
  <c r="Q363" i="1"/>
  <c r="P363" i="1"/>
  <c r="S362" i="1"/>
  <c r="R362" i="1"/>
  <c r="Q362" i="1"/>
  <c r="P362" i="1"/>
  <c r="S361" i="1"/>
  <c r="R361" i="1"/>
  <c r="Q361" i="1"/>
  <c r="P361" i="1"/>
  <c r="S360" i="1"/>
  <c r="R360" i="1"/>
  <c r="Q360" i="1"/>
  <c r="P360" i="1"/>
  <c r="S359" i="1"/>
  <c r="R359" i="1"/>
  <c r="Q359" i="1"/>
  <c r="P359" i="1"/>
  <c r="S358" i="1"/>
  <c r="R358" i="1"/>
  <c r="Q358" i="1"/>
  <c r="P358" i="1"/>
  <c r="S357" i="1"/>
  <c r="R357" i="1"/>
  <c r="Q357" i="1"/>
  <c r="P357" i="1"/>
  <c r="S356" i="1"/>
  <c r="R356" i="1"/>
  <c r="Q356" i="1"/>
  <c r="P356" i="1"/>
  <c r="S355" i="1"/>
  <c r="R355" i="1"/>
  <c r="Q355" i="1"/>
  <c r="P355" i="1"/>
  <c r="S354" i="1"/>
  <c r="R354" i="1"/>
  <c r="Q354" i="1"/>
  <c r="P354" i="1"/>
  <c r="S353" i="1"/>
  <c r="R353" i="1"/>
  <c r="Q353" i="1"/>
  <c r="P353" i="1"/>
  <c r="S352" i="1"/>
  <c r="R352" i="1"/>
  <c r="Q352" i="1"/>
  <c r="P352" i="1"/>
  <c r="S351" i="1"/>
  <c r="R351" i="1"/>
  <c r="Q351" i="1"/>
  <c r="P351" i="1"/>
  <c r="S350" i="1"/>
  <c r="R350" i="1"/>
  <c r="Q350" i="1"/>
  <c r="P350" i="1"/>
  <c r="S349" i="1"/>
  <c r="R349" i="1"/>
  <c r="Q349" i="1"/>
  <c r="P349" i="1"/>
  <c r="S348" i="1"/>
  <c r="R348" i="1"/>
  <c r="Q348" i="1"/>
  <c r="P348" i="1"/>
  <c r="S347" i="1"/>
  <c r="R347" i="1"/>
  <c r="Q347" i="1"/>
  <c r="P347" i="1"/>
  <c r="S346" i="1"/>
  <c r="R346" i="1"/>
  <c r="Q346" i="1"/>
  <c r="P346" i="1"/>
  <c r="S345" i="1"/>
  <c r="R345" i="1"/>
  <c r="Q345" i="1"/>
  <c r="P345" i="1"/>
  <c r="S344" i="1"/>
  <c r="R344" i="1"/>
  <c r="Q344" i="1"/>
  <c r="P344" i="1"/>
  <c r="S343" i="1"/>
  <c r="R343" i="1"/>
  <c r="Q343" i="1"/>
  <c r="P343" i="1"/>
  <c r="S342" i="1"/>
  <c r="R342" i="1"/>
  <c r="Q342" i="1"/>
  <c r="P342" i="1"/>
  <c r="S341" i="1"/>
  <c r="R341" i="1"/>
  <c r="Q341" i="1"/>
  <c r="P341" i="1"/>
  <c r="S340" i="1"/>
  <c r="R340" i="1"/>
  <c r="Q340" i="1"/>
  <c r="P340" i="1"/>
  <c r="S339" i="1"/>
  <c r="R339" i="1"/>
  <c r="Q339" i="1"/>
  <c r="P339" i="1"/>
  <c r="S338" i="1"/>
  <c r="R338" i="1"/>
  <c r="Q338" i="1"/>
  <c r="P338" i="1"/>
  <c r="S337" i="1"/>
  <c r="R337" i="1"/>
  <c r="Q337" i="1"/>
  <c r="P337" i="1"/>
  <c r="S336" i="1"/>
  <c r="R336" i="1"/>
  <c r="Q336" i="1"/>
  <c r="P336" i="1"/>
  <c r="S335" i="1"/>
  <c r="R335" i="1"/>
  <c r="Q335" i="1"/>
  <c r="P335" i="1"/>
  <c r="S334" i="1"/>
  <c r="R334" i="1"/>
  <c r="Q334" i="1"/>
  <c r="P334" i="1"/>
  <c r="S333" i="1"/>
  <c r="R333" i="1"/>
  <c r="Q333" i="1"/>
  <c r="P333" i="1"/>
  <c r="S332" i="1"/>
  <c r="R332" i="1"/>
  <c r="Q332" i="1"/>
  <c r="P332" i="1"/>
  <c r="S331" i="1"/>
  <c r="R331" i="1"/>
  <c r="Q331" i="1"/>
  <c r="P331" i="1"/>
  <c r="S330" i="1"/>
  <c r="R330" i="1"/>
  <c r="Q330" i="1"/>
  <c r="P330" i="1"/>
  <c r="S329" i="1"/>
  <c r="R329" i="1"/>
  <c r="Q329" i="1"/>
  <c r="P329" i="1"/>
  <c r="S328" i="1"/>
  <c r="R328" i="1"/>
  <c r="Q328" i="1"/>
  <c r="P328" i="1"/>
  <c r="S327" i="1"/>
  <c r="R327" i="1"/>
  <c r="Q327" i="1"/>
  <c r="P327" i="1"/>
  <c r="S326" i="1"/>
  <c r="R326" i="1"/>
  <c r="Q326" i="1"/>
  <c r="P326" i="1"/>
  <c r="S325" i="1"/>
  <c r="R325" i="1"/>
  <c r="Q325" i="1"/>
  <c r="P325" i="1"/>
  <c r="S324" i="1"/>
  <c r="R324" i="1"/>
  <c r="Q324" i="1"/>
  <c r="P324" i="1"/>
  <c r="S323" i="1"/>
  <c r="R323" i="1"/>
  <c r="Q323" i="1"/>
  <c r="P323" i="1"/>
  <c r="S322" i="1"/>
  <c r="R322" i="1"/>
  <c r="Q322" i="1"/>
  <c r="P322" i="1"/>
  <c r="S321" i="1"/>
  <c r="R321" i="1"/>
  <c r="Q321" i="1"/>
  <c r="P321" i="1"/>
  <c r="S320" i="1"/>
  <c r="R320" i="1"/>
  <c r="Q320" i="1"/>
  <c r="P320" i="1"/>
  <c r="S319" i="1"/>
  <c r="R319" i="1"/>
  <c r="Q319" i="1"/>
  <c r="P319" i="1"/>
  <c r="S318" i="1"/>
  <c r="R318" i="1"/>
  <c r="Q318" i="1"/>
  <c r="P318" i="1"/>
  <c r="S317" i="1"/>
  <c r="R317" i="1"/>
  <c r="Q317" i="1"/>
  <c r="P317" i="1"/>
  <c r="S316" i="1"/>
  <c r="R316" i="1"/>
  <c r="Q316" i="1"/>
  <c r="P316" i="1"/>
  <c r="S315" i="1"/>
  <c r="R315" i="1"/>
  <c r="Q315" i="1"/>
  <c r="P315" i="1"/>
  <c r="S314" i="1"/>
  <c r="R314" i="1"/>
  <c r="Q314" i="1"/>
  <c r="P314" i="1"/>
  <c r="S313" i="1"/>
  <c r="R313" i="1"/>
  <c r="Q313" i="1"/>
  <c r="P313" i="1"/>
  <c r="S312" i="1"/>
  <c r="R312" i="1"/>
  <c r="Q312" i="1"/>
  <c r="P312" i="1"/>
  <c r="S311" i="1"/>
  <c r="R311" i="1"/>
  <c r="Q311" i="1"/>
  <c r="P311" i="1"/>
  <c r="S310" i="1"/>
  <c r="R310" i="1"/>
  <c r="Q310" i="1"/>
  <c r="P310" i="1"/>
  <c r="S309" i="1"/>
  <c r="R309" i="1"/>
  <c r="Q309" i="1"/>
  <c r="P309" i="1"/>
  <c r="S308" i="1"/>
  <c r="R308" i="1"/>
  <c r="Q308" i="1"/>
  <c r="P308" i="1"/>
  <c r="S307" i="1"/>
  <c r="R307" i="1"/>
  <c r="Q307" i="1"/>
  <c r="P307" i="1"/>
  <c r="S306" i="1"/>
  <c r="R306" i="1"/>
  <c r="Q306" i="1"/>
  <c r="P306" i="1"/>
  <c r="S305" i="1"/>
  <c r="R305" i="1"/>
  <c r="Q305" i="1"/>
  <c r="P305" i="1"/>
  <c r="S304" i="1"/>
  <c r="R304" i="1"/>
  <c r="Q304" i="1"/>
  <c r="P304" i="1"/>
  <c r="S303" i="1"/>
  <c r="R303" i="1"/>
  <c r="Q303" i="1"/>
  <c r="P303" i="1"/>
  <c r="S302" i="1"/>
  <c r="R302" i="1"/>
  <c r="Q302" i="1"/>
  <c r="P302" i="1"/>
  <c r="S301" i="1"/>
  <c r="R301" i="1"/>
  <c r="Q301" i="1"/>
  <c r="P301" i="1"/>
  <c r="S300" i="1"/>
  <c r="R300" i="1"/>
  <c r="Q300" i="1"/>
  <c r="P300" i="1"/>
  <c r="S299" i="1"/>
  <c r="R299" i="1"/>
  <c r="Q299" i="1"/>
  <c r="P299" i="1"/>
  <c r="S298" i="1"/>
  <c r="R298" i="1"/>
  <c r="Q298" i="1"/>
  <c r="P298" i="1"/>
  <c r="S297" i="1"/>
  <c r="R297" i="1"/>
  <c r="Q297" i="1"/>
  <c r="P297" i="1"/>
  <c r="S296" i="1"/>
  <c r="R296" i="1"/>
  <c r="Q296" i="1"/>
  <c r="P296" i="1"/>
  <c r="S295" i="1"/>
  <c r="R295" i="1"/>
  <c r="Q295" i="1"/>
  <c r="P295" i="1"/>
  <c r="S294" i="1"/>
  <c r="R294" i="1"/>
  <c r="Q294" i="1"/>
  <c r="P294" i="1"/>
  <c r="S293" i="1"/>
  <c r="R293" i="1"/>
  <c r="Q293" i="1"/>
  <c r="P293" i="1"/>
  <c r="S292" i="1"/>
  <c r="R292" i="1"/>
  <c r="Q292" i="1"/>
  <c r="P292" i="1"/>
  <c r="S291" i="1"/>
  <c r="R291" i="1"/>
  <c r="Q291" i="1"/>
  <c r="P291" i="1"/>
  <c r="S290" i="1"/>
  <c r="R290" i="1"/>
  <c r="Q290" i="1"/>
  <c r="P290" i="1"/>
  <c r="S289" i="1"/>
  <c r="R289" i="1"/>
  <c r="Q289" i="1"/>
  <c r="P289" i="1"/>
  <c r="S288" i="1"/>
  <c r="R288" i="1"/>
  <c r="Q288" i="1"/>
  <c r="P288" i="1"/>
  <c r="S287" i="1"/>
  <c r="R287" i="1"/>
  <c r="Q287" i="1"/>
  <c r="P287" i="1"/>
  <c r="S286" i="1"/>
  <c r="R286" i="1"/>
  <c r="Q286" i="1"/>
  <c r="P286" i="1"/>
  <c r="S285" i="1"/>
  <c r="R285" i="1"/>
  <c r="Q285" i="1"/>
  <c r="P285" i="1"/>
  <c r="S284" i="1"/>
  <c r="R284" i="1"/>
  <c r="Q284" i="1"/>
  <c r="P284" i="1"/>
  <c r="S283" i="1"/>
  <c r="R283" i="1"/>
  <c r="Q283" i="1"/>
  <c r="P283" i="1"/>
  <c r="S282" i="1"/>
  <c r="R282" i="1"/>
  <c r="Q282" i="1"/>
  <c r="P282" i="1"/>
  <c r="S281" i="1"/>
  <c r="R281" i="1"/>
  <c r="Q281" i="1"/>
  <c r="P281" i="1"/>
  <c r="S280" i="1"/>
  <c r="R280" i="1"/>
  <c r="Q280" i="1"/>
  <c r="P280" i="1"/>
  <c r="S279" i="1"/>
  <c r="R279" i="1"/>
  <c r="Q279" i="1"/>
  <c r="P279" i="1"/>
  <c r="S278" i="1"/>
  <c r="R278" i="1"/>
  <c r="Q278" i="1"/>
  <c r="P278" i="1"/>
  <c r="S277" i="1"/>
  <c r="R277" i="1"/>
  <c r="Q277" i="1"/>
  <c r="P277" i="1"/>
  <c r="S276" i="1"/>
  <c r="R276" i="1"/>
  <c r="Q276" i="1"/>
  <c r="P276" i="1"/>
  <c r="S275" i="1"/>
  <c r="R275" i="1"/>
  <c r="Q275" i="1"/>
  <c r="P275" i="1"/>
  <c r="S274" i="1"/>
  <c r="R274" i="1"/>
  <c r="Q274" i="1"/>
  <c r="P274" i="1"/>
  <c r="S273" i="1"/>
  <c r="R273" i="1"/>
  <c r="Q273" i="1"/>
  <c r="P273" i="1"/>
  <c r="S272" i="1"/>
  <c r="R272" i="1"/>
  <c r="Q272" i="1"/>
  <c r="P272" i="1"/>
  <c r="S271" i="1"/>
  <c r="R271" i="1"/>
  <c r="Q271" i="1"/>
  <c r="P271" i="1"/>
  <c r="S270" i="1"/>
  <c r="R270" i="1"/>
  <c r="Q270" i="1"/>
  <c r="P270" i="1"/>
  <c r="S269" i="1"/>
  <c r="R269" i="1"/>
  <c r="Q269" i="1"/>
  <c r="P269" i="1"/>
  <c r="S268" i="1"/>
  <c r="R268" i="1"/>
  <c r="Q268" i="1"/>
  <c r="P268" i="1"/>
  <c r="S267" i="1"/>
  <c r="R267" i="1"/>
  <c r="Q267" i="1"/>
  <c r="P267" i="1"/>
  <c r="S266" i="1"/>
  <c r="R266" i="1"/>
  <c r="Q266" i="1"/>
  <c r="P266" i="1"/>
  <c r="S265" i="1"/>
  <c r="R265" i="1"/>
  <c r="Q265" i="1"/>
  <c r="P265" i="1"/>
  <c r="S264" i="1"/>
  <c r="R264" i="1"/>
  <c r="Q264" i="1"/>
  <c r="P264" i="1"/>
  <c r="S263" i="1"/>
  <c r="R263" i="1"/>
  <c r="Q263" i="1"/>
  <c r="P263" i="1"/>
  <c r="S262" i="1"/>
  <c r="R262" i="1"/>
  <c r="Q262" i="1"/>
  <c r="P262" i="1"/>
  <c r="S261" i="1"/>
  <c r="R261" i="1"/>
  <c r="Q261" i="1"/>
  <c r="P261" i="1"/>
  <c r="S260" i="1"/>
  <c r="R260" i="1"/>
  <c r="Q260" i="1"/>
  <c r="P260" i="1"/>
  <c r="S259" i="1"/>
  <c r="R259" i="1"/>
  <c r="Q259" i="1"/>
  <c r="P259" i="1"/>
  <c r="S258" i="1"/>
  <c r="R258" i="1"/>
  <c r="Q258" i="1"/>
  <c r="P258" i="1"/>
  <c r="S257" i="1"/>
  <c r="R257" i="1"/>
  <c r="Q257" i="1"/>
  <c r="P257" i="1"/>
  <c r="S256" i="1"/>
  <c r="R256" i="1"/>
  <c r="Q256" i="1"/>
  <c r="P256" i="1"/>
  <c r="S255" i="1"/>
  <c r="R255" i="1"/>
  <c r="Q255" i="1"/>
  <c r="P255" i="1"/>
  <c r="S254" i="1"/>
  <c r="R254" i="1"/>
  <c r="Q254" i="1"/>
  <c r="P254" i="1"/>
  <c r="S253" i="1"/>
  <c r="R253" i="1"/>
  <c r="Q253" i="1"/>
  <c r="P253" i="1"/>
  <c r="S252" i="1"/>
  <c r="R252" i="1"/>
  <c r="Q252" i="1"/>
  <c r="P252" i="1"/>
  <c r="S251" i="1"/>
  <c r="R251" i="1"/>
  <c r="Q251" i="1"/>
  <c r="P251" i="1"/>
  <c r="S250" i="1"/>
  <c r="R250" i="1"/>
  <c r="Q250" i="1"/>
  <c r="P250" i="1"/>
  <c r="S249" i="1"/>
  <c r="R249" i="1"/>
  <c r="Q249" i="1"/>
  <c r="P249" i="1"/>
  <c r="S248" i="1"/>
  <c r="R248" i="1"/>
  <c r="Q248" i="1"/>
  <c r="P248" i="1"/>
  <c r="S247" i="1"/>
  <c r="R247" i="1"/>
  <c r="Q247" i="1"/>
  <c r="P247" i="1"/>
  <c r="S246" i="1"/>
  <c r="R246" i="1"/>
  <c r="Q246" i="1"/>
  <c r="P246" i="1"/>
  <c r="S245" i="1"/>
  <c r="R245" i="1"/>
  <c r="Q245" i="1"/>
  <c r="P245" i="1"/>
  <c r="S244" i="1"/>
  <c r="R244" i="1"/>
  <c r="Q244" i="1"/>
  <c r="P244" i="1"/>
  <c r="S243" i="1"/>
  <c r="R243" i="1"/>
  <c r="Q243" i="1"/>
  <c r="P243" i="1"/>
  <c r="S242" i="1"/>
  <c r="R242" i="1"/>
  <c r="Q242" i="1"/>
  <c r="P242" i="1"/>
  <c r="S241" i="1"/>
  <c r="R241" i="1"/>
  <c r="Q241" i="1"/>
  <c r="P241" i="1"/>
  <c r="S240" i="1"/>
  <c r="R240" i="1"/>
  <c r="Q240" i="1"/>
  <c r="P240" i="1"/>
  <c r="S239" i="1"/>
  <c r="R239" i="1"/>
  <c r="Q239" i="1"/>
  <c r="P239" i="1"/>
  <c r="S238" i="1"/>
  <c r="R238" i="1"/>
  <c r="Q238" i="1"/>
  <c r="P238" i="1"/>
  <c r="S237" i="1"/>
  <c r="R237" i="1"/>
  <c r="Q237" i="1"/>
  <c r="P237" i="1"/>
  <c r="S236" i="1"/>
  <c r="R236" i="1"/>
  <c r="Q236" i="1"/>
  <c r="P236" i="1"/>
  <c r="S235" i="1"/>
  <c r="R235" i="1"/>
  <c r="Q235" i="1"/>
  <c r="P235" i="1"/>
  <c r="S234" i="1"/>
  <c r="R234" i="1"/>
  <c r="Q234" i="1"/>
  <c r="P234" i="1"/>
  <c r="S233" i="1"/>
  <c r="R233" i="1"/>
  <c r="Q233" i="1"/>
  <c r="P233" i="1"/>
  <c r="S232" i="1"/>
  <c r="R232" i="1"/>
  <c r="Q232" i="1"/>
  <c r="P232" i="1"/>
  <c r="S231" i="1"/>
  <c r="R231" i="1"/>
  <c r="Q231" i="1"/>
  <c r="P231" i="1"/>
  <c r="S230" i="1"/>
  <c r="R230" i="1"/>
  <c r="Q230" i="1"/>
  <c r="P230" i="1"/>
  <c r="S229" i="1"/>
  <c r="R229" i="1"/>
  <c r="Q229" i="1"/>
  <c r="P229" i="1"/>
  <c r="S228" i="1"/>
  <c r="R228" i="1"/>
  <c r="Q228" i="1"/>
  <c r="P228" i="1"/>
  <c r="S227" i="1"/>
  <c r="R227" i="1"/>
  <c r="Q227" i="1"/>
  <c r="P227" i="1"/>
  <c r="S226" i="1"/>
  <c r="R226" i="1"/>
  <c r="Q226" i="1"/>
  <c r="P226" i="1"/>
  <c r="S225" i="1"/>
  <c r="R225" i="1"/>
  <c r="Q225" i="1"/>
  <c r="P225" i="1"/>
  <c r="S224" i="1"/>
  <c r="R224" i="1"/>
  <c r="Q224" i="1"/>
  <c r="P224" i="1"/>
  <c r="S223" i="1"/>
  <c r="R223" i="1"/>
  <c r="Q223" i="1"/>
  <c r="P223" i="1"/>
  <c r="S222" i="1"/>
  <c r="R222" i="1"/>
  <c r="Q222" i="1"/>
  <c r="P222" i="1"/>
  <c r="S221" i="1"/>
  <c r="R221" i="1"/>
  <c r="Q221" i="1"/>
  <c r="P221" i="1"/>
  <c r="S220" i="1"/>
  <c r="R220" i="1"/>
  <c r="Q220" i="1"/>
  <c r="P220" i="1"/>
  <c r="S219" i="1"/>
  <c r="R219" i="1"/>
  <c r="Q219" i="1"/>
  <c r="P219" i="1"/>
  <c r="S218" i="1"/>
  <c r="R218" i="1"/>
  <c r="Q218" i="1"/>
  <c r="P218" i="1"/>
  <c r="S217" i="1"/>
  <c r="R217" i="1"/>
  <c r="Q217" i="1"/>
  <c r="P217" i="1"/>
  <c r="S216" i="1"/>
  <c r="R216" i="1"/>
  <c r="Q216" i="1"/>
  <c r="P216" i="1"/>
  <c r="S215" i="1"/>
  <c r="R215" i="1"/>
  <c r="Q215" i="1"/>
  <c r="P215" i="1"/>
  <c r="S214" i="1"/>
  <c r="R214" i="1"/>
  <c r="Q214" i="1"/>
  <c r="P214" i="1"/>
  <c r="S213" i="1"/>
  <c r="R213" i="1"/>
  <c r="Q213" i="1"/>
  <c r="P213" i="1"/>
  <c r="S212" i="1"/>
  <c r="R212" i="1"/>
  <c r="Q212" i="1"/>
  <c r="P212" i="1"/>
  <c r="S211" i="1"/>
  <c r="R211" i="1"/>
  <c r="Q211" i="1"/>
  <c r="P211" i="1"/>
  <c r="S210" i="1"/>
  <c r="R210" i="1"/>
  <c r="Q210" i="1"/>
  <c r="P210" i="1"/>
  <c r="S209" i="1"/>
  <c r="R209" i="1"/>
  <c r="Q209" i="1"/>
  <c r="P209" i="1"/>
  <c r="S208" i="1"/>
  <c r="R208" i="1"/>
  <c r="Q208" i="1"/>
  <c r="P208" i="1"/>
  <c r="S207" i="1"/>
  <c r="R207" i="1"/>
  <c r="Q207" i="1"/>
  <c r="P207" i="1"/>
  <c r="S206" i="1"/>
  <c r="R206" i="1"/>
  <c r="Q206" i="1"/>
  <c r="P206" i="1"/>
  <c r="S205" i="1"/>
  <c r="R205" i="1"/>
  <c r="Q205" i="1"/>
  <c r="P205" i="1"/>
  <c r="S204" i="1"/>
  <c r="R204" i="1"/>
  <c r="Q204" i="1"/>
  <c r="P204" i="1"/>
  <c r="S203" i="1"/>
  <c r="R203" i="1"/>
  <c r="Q203" i="1"/>
  <c r="P203" i="1"/>
  <c r="S202" i="1"/>
  <c r="R202" i="1"/>
  <c r="Q202" i="1"/>
  <c r="P202" i="1"/>
  <c r="S201" i="1"/>
  <c r="R201" i="1"/>
  <c r="Q201" i="1"/>
  <c r="P201" i="1"/>
  <c r="S200" i="1"/>
  <c r="R200" i="1"/>
  <c r="Q200" i="1"/>
  <c r="P200" i="1"/>
  <c r="S199" i="1"/>
  <c r="R199" i="1"/>
  <c r="Q199" i="1"/>
  <c r="P199" i="1"/>
  <c r="S198" i="1"/>
  <c r="R198" i="1"/>
  <c r="Q198" i="1"/>
  <c r="P198" i="1"/>
  <c r="S197" i="1"/>
  <c r="R197" i="1"/>
  <c r="Q197" i="1"/>
  <c r="P197" i="1"/>
  <c r="S196" i="1"/>
  <c r="R196" i="1"/>
  <c r="Q196" i="1"/>
  <c r="P196" i="1"/>
  <c r="S195" i="1"/>
  <c r="R195" i="1"/>
  <c r="Q195" i="1"/>
  <c r="P195" i="1"/>
  <c r="S194" i="1"/>
  <c r="R194" i="1"/>
  <c r="Q194" i="1"/>
  <c r="P194" i="1"/>
  <c r="S193" i="1"/>
  <c r="R193" i="1"/>
  <c r="Q193" i="1"/>
  <c r="P193" i="1"/>
  <c r="S192" i="1"/>
  <c r="R192" i="1"/>
  <c r="Q192" i="1"/>
  <c r="P192" i="1"/>
  <c r="S191" i="1"/>
  <c r="R191" i="1"/>
  <c r="Q191" i="1"/>
  <c r="P191" i="1"/>
  <c r="S190" i="1"/>
  <c r="R190" i="1"/>
  <c r="Q190" i="1"/>
  <c r="P190" i="1"/>
  <c r="S189" i="1"/>
  <c r="R189" i="1"/>
  <c r="Q189" i="1"/>
  <c r="P189" i="1"/>
  <c r="S188" i="1"/>
  <c r="R188" i="1"/>
  <c r="Q188" i="1"/>
  <c r="P188" i="1"/>
  <c r="S187" i="1"/>
  <c r="R187" i="1"/>
  <c r="Q187" i="1"/>
  <c r="P187" i="1"/>
  <c r="S186" i="1"/>
  <c r="R186" i="1"/>
  <c r="Q186" i="1"/>
  <c r="P186" i="1"/>
  <c r="S185" i="1"/>
  <c r="R185" i="1"/>
  <c r="Q185" i="1"/>
  <c r="P185" i="1"/>
  <c r="S184" i="1"/>
  <c r="R184" i="1"/>
  <c r="Q184" i="1"/>
  <c r="P184" i="1"/>
  <c r="S183" i="1"/>
  <c r="R183" i="1"/>
  <c r="Q183" i="1"/>
  <c r="P183" i="1"/>
  <c r="S182" i="1"/>
  <c r="R182" i="1"/>
  <c r="Q182" i="1"/>
  <c r="P182" i="1"/>
  <c r="S181" i="1"/>
  <c r="R181" i="1"/>
  <c r="Q181" i="1"/>
  <c r="P181" i="1"/>
  <c r="S180" i="1"/>
  <c r="R180" i="1"/>
  <c r="Q180" i="1"/>
  <c r="P180" i="1"/>
  <c r="S179" i="1"/>
  <c r="R179" i="1"/>
  <c r="Q179" i="1"/>
  <c r="P179" i="1"/>
  <c r="S178" i="1"/>
  <c r="R178" i="1"/>
  <c r="Q178" i="1"/>
  <c r="P178" i="1"/>
  <c r="S177" i="1"/>
  <c r="R177" i="1"/>
  <c r="Q177" i="1"/>
  <c r="P177" i="1"/>
  <c r="S176" i="1"/>
  <c r="R176" i="1"/>
  <c r="Q176" i="1"/>
  <c r="P176" i="1"/>
  <c r="S175" i="1"/>
  <c r="R175" i="1"/>
  <c r="Q175" i="1"/>
  <c r="P175" i="1"/>
  <c r="S174" i="1"/>
  <c r="R174" i="1"/>
  <c r="Q174" i="1"/>
  <c r="P174" i="1"/>
  <c r="S173" i="1"/>
  <c r="R173" i="1"/>
  <c r="Q173" i="1"/>
  <c r="P173" i="1"/>
  <c r="S172" i="1"/>
  <c r="R172" i="1"/>
  <c r="Q172" i="1"/>
  <c r="P172" i="1"/>
  <c r="S171" i="1"/>
  <c r="R171" i="1"/>
  <c r="Q171" i="1"/>
  <c r="P171" i="1"/>
  <c r="S170" i="1"/>
  <c r="R170" i="1"/>
  <c r="Q170" i="1"/>
  <c r="P170" i="1"/>
  <c r="S169" i="1"/>
  <c r="R169" i="1"/>
  <c r="Q169" i="1"/>
  <c r="P169" i="1"/>
  <c r="S168" i="1"/>
  <c r="R168" i="1"/>
  <c r="Q168" i="1"/>
  <c r="P168" i="1"/>
  <c r="S167" i="1"/>
  <c r="R167" i="1"/>
  <c r="Q167" i="1"/>
  <c r="P167" i="1"/>
  <c r="S166" i="1"/>
  <c r="R166" i="1"/>
  <c r="Q166" i="1"/>
  <c r="P166" i="1"/>
  <c r="S165" i="1"/>
  <c r="R165" i="1"/>
  <c r="Q165" i="1"/>
  <c r="P165" i="1"/>
  <c r="S164" i="1"/>
  <c r="R164" i="1"/>
  <c r="Q164" i="1"/>
  <c r="P164" i="1"/>
  <c r="S163" i="1"/>
  <c r="R163" i="1"/>
  <c r="Q163" i="1"/>
  <c r="P163" i="1"/>
  <c r="S162" i="1"/>
  <c r="R162" i="1"/>
  <c r="Q162" i="1"/>
  <c r="P162" i="1"/>
  <c r="S161" i="1"/>
  <c r="R161" i="1"/>
  <c r="Q161" i="1"/>
  <c r="P161" i="1"/>
  <c r="S160" i="1"/>
  <c r="R160" i="1"/>
  <c r="Q160" i="1"/>
  <c r="P160" i="1"/>
  <c r="S159" i="1"/>
  <c r="R159" i="1"/>
  <c r="Q159" i="1"/>
  <c r="P159" i="1"/>
  <c r="S158" i="1"/>
  <c r="R158" i="1"/>
  <c r="Q158" i="1"/>
  <c r="P158" i="1"/>
  <c r="S157" i="1"/>
  <c r="R157" i="1"/>
  <c r="Q157" i="1"/>
  <c r="P157" i="1"/>
  <c r="S156" i="1"/>
  <c r="R156" i="1"/>
  <c r="Q156" i="1"/>
  <c r="P156" i="1"/>
  <c r="S155" i="1"/>
  <c r="R155" i="1"/>
  <c r="Q155" i="1"/>
  <c r="P155" i="1"/>
  <c r="S154" i="1"/>
  <c r="R154" i="1"/>
  <c r="Q154" i="1"/>
  <c r="P154" i="1"/>
  <c r="S153" i="1"/>
  <c r="R153" i="1"/>
  <c r="Q153" i="1"/>
  <c r="P153" i="1"/>
  <c r="S152" i="1"/>
  <c r="R152" i="1"/>
  <c r="Q152" i="1"/>
  <c r="P152" i="1"/>
  <c r="S151" i="1"/>
  <c r="R151" i="1"/>
  <c r="Q151" i="1"/>
  <c r="P151" i="1"/>
  <c r="S150" i="1"/>
  <c r="R150" i="1"/>
  <c r="Q150" i="1"/>
  <c r="P150" i="1"/>
  <c r="S149" i="1"/>
  <c r="R149" i="1"/>
  <c r="Q149" i="1"/>
  <c r="P149" i="1"/>
  <c r="S148" i="1"/>
  <c r="R148" i="1"/>
  <c r="Q148" i="1"/>
  <c r="P148" i="1"/>
  <c r="S147" i="1"/>
  <c r="R147" i="1"/>
  <c r="Q147" i="1"/>
  <c r="P147" i="1"/>
  <c r="S146" i="1"/>
  <c r="R146" i="1"/>
  <c r="Q146" i="1"/>
  <c r="P146" i="1"/>
  <c r="S145" i="1"/>
  <c r="R145" i="1"/>
  <c r="Q145" i="1"/>
  <c r="P145" i="1"/>
  <c r="S144" i="1"/>
  <c r="R144" i="1"/>
  <c r="Q144" i="1"/>
  <c r="P144" i="1"/>
  <c r="S143" i="1"/>
  <c r="R143" i="1"/>
  <c r="Q143" i="1"/>
  <c r="P143" i="1"/>
  <c r="S142" i="1"/>
  <c r="R142" i="1"/>
  <c r="Q142" i="1"/>
  <c r="P142" i="1"/>
  <c r="S141" i="1"/>
  <c r="R141" i="1"/>
  <c r="Q141" i="1"/>
  <c r="P141" i="1"/>
  <c r="S140" i="1"/>
  <c r="R140" i="1"/>
  <c r="Q140" i="1"/>
  <c r="P140" i="1"/>
  <c r="S139" i="1"/>
  <c r="R139" i="1"/>
  <c r="Q139" i="1"/>
  <c r="P139" i="1"/>
  <c r="S138" i="1"/>
  <c r="R138" i="1"/>
  <c r="Q138" i="1"/>
  <c r="P138" i="1"/>
  <c r="S137" i="1"/>
  <c r="R137" i="1"/>
  <c r="Q137" i="1"/>
  <c r="P137" i="1"/>
  <c r="S136" i="1"/>
  <c r="R136" i="1"/>
  <c r="Q136" i="1"/>
  <c r="P136" i="1"/>
  <c r="S135" i="1"/>
  <c r="R135" i="1"/>
  <c r="Q135" i="1"/>
  <c r="P135" i="1"/>
  <c r="S134" i="1"/>
  <c r="R134" i="1"/>
  <c r="Q134" i="1"/>
  <c r="P134" i="1"/>
  <c r="S133" i="1"/>
  <c r="R133" i="1"/>
  <c r="Q133" i="1"/>
  <c r="P133" i="1"/>
  <c r="S132" i="1"/>
  <c r="R132" i="1"/>
  <c r="Q132" i="1"/>
  <c r="P132" i="1"/>
  <c r="S131" i="1"/>
  <c r="R131" i="1"/>
  <c r="Q131" i="1"/>
  <c r="P131" i="1"/>
  <c r="S130" i="1"/>
  <c r="R130" i="1"/>
  <c r="Q130" i="1"/>
  <c r="P130" i="1"/>
  <c r="S129" i="1"/>
  <c r="R129" i="1"/>
  <c r="Q129" i="1"/>
  <c r="P129" i="1"/>
  <c r="S128" i="1"/>
  <c r="R128" i="1"/>
  <c r="Q128" i="1"/>
  <c r="P128" i="1"/>
  <c r="S127" i="1"/>
  <c r="R127" i="1"/>
  <c r="Q127" i="1"/>
  <c r="P127" i="1"/>
  <c r="S126" i="1"/>
  <c r="R126" i="1"/>
  <c r="Q126" i="1"/>
  <c r="P126" i="1"/>
  <c r="S125" i="1"/>
  <c r="R125" i="1"/>
  <c r="Q125" i="1"/>
  <c r="P125" i="1"/>
  <c r="S124" i="1"/>
  <c r="R124" i="1"/>
  <c r="Q124" i="1"/>
  <c r="P124" i="1"/>
  <c r="S123" i="1"/>
  <c r="R123" i="1"/>
  <c r="Q123" i="1"/>
  <c r="P123" i="1"/>
  <c r="S122" i="1"/>
  <c r="R122" i="1"/>
  <c r="Q122" i="1"/>
  <c r="P122" i="1"/>
  <c r="S121" i="1"/>
  <c r="R121" i="1"/>
  <c r="Q121" i="1"/>
  <c r="P121" i="1"/>
  <c r="S120" i="1"/>
  <c r="R120" i="1"/>
  <c r="Q120" i="1"/>
  <c r="P120" i="1"/>
  <c r="S119" i="1"/>
  <c r="R119" i="1"/>
  <c r="Q119" i="1"/>
  <c r="P119" i="1"/>
  <c r="S118" i="1"/>
  <c r="R118" i="1"/>
  <c r="Q118" i="1"/>
  <c r="P118" i="1"/>
  <c r="S117" i="1"/>
  <c r="R117" i="1"/>
  <c r="Q117" i="1"/>
  <c r="P117" i="1"/>
  <c r="S116" i="1"/>
  <c r="R116" i="1"/>
  <c r="Q116" i="1"/>
  <c r="P116" i="1"/>
  <c r="S115" i="1"/>
  <c r="R115" i="1"/>
  <c r="Q115" i="1"/>
  <c r="P115" i="1"/>
  <c r="S114" i="1"/>
  <c r="R114" i="1"/>
  <c r="Q114" i="1"/>
  <c r="P114" i="1"/>
  <c r="S113" i="1"/>
  <c r="R113" i="1"/>
  <c r="Q113" i="1"/>
  <c r="P113" i="1"/>
  <c r="S112" i="1"/>
  <c r="R112" i="1"/>
  <c r="Q112" i="1"/>
  <c r="P112" i="1"/>
  <c r="S111" i="1"/>
  <c r="R111" i="1"/>
  <c r="Q111" i="1"/>
  <c r="P111" i="1"/>
  <c r="S110" i="1"/>
  <c r="R110" i="1"/>
  <c r="Q110" i="1"/>
  <c r="P110" i="1"/>
  <c r="S109" i="1"/>
  <c r="R109" i="1"/>
  <c r="Q109" i="1"/>
  <c r="P109" i="1"/>
  <c r="S108" i="1"/>
  <c r="R108" i="1"/>
  <c r="Q108" i="1"/>
  <c r="P108" i="1"/>
  <c r="S107" i="1"/>
  <c r="R107" i="1"/>
  <c r="Q107" i="1"/>
  <c r="P107" i="1"/>
  <c r="S106" i="1"/>
  <c r="R106" i="1"/>
  <c r="Q106" i="1"/>
  <c r="P106" i="1"/>
  <c r="S105" i="1"/>
  <c r="R105" i="1"/>
  <c r="Q105" i="1"/>
  <c r="P105" i="1"/>
  <c r="S104" i="1"/>
  <c r="R104" i="1"/>
  <c r="Q104" i="1"/>
  <c r="P104" i="1"/>
  <c r="S103" i="1"/>
  <c r="R103" i="1"/>
  <c r="Q103" i="1"/>
  <c r="P103" i="1"/>
  <c r="S102" i="1"/>
  <c r="R102" i="1"/>
  <c r="Q102" i="1"/>
  <c r="P102" i="1"/>
  <c r="S101" i="1"/>
  <c r="R101" i="1"/>
  <c r="Q101" i="1"/>
  <c r="P101" i="1"/>
  <c r="S100" i="1"/>
  <c r="R100" i="1"/>
  <c r="Q100" i="1"/>
  <c r="P100" i="1"/>
  <c r="S99" i="1"/>
  <c r="R99" i="1"/>
  <c r="Q99" i="1"/>
  <c r="P99" i="1"/>
  <c r="S98" i="1"/>
  <c r="R98" i="1"/>
  <c r="Q98" i="1"/>
  <c r="P98" i="1"/>
  <c r="S97" i="1"/>
  <c r="R97" i="1"/>
  <c r="Q97" i="1"/>
  <c r="P97" i="1"/>
  <c r="S96" i="1"/>
  <c r="R96" i="1"/>
  <c r="Q96" i="1"/>
  <c r="P96" i="1"/>
  <c r="S95" i="1"/>
  <c r="R95" i="1"/>
  <c r="Q95" i="1"/>
  <c r="P95" i="1"/>
  <c r="S94" i="1"/>
  <c r="R94" i="1"/>
  <c r="Q94" i="1"/>
  <c r="P94" i="1"/>
  <c r="S93" i="1"/>
  <c r="R93" i="1"/>
  <c r="Q93" i="1"/>
  <c r="P93" i="1"/>
  <c r="S92" i="1"/>
  <c r="R92" i="1"/>
  <c r="Q92" i="1"/>
  <c r="P92" i="1"/>
  <c r="S91" i="1"/>
  <c r="R91" i="1"/>
  <c r="Q91" i="1"/>
  <c r="P91" i="1"/>
  <c r="S90" i="1"/>
  <c r="R90" i="1"/>
  <c r="Q90" i="1"/>
  <c r="P90" i="1"/>
  <c r="S89" i="1"/>
  <c r="R89" i="1"/>
  <c r="Q89" i="1"/>
  <c r="P89" i="1"/>
  <c r="S88" i="1"/>
  <c r="R88" i="1"/>
  <c r="Q88" i="1"/>
  <c r="P88" i="1"/>
  <c r="S87" i="1"/>
  <c r="R87" i="1"/>
  <c r="Q87" i="1"/>
  <c r="P87" i="1"/>
  <c r="S86" i="1"/>
  <c r="R86" i="1"/>
  <c r="Q86" i="1"/>
  <c r="P86" i="1"/>
  <c r="S85" i="1"/>
  <c r="R85" i="1"/>
  <c r="Q85" i="1"/>
  <c r="P85" i="1"/>
  <c r="S84" i="1"/>
  <c r="R84" i="1"/>
  <c r="Q84" i="1"/>
  <c r="P84" i="1"/>
  <c r="S83" i="1"/>
  <c r="R83" i="1"/>
  <c r="Q83" i="1"/>
  <c r="P83" i="1"/>
  <c r="S82" i="1"/>
  <c r="R82" i="1"/>
  <c r="Q82" i="1"/>
  <c r="P82" i="1"/>
  <c r="S81" i="1"/>
  <c r="R81" i="1"/>
  <c r="Q81" i="1"/>
  <c r="P81" i="1"/>
  <c r="S80" i="1"/>
  <c r="R80" i="1"/>
  <c r="Q80" i="1"/>
  <c r="P80" i="1"/>
  <c r="S79" i="1"/>
  <c r="R79" i="1"/>
  <c r="Q79" i="1"/>
  <c r="P79" i="1"/>
  <c r="S78" i="1"/>
  <c r="R78" i="1"/>
  <c r="Q78" i="1"/>
  <c r="P78" i="1"/>
  <c r="S77" i="1"/>
  <c r="R77" i="1"/>
  <c r="Q77" i="1"/>
  <c r="P77" i="1"/>
  <c r="S76" i="1"/>
  <c r="R76" i="1"/>
  <c r="Q76" i="1"/>
  <c r="P76" i="1"/>
  <c r="S75" i="1"/>
  <c r="R75" i="1"/>
  <c r="Q75" i="1"/>
  <c r="P75" i="1"/>
  <c r="S74" i="1"/>
  <c r="R74" i="1"/>
  <c r="Q74" i="1"/>
  <c r="P74" i="1"/>
  <c r="S73" i="1"/>
  <c r="R73" i="1"/>
  <c r="Q73" i="1"/>
  <c r="P73" i="1"/>
  <c r="S72" i="1"/>
  <c r="R72" i="1"/>
  <c r="Q72" i="1"/>
  <c r="P72" i="1"/>
  <c r="S71" i="1"/>
  <c r="R71" i="1"/>
  <c r="Q71" i="1"/>
  <c r="P71" i="1"/>
  <c r="S70" i="1"/>
  <c r="R70" i="1"/>
  <c r="Q70" i="1"/>
  <c r="P70" i="1"/>
  <c r="S69" i="1"/>
  <c r="R69" i="1"/>
  <c r="Q69" i="1"/>
  <c r="P69" i="1"/>
  <c r="S68" i="1"/>
  <c r="R68" i="1"/>
  <c r="Q68" i="1"/>
  <c r="P68" i="1"/>
  <c r="S67" i="1"/>
  <c r="R67" i="1"/>
  <c r="Q67" i="1"/>
  <c r="P67" i="1"/>
  <c r="S66" i="1"/>
  <c r="R66" i="1"/>
  <c r="Q66" i="1"/>
  <c r="P66" i="1"/>
  <c r="S65" i="1"/>
  <c r="R65" i="1"/>
  <c r="Q65" i="1"/>
  <c r="P65" i="1"/>
  <c r="S64" i="1"/>
  <c r="R64" i="1"/>
  <c r="Q64" i="1"/>
  <c r="P64" i="1"/>
  <c r="S63" i="1"/>
  <c r="R63" i="1"/>
  <c r="Q63" i="1"/>
  <c r="P63" i="1"/>
  <c r="S62" i="1"/>
  <c r="R62" i="1"/>
  <c r="Q62" i="1"/>
  <c r="P62" i="1"/>
  <c r="S61" i="1"/>
  <c r="R61" i="1"/>
  <c r="Q61" i="1"/>
  <c r="P61" i="1"/>
  <c r="S60" i="1"/>
  <c r="R60" i="1"/>
  <c r="Q60" i="1"/>
  <c r="P60" i="1"/>
  <c r="S59" i="1"/>
  <c r="R59" i="1"/>
  <c r="Q59" i="1"/>
  <c r="P59" i="1"/>
  <c r="S58" i="1"/>
  <c r="R58" i="1"/>
  <c r="Q58" i="1"/>
  <c r="P58" i="1"/>
  <c r="S57" i="1"/>
  <c r="R57" i="1"/>
  <c r="Q57" i="1"/>
  <c r="P57" i="1"/>
  <c r="S56" i="1"/>
  <c r="R56" i="1"/>
  <c r="Q56" i="1"/>
  <c r="P56" i="1"/>
  <c r="S55" i="1"/>
  <c r="R55" i="1"/>
  <c r="Q55" i="1"/>
  <c r="P55" i="1"/>
  <c r="S54" i="1"/>
  <c r="R54" i="1"/>
  <c r="Q54" i="1"/>
  <c r="P54" i="1"/>
  <c r="S53" i="1"/>
  <c r="R53" i="1"/>
  <c r="Q53" i="1"/>
  <c r="P53" i="1"/>
  <c r="S52" i="1"/>
  <c r="R52" i="1"/>
  <c r="Q52" i="1"/>
  <c r="P52" i="1"/>
  <c r="S51" i="1"/>
  <c r="R51" i="1"/>
  <c r="Q51" i="1"/>
  <c r="P51" i="1"/>
  <c r="S50" i="1"/>
  <c r="R50" i="1"/>
  <c r="Q50" i="1"/>
  <c r="P50" i="1"/>
  <c r="S49" i="1"/>
  <c r="R49" i="1"/>
  <c r="Q49" i="1"/>
  <c r="P49" i="1"/>
  <c r="S48" i="1"/>
  <c r="R48" i="1"/>
  <c r="Q48" i="1"/>
  <c r="P48" i="1"/>
  <c r="S47" i="1"/>
  <c r="R47" i="1"/>
  <c r="Q47" i="1"/>
  <c r="P47" i="1"/>
  <c r="S46" i="1"/>
  <c r="R46" i="1"/>
  <c r="Q46" i="1"/>
  <c r="P46" i="1"/>
  <c r="S45" i="1"/>
  <c r="R45" i="1"/>
  <c r="Q45" i="1"/>
  <c r="P45" i="1"/>
  <c r="S44" i="1"/>
  <c r="R44" i="1"/>
  <c r="Q44" i="1"/>
  <c r="P44" i="1"/>
  <c r="S43" i="1"/>
  <c r="R43" i="1"/>
  <c r="Q43" i="1"/>
  <c r="P43" i="1"/>
  <c r="AH37" i="1"/>
  <c r="AC30" i="1"/>
  <c r="AD30" i="1" s="1"/>
  <c r="AA30" i="1"/>
  <c r="AN30" i="1" s="1"/>
  <c r="Z30" i="1"/>
  <c r="Y30" i="1"/>
  <c r="X30" i="1"/>
  <c r="AH30" i="1" s="1"/>
  <c r="W30" i="1"/>
  <c r="V30" i="1"/>
  <c r="U30" i="1"/>
  <c r="T30" i="1"/>
  <c r="AB30" i="1" s="1"/>
  <c r="S30" i="1"/>
  <c r="R30" i="1"/>
  <c r="Q30" i="1"/>
  <c r="P30" i="1"/>
  <c r="AR30" i="1" s="1"/>
  <c r="AS30" i="1" s="1"/>
  <c r="AH29" i="1"/>
  <c r="AA29" i="1"/>
  <c r="Z29" i="1"/>
  <c r="AN29" i="1" s="1"/>
  <c r="Y29" i="1"/>
  <c r="X29" i="1"/>
  <c r="W29" i="1"/>
  <c r="V29" i="1"/>
  <c r="U29" i="1"/>
  <c r="T29" i="1"/>
  <c r="S29" i="1"/>
  <c r="R29" i="1"/>
  <c r="AB29" i="1" s="1"/>
  <c r="Q29" i="1"/>
  <c r="P29" i="1"/>
  <c r="AR29" i="1" s="1"/>
  <c r="AQ29" i="1" s="1"/>
  <c r="AA28" i="1"/>
  <c r="AN28" i="1" s="1"/>
  <c r="Z28" i="1"/>
  <c r="Y28" i="1"/>
  <c r="X28" i="1"/>
  <c r="AH28" i="1" s="1"/>
  <c r="W28" i="1"/>
  <c r="V28" i="1"/>
  <c r="U28" i="1"/>
  <c r="T28" i="1"/>
  <c r="S28" i="1"/>
  <c r="R28" i="1"/>
  <c r="AR28" i="1" s="1"/>
  <c r="AQ28" i="1" s="1"/>
  <c r="Q28" i="1"/>
  <c r="P28" i="1"/>
  <c r="AT27" i="1"/>
  <c r="AR27" i="1"/>
  <c r="AQ27" i="1" s="1"/>
  <c r="AB27" i="1"/>
  <c r="AA27" i="1"/>
  <c r="Z27" i="1"/>
  <c r="AN27" i="1" s="1"/>
  <c r="Y27" i="1"/>
  <c r="X27" i="1"/>
  <c r="W27" i="1"/>
  <c r="V27" i="1"/>
  <c r="AE27" i="1" s="1"/>
  <c r="U27" i="1"/>
  <c r="T27" i="1"/>
  <c r="S27" i="1"/>
  <c r="R27" i="1"/>
  <c r="Q27" i="1"/>
  <c r="AS27" i="1" s="1"/>
  <c r="P27" i="1"/>
  <c r="AC27" i="1" s="1"/>
  <c r="AD27" i="1" s="1"/>
  <c r="AS26" i="1"/>
  <c r="AT26" i="1" s="1"/>
  <c r="AL26" i="1"/>
  <c r="AY26" i="1" s="1"/>
  <c r="AC26" i="1"/>
  <c r="AD26" i="1" s="1"/>
  <c r="AA26" i="1"/>
  <c r="AN26" i="1" s="1"/>
  <c r="Z26" i="1"/>
  <c r="Y26" i="1"/>
  <c r="X26" i="1"/>
  <c r="AH26" i="1" s="1"/>
  <c r="W26" i="1"/>
  <c r="V26" i="1"/>
  <c r="U26" i="1"/>
  <c r="T26" i="1"/>
  <c r="AB26" i="1" s="1"/>
  <c r="S26" i="1"/>
  <c r="R26" i="1"/>
  <c r="Q26" i="1"/>
  <c r="P26" i="1"/>
  <c r="AR26" i="1" s="1"/>
  <c r="AQ26" i="1" s="1"/>
  <c r="AN25" i="1"/>
  <c r="AH25" i="1"/>
  <c r="AA25" i="1"/>
  <c r="Z25" i="1"/>
  <c r="Y25" i="1"/>
  <c r="X25" i="1"/>
  <c r="W25" i="1"/>
  <c r="V25" i="1"/>
  <c r="U25" i="1"/>
  <c r="T25" i="1"/>
  <c r="S25" i="1"/>
  <c r="R25" i="1"/>
  <c r="Q25" i="1"/>
  <c r="P25" i="1"/>
  <c r="AD24" i="1"/>
  <c r="AC24" i="1"/>
  <c r="AA24" i="1"/>
  <c r="AN24" i="1" s="1"/>
  <c r="Z24" i="1"/>
  <c r="Y24" i="1"/>
  <c r="X24" i="1"/>
  <c r="AH24" i="1" s="1"/>
  <c r="W24" i="1"/>
  <c r="V24" i="1"/>
  <c r="U24" i="1"/>
  <c r="T24" i="1"/>
  <c r="S24" i="1"/>
  <c r="R24" i="1"/>
  <c r="AB24" i="1" s="1"/>
  <c r="Q24" i="1"/>
  <c r="P24" i="1"/>
  <c r="AR24" i="1" s="1"/>
  <c r="AS24" i="1" s="1"/>
  <c r="AH23" i="1"/>
  <c r="AA23" i="1"/>
  <c r="AN23" i="1" s="1"/>
  <c r="Z23" i="1"/>
  <c r="Y23" i="1"/>
  <c r="X23" i="1"/>
  <c r="W23" i="1"/>
  <c r="V23" i="1"/>
  <c r="U23" i="1"/>
  <c r="T23" i="1"/>
  <c r="S23" i="1"/>
  <c r="R23" i="1"/>
  <c r="AB23" i="1" s="1"/>
  <c r="Q23" i="1"/>
  <c r="P23" i="1"/>
  <c r="AC23" i="1" s="1"/>
  <c r="AD23" i="1" s="1"/>
  <c r="AA22" i="1"/>
  <c r="AN22" i="1" s="1"/>
  <c r="Z22" i="1"/>
  <c r="Y22" i="1"/>
  <c r="X22" i="1"/>
  <c r="W22" i="1"/>
  <c r="V22" i="1"/>
  <c r="U22" i="1"/>
  <c r="T22" i="1"/>
  <c r="S22" i="1"/>
  <c r="R22" i="1"/>
  <c r="AB22" i="1" s="1"/>
  <c r="Q22" i="1"/>
  <c r="P22" i="1"/>
  <c r="AN21" i="1"/>
  <c r="AH21" i="1"/>
  <c r="AA21" i="1"/>
  <c r="Z21" i="1"/>
  <c r="Y21" i="1"/>
  <c r="X21" i="1"/>
  <c r="W21" i="1"/>
  <c r="V21" i="1"/>
  <c r="U21" i="1"/>
  <c r="T21" i="1"/>
  <c r="AB21" i="1" s="1"/>
  <c r="S21" i="1"/>
  <c r="R21" i="1"/>
  <c r="Q21" i="1"/>
  <c r="P21" i="1"/>
  <c r="AC21" i="1" s="1"/>
  <c r="AD21" i="1" s="1"/>
  <c r="AR20" i="1"/>
  <c r="AS20" i="1" s="1"/>
  <c r="AH20" i="1"/>
  <c r="AE20" i="1"/>
  <c r="AC20" i="1"/>
  <c r="AD20" i="1" s="1"/>
  <c r="AL20" i="1" s="1"/>
  <c r="AA20" i="1"/>
  <c r="Z20" i="1"/>
  <c r="AY20" i="1" s="1"/>
  <c r="Y20" i="1"/>
  <c r="X20" i="1"/>
  <c r="W20" i="1"/>
  <c r="V20" i="1"/>
  <c r="U20" i="1"/>
  <c r="T20" i="1"/>
  <c r="AB20" i="1" s="1"/>
  <c r="S20" i="1"/>
  <c r="R20" i="1"/>
  <c r="Q20" i="1"/>
  <c r="P20" i="1"/>
  <c r="AO19" i="1"/>
  <c r="AP19" i="1" s="1"/>
  <c r="AN19" i="1"/>
  <c r="AH19" i="1"/>
  <c r="AA19" i="1"/>
  <c r="Z19" i="1"/>
  <c r="Y19" i="1"/>
  <c r="X19" i="1"/>
  <c r="W19" i="1"/>
  <c r="V19" i="1"/>
  <c r="U19" i="1"/>
  <c r="T19" i="1"/>
  <c r="S19" i="1"/>
  <c r="R19" i="1"/>
  <c r="AR19" i="1" s="1"/>
  <c r="AQ19" i="1" s="1"/>
  <c r="Q19" i="1"/>
  <c r="P19" i="1"/>
  <c r="AH18" i="1"/>
  <c r="AE18" i="1"/>
  <c r="AB18" i="1"/>
  <c r="AA18" i="1"/>
  <c r="AN18" i="1" s="1"/>
  <c r="Z18" i="1"/>
  <c r="Y18" i="1"/>
  <c r="X18" i="1"/>
  <c r="W18" i="1"/>
  <c r="V18" i="1"/>
  <c r="U18" i="1"/>
  <c r="T18" i="1"/>
  <c r="S18" i="1"/>
  <c r="R18" i="1"/>
  <c r="Q18" i="1"/>
  <c r="P18" i="1"/>
  <c r="AC18" i="1" s="1"/>
  <c r="AD18" i="1" s="1"/>
  <c r="AA17" i="1"/>
  <c r="AN17" i="1" s="1"/>
  <c r="Z17" i="1"/>
  <c r="Y17" i="1"/>
  <c r="X17" i="1"/>
  <c r="AH17" i="1" s="1"/>
  <c r="W17" i="1"/>
  <c r="V17" i="1"/>
  <c r="U17" i="1"/>
  <c r="T17" i="1"/>
  <c r="AB17" i="1" s="1"/>
  <c r="S17" i="1"/>
  <c r="R17" i="1"/>
  <c r="Q17" i="1"/>
  <c r="P17" i="1"/>
  <c r="AA16" i="1"/>
  <c r="AN16" i="1" s="1"/>
  <c r="Z16" i="1"/>
  <c r="Y16" i="1"/>
  <c r="X16" i="1"/>
  <c r="AH16" i="1" s="1"/>
  <c r="W16" i="1"/>
  <c r="V16" i="1"/>
  <c r="U16" i="1"/>
  <c r="T16" i="1"/>
  <c r="AB16" i="1" s="1"/>
  <c r="S16" i="1"/>
  <c r="R16" i="1"/>
  <c r="Q16" i="1"/>
  <c r="P16" i="1"/>
  <c r="AR16" i="1" s="1"/>
  <c r="AH15" i="1"/>
  <c r="AC15" i="1"/>
  <c r="AD15" i="1" s="1"/>
  <c r="AB15" i="1"/>
  <c r="AA15" i="1"/>
  <c r="AN15" i="1" s="1"/>
  <c r="Z15" i="1"/>
  <c r="Y15" i="1"/>
  <c r="X15" i="1"/>
  <c r="W15" i="1"/>
  <c r="V15" i="1"/>
  <c r="U15" i="1"/>
  <c r="T15" i="1"/>
  <c r="S15" i="1"/>
  <c r="R15" i="1"/>
  <c r="Q15" i="1"/>
  <c r="P15" i="1"/>
  <c r="AR15" i="1" s="1"/>
  <c r="AH14" i="1"/>
  <c r="AA14" i="1"/>
  <c r="AN14" i="1" s="1"/>
  <c r="Z14" i="1"/>
  <c r="Y14" i="1"/>
  <c r="X14" i="1"/>
  <c r="W14" i="1"/>
  <c r="V14" i="1"/>
  <c r="U14" i="1"/>
  <c r="T14" i="1"/>
  <c r="AB14" i="1" s="1"/>
  <c r="S14" i="1"/>
  <c r="R14" i="1"/>
  <c r="Q14" i="1"/>
  <c r="P14" i="1"/>
  <c r="AC14" i="1" s="1"/>
  <c r="AD14" i="1" s="1"/>
  <c r="AO13" i="1"/>
  <c r="AP13" i="1" s="1"/>
  <c r="AN13" i="1"/>
  <c r="AH13" i="1"/>
  <c r="AA13" i="1"/>
  <c r="Z13" i="1"/>
  <c r="Y13" i="1"/>
  <c r="X13" i="1"/>
  <c r="W13" i="1"/>
  <c r="V13" i="1"/>
  <c r="U13" i="1"/>
  <c r="T13" i="1"/>
  <c r="S13" i="1"/>
  <c r="R13" i="1"/>
  <c r="Q13" i="1"/>
  <c r="P13" i="1"/>
  <c r="AC13" i="1" s="1"/>
  <c r="AD13" i="1" s="1"/>
  <c r="AR12" i="1"/>
  <c r="AQ12" i="1" s="1"/>
  <c r="AB12" i="1"/>
  <c r="AA12" i="1"/>
  <c r="AN12" i="1" s="1"/>
  <c r="Z12" i="1"/>
  <c r="Y12" i="1"/>
  <c r="X12" i="1"/>
  <c r="AH12" i="1" s="1"/>
  <c r="W12" i="1"/>
  <c r="V12" i="1"/>
  <c r="U12" i="1"/>
  <c r="T12" i="1"/>
  <c r="AC12" i="1" s="1"/>
  <c r="AD12" i="1" s="1"/>
  <c r="S12" i="1"/>
  <c r="R12" i="1"/>
  <c r="Q12" i="1"/>
  <c r="P12" i="1"/>
  <c r="AH11" i="1"/>
  <c r="AA11" i="1"/>
  <c r="AN11" i="1" s="1"/>
  <c r="Z11" i="1"/>
  <c r="Y11" i="1"/>
  <c r="X11" i="1"/>
  <c r="W11" i="1"/>
  <c r="V11" i="1"/>
  <c r="U11" i="1"/>
  <c r="T11" i="1"/>
  <c r="AB11" i="1" s="1"/>
  <c r="S11" i="1"/>
  <c r="R11" i="1"/>
  <c r="Q11" i="1"/>
  <c r="P11" i="1"/>
  <c r="AC11" i="1" s="1"/>
  <c r="AD11" i="1" s="1"/>
  <c r="AN10" i="1"/>
  <c r="AA10" i="1"/>
  <c r="Z10" i="1"/>
  <c r="Y10" i="1"/>
  <c r="X10" i="1"/>
  <c r="W10" i="1"/>
  <c r="V10" i="1"/>
  <c r="AE10" i="1" s="1"/>
  <c r="U10" i="1"/>
  <c r="T10" i="1"/>
  <c r="AB10" i="1" s="1"/>
  <c r="S10" i="1"/>
  <c r="R10" i="1"/>
  <c r="Q10" i="1"/>
  <c r="P10" i="1"/>
  <c r="AC10" i="1" s="1"/>
  <c r="AD10" i="1" s="1"/>
  <c r="AR9" i="1"/>
  <c r="AS9" i="1" s="1"/>
  <c r="AT9" i="1" s="1"/>
  <c r="AQ9" i="1"/>
  <c r="AH9" i="1"/>
  <c r="AC9" i="1"/>
  <c r="AD9" i="1" s="1"/>
  <c r="AA9" i="1"/>
  <c r="AN9" i="1" s="1"/>
  <c r="Z9" i="1"/>
  <c r="Y9" i="1"/>
  <c r="X9" i="1"/>
  <c r="W9" i="1"/>
  <c r="V9" i="1"/>
  <c r="U9" i="1"/>
  <c r="T9" i="1"/>
  <c r="AB9" i="1" s="1"/>
  <c r="S9" i="1"/>
  <c r="R9" i="1"/>
  <c r="Q9" i="1"/>
  <c r="P9" i="1"/>
  <c r="AH8" i="1"/>
  <c r="AA8" i="1"/>
  <c r="Z8" i="1"/>
  <c r="AN8" i="1" s="1"/>
  <c r="Y8" i="1"/>
  <c r="X8" i="1"/>
  <c r="W8" i="1"/>
  <c r="V8" i="1"/>
  <c r="U8" i="1"/>
  <c r="T8" i="1"/>
  <c r="S8" i="1"/>
  <c r="R8" i="1"/>
  <c r="AB8" i="1" s="1"/>
  <c r="Q8" i="1"/>
  <c r="P8" i="1"/>
  <c r="AC8" i="1" s="1"/>
  <c r="AD8" i="1" s="1"/>
  <c r="AO7" i="1"/>
  <c r="AA7" i="1"/>
  <c r="Z7" i="1"/>
  <c r="AN7" i="1" s="1"/>
  <c r="Y7" i="1"/>
  <c r="X7" i="1"/>
  <c r="AH7" i="1" s="1"/>
  <c r="W7" i="1"/>
  <c r="V7" i="1"/>
  <c r="U7" i="1"/>
  <c r="T7" i="1"/>
  <c r="AC7" i="1" s="1"/>
  <c r="AD7" i="1" s="1"/>
  <c r="S7" i="1"/>
  <c r="R7" i="1"/>
  <c r="Q7" i="1"/>
  <c r="P7" i="1"/>
  <c r="AR6" i="1"/>
  <c r="AS6" i="1" s="1"/>
  <c r="AT6" i="1" s="1"/>
  <c r="AQ6" i="1"/>
  <c r="AB6" i="1"/>
  <c r="AA6" i="1"/>
  <c r="Z6" i="1"/>
  <c r="AN6" i="1" s="1"/>
  <c r="Y6" i="1"/>
  <c r="X6" i="1"/>
  <c r="W6" i="1"/>
  <c r="V6" i="1"/>
  <c r="U6" i="1"/>
  <c r="T6" i="1"/>
  <c r="S6" i="1"/>
  <c r="R6" i="1"/>
  <c r="AC6" i="1" s="1"/>
  <c r="AD6" i="1" s="1"/>
  <c r="Q6" i="1"/>
  <c r="P6" i="1"/>
  <c r="L5" i="1"/>
  <c r="AO30" i="1" s="1"/>
  <c r="AP30" i="1" s="1"/>
  <c r="L4" i="1"/>
  <c r="L3" i="1"/>
  <c r="AS15" i="1" l="1"/>
  <c r="AQ15" i="1"/>
  <c r="AW6" i="1"/>
  <c r="AV6" i="1"/>
  <c r="AU6" i="1"/>
  <c r="AK10" i="1"/>
  <c r="AI10" i="1"/>
  <c r="AE14" i="1"/>
  <c r="AL14" i="1"/>
  <c r="AY14" i="1" s="1"/>
  <c r="AY10" i="1"/>
  <c r="AL13" i="1"/>
  <c r="AY13" i="1" s="1"/>
  <c r="AL6" i="1"/>
  <c r="AE6" i="1"/>
  <c r="AL21" i="1"/>
  <c r="AV26" i="1"/>
  <c r="AW26" i="1"/>
  <c r="AU26" i="1"/>
  <c r="AL9" i="1"/>
  <c r="AW9" i="1" s="1"/>
  <c r="AE9" i="1"/>
  <c r="AE11" i="1"/>
  <c r="AL11" i="1"/>
  <c r="AY11" i="1" s="1"/>
  <c r="AS11" i="1"/>
  <c r="AT11" i="1" s="1"/>
  <c r="AL12" i="1"/>
  <c r="AY12" i="1" s="1"/>
  <c r="AE13" i="1"/>
  <c r="AY6" i="1"/>
  <c r="AV9" i="1"/>
  <c r="AU9" i="1"/>
  <c r="AL10" i="1"/>
  <c r="BA10" i="1" s="1"/>
  <c r="AJ10" i="1"/>
  <c r="AE12" i="1"/>
  <c r="AL15" i="1"/>
  <c r="AE15" i="1"/>
  <c r="AK27" i="1"/>
  <c r="AM27" i="1" s="1"/>
  <c r="AI27" i="1"/>
  <c r="AX27" i="1"/>
  <c r="AZ27" i="1" s="1"/>
  <c r="AP7" i="1"/>
  <c r="AE7" i="1"/>
  <c r="AL7" i="1"/>
  <c r="AY7" i="1" s="1"/>
  <c r="AL8" i="1"/>
  <c r="AY8" i="1" s="1"/>
  <c r="AE8" i="1"/>
  <c r="AS16" i="1"/>
  <c r="AQ16" i="1"/>
  <c r="AL23" i="1"/>
  <c r="AS12" i="1"/>
  <c r="AT12" i="1" s="1"/>
  <c r="AS21" i="1"/>
  <c r="AT21" i="1" s="1"/>
  <c r="AR23" i="1"/>
  <c r="AE25" i="1"/>
  <c r="AQ14" i="2"/>
  <c r="AS14" i="2"/>
  <c r="AT14" i="2" s="1"/>
  <c r="AK16" i="2"/>
  <c r="AM16" i="2" s="1"/>
  <c r="AI16" i="2"/>
  <c r="AJ16" i="2" s="1"/>
  <c r="AX16" i="2"/>
  <c r="AZ16" i="2" s="1"/>
  <c r="AY17" i="2"/>
  <c r="AL21" i="2"/>
  <c r="AK23" i="2"/>
  <c r="AI23" i="2"/>
  <c r="AK28" i="5"/>
  <c r="AI28" i="5"/>
  <c r="AI18" i="1"/>
  <c r="AB19" i="1"/>
  <c r="AN20" i="1"/>
  <c r="AS29" i="1"/>
  <c r="AT29" i="1" s="1"/>
  <c r="AK9" i="2"/>
  <c r="AM9" i="2" s="1"/>
  <c r="AI9" i="2"/>
  <c r="AJ9" i="2" s="1"/>
  <c r="AX9" i="2"/>
  <c r="AZ9" i="2" s="1"/>
  <c r="AS19" i="2"/>
  <c r="AT19" i="2" s="1"/>
  <c r="AE22" i="2"/>
  <c r="AL22" i="2"/>
  <c r="AO10" i="1"/>
  <c r="AP10" i="1" s="1"/>
  <c r="AC16" i="1"/>
  <c r="AD16" i="1" s="1"/>
  <c r="AR21" i="1"/>
  <c r="AQ21" i="1" s="1"/>
  <c r="AL20" i="2"/>
  <c r="AY20" i="2" s="1"/>
  <c r="AK6" i="3"/>
  <c r="AM6" i="3" s="1"/>
  <c r="AI6" i="3"/>
  <c r="AJ6" i="3" s="1"/>
  <c r="AX6" i="3"/>
  <c r="AZ6" i="3" s="1"/>
  <c r="AL9" i="3"/>
  <c r="AX9" i="3" s="1"/>
  <c r="AJ9" i="3"/>
  <c r="AL14" i="3"/>
  <c r="AW14" i="3" s="1"/>
  <c r="AE6" i="2"/>
  <c r="AL6" i="2"/>
  <c r="AK18" i="1"/>
  <c r="BA20" i="1"/>
  <c r="AK20" i="1"/>
  <c r="AM20" i="1" s="1"/>
  <c r="AX20" i="1"/>
  <c r="AZ20" i="1" s="1"/>
  <c r="BB20" i="1" s="1"/>
  <c r="AL24" i="1"/>
  <c r="AY24" i="1" s="1"/>
  <c r="AL30" i="1"/>
  <c r="AE30" i="1"/>
  <c r="AK7" i="2"/>
  <c r="AM7" i="2" s="1"/>
  <c r="AI7" i="2"/>
  <c r="AJ7" i="2" s="1"/>
  <c r="AL13" i="2"/>
  <c r="AE13" i="2"/>
  <c r="AL24" i="2"/>
  <c r="AY24" i="2" s="1"/>
  <c r="AE24" i="2"/>
  <c r="AY30" i="2"/>
  <c r="AV10" i="3"/>
  <c r="AU10" i="3"/>
  <c r="AV19" i="3"/>
  <c r="AU19" i="3"/>
  <c r="AR13" i="1"/>
  <c r="AQ13" i="1" s="1"/>
  <c r="AJ18" i="1"/>
  <c r="AL18" i="1"/>
  <c r="AY18" i="1" s="1"/>
  <c r="AH22" i="1"/>
  <c r="AL18" i="2"/>
  <c r="AY18" i="2" s="1"/>
  <c r="AE18" i="2"/>
  <c r="AL28" i="2"/>
  <c r="AY28" i="2" s="1"/>
  <c r="AY6" i="3"/>
  <c r="AL11" i="3"/>
  <c r="AJ11" i="3"/>
  <c r="AR10" i="1"/>
  <c r="AI20" i="1"/>
  <c r="AJ20" i="1" s="1"/>
  <c r="AE21" i="1"/>
  <c r="AE23" i="1"/>
  <c r="AY15" i="2"/>
  <c r="AY22" i="2"/>
  <c r="AS27" i="2"/>
  <c r="AT27" i="2" s="1"/>
  <c r="AY27" i="1"/>
  <c r="AH27" i="1"/>
  <c r="AO21" i="1"/>
  <c r="AP21" i="1" s="1"/>
  <c r="AO17" i="1"/>
  <c r="AP17" i="1" s="1"/>
  <c r="AO20" i="1"/>
  <c r="AO23" i="1"/>
  <c r="AP23" i="1" s="1"/>
  <c r="AO26" i="1"/>
  <c r="AP26" i="1" s="1"/>
  <c r="AO29" i="1"/>
  <c r="AP29" i="1" s="1"/>
  <c r="AO16" i="1"/>
  <c r="AP16" i="1" s="1"/>
  <c r="AO25" i="1"/>
  <c r="AP25" i="1" s="1"/>
  <c r="AO15" i="1"/>
  <c r="AP15" i="1" s="1"/>
  <c r="AR7" i="1"/>
  <c r="AQ7" i="1" s="1"/>
  <c r="AB13" i="1"/>
  <c r="AO14" i="1"/>
  <c r="AP14" i="1" s="1"/>
  <c r="AC17" i="1"/>
  <c r="AD17" i="1" s="1"/>
  <c r="AO18" i="1"/>
  <c r="AP18" i="1" s="1"/>
  <c r="AO24" i="1"/>
  <c r="AP24" i="1" s="1"/>
  <c r="AO27" i="1"/>
  <c r="AP27" i="1" s="1"/>
  <c r="AL8" i="2"/>
  <c r="AY8" i="2" s="1"/>
  <c r="AE8" i="2"/>
  <c r="AK19" i="2"/>
  <c r="AM19" i="2" s="1"/>
  <c r="AI19" i="2"/>
  <c r="AJ19" i="2" s="1"/>
  <c r="AX19" i="2"/>
  <c r="AZ19" i="2" s="1"/>
  <c r="AE20" i="2"/>
  <c r="AE21" i="2"/>
  <c r="AV9" i="3"/>
  <c r="AU9" i="3"/>
  <c r="AL12" i="3"/>
  <c r="AY12" i="3" s="1"/>
  <c r="AL16" i="3"/>
  <c r="AY16" i="3" s="1"/>
  <c r="AY30" i="1"/>
  <c r="AL15" i="2"/>
  <c r="AE15" i="2"/>
  <c r="AH6" i="1"/>
  <c r="AO11" i="1"/>
  <c r="AP11" i="1" s="1"/>
  <c r="AS17" i="1"/>
  <c r="AT17" i="1" s="1"/>
  <c r="AY21" i="1"/>
  <c r="AC22" i="1"/>
  <c r="AD22" i="1" s="1"/>
  <c r="AR22" i="1"/>
  <c r="AY23" i="1"/>
  <c r="AQ24" i="1"/>
  <c r="AT24" i="1" s="1"/>
  <c r="AL27" i="1"/>
  <c r="BA27" i="1" s="1"/>
  <c r="AJ27" i="1"/>
  <c r="AQ30" i="1"/>
  <c r="AT30" i="1" s="1"/>
  <c r="AY6" i="2"/>
  <c r="AP10" i="2"/>
  <c r="AT12" i="2"/>
  <c r="AL26" i="2"/>
  <c r="AE26" i="2"/>
  <c r="AL10" i="3"/>
  <c r="AY10" i="3" s="1"/>
  <c r="AJ10" i="3"/>
  <c r="AL29" i="3"/>
  <c r="AY29" i="3" s="1"/>
  <c r="AU30" i="3"/>
  <c r="AV30" i="3"/>
  <c r="AB7" i="1"/>
  <c r="AO8" i="1"/>
  <c r="AP8" i="1" s="1"/>
  <c r="AQ20" i="1"/>
  <c r="AT20" i="1" s="1"/>
  <c r="AO22" i="1"/>
  <c r="AP22" i="1" s="1"/>
  <c r="AL12" i="2"/>
  <c r="AY12" i="2" s="1"/>
  <c r="AY14" i="2"/>
  <c r="AY21" i="2"/>
  <c r="AW24" i="2"/>
  <c r="AV24" i="2"/>
  <c r="AU24" i="2"/>
  <c r="AS26" i="2"/>
  <c r="AT26" i="2" s="1"/>
  <c r="AL27" i="2"/>
  <c r="AY27" i="2" s="1"/>
  <c r="AE28" i="2"/>
  <c r="AL30" i="2"/>
  <c r="AE30" i="2"/>
  <c r="AL8" i="3"/>
  <c r="AY8" i="3" s="1"/>
  <c r="AE8" i="3"/>
  <c r="AE12" i="3"/>
  <c r="AR14" i="1"/>
  <c r="AQ14" i="1" s="1"/>
  <c r="AV27" i="1"/>
  <c r="AU27" i="1"/>
  <c r="AW11" i="2"/>
  <c r="AV11" i="2"/>
  <c r="AU11" i="2"/>
  <c r="AR11" i="1"/>
  <c r="AQ11" i="1" s="1"/>
  <c r="AC25" i="1"/>
  <c r="AD25" i="1" s="1"/>
  <c r="AR25" i="1"/>
  <c r="AQ25" i="1" s="1"/>
  <c r="AW27" i="1"/>
  <c r="AL10" i="2"/>
  <c r="AY10" i="2" s="1"/>
  <c r="AE10" i="2"/>
  <c r="AE17" i="2"/>
  <c r="AL17" i="2"/>
  <c r="AL23" i="2"/>
  <c r="AY23" i="2" s="1"/>
  <c r="AJ23" i="2"/>
  <c r="AL25" i="2"/>
  <c r="AY25" i="2" s="1"/>
  <c r="AK27" i="2"/>
  <c r="AM27" i="2" s="1"/>
  <c r="AI27" i="2"/>
  <c r="AJ27" i="2" s="1"/>
  <c r="AX27" i="2"/>
  <c r="AZ27" i="2" s="1"/>
  <c r="AK11" i="3"/>
  <c r="AI11" i="3"/>
  <c r="AX11" i="3"/>
  <c r="AZ11" i="3" s="1"/>
  <c r="AQ17" i="3"/>
  <c r="AS17" i="3"/>
  <c r="AH10" i="1"/>
  <c r="AS25" i="1"/>
  <c r="AT25" i="1" s="1"/>
  <c r="AO28" i="1"/>
  <c r="AP28" i="1" s="1"/>
  <c r="AW8" i="2"/>
  <c r="AV8" i="2"/>
  <c r="AU8" i="2"/>
  <c r="AS10" i="2"/>
  <c r="AT10" i="2" s="1"/>
  <c r="AY13" i="2"/>
  <c r="AQ30" i="2"/>
  <c r="AS30" i="2"/>
  <c r="AT30" i="2" s="1"/>
  <c r="AP8" i="3"/>
  <c r="AK9" i="3"/>
  <c r="AI9" i="3"/>
  <c r="AK10" i="3"/>
  <c r="AI10" i="3"/>
  <c r="AO12" i="1"/>
  <c r="AP12" i="1" s="1"/>
  <c r="AY15" i="1"/>
  <c r="AR17" i="1"/>
  <c r="AQ17" i="1" s="1"/>
  <c r="AE24" i="1"/>
  <c r="AS28" i="1"/>
  <c r="AT28" i="1" s="1"/>
  <c r="AL11" i="2"/>
  <c r="AY11" i="2" s="1"/>
  <c r="AE12" i="2"/>
  <c r="AL14" i="2"/>
  <c r="AE14" i="2"/>
  <c r="AL16" i="2"/>
  <c r="AY16" i="2" s="1"/>
  <c r="AY11" i="3"/>
  <c r="AY26" i="2"/>
  <c r="AO9" i="1"/>
  <c r="AP9" i="1" s="1"/>
  <c r="AC19" i="1"/>
  <c r="AD19" i="1" s="1"/>
  <c r="AC28" i="1"/>
  <c r="AD28" i="1" s="1"/>
  <c r="AB28" i="1"/>
  <c r="AC29" i="1"/>
  <c r="AD29" i="1" s="1"/>
  <c r="AL7" i="2"/>
  <c r="AY7" i="2" s="1"/>
  <c r="AL9" i="2"/>
  <c r="AY9" i="2" s="1"/>
  <c r="AS22" i="2"/>
  <c r="AQ22" i="2"/>
  <c r="AU15" i="3"/>
  <c r="AE29" i="3"/>
  <c r="AW20" i="2"/>
  <c r="AV20" i="2"/>
  <c r="AU20" i="2"/>
  <c r="AR8" i="1"/>
  <c r="AQ8" i="1" s="1"/>
  <c r="AO6" i="1"/>
  <c r="AP6" i="1" s="1"/>
  <c r="AS19" i="1"/>
  <c r="AT19" i="1" s="1"/>
  <c r="AB25" i="1"/>
  <c r="AE26" i="1"/>
  <c r="AP15" i="2"/>
  <c r="AS7" i="2"/>
  <c r="AT7" i="2" s="1"/>
  <c r="AK11" i="2"/>
  <c r="AM11" i="2" s="1"/>
  <c r="AI11" i="2"/>
  <c r="AJ11" i="2" s="1"/>
  <c r="AX11" i="2"/>
  <c r="AZ11" i="2" s="1"/>
  <c r="AT15" i="2"/>
  <c r="AE25" i="2"/>
  <c r="AL29" i="2"/>
  <c r="AY29" i="2" s="1"/>
  <c r="AE29" i="2"/>
  <c r="AE7" i="3"/>
  <c r="AL7" i="3"/>
  <c r="AY7" i="3" s="1"/>
  <c r="AV14" i="3"/>
  <c r="AU14" i="3"/>
  <c r="AP13" i="3"/>
  <c r="AY14" i="3"/>
  <c r="AH14" i="3"/>
  <c r="AX28" i="3"/>
  <c r="AZ28" i="3" s="1"/>
  <c r="AK28" i="3"/>
  <c r="AM28" i="3" s="1"/>
  <c r="BA6" i="4"/>
  <c r="AK6" i="4"/>
  <c r="AM6" i="4" s="1"/>
  <c r="AI6" i="4"/>
  <c r="AJ6" i="4" s="1"/>
  <c r="AX10" i="4"/>
  <c r="AZ10" i="4" s="1"/>
  <c r="AK10" i="4"/>
  <c r="AR10" i="5"/>
  <c r="AQ10" i="5" s="1"/>
  <c r="AC10" i="5"/>
  <c r="AD10" i="5" s="1"/>
  <c r="AQ17" i="5"/>
  <c r="AS17" i="5"/>
  <c r="AL19" i="5"/>
  <c r="AL24" i="5"/>
  <c r="AS9" i="2"/>
  <c r="AT9" i="2" s="1"/>
  <c r="AO21" i="2"/>
  <c r="AP21" i="2" s="1"/>
  <c r="AS25" i="2"/>
  <c r="AT25" i="2" s="1"/>
  <c r="AL21" i="3"/>
  <c r="AT28" i="3"/>
  <c r="AS20" i="4"/>
  <c r="AT20" i="4" s="1"/>
  <c r="AS10" i="5"/>
  <c r="AT10" i="5" s="1"/>
  <c r="AS18" i="5"/>
  <c r="AT18" i="5" s="1"/>
  <c r="AQ18" i="5"/>
  <c r="AR18" i="1"/>
  <c r="AL20" i="3"/>
  <c r="AY20" i="3" s="1"/>
  <c r="AK25" i="3"/>
  <c r="AM25" i="3" s="1"/>
  <c r="AI25" i="3"/>
  <c r="AJ25" i="3" s="1"/>
  <c r="AX25" i="3"/>
  <c r="AZ25" i="3" s="1"/>
  <c r="AL30" i="3"/>
  <c r="AW30" i="3" s="1"/>
  <c r="AE30" i="3"/>
  <c r="AL19" i="4"/>
  <c r="BA19" i="4" s="1"/>
  <c r="AJ19" i="4"/>
  <c r="AL21" i="4"/>
  <c r="AY21" i="4" s="1"/>
  <c r="AR10" i="2"/>
  <c r="AQ10" i="2" s="1"/>
  <c r="AO11" i="2"/>
  <c r="AP11" i="2" s="1"/>
  <c r="AB20" i="2"/>
  <c r="AR26" i="2"/>
  <c r="AQ26" i="2" s="1"/>
  <c r="AO27" i="2"/>
  <c r="AP27" i="2" s="1"/>
  <c r="AB10" i="3"/>
  <c r="AO12" i="3"/>
  <c r="AP12" i="3" s="1"/>
  <c r="AN17" i="3"/>
  <c r="AS20" i="3"/>
  <c r="AT20" i="3" s="1"/>
  <c r="AO21" i="3"/>
  <c r="AP21" i="3" s="1"/>
  <c r="AS19" i="4"/>
  <c r="AT19" i="4" s="1"/>
  <c r="AI23" i="4"/>
  <c r="AJ23" i="4" s="1"/>
  <c r="AW6" i="5"/>
  <c r="AV6" i="5"/>
  <c r="AU6" i="5"/>
  <c r="AQ23" i="5"/>
  <c r="AS23" i="5"/>
  <c r="AT23" i="5" s="1"/>
  <c r="AO6" i="2"/>
  <c r="AP6" i="2" s="1"/>
  <c r="AH19" i="2"/>
  <c r="AR21" i="2"/>
  <c r="AO22" i="2"/>
  <c r="AP22" i="2" s="1"/>
  <c r="AR11" i="3"/>
  <c r="AC24" i="3"/>
  <c r="AD24" i="3" s="1"/>
  <c r="AY25" i="3"/>
  <c r="AB28" i="3"/>
  <c r="AE22" i="4"/>
  <c r="AS8" i="5"/>
  <c r="AT8" i="5" s="1"/>
  <c r="AW24" i="5"/>
  <c r="AV24" i="5"/>
  <c r="AU24" i="5"/>
  <c r="AH14" i="2"/>
  <c r="AR16" i="2"/>
  <c r="AQ16" i="2" s="1"/>
  <c r="AO17" i="2"/>
  <c r="AP17" i="2" s="1"/>
  <c r="AH30" i="2"/>
  <c r="AR6" i="3"/>
  <c r="AQ6" i="3" s="1"/>
  <c r="AO7" i="3"/>
  <c r="AP7" i="3" s="1"/>
  <c r="AE27" i="3"/>
  <c r="AO12" i="2"/>
  <c r="AP12" i="2" s="1"/>
  <c r="AO28" i="2"/>
  <c r="AP28" i="2" s="1"/>
  <c r="AR12" i="3"/>
  <c r="AS16" i="3"/>
  <c r="AT16" i="3" s="1"/>
  <c r="AC22" i="3"/>
  <c r="AD22" i="3" s="1"/>
  <c r="AC23" i="3"/>
  <c r="AD23" i="3" s="1"/>
  <c r="AR23" i="3"/>
  <c r="AQ23" i="3" s="1"/>
  <c r="AY26" i="3"/>
  <c r="AH26" i="3"/>
  <c r="AL6" i="4"/>
  <c r="AX6" i="4" s="1"/>
  <c r="AI10" i="4"/>
  <c r="AP12" i="4"/>
  <c r="AP14" i="4"/>
  <c r="AL17" i="4"/>
  <c r="AE17" i="4"/>
  <c r="AE21" i="4"/>
  <c r="AR6" i="2"/>
  <c r="AO7" i="2"/>
  <c r="AP7" i="2" s="1"/>
  <c r="AB16" i="2"/>
  <c r="AO23" i="2"/>
  <c r="AP23" i="2" s="1"/>
  <c r="AS23" i="3"/>
  <c r="AT23" i="3" s="1"/>
  <c r="AY27" i="3"/>
  <c r="AS8" i="4"/>
  <c r="AT8" i="4" s="1"/>
  <c r="AB11" i="2"/>
  <c r="AH15" i="2"/>
  <c r="AR17" i="2"/>
  <c r="AO18" i="2"/>
  <c r="AP18" i="2" s="1"/>
  <c r="AB27" i="2"/>
  <c r="AR7" i="3"/>
  <c r="AC17" i="3"/>
  <c r="AD17" i="3" s="1"/>
  <c r="AE20" i="3"/>
  <c r="AL15" i="4"/>
  <c r="AY15" i="4" s="1"/>
  <c r="AS16" i="4"/>
  <c r="AT16" i="4" s="1"/>
  <c r="AC18" i="4"/>
  <c r="AD18" i="4" s="1"/>
  <c r="AE18" i="4" s="1"/>
  <c r="AB18" i="4"/>
  <c r="AR18" i="4"/>
  <c r="AQ18" i="4" s="1"/>
  <c r="AX19" i="4"/>
  <c r="AZ19" i="4" s="1"/>
  <c r="AK19" i="4"/>
  <c r="AM19" i="4" s="1"/>
  <c r="AS7" i="5"/>
  <c r="AQ7" i="5"/>
  <c r="AO13" i="2"/>
  <c r="AP13" i="2" s="1"/>
  <c r="AB22" i="2"/>
  <c r="AH26" i="2"/>
  <c r="AR28" i="2"/>
  <c r="AQ28" i="2" s="1"/>
  <c r="AO29" i="2"/>
  <c r="AP29" i="2" s="1"/>
  <c r="AB12" i="3"/>
  <c r="AU24" i="3"/>
  <c r="AC7" i="4"/>
  <c r="AD7" i="4" s="1"/>
  <c r="AE7" i="4" s="1"/>
  <c r="AR7" i="4"/>
  <c r="AQ7" i="4" s="1"/>
  <c r="AT9" i="4"/>
  <c r="AS15" i="4"/>
  <c r="AT15" i="4" s="1"/>
  <c r="AR7" i="2"/>
  <c r="AQ7" i="2" s="1"/>
  <c r="AO8" i="2"/>
  <c r="AP8" i="2" s="1"/>
  <c r="AH21" i="2"/>
  <c r="AR23" i="2"/>
  <c r="AQ23" i="2" s="1"/>
  <c r="AO24" i="2"/>
  <c r="AP24" i="2" s="1"/>
  <c r="AO15" i="3"/>
  <c r="AP15" i="3" s="1"/>
  <c r="AO20" i="3"/>
  <c r="AP20" i="3" s="1"/>
  <c r="AO25" i="3"/>
  <c r="AP25" i="3" s="1"/>
  <c r="AO30" i="3"/>
  <c r="AP30" i="3" s="1"/>
  <c r="AO14" i="3"/>
  <c r="AP14" i="3" s="1"/>
  <c r="AO19" i="3"/>
  <c r="AP19" i="3" s="1"/>
  <c r="AO24" i="3"/>
  <c r="AP24" i="3" s="1"/>
  <c r="AO29" i="3"/>
  <c r="AP29" i="3" s="1"/>
  <c r="AO23" i="3"/>
  <c r="AP23" i="3" s="1"/>
  <c r="AO28" i="3"/>
  <c r="AP28" i="3" s="1"/>
  <c r="AO17" i="3"/>
  <c r="AO22" i="3"/>
  <c r="AP22" i="3" s="1"/>
  <c r="AO16" i="3"/>
  <c r="AP16" i="3" s="1"/>
  <c r="AH11" i="3"/>
  <c r="AO18" i="3"/>
  <c r="AP18" i="3" s="1"/>
  <c r="AK26" i="3"/>
  <c r="AM26" i="3" s="1"/>
  <c r="AI26" i="3"/>
  <c r="AJ26" i="3" s="1"/>
  <c r="AL10" i="4"/>
  <c r="AY10" i="4" s="1"/>
  <c r="AJ10" i="4"/>
  <c r="AV11" i="4"/>
  <c r="AV12" i="4"/>
  <c r="AW12" i="4"/>
  <c r="AU12" i="4"/>
  <c r="AY19" i="4"/>
  <c r="AL22" i="4"/>
  <c r="AY22" i="4" s="1"/>
  <c r="AR18" i="2"/>
  <c r="AQ18" i="2" s="1"/>
  <c r="AO19" i="2"/>
  <c r="AP19" i="2" s="1"/>
  <c r="AH6" i="3"/>
  <c r="AR8" i="3"/>
  <c r="AQ8" i="3" s="1"/>
  <c r="AO9" i="3"/>
  <c r="AP9" i="3" s="1"/>
  <c r="AE16" i="3"/>
  <c r="AC18" i="3"/>
  <c r="AD18" i="3" s="1"/>
  <c r="AR18" i="3"/>
  <c r="AQ18" i="3" s="1"/>
  <c r="AB19" i="3"/>
  <c r="AE21" i="3"/>
  <c r="AS25" i="3"/>
  <c r="AT25" i="3" s="1"/>
  <c r="AO26" i="3"/>
  <c r="AP26" i="3" s="1"/>
  <c r="AB27" i="3"/>
  <c r="AS10" i="4"/>
  <c r="AT10" i="4" s="1"/>
  <c r="AL12" i="4"/>
  <c r="AY12" i="4" s="1"/>
  <c r="AB14" i="4"/>
  <c r="AR14" i="4"/>
  <c r="AL16" i="4"/>
  <c r="AY16" i="4" s="1"/>
  <c r="AE16" i="4"/>
  <c r="AL29" i="5"/>
  <c r="AY29" i="5" s="1"/>
  <c r="AE29" i="5"/>
  <c r="AE7" i="6"/>
  <c r="AR13" i="2"/>
  <c r="AO14" i="2"/>
  <c r="AP14" i="2" s="1"/>
  <c r="AR29" i="2"/>
  <c r="AO30" i="2"/>
  <c r="AP30" i="2" s="1"/>
  <c r="AB17" i="3"/>
  <c r="AC19" i="3"/>
  <c r="AD19" i="3" s="1"/>
  <c r="AE22" i="3"/>
  <c r="AB24" i="3"/>
  <c r="AL27" i="3"/>
  <c r="AI28" i="3"/>
  <c r="AQ13" i="4"/>
  <c r="AS13" i="4"/>
  <c r="AT13" i="4" s="1"/>
  <c r="AL20" i="4"/>
  <c r="AY20" i="4" s="1"/>
  <c r="AE20" i="4"/>
  <c r="AP22" i="4"/>
  <c r="AT14" i="5"/>
  <c r="AL22" i="5"/>
  <c r="AY22" i="5" s="1"/>
  <c r="AE22" i="5"/>
  <c r="AO9" i="2"/>
  <c r="AP9" i="2" s="1"/>
  <c r="AB18" i="2"/>
  <c r="AO25" i="2"/>
  <c r="AP25" i="2" s="1"/>
  <c r="AB8" i="3"/>
  <c r="AH16" i="3"/>
  <c r="AY21" i="3"/>
  <c r="AJ28" i="3"/>
  <c r="AY30" i="3"/>
  <c r="AB7" i="4"/>
  <c r="AL11" i="4"/>
  <c r="AY11" i="4" s="1"/>
  <c r="AQ21" i="4"/>
  <c r="AS21" i="4"/>
  <c r="AT21" i="4" s="1"/>
  <c r="AL23" i="4"/>
  <c r="AY23" i="4" s="1"/>
  <c r="AS12" i="5"/>
  <c r="AT12" i="5" s="1"/>
  <c r="AQ12" i="5"/>
  <c r="AL28" i="5"/>
  <c r="AY28" i="5" s="1"/>
  <c r="AJ28" i="5"/>
  <c r="AH17" i="2"/>
  <c r="AO20" i="2"/>
  <c r="AP20" i="2" s="1"/>
  <c r="AH7" i="3"/>
  <c r="AO10" i="3"/>
  <c r="AP10" i="3" s="1"/>
  <c r="AC13" i="3"/>
  <c r="AD13" i="3" s="1"/>
  <c r="AR13" i="3"/>
  <c r="AE14" i="3"/>
  <c r="AE24" i="3"/>
  <c r="AL26" i="3"/>
  <c r="AX26" i="3" s="1"/>
  <c r="AZ26" i="3" s="1"/>
  <c r="AO27" i="3"/>
  <c r="AP27" i="3" s="1"/>
  <c r="AL28" i="3"/>
  <c r="AY28" i="3" s="1"/>
  <c r="BA9" i="4"/>
  <c r="AK9" i="4"/>
  <c r="AM9" i="4" s="1"/>
  <c r="AI9" i="4"/>
  <c r="AX9" i="4"/>
  <c r="AZ9" i="4" s="1"/>
  <c r="AK13" i="4"/>
  <c r="AM13" i="4" s="1"/>
  <c r="BA13" i="4"/>
  <c r="AI13" i="4"/>
  <c r="AJ13" i="4" s="1"/>
  <c r="AX13" i="4"/>
  <c r="AZ13" i="4" s="1"/>
  <c r="AY17" i="4"/>
  <c r="AH17" i="4"/>
  <c r="AI19" i="4"/>
  <c r="AL27" i="5"/>
  <c r="AY27" i="5" s="1"/>
  <c r="AE27" i="5"/>
  <c r="AV10" i="6"/>
  <c r="AU10" i="6"/>
  <c r="AC15" i="3"/>
  <c r="AD15" i="3" s="1"/>
  <c r="AE15" i="3" s="1"/>
  <c r="AB15" i="3"/>
  <c r="AS26" i="3"/>
  <c r="AT26" i="3" s="1"/>
  <c r="AR27" i="3"/>
  <c r="AQ27" i="3" s="1"/>
  <c r="AE11" i="4"/>
  <c r="AE12" i="4"/>
  <c r="AE14" i="4"/>
  <c r="AL11" i="5"/>
  <c r="AE11" i="5"/>
  <c r="AL17" i="5"/>
  <c r="AR17" i="4"/>
  <c r="AQ17" i="4" s="1"/>
  <c r="AQ14" i="5"/>
  <c r="AP30" i="5"/>
  <c r="AK8" i="6"/>
  <c r="AI8" i="6"/>
  <c r="AL11" i="6"/>
  <c r="AL14" i="6"/>
  <c r="AO6" i="4"/>
  <c r="AP6" i="4" s="1"/>
  <c r="AC8" i="4"/>
  <c r="AD8" i="4" s="1"/>
  <c r="AO18" i="4"/>
  <c r="AP18" i="4" s="1"/>
  <c r="AN12" i="5"/>
  <c r="AE17" i="5"/>
  <c r="AN18" i="5"/>
  <c r="AC26" i="5"/>
  <c r="AD26" i="5" s="1"/>
  <c r="AR26" i="5"/>
  <c r="AS11" i="6"/>
  <c r="AT11" i="6" s="1"/>
  <c r="AC12" i="6"/>
  <c r="AD12" i="6" s="1"/>
  <c r="AR13" i="6"/>
  <c r="AL16" i="6"/>
  <c r="AY16" i="6" s="1"/>
  <c r="AE16" i="6"/>
  <c r="AQ9" i="4"/>
  <c r="AB12" i="4"/>
  <c r="AB21" i="4"/>
  <c r="AR22" i="4"/>
  <c r="AO10" i="5"/>
  <c r="AP10" i="5" s="1"/>
  <c r="AY11" i="5"/>
  <c r="AB12" i="5"/>
  <c r="AC18" i="5"/>
  <c r="AD18" i="5" s="1"/>
  <c r="AR19" i="5"/>
  <c r="AQ19" i="5" s="1"/>
  <c r="AC20" i="5"/>
  <c r="AD20" i="5" s="1"/>
  <c r="AO26" i="5"/>
  <c r="AP26" i="5" s="1"/>
  <c r="AH29" i="5"/>
  <c r="AS14" i="6"/>
  <c r="AT14" i="6" s="1"/>
  <c r="AH19" i="3"/>
  <c r="AR21" i="3"/>
  <c r="AQ21" i="3" s="1"/>
  <c r="AR16" i="4"/>
  <c r="AQ16" i="4" s="1"/>
  <c r="AB17" i="4"/>
  <c r="AC7" i="5"/>
  <c r="AD7" i="5" s="1"/>
  <c r="AX8" i="5"/>
  <c r="AB10" i="5"/>
  <c r="AS13" i="5"/>
  <c r="AT13" i="5" s="1"/>
  <c r="AY17" i="5"/>
  <c r="AK21" i="6"/>
  <c r="AI21" i="6"/>
  <c r="AJ21" i="6" s="1"/>
  <c r="AX21" i="6"/>
  <c r="AZ21" i="6" s="1"/>
  <c r="AH30" i="3"/>
  <c r="AR6" i="4"/>
  <c r="AH8" i="4"/>
  <c r="AE12" i="5"/>
  <c r="AC13" i="5"/>
  <c r="AD13" i="5" s="1"/>
  <c r="AO13" i="5"/>
  <c r="AP13" i="5" s="1"/>
  <c r="AB16" i="5"/>
  <c r="AQ16" i="5"/>
  <c r="AT16" i="5" s="1"/>
  <c r="AE19" i="5"/>
  <c r="AR22" i="5"/>
  <c r="AQ22" i="5" s="1"/>
  <c r="AH25" i="5"/>
  <c r="AR28" i="5"/>
  <c r="AL15" i="6"/>
  <c r="AB21" i="3"/>
  <c r="AH25" i="3"/>
  <c r="AO19" i="4"/>
  <c r="AP19" i="4" s="1"/>
  <c r="AR23" i="4"/>
  <c r="AC15" i="5"/>
  <c r="AD15" i="5" s="1"/>
  <c r="AR15" i="5"/>
  <c r="AQ15" i="5" s="1"/>
  <c r="AS22" i="5"/>
  <c r="AT22" i="5" s="1"/>
  <c r="AB26" i="5"/>
  <c r="AS15" i="6"/>
  <c r="AT15" i="6" s="1"/>
  <c r="AW16" i="6"/>
  <c r="AU16" i="6"/>
  <c r="AV16" i="6"/>
  <c r="AL17" i="6"/>
  <c r="AY17" i="6" s="1"/>
  <c r="AE17" i="6"/>
  <c r="AH21" i="6"/>
  <c r="AR22" i="3"/>
  <c r="AE15" i="4"/>
  <c r="AO15" i="4"/>
  <c r="AP15" i="4" s="1"/>
  <c r="AO18" i="5"/>
  <c r="AO23" i="5"/>
  <c r="AP23" i="5" s="1"/>
  <c r="AO7" i="5"/>
  <c r="AP7" i="5" s="1"/>
  <c r="AO28" i="5"/>
  <c r="AP28" i="5" s="1"/>
  <c r="AO17" i="5"/>
  <c r="AP17" i="5" s="1"/>
  <c r="AO27" i="5"/>
  <c r="AP27" i="5" s="1"/>
  <c r="AO11" i="5"/>
  <c r="AP11" i="5" s="1"/>
  <c r="AO16" i="5"/>
  <c r="AP16" i="5" s="1"/>
  <c r="AO15" i="5"/>
  <c r="AP15" i="5" s="1"/>
  <c r="AO25" i="5"/>
  <c r="AP25" i="5" s="1"/>
  <c r="AO9" i="5"/>
  <c r="AP9" i="5" s="1"/>
  <c r="AE6" i="5"/>
  <c r="AC9" i="5"/>
  <c r="AD9" i="5" s="1"/>
  <c r="AE9" i="5" s="1"/>
  <c r="AB11" i="5"/>
  <c r="AY19" i="5"/>
  <c r="AB29" i="5"/>
  <c r="AP17" i="6"/>
  <c r="AE11" i="6"/>
  <c r="AP18" i="6"/>
  <c r="AN20" i="6"/>
  <c r="AS20" i="5"/>
  <c r="AT20" i="5" s="1"/>
  <c r="AP20" i="5"/>
  <c r="AP22" i="5"/>
  <c r="AH27" i="5"/>
  <c r="AC6" i="6"/>
  <c r="AD6" i="6" s="1"/>
  <c r="AR6" i="6"/>
  <c r="AQ6" i="6" s="1"/>
  <c r="AL20" i="6"/>
  <c r="AY20" i="6" s="1"/>
  <c r="AB14" i="5"/>
  <c r="AN23" i="5"/>
  <c r="AR27" i="5"/>
  <c r="AQ27" i="5" s="1"/>
  <c r="AS6" i="6"/>
  <c r="AT6" i="6" s="1"/>
  <c r="AY11" i="6"/>
  <c r="AE20" i="6"/>
  <c r="AH21" i="3"/>
  <c r="AH9" i="4"/>
  <c r="AO11" i="4"/>
  <c r="AP11" i="4" s="1"/>
  <c r="AH13" i="4"/>
  <c r="AR15" i="4"/>
  <c r="AQ15" i="4" s="1"/>
  <c r="AE7" i="5"/>
  <c r="AO12" i="5"/>
  <c r="AO29" i="5"/>
  <c r="AP29" i="5" s="1"/>
  <c r="AC7" i="6"/>
  <c r="AD7" i="6" s="1"/>
  <c r="AR7" i="6"/>
  <c r="AL10" i="6"/>
  <c r="AY10" i="6" s="1"/>
  <c r="AS17" i="6"/>
  <c r="AT17" i="6" s="1"/>
  <c r="AC19" i="6"/>
  <c r="AD19" i="6" s="1"/>
  <c r="AH6" i="4"/>
  <c r="AO16" i="4"/>
  <c r="AP16" i="4" s="1"/>
  <c r="AL6" i="5"/>
  <c r="AY6" i="5" s="1"/>
  <c r="AL8" i="5"/>
  <c r="AM8" i="5" s="1"/>
  <c r="AB9" i="5"/>
  <c r="AR9" i="5"/>
  <c r="AH13" i="5"/>
  <c r="AH17" i="5"/>
  <c r="AB19" i="5"/>
  <c r="AB20" i="5"/>
  <c r="AL8" i="6"/>
  <c r="AY8" i="6" s="1"/>
  <c r="AJ8" i="6"/>
  <c r="AC9" i="6"/>
  <c r="AD9" i="6" s="1"/>
  <c r="AE10" i="6"/>
  <c r="AE14" i="6"/>
  <c r="AE15" i="6"/>
  <c r="AS18" i="6"/>
  <c r="AT18" i="6" s="1"/>
  <c r="AS20" i="6"/>
  <c r="AQ20" i="6"/>
  <c r="AH27" i="3"/>
  <c r="AR29" i="3"/>
  <c r="AQ29" i="3" s="1"/>
  <c r="AO8" i="4"/>
  <c r="AP8" i="4" s="1"/>
  <c r="AJ9" i="4"/>
  <c r="AO6" i="5"/>
  <c r="AP6" i="5" s="1"/>
  <c r="AI8" i="5"/>
  <c r="AJ8" i="5" s="1"/>
  <c r="AS11" i="5"/>
  <c r="AT11" i="5" s="1"/>
  <c r="AE15" i="5"/>
  <c r="AE24" i="5"/>
  <c r="AY24" i="5"/>
  <c r="AB6" i="6"/>
  <c r="AS21" i="6"/>
  <c r="AQ21" i="6"/>
  <c r="AH22" i="3"/>
  <c r="AB15" i="4"/>
  <c r="AO21" i="4"/>
  <c r="AP21" i="4" s="1"/>
  <c r="AC14" i="5"/>
  <c r="AD14" i="5" s="1"/>
  <c r="AC16" i="5"/>
  <c r="AD16" i="5" s="1"/>
  <c r="AC21" i="5"/>
  <c r="AD21" i="5" s="1"/>
  <c r="AC25" i="5"/>
  <c r="AD25" i="5" s="1"/>
  <c r="AE25" i="5" s="1"/>
  <c r="AR29" i="5"/>
  <c r="AQ29" i="5" s="1"/>
  <c r="AE30" i="5"/>
  <c r="AY14" i="6"/>
  <c r="AH14" i="6"/>
  <c r="AY15" i="6"/>
  <c r="AH15" i="6"/>
  <c r="AC22" i="6"/>
  <c r="AD22" i="6" s="1"/>
  <c r="AR22" i="6"/>
  <c r="AQ22" i="6" s="1"/>
  <c r="AB29" i="3"/>
  <c r="AH14" i="4"/>
  <c r="AO17" i="4"/>
  <c r="AP17" i="4" s="1"/>
  <c r="AN20" i="4"/>
  <c r="AP20" i="4" s="1"/>
  <c r="AS21" i="5"/>
  <c r="AT21" i="5" s="1"/>
  <c r="AC23" i="5"/>
  <c r="AD23" i="5" s="1"/>
  <c r="AE23" i="5" s="1"/>
  <c r="AB28" i="5"/>
  <c r="AL30" i="5"/>
  <c r="AY30" i="5" s="1"/>
  <c r="AC13" i="6"/>
  <c r="AD13" i="6" s="1"/>
  <c r="AC18" i="6"/>
  <c r="AD18" i="6" s="1"/>
  <c r="AB18" i="6"/>
  <c r="AR18" i="6"/>
  <c r="AQ18" i="6" s="1"/>
  <c r="AL21" i="6"/>
  <c r="BA21" i="6" s="1"/>
  <c r="AH19" i="4"/>
  <c r="AO21" i="5"/>
  <c r="AP21" i="5" s="1"/>
  <c r="AR25" i="5"/>
  <c r="AP11" i="6"/>
  <c r="AC23" i="6"/>
  <c r="AD23" i="6" s="1"/>
  <c r="AR23" i="6"/>
  <c r="AO14" i="6"/>
  <c r="AP14" i="6" s="1"/>
  <c r="AO8" i="6"/>
  <c r="AP8" i="6" s="1"/>
  <c r="AR17" i="6"/>
  <c r="AQ17" i="6" s="1"/>
  <c r="AH19" i="6"/>
  <c r="AR8" i="5"/>
  <c r="AQ8" i="5" s="1"/>
  <c r="AO21" i="6"/>
  <c r="AP21" i="6" s="1"/>
  <c r="AR30" i="5"/>
  <c r="AR8" i="6"/>
  <c r="AO15" i="6"/>
  <c r="AP15" i="6" s="1"/>
  <c r="AO9" i="6"/>
  <c r="AP9" i="6" s="1"/>
  <c r="AO6" i="6"/>
  <c r="AP6" i="6" s="1"/>
  <c r="AR15" i="6"/>
  <c r="AQ15" i="6" s="1"/>
  <c r="AH17" i="6"/>
  <c r="AO22" i="6"/>
  <c r="AP22" i="6" s="1"/>
  <c r="AR12" i="6"/>
  <c r="AQ12" i="6" s="1"/>
  <c r="AO19" i="6"/>
  <c r="AP19" i="6" s="1"/>
  <c r="AR9" i="6"/>
  <c r="AQ9" i="6" s="1"/>
  <c r="AO16" i="6"/>
  <c r="AP16" i="6" s="1"/>
  <c r="AO13" i="6"/>
  <c r="AP13" i="6" s="1"/>
  <c r="AO10" i="6"/>
  <c r="AP10" i="6" s="1"/>
  <c r="AR19" i="6"/>
  <c r="AO7" i="6"/>
  <c r="AP7" i="6" s="1"/>
  <c r="AO23" i="6"/>
  <c r="AP23" i="6" s="1"/>
  <c r="AO20" i="6"/>
  <c r="AW30" i="1" l="1"/>
  <c r="AV30" i="1"/>
  <c r="AU30" i="1"/>
  <c r="AI9" i="5"/>
  <c r="AK9" i="5"/>
  <c r="AK15" i="3"/>
  <c r="AI15" i="3"/>
  <c r="AV20" i="1"/>
  <c r="AW20" i="1"/>
  <c r="AU20" i="1"/>
  <c r="AW24" i="1"/>
  <c r="AU24" i="1"/>
  <c r="AV24" i="1"/>
  <c r="AV16" i="5"/>
  <c r="AU16" i="5"/>
  <c r="AK18" i="4"/>
  <c r="AI18" i="4"/>
  <c r="BA7" i="4"/>
  <c r="AK7" i="4"/>
  <c r="AM7" i="4" s="1"/>
  <c r="AI7" i="4"/>
  <c r="AJ7" i="4" s="1"/>
  <c r="AX7" i="4"/>
  <c r="AZ7" i="4" s="1"/>
  <c r="BB7" i="4" s="1"/>
  <c r="AI25" i="5"/>
  <c r="AK25" i="5"/>
  <c r="AK23" i="5"/>
  <c r="AI23" i="5"/>
  <c r="AL15" i="5"/>
  <c r="AY15" i="5" s="1"/>
  <c r="BA10" i="6"/>
  <c r="AK10" i="6"/>
  <c r="AM10" i="6" s="1"/>
  <c r="AX10" i="6"/>
  <c r="AZ10" i="6" s="1"/>
  <c r="BB10" i="6" s="1"/>
  <c r="AI10" i="6"/>
  <c r="AJ10" i="6" s="1"/>
  <c r="AV20" i="5"/>
  <c r="AU20" i="5"/>
  <c r="AE12" i="6"/>
  <c r="AL12" i="6"/>
  <c r="AY12" i="6" s="1"/>
  <c r="AX8" i="6"/>
  <c r="AZ8" i="6" s="1"/>
  <c r="BB8" i="6" s="1"/>
  <c r="AK12" i="4"/>
  <c r="AM12" i="4" s="1"/>
  <c r="BA12" i="4"/>
  <c r="AI12" i="4"/>
  <c r="AJ12" i="4" s="1"/>
  <c r="AX12" i="4"/>
  <c r="AZ12" i="4" s="1"/>
  <c r="BB12" i="4" s="1"/>
  <c r="AI14" i="3"/>
  <c r="AJ14" i="3" s="1"/>
  <c r="AX14" i="3"/>
  <c r="AZ14" i="3" s="1"/>
  <c r="AK14" i="3"/>
  <c r="AM14" i="3" s="1"/>
  <c r="AV14" i="5"/>
  <c r="AU14" i="5"/>
  <c r="AS29" i="2"/>
  <c r="AQ29" i="2"/>
  <c r="AS17" i="4"/>
  <c r="AT17" i="4" s="1"/>
  <c r="AS11" i="3"/>
  <c r="AT11" i="3" s="1"/>
  <c r="AQ11" i="3"/>
  <c r="AY6" i="4"/>
  <c r="AZ6" i="4" s="1"/>
  <c r="BB6" i="4" s="1"/>
  <c r="AW28" i="3"/>
  <c r="AV28" i="3"/>
  <c r="AU28" i="3"/>
  <c r="AS16" i="2"/>
  <c r="AT16" i="2" s="1"/>
  <c r="AS8" i="3"/>
  <c r="AT8" i="3" s="1"/>
  <c r="AQ22" i="1"/>
  <c r="AS22" i="1"/>
  <c r="AW9" i="3"/>
  <c r="AW19" i="2"/>
  <c r="AV19" i="2"/>
  <c r="AU19" i="2"/>
  <c r="BA8" i="1"/>
  <c r="AK8" i="1"/>
  <c r="AM8" i="1" s="1"/>
  <c r="AI8" i="1"/>
  <c r="AJ8" i="1" s="1"/>
  <c r="AX8" i="1"/>
  <c r="AZ8" i="1" s="1"/>
  <c r="BA12" i="1"/>
  <c r="AK12" i="1"/>
  <c r="AM12" i="1" s="1"/>
  <c r="AI12" i="1"/>
  <c r="AJ12" i="1" s="1"/>
  <c r="AX12" i="1"/>
  <c r="AZ12" i="1" s="1"/>
  <c r="AU17" i="1"/>
  <c r="AV17" i="1"/>
  <c r="AE18" i="6"/>
  <c r="AL18" i="6"/>
  <c r="AY18" i="6" s="1"/>
  <c r="AK30" i="5"/>
  <c r="AM30" i="5" s="1"/>
  <c r="AI30" i="5"/>
  <c r="AJ30" i="5" s="1"/>
  <c r="AX30" i="5"/>
  <c r="AZ30" i="5" s="1"/>
  <c r="AK24" i="5"/>
  <c r="AM24" i="5" s="1"/>
  <c r="AX24" i="5"/>
  <c r="AZ24" i="5" s="1"/>
  <c r="AI24" i="5"/>
  <c r="AJ24" i="5" s="1"/>
  <c r="AL9" i="6"/>
  <c r="AY9" i="6" s="1"/>
  <c r="AL19" i="6"/>
  <c r="AY19" i="6" s="1"/>
  <c r="AE19" i="6"/>
  <c r="BA20" i="6"/>
  <c r="AK20" i="6"/>
  <c r="AM20" i="6" s="1"/>
  <c r="AI20" i="6"/>
  <c r="AJ20" i="6" s="1"/>
  <c r="AX20" i="6"/>
  <c r="AZ20" i="6" s="1"/>
  <c r="AW15" i="6"/>
  <c r="AV15" i="6"/>
  <c r="AU15" i="6"/>
  <c r="AE20" i="5"/>
  <c r="AL20" i="5"/>
  <c r="AY20" i="5" s="1"/>
  <c r="AW11" i="6"/>
  <c r="AV11" i="6"/>
  <c r="AU11" i="6"/>
  <c r="BA11" i="4"/>
  <c r="AK11" i="4"/>
  <c r="AM11" i="4" s="1"/>
  <c r="AI11" i="4"/>
  <c r="AJ11" i="4" s="1"/>
  <c r="AX11" i="4"/>
  <c r="AZ11" i="4" s="1"/>
  <c r="BB11" i="4" s="1"/>
  <c r="AS13" i="3"/>
  <c r="AT13" i="3" s="1"/>
  <c r="AQ13" i="3"/>
  <c r="AW25" i="3"/>
  <c r="AV25" i="3"/>
  <c r="AU25" i="3"/>
  <c r="AP17" i="3"/>
  <c r="AW15" i="4"/>
  <c r="AV15" i="4"/>
  <c r="AU15" i="4"/>
  <c r="BB19" i="4"/>
  <c r="AW8" i="4"/>
  <c r="AV8" i="4"/>
  <c r="AU8" i="4"/>
  <c r="AW20" i="3"/>
  <c r="AV20" i="3"/>
  <c r="AU20" i="3"/>
  <c r="AI30" i="3"/>
  <c r="AJ30" i="3" s="1"/>
  <c r="AX30" i="3"/>
  <c r="AZ30" i="3" s="1"/>
  <c r="AK30" i="3"/>
  <c r="AM30" i="3" s="1"/>
  <c r="AE29" i="1"/>
  <c r="AL29" i="1"/>
  <c r="AY29" i="1" s="1"/>
  <c r="AV28" i="1"/>
  <c r="AU28" i="1"/>
  <c r="AW26" i="2"/>
  <c r="AV26" i="2"/>
  <c r="AU26" i="2"/>
  <c r="AL22" i="1"/>
  <c r="AY22" i="1" s="1"/>
  <c r="AE22" i="1"/>
  <c r="AI23" i="1"/>
  <c r="AJ23" i="1" s="1"/>
  <c r="AK23" i="1"/>
  <c r="AM23" i="1" s="1"/>
  <c r="BA23" i="1"/>
  <c r="AX23" i="1"/>
  <c r="AZ23" i="1" s="1"/>
  <c r="AX7" i="2"/>
  <c r="AZ7" i="2" s="1"/>
  <c r="AY9" i="1"/>
  <c r="AK29" i="2"/>
  <c r="AM29" i="2" s="1"/>
  <c r="AI29" i="2"/>
  <c r="AJ29" i="2" s="1"/>
  <c r="AX29" i="2"/>
  <c r="AZ29" i="2" s="1"/>
  <c r="AL13" i="6"/>
  <c r="AY13" i="6" s="1"/>
  <c r="AX15" i="5"/>
  <c r="AZ15" i="5" s="1"/>
  <c r="AK15" i="5"/>
  <c r="AM15" i="5" s="1"/>
  <c r="AI15" i="5"/>
  <c r="AJ15" i="5" s="1"/>
  <c r="AW17" i="6"/>
  <c r="AU17" i="6"/>
  <c r="AV17" i="6"/>
  <c r="AQ26" i="5"/>
  <c r="AS26" i="5"/>
  <c r="AM8" i="6"/>
  <c r="BB13" i="4"/>
  <c r="AL13" i="3"/>
  <c r="AY13" i="3" s="1"/>
  <c r="AK20" i="4"/>
  <c r="AM20" i="4" s="1"/>
  <c r="BA20" i="4"/>
  <c r="AI20" i="4"/>
  <c r="AJ20" i="4" s="1"/>
  <c r="AX20" i="4"/>
  <c r="AZ20" i="4" s="1"/>
  <c r="AS13" i="2"/>
  <c r="AT13" i="2" s="1"/>
  <c r="AQ13" i="2"/>
  <c r="AK21" i="3"/>
  <c r="AM21" i="3" s="1"/>
  <c r="AI21" i="3"/>
  <c r="AJ21" i="3" s="1"/>
  <c r="AX21" i="3"/>
  <c r="AZ21" i="3" s="1"/>
  <c r="AW9" i="4"/>
  <c r="AV9" i="4"/>
  <c r="AU9" i="4"/>
  <c r="AS21" i="2"/>
  <c r="AQ21" i="2"/>
  <c r="AI7" i="3"/>
  <c r="AJ7" i="3" s="1"/>
  <c r="AX7" i="3"/>
  <c r="AZ7" i="3" s="1"/>
  <c r="AK7" i="3"/>
  <c r="AM7" i="3" s="1"/>
  <c r="BA24" i="1"/>
  <c r="AK24" i="1"/>
  <c r="AM24" i="1" s="1"/>
  <c r="AI24" i="1"/>
  <c r="AJ24" i="1" s="1"/>
  <c r="AX24" i="1"/>
  <c r="AZ24" i="1" s="1"/>
  <c r="BB24" i="1" s="1"/>
  <c r="AW10" i="2"/>
  <c r="AV10" i="2"/>
  <c r="AU10" i="2"/>
  <c r="AK21" i="2"/>
  <c r="AM21" i="2" s="1"/>
  <c r="AI21" i="2"/>
  <c r="AJ21" i="2" s="1"/>
  <c r="AX21" i="2"/>
  <c r="AZ21" i="2" s="1"/>
  <c r="BA21" i="1"/>
  <c r="AK21" i="1"/>
  <c r="AM21" i="1" s="1"/>
  <c r="AI21" i="1"/>
  <c r="AJ21" i="1" s="1"/>
  <c r="AX21" i="1"/>
  <c r="AZ21" i="1" s="1"/>
  <c r="AW11" i="5"/>
  <c r="AV11" i="5"/>
  <c r="AU11" i="5"/>
  <c r="AV6" i="6"/>
  <c r="AU6" i="6"/>
  <c r="AW6" i="6"/>
  <c r="BA8" i="6"/>
  <c r="AK20" i="2"/>
  <c r="AM20" i="2" s="1"/>
  <c r="AI20" i="2"/>
  <c r="AJ20" i="2" s="1"/>
  <c r="AX20" i="2"/>
  <c r="AZ20" i="2" s="1"/>
  <c r="AK7" i="1"/>
  <c r="AM7" i="1" s="1"/>
  <c r="AI7" i="1"/>
  <c r="AJ7" i="1" s="1"/>
  <c r="AX7" i="1"/>
  <c r="AZ7" i="1" s="1"/>
  <c r="BB7" i="1" s="1"/>
  <c r="BA7" i="1"/>
  <c r="AW16" i="4"/>
  <c r="AV16" i="4"/>
  <c r="AU16" i="4"/>
  <c r="AU23" i="5"/>
  <c r="AV23" i="5"/>
  <c r="AW14" i="2"/>
  <c r="AV14" i="2"/>
  <c r="AU14" i="2"/>
  <c r="AS7" i="1"/>
  <c r="AT7" i="1" s="1"/>
  <c r="AQ23" i="6"/>
  <c r="AS23" i="6"/>
  <c r="AT23" i="6" s="1"/>
  <c r="BA11" i="6"/>
  <c r="AK11" i="6"/>
  <c r="AM11" i="6" s="1"/>
  <c r="AI11" i="6"/>
  <c r="AJ11" i="6" s="1"/>
  <c r="AX11" i="6"/>
  <c r="AZ11" i="6" s="1"/>
  <c r="AL28" i="1"/>
  <c r="AY28" i="1" s="1"/>
  <c r="AE28" i="1"/>
  <c r="AL23" i="6"/>
  <c r="AY23" i="6" s="1"/>
  <c r="AL21" i="5"/>
  <c r="AY21" i="5" s="1"/>
  <c r="AE21" i="5"/>
  <c r="AL7" i="4"/>
  <c r="AY7" i="4" s="1"/>
  <c r="BA30" i="1"/>
  <c r="AK30" i="1"/>
  <c r="AM30" i="1" s="1"/>
  <c r="AI30" i="1"/>
  <c r="AJ30" i="1" s="1"/>
  <c r="AX30" i="1"/>
  <c r="AZ30" i="1" s="1"/>
  <c r="BB30" i="1" s="1"/>
  <c r="AL16" i="5"/>
  <c r="AY16" i="5" s="1"/>
  <c r="AW13" i="4"/>
  <c r="AV13" i="4"/>
  <c r="AU13" i="4"/>
  <c r="AL18" i="3"/>
  <c r="AY18" i="3" s="1"/>
  <c r="AE18" i="3"/>
  <c r="AL23" i="3"/>
  <c r="AY23" i="3" s="1"/>
  <c r="AW9" i="2"/>
  <c r="AV9" i="2"/>
  <c r="AU9" i="2"/>
  <c r="AK29" i="3"/>
  <c r="AM29" i="3" s="1"/>
  <c r="AX29" i="3"/>
  <c r="AZ29" i="3" s="1"/>
  <c r="AI29" i="3"/>
  <c r="AJ29" i="3" s="1"/>
  <c r="AL19" i="1"/>
  <c r="AY19" i="1" s="1"/>
  <c r="AQ7" i="6"/>
  <c r="AS7" i="6"/>
  <c r="AY8" i="5"/>
  <c r="AZ8" i="5" s="1"/>
  <c r="AL7" i="5"/>
  <c r="AY7" i="5" s="1"/>
  <c r="AL15" i="3"/>
  <c r="AJ15" i="3"/>
  <c r="BB9" i="4"/>
  <c r="AK16" i="3"/>
  <c r="AM16" i="3" s="1"/>
  <c r="AI16" i="3"/>
  <c r="AJ16" i="3" s="1"/>
  <c r="AX16" i="3"/>
  <c r="AZ16" i="3" s="1"/>
  <c r="AW11" i="4"/>
  <c r="AL22" i="3"/>
  <c r="AY22" i="3" s="1"/>
  <c r="AK25" i="2"/>
  <c r="AM25" i="2" s="1"/>
  <c r="AI25" i="2"/>
  <c r="AJ25" i="2" s="1"/>
  <c r="AX25" i="2"/>
  <c r="AZ25" i="2" s="1"/>
  <c r="AX10" i="3"/>
  <c r="AZ10" i="3" s="1"/>
  <c r="AK15" i="2"/>
  <c r="AM15" i="2" s="1"/>
  <c r="AI15" i="2"/>
  <c r="AJ15" i="2" s="1"/>
  <c r="AX15" i="2"/>
  <c r="AZ15" i="2" s="1"/>
  <c r="AX10" i="1"/>
  <c r="AZ10" i="1" s="1"/>
  <c r="BB10" i="1" s="1"/>
  <c r="AJ23" i="5"/>
  <c r="AL23" i="5"/>
  <c r="AY23" i="5" s="1"/>
  <c r="AK29" i="5"/>
  <c r="AM29" i="5" s="1"/>
  <c r="AI29" i="5"/>
  <c r="AJ29" i="5" s="1"/>
  <c r="AX29" i="5"/>
  <c r="AZ29" i="5" s="1"/>
  <c r="AK26" i="2"/>
  <c r="AM26" i="2" s="1"/>
  <c r="AI26" i="2"/>
  <c r="AJ26" i="2" s="1"/>
  <c r="AX26" i="2"/>
  <c r="AZ26" i="2" s="1"/>
  <c r="AS10" i="1"/>
  <c r="AT10" i="1" s="1"/>
  <c r="AQ10" i="1"/>
  <c r="AQ25" i="5"/>
  <c r="AS25" i="5"/>
  <c r="AV21" i="5"/>
  <c r="AU21" i="5"/>
  <c r="AL14" i="5"/>
  <c r="AY14" i="5" s="1"/>
  <c r="AL7" i="6"/>
  <c r="AY7" i="6" s="1"/>
  <c r="AS15" i="5"/>
  <c r="AT15" i="5" s="1"/>
  <c r="AX15" i="4"/>
  <c r="AZ15" i="4" s="1"/>
  <c r="AK15" i="4"/>
  <c r="AM15" i="4" s="1"/>
  <c r="BA15" i="4"/>
  <c r="AI15" i="4"/>
  <c r="AJ15" i="4" s="1"/>
  <c r="AL13" i="5"/>
  <c r="AY13" i="5" s="1"/>
  <c r="AE13" i="5"/>
  <c r="AS22" i="4"/>
  <c r="AQ22" i="4"/>
  <c r="AW10" i="6"/>
  <c r="AK16" i="4"/>
  <c r="AM16" i="4" s="1"/>
  <c r="BA16" i="4"/>
  <c r="AI16" i="4"/>
  <c r="AJ16" i="4" s="1"/>
  <c r="AX16" i="4"/>
  <c r="AZ16" i="4" s="1"/>
  <c r="BB16" i="4" s="1"/>
  <c r="AS21" i="3"/>
  <c r="AT21" i="3" s="1"/>
  <c r="AS27" i="3"/>
  <c r="AT27" i="3" s="1"/>
  <c r="AW15" i="2"/>
  <c r="AV15" i="2"/>
  <c r="AU15" i="2"/>
  <c r="AV15" i="3"/>
  <c r="AV25" i="1"/>
  <c r="AU25" i="1"/>
  <c r="AX12" i="3"/>
  <c r="AZ12" i="3" s="1"/>
  <c r="AK12" i="3"/>
  <c r="AM12" i="3" s="1"/>
  <c r="AI12" i="3"/>
  <c r="AJ12" i="3" s="1"/>
  <c r="AK8" i="2"/>
  <c r="AM8" i="2" s="1"/>
  <c r="AI8" i="2"/>
  <c r="AJ8" i="2" s="1"/>
  <c r="AX8" i="2"/>
  <c r="AZ8" i="2" s="1"/>
  <c r="AP20" i="1"/>
  <c r="AX18" i="1"/>
  <c r="AZ18" i="1" s="1"/>
  <c r="AK25" i="1"/>
  <c r="AI25" i="1"/>
  <c r="BB27" i="1"/>
  <c r="AW22" i="5"/>
  <c r="AV22" i="5"/>
  <c r="AU22" i="5"/>
  <c r="AK7" i="6"/>
  <c r="AI7" i="6"/>
  <c r="AJ7" i="6" s="1"/>
  <c r="AQ22" i="3"/>
  <c r="AS22" i="3"/>
  <c r="AS23" i="4"/>
  <c r="AT23" i="4" s="1"/>
  <c r="AQ23" i="4"/>
  <c r="AK12" i="5"/>
  <c r="AM12" i="5" s="1"/>
  <c r="AX12" i="5"/>
  <c r="AZ12" i="5" s="1"/>
  <c r="AI12" i="5"/>
  <c r="AJ12" i="5" s="1"/>
  <c r="AL8" i="4"/>
  <c r="AY8" i="4" s="1"/>
  <c r="AE8" i="4"/>
  <c r="AK20" i="3"/>
  <c r="AM20" i="3" s="1"/>
  <c r="AX20" i="3"/>
  <c r="AZ20" i="3" s="1"/>
  <c r="AI20" i="3"/>
  <c r="AJ20" i="3" s="1"/>
  <c r="AS6" i="2"/>
  <c r="AT6" i="2" s="1"/>
  <c r="AQ6" i="2"/>
  <c r="AW16" i="3"/>
  <c r="AV16" i="3"/>
  <c r="AU16" i="3"/>
  <c r="AM10" i="3"/>
  <c r="BA18" i="1"/>
  <c r="AI17" i="2"/>
  <c r="AJ17" i="2" s="1"/>
  <c r="AX17" i="2"/>
  <c r="AZ17" i="2" s="1"/>
  <c r="AK17" i="2"/>
  <c r="AM17" i="2" s="1"/>
  <c r="AK8" i="3"/>
  <c r="AM8" i="3" s="1"/>
  <c r="AI8" i="3"/>
  <c r="AJ8" i="3" s="1"/>
  <c r="AX8" i="3"/>
  <c r="AZ8" i="3" s="1"/>
  <c r="AW12" i="2"/>
  <c r="AV12" i="2"/>
  <c r="AU12" i="2"/>
  <c r="AW10" i="3"/>
  <c r="AQ23" i="1"/>
  <c r="AS23" i="1"/>
  <c r="BA13" i="1"/>
  <c r="AK13" i="1"/>
  <c r="AM13" i="1" s="1"/>
  <c r="AI13" i="1"/>
  <c r="AJ13" i="1" s="1"/>
  <c r="AX13" i="1"/>
  <c r="AZ13" i="1" s="1"/>
  <c r="AS13" i="1"/>
  <c r="AT13" i="1" s="1"/>
  <c r="AM10" i="1"/>
  <c r="AS27" i="5"/>
  <c r="AT27" i="5" s="1"/>
  <c r="AS19" i="5"/>
  <c r="AT19" i="5" s="1"/>
  <c r="AI21" i="4"/>
  <c r="AJ21" i="4" s="1"/>
  <c r="AK21" i="4"/>
  <c r="AM21" i="4" s="1"/>
  <c r="BA21" i="4"/>
  <c r="AX21" i="4"/>
  <c r="AZ21" i="4" s="1"/>
  <c r="BB21" i="4" s="1"/>
  <c r="AS12" i="3"/>
  <c r="AT12" i="3" s="1"/>
  <c r="AQ12" i="3"/>
  <c r="AS18" i="1"/>
  <c r="AQ18" i="1"/>
  <c r="AY9" i="3"/>
  <c r="AZ9" i="3" s="1"/>
  <c r="AK10" i="2"/>
  <c r="AM10" i="2" s="1"/>
  <c r="AI10" i="2"/>
  <c r="AJ10" i="2" s="1"/>
  <c r="AX10" i="2"/>
  <c r="AZ10" i="2" s="1"/>
  <c r="AW21" i="1"/>
  <c r="AV21" i="1"/>
  <c r="AU21" i="1"/>
  <c r="BA6" i="1"/>
  <c r="AK6" i="1"/>
  <c r="AM6" i="1" s="1"/>
  <c r="AI6" i="1"/>
  <c r="AJ6" i="1" s="1"/>
  <c r="AX6" i="1"/>
  <c r="AZ6" i="1" s="1"/>
  <c r="BB6" i="1" s="1"/>
  <c r="AQ9" i="5"/>
  <c r="AS9" i="5"/>
  <c r="AT9" i="5" s="1"/>
  <c r="AL9" i="5"/>
  <c r="AY9" i="5" s="1"/>
  <c r="AJ9" i="5"/>
  <c r="AS7" i="4"/>
  <c r="AT7" i="4" s="1"/>
  <c r="AE17" i="3"/>
  <c r="AL17" i="3"/>
  <c r="AY17" i="3" s="1"/>
  <c r="AP12" i="5"/>
  <c r="AE13" i="6"/>
  <c r="AX6" i="5"/>
  <c r="AZ6" i="5" s="1"/>
  <c r="AK6" i="5"/>
  <c r="AM6" i="5" s="1"/>
  <c r="AI6" i="5"/>
  <c r="AJ6" i="5" s="1"/>
  <c r="AY21" i="6"/>
  <c r="AS6" i="4"/>
  <c r="AQ6" i="4"/>
  <c r="AK27" i="5"/>
  <c r="AM27" i="5" s="1"/>
  <c r="AI27" i="5"/>
  <c r="AJ27" i="5" s="1"/>
  <c r="AX27" i="5"/>
  <c r="AZ27" i="5" s="1"/>
  <c r="AE23" i="3"/>
  <c r="AS14" i="4"/>
  <c r="AQ14" i="4"/>
  <c r="AS7" i="3"/>
  <c r="AT7" i="3" s="1"/>
  <c r="AQ7" i="3"/>
  <c r="AK17" i="4"/>
  <c r="AM17" i="4" s="1"/>
  <c r="BA17" i="4"/>
  <c r="AI17" i="4"/>
  <c r="AJ17" i="4" s="1"/>
  <c r="AX17" i="4"/>
  <c r="AZ17" i="4" s="1"/>
  <c r="BB17" i="4" s="1"/>
  <c r="AX23" i="4"/>
  <c r="AZ23" i="4" s="1"/>
  <c r="AT17" i="5"/>
  <c r="AS6" i="3"/>
  <c r="AT6" i="3" s="1"/>
  <c r="AT17" i="3"/>
  <c r="AS28" i="2"/>
  <c r="AT28" i="2" s="1"/>
  <c r="AX28" i="5"/>
  <c r="AZ28" i="5" s="1"/>
  <c r="AW12" i="1"/>
  <c r="AV12" i="1"/>
  <c r="AU12" i="1"/>
  <c r="AL18" i="5"/>
  <c r="AY18" i="5" s="1"/>
  <c r="AE18" i="5"/>
  <c r="AV29" i="1"/>
  <c r="AU29" i="1"/>
  <c r="AP18" i="5"/>
  <c r="AK24" i="2"/>
  <c r="AM24" i="2" s="1"/>
  <c r="AI24" i="2"/>
  <c r="AJ24" i="2" s="1"/>
  <c r="AX24" i="2"/>
  <c r="AZ24" i="2" s="1"/>
  <c r="AL16" i="1"/>
  <c r="AY16" i="1" s="1"/>
  <c r="AE16" i="1"/>
  <c r="AM28" i="5"/>
  <c r="AI15" i="1"/>
  <c r="AJ15" i="1" s="1"/>
  <c r="AK15" i="1"/>
  <c r="AM15" i="1" s="1"/>
  <c r="BA15" i="1"/>
  <c r="AX15" i="1"/>
  <c r="AZ15" i="1" s="1"/>
  <c r="BB15" i="1" s="1"/>
  <c r="AV11" i="1"/>
  <c r="AU11" i="1"/>
  <c r="AW11" i="1"/>
  <c r="AJ25" i="5"/>
  <c r="AL25" i="5"/>
  <c r="AY25" i="5" s="1"/>
  <c r="AK19" i="5"/>
  <c r="AM19" i="5" s="1"/>
  <c r="AI19" i="5"/>
  <c r="AJ19" i="5" s="1"/>
  <c r="AX19" i="5"/>
  <c r="AZ19" i="5" s="1"/>
  <c r="AX14" i="1"/>
  <c r="AZ14" i="1" s="1"/>
  <c r="BA14" i="1"/>
  <c r="AK14" i="1"/>
  <c r="AM14" i="1" s="1"/>
  <c r="AI14" i="1"/>
  <c r="AJ14" i="1" s="1"/>
  <c r="AK7" i="5"/>
  <c r="AM7" i="5" s="1"/>
  <c r="AX7" i="5"/>
  <c r="AZ7" i="5" s="1"/>
  <c r="AI7" i="5"/>
  <c r="AJ7" i="5" s="1"/>
  <c r="AV18" i="5"/>
  <c r="AU18" i="5"/>
  <c r="AT21" i="6"/>
  <c r="AL6" i="6"/>
  <c r="AY6" i="6" s="1"/>
  <c r="AE6" i="6"/>
  <c r="BB21" i="6"/>
  <c r="AS12" i="6"/>
  <c r="AT12" i="6" s="1"/>
  <c r="BA23" i="4"/>
  <c r="AL10" i="5"/>
  <c r="AY10" i="5" s="1"/>
  <c r="AE10" i="5"/>
  <c r="AT22" i="2"/>
  <c r="AE13" i="3"/>
  <c r="AK18" i="2"/>
  <c r="AM18" i="2" s="1"/>
  <c r="AI18" i="2"/>
  <c r="AJ18" i="2" s="1"/>
  <c r="AX18" i="2"/>
  <c r="AZ18" i="2" s="1"/>
  <c r="AM18" i="1"/>
  <c r="AX23" i="2"/>
  <c r="AZ23" i="2" s="1"/>
  <c r="AU13" i="5"/>
  <c r="AW13" i="5"/>
  <c r="AV13" i="5"/>
  <c r="AI17" i="5"/>
  <c r="AJ17" i="5" s="1"/>
  <c r="AK17" i="5"/>
  <c r="AM17" i="5" s="1"/>
  <c r="AX17" i="5"/>
  <c r="AZ17" i="5" s="1"/>
  <c r="AP20" i="6"/>
  <c r="BA17" i="6"/>
  <c r="AK17" i="6"/>
  <c r="AM17" i="6" s="1"/>
  <c r="AI17" i="6"/>
  <c r="AJ17" i="6" s="1"/>
  <c r="AX17" i="6"/>
  <c r="AZ17" i="6" s="1"/>
  <c r="AW14" i="6"/>
  <c r="AV14" i="6"/>
  <c r="AU14" i="6"/>
  <c r="AV12" i="5"/>
  <c r="AU12" i="5"/>
  <c r="AW12" i="5"/>
  <c r="AI22" i="3"/>
  <c r="AJ22" i="3" s="1"/>
  <c r="AX22" i="3"/>
  <c r="AZ22" i="3" s="1"/>
  <c r="AK22" i="3"/>
  <c r="AM22" i="3" s="1"/>
  <c r="AW8" i="5"/>
  <c r="AV8" i="5"/>
  <c r="AU8" i="5"/>
  <c r="AK11" i="5"/>
  <c r="AM11" i="5" s="1"/>
  <c r="AI11" i="5"/>
  <c r="AJ11" i="5" s="1"/>
  <c r="AX11" i="5"/>
  <c r="AZ11" i="5" s="1"/>
  <c r="AL19" i="3"/>
  <c r="AE19" i="3"/>
  <c r="AV10" i="5"/>
  <c r="AU10" i="5"/>
  <c r="AV18" i="6"/>
  <c r="AU18" i="6"/>
  <c r="AE14" i="5"/>
  <c r="AX22" i="5"/>
  <c r="AZ22" i="5" s="1"/>
  <c r="AK22" i="5"/>
  <c r="AM22" i="5" s="1"/>
  <c r="AI22" i="5"/>
  <c r="AJ22" i="5" s="1"/>
  <c r="AS18" i="3"/>
  <c r="AT18" i="3" s="1"/>
  <c r="AM23" i="4"/>
  <c r="AS17" i="2"/>
  <c r="AT17" i="2" s="1"/>
  <c r="AQ17" i="2"/>
  <c r="AS18" i="4"/>
  <c r="AT18" i="4" s="1"/>
  <c r="AW19" i="4"/>
  <c r="AV19" i="4"/>
  <c r="AU19" i="4"/>
  <c r="BA26" i="1"/>
  <c r="AK26" i="1"/>
  <c r="AM26" i="1" s="1"/>
  <c r="AX26" i="1"/>
  <c r="AZ26" i="1" s="1"/>
  <c r="BB26" i="1" s="1"/>
  <c r="AI26" i="1"/>
  <c r="AJ26" i="1" s="1"/>
  <c r="AW30" i="2"/>
  <c r="AV30" i="2"/>
  <c r="AU30" i="2"/>
  <c r="AL17" i="1"/>
  <c r="AY17" i="1" s="1"/>
  <c r="AE17" i="1"/>
  <c r="AW27" i="2"/>
  <c r="AV27" i="2"/>
  <c r="AU27" i="2"/>
  <c r="AS14" i="1"/>
  <c r="AT14" i="1" s="1"/>
  <c r="AE26" i="5"/>
  <c r="AL26" i="5"/>
  <c r="AY26" i="5" s="1"/>
  <c r="AW23" i="3"/>
  <c r="AV23" i="3"/>
  <c r="AU23" i="3"/>
  <c r="AW25" i="2"/>
  <c r="AV25" i="2"/>
  <c r="AU25" i="2"/>
  <c r="AL18" i="4"/>
  <c r="AY18" i="4" s="1"/>
  <c r="AJ18" i="4"/>
  <c r="AS8" i="6"/>
  <c r="AT8" i="6" s="1"/>
  <c r="AQ8" i="6"/>
  <c r="AK30" i="2"/>
  <c r="AM30" i="2" s="1"/>
  <c r="AI30" i="2"/>
  <c r="AJ30" i="2" s="1"/>
  <c r="AX30" i="2"/>
  <c r="AZ30" i="2" s="1"/>
  <c r="AS30" i="5"/>
  <c r="AT30" i="5" s="1"/>
  <c r="AQ30" i="5"/>
  <c r="AS22" i="6"/>
  <c r="AT22" i="6" s="1"/>
  <c r="AL22" i="6"/>
  <c r="AY22" i="6" s="1"/>
  <c r="AE22" i="6"/>
  <c r="AT20" i="6"/>
  <c r="AE23" i="6"/>
  <c r="AX16" i="6"/>
  <c r="AZ16" i="6" s="1"/>
  <c r="BA16" i="6"/>
  <c r="AK16" i="6"/>
  <c r="AM16" i="6" s="1"/>
  <c r="AI16" i="6"/>
  <c r="AJ16" i="6" s="1"/>
  <c r="AE16" i="5"/>
  <c r="AK22" i="4"/>
  <c r="AM22" i="4" s="1"/>
  <c r="BA22" i="4"/>
  <c r="AI22" i="4"/>
  <c r="AJ22" i="4" s="1"/>
  <c r="AX22" i="4"/>
  <c r="AZ22" i="4" s="1"/>
  <c r="AS19" i="6"/>
  <c r="AQ19" i="6"/>
  <c r="AI15" i="6"/>
  <c r="AJ15" i="6" s="1"/>
  <c r="AX15" i="6"/>
  <c r="AZ15" i="6" s="1"/>
  <c r="BA15" i="6"/>
  <c r="AK15" i="6"/>
  <c r="AM15" i="6" s="1"/>
  <c r="AM21" i="6"/>
  <c r="AK24" i="3"/>
  <c r="AI24" i="3"/>
  <c r="AJ24" i="3" s="1"/>
  <c r="AW21" i="4"/>
  <c r="AV21" i="4"/>
  <c r="AU21" i="4"/>
  <c r="AW10" i="4"/>
  <c r="AV10" i="4"/>
  <c r="AU10" i="4"/>
  <c r="AT7" i="5"/>
  <c r="AS29" i="3"/>
  <c r="AT29" i="3" s="1"/>
  <c r="AU20" i="4"/>
  <c r="AW20" i="4"/>
  <c r="AV20" i="4"/>
  <c r="AM10" i="4"/>
  <c r="AX12" i="2"/>
  <c r="AZ12" i="2" s="1"/>
  <c r="AK12" i="2"/>
  <c r="AM12" i="2" s="1"/>
  <c r="AI12" i="2"/>
  <c r="AJ12" i="2" s="1"/>
  <c r="AM11" i="3"/>
  <c r="AL25" i="1"/>
  <c r="AY25" i="1" s="1"/>
  <c r="AJ25" i="1"/>
  <c r="AX28" i="2"/>
  <c r="AZ28" i="2" s="1"/>
  <c r="AK28" i="2"/>
  <c r="AM28" i="2" s="1"/>
  <c r="AI28" i="2"/>
  <c r="AJ28" i="2" s="1"/>
  <c r="AK13" i="2"/>
  <c r="AM13" i="2" s="1"/>
  <c r="AI13" i="2"/>
  <c r="AJ13" i="2" s="1"/>
  <c r="AX13" i="2"/>
  <c r="AZ13" i="2" s="1"/>
  <c r="AI6" i="2"/>
  <c r="AJ6" i="2" s="1"/>
  <c r="AX6" i="2"/>
  <c r="AZ6" i="2" s="1"/>
  <c r="AK6" i="2"/>
  <c r="AM6" i="2" s="1"/>
  <c r="AI22" i="2"/>
  <c r="AJ22" i="2" s="1"/>
  <c r="AX22" i="2"/>
  <c r="AZ22" i="2" s="1"/>
  <c r="AK22" i="2"/>
  <c r="AM22" i="2" s="1"/>
  <c r="AM23" i="2"/>
  <c r="BA11" i="1"/>
  <c r="AK11" i="1"/>
  <c r="AM11" i="1" s="1"/>
  <c r="AI11" i="1"/>
  <c r="AJ11" i="1" s="1"/>
  <c r="AX11" i="1"/>
  <c r="AZ11" i="1" s="1"/>
  <c r="AT15" i="1"/>
  <c r="AV26" i="3"/>
  <c r="AU26" i="3"/>
  <c r="AW26" i="3"/>
  <c r="AW7" i="2"/>
  <c r="AV7" i="2"/>
  <c r="AU7" i="2"/>
  <c r="AK14" i="2"/>
  <c r="AM14" i="2" s="1"/>
  <c r="AI14" i="2"/>
  <c r="AJ14" i="2" s="1"/>
  <c r="AX14" i="2"/>
  <c r="AZ14" i="2" s="1"/>
  <c r="AM9" i="3"/>
  <c r="AS9" i="6"/>
  <c r="AT9" i="6" s="1"/>
  <c r="AS29" i="5"/>
  <c r="AT29" i="5" s="1"/>
  <c r="BA14" i="6"/>
  <c r="AK14" i="6"/>
  <c r="AM14" i="6" s="1"/>
  <c r="AI14" i="6"/>
  <c r="AJ14" i="6" s="1"/>
  <c r="AX14" i="6"/>
  <c r="AZ14" i="6" s="1"/>
  <c r="AQ28" i="5"/>
  <c r="AS28" i="5"/>
  <c r="AS13" i="6"/>
  <c r="AQ13" i="6"/>
  <c r="AE9" i="6"/>
  <c r="AI14" i="4"/>
  <c r="AJ14" i="4" s="1"/>
  <c r="AX14" i="4"/>
  <c r="AZ14" i="4" s="1"/>
  <c r="BB14" i="4" s="1"/>
  <c r="AK14" i="4"/>
  <c r="AM14" i="4" s="1"/>
  <c r="BA14" i="4"/>
  <c r="AK27" i="3"/>
  <c r="AM27" i="3" s="1"/>
  <c r="AI27" i="3"/>
  <c r="AJ27" i="3" s="1"/>
  <c r="AX27" i="3"/>
  <c r="AZ27" i="3" s="1"/>
  <c r="AL24" i="3"/>
  <c r="AX24" i="3" s="1"/>
  <c r="AZ24" i="3" s="1"/>
  <c r="AV24" i="3"/>
  <c r="BA10" i="4"/>
  <c r="BB10" i="4" s="1"/>
  <c r="AU19" i="1"/>
  <c r="AV19" i="1"/>
  <c r="AS23" i="2"/>
  <c r="AT23" i="2" s="1"/>
  <c r="AS18" i="2"/>
  <c r="AT18" i="2" s="1"/>
  <c r="AT16" i="1"/>
  <c r="AE19" i="1"/>
  <c r="BA9" i="1"/>
  <c r="AK9" i="1"/>
  <c r="AM9" i="1" s="1"/>
  <c r="AI9" i="1"/>
  <c r="AJ9" i="1" s="1"/>
  <c r="AX9" i="1"/>
  <c r="AZ9" i="1" s="1"/>
  <c r="BB9" i="1" s="1"/>
  <c r="AS8" i="1"/>
  <c r="AT8" i="1" s="1"/>
  <c r="AM23" i="5" l="1"/>
  <c r="AT22" i="3"/>
  <c r="BB20" i="4"/>
  <c r="BB8" i="1"/>
  <c r="AM25" i="5"/>
  <c r="AW7" i="3"/>
  <c r="AV7" i="3"/>
  <c r="AU7" i="3"/>
  <c r="AW23" i="4"/>
  <c r="AV23" i="4"/>
  <c r="AU23" i="4"/>
  <c r="AK21" i="5"/>
  <c r="AM21" i="5" s="1"/>
  <c r="AI21" i="5"/>
  <c r="AJ21" i="5" s="1"/>
  <c r="AX21" i="5"/>
  <c r="AZ21" i="5" s="1"/>
  <c r="AU13" i="2"/>
  <c r="AW13" i="2"/>
  <c r="AV13" i="2"/>
  <c r="BB14" i="6"/>
  <c r="AU15" i="1"/>
  <c r="AW15" i="1"/>
  <c r="AV15" i="1"/>
  <c r="AW18" i="4"/>
  <c r="AV18" i="4"/>
  <c r="AU18" i="4"/>
  <c r="AI17" i="3"/>
  <c r="AJ17" i="3" s="1"/>
  <c r="AX17" i="3"/>
  <c r="AZ17" i="3" s="1"/>
  <c r="AK17" i="3"/>
  <c r="AM17" i="3" s="1"/>
  <c r="BB11" i="1"/>
  <c r="BB17" i="6"/>
  <c r="AK13" i="3"/>
  <c r="AM13" i="3" s="1"/>
  <c r="AI13" i="3"/>
  <c r="AJ13" i="3" s="1"/>
  <c r="AX13" i="3"/>
  <c r="AZ13" i="3" s="1"/>
  <c r="AT14" i="4"/>
  <c r="AW7" i="4"/>
  <c r="AV7" i="4"/>
  <c r="AU7" i="4"/>
  <c r="AY15" i="3"/>
  <c r="AW15" i="3"/>
  <c r="AK18" i="3"/>
  <c r="AM18" i="3" s="1"/>
  <c r="AI18" i="3"/>
  <c r="AJ18" i="3" s="1"/>
  <c r="AX18" i="3"/>
  <c r="AZ18" i="3" s="1"/>
  <c r="AX25" i="5"/>
  <c r="AZ25" i="5" s="1"/>
  <c r="AW19" i="3"/>
  <c r="AY19" i="3"/>
  <c r="AX16" i="5"/>
  <c r="AZ16" i="5" s="1"/>
  <c r="AK16" i="5"/>
  <c r="AM16" i="5" s="1"/>
  <c r="AI16" i="5"/>
  <c r="AJ16" i="5" s="1"/>
  <c r="AW17" i="2"/>
  <c r="AV17" i="2"/>
  <c r="AU17" i="2"/>
  <c r="AW22" i="2"/>
  <c r="AV22" i="2"/>
  <c r="AU22" i="2"/>
  <c r="AX23" i="3"/>
  <c r="AZ23" i="3" s="1"/>
  <c r="AK23" i="3"/>
  <c r="AM23" i="3" s="1"/>
  <c r="AI23" i="3"/>
  <c r="AJ23" i="3" s="1"/>
  <c r="AT18" i="1"/>
  <c r="AT23" i="1"/>
  <c r="AX7" i="6"/>
  <c r="AZ7" i="6" s="1"/>
  <c r="BB7" i="6" s="1"/>
  <c r="AW21" i="5"/>
  <c r="AW11" i="3"/>
  <c r="AV11" i="3"/>
  <c r="AU11" i="3"/>
  <c r="AW23" i="5"/>
  <c r="AW28" i="1"/>
  <c r="AI20" i="5"/>
  <c r="AJ20" i="5" s="1"/>
  <c r="AX20" i="5"/>
  <c r="AZ20" i="5" s="1"/>
  <c r="AK20" i="5"/>
  <c r="AM20" i="5" s="1"/>
  <c r="AW17" i="4"/>
  <c r="AV17" i="4"/>
  <c r="AU17" i="4"/>
  <c r="AX12" i="6"/>
  <c r="AZ12" i="6" s="1"/>
  <c r="BA12" i="6"/>
  <c r="AK12" i="6"/>
  <c r="AM12" i="6" s="1"/>
  <c r="AI12" i="6"/>
  <c r="AJ12" i="6" s="1"/>
  <c r="AI10" i="5"/>
  <c r="AJ10" i="5" s="1"/>
  <c r="AX10" i="5"/>
  <c r="AZ10" i="5" s="1"/>
  <c r="AK10" i="5"/>
  <c r="AM10" i="5" s="1"/>
  <c r="AK16" i="1"/>
  <c r="AM16" i="1" s="1"/>
  <c r="AI16" i="1"/>
  <c r="AJ16" i="1" s="1"/>
  <c r="BA16" i="1"/>
  <c r="AX16" i="1"/>
  <c r="AZ16" i="1" s="1"/>
  <c r="AW9" i="5"/>
  <c r="AU9" i="5"/>
  <c r="AV9" i="5"/>
  <c r="AW12" i="3"/>
  <c r="AV12" i="3"/>
  <c r="AU12" i="3"/>
  <c r="AW6" i="2"/>
  <c r="AV6" i="2"/>
  <c r="AU6" i="2"/>
  <c r="AM7" i="6"/>
  <c r="AX15" i="3"/>
  <c r="AZ15" i="3" s="1"/>
  <c r="BA7" i="6"/>
  <c r="AT22" i="4"/>
  <c r="AT25" i="5"/>
  <c r="AT7" i="6"/>
  <c r="AX28" i="1"/>
  <c r="AZ28" i="1" s="1"/>
  <c r="AK28" i="1"/>
  <c r="AM28" i="1" s="1"/>
  <c r="BA28" i="1"/>
  <c r="AI28" i="1"/>
  <c r="AJ28" i="1" s="1"/>
  <c r="BB21" i="1"/>
  <c r="AT29" i="2"/>
  <c r="AW14" i="5"/>
  <c r="AW20" i="5"/>
  <c r="AM15" i="3"/>
  <c r="BB14" i="1"/>
  <c r="AW17" i="3"/>
  <c r="AV17" i="3"/>
  <c r="AU17" i="3"/>
  <c r="AK13" i="5"/>
  <c r="AM13" i="5" s="1"/>
  <c r="AI13" i="5"/>
  <c r="AJ13" i="5" s="1"/>
  <c r="AX13" i="5"/>
  <c r="AZ13" i="5" s="1"/>
  <c r="BA29" i="1"/>
  <c r="AK29" i="1"/>
  <c r="AM29" i="1" s="1"/>
  <c r="AI29" i="1"/>
  <c r="AJ29" i="1" s="1"/>
  <c r="AX29" i="1"/>
  <c r="AZ29" i="1" s="1"/>
  <c r="BB29" i="1" s="1"/>
  <c r="BA23" i="6"/>
  <c r="AK23" i="6"/>
  <c r="AM23" i="6" s="1"/>
  <c r="AI23" i="6"/>
  <c r="AJ23" i="6" s="1"/>
  <c r="AX23" i="6"/>
  <c r="AZ23" i="6" s="1"/>
  <c r="BB23" i="6" s="1"/>
  <c r="AW12" i="6"/>
  <c r="AV12" i="6"/>
  <c r="AU12" i="6"/>
  <c r="AW6" i="3"/>
  <c r="AV6" i="3"/>
  <c r="AU6" i="3"/>
  <c r="AT6" i="4"/>
  <c r="BB11" i="6"/>
  <c r="AT21" i="2"/>
  <c r="BB23" i="1"/>
  <c r="BB20" i="6"/>
  <c r="AI18" i="6"/>
  <c r="AJ18" i="6" s="1"/>
  <c r="AX18" i="6"/>
  <c r="AZ18" i="6" s="1"/>
  <c r="BA18" i="6"/>
  <c r="AK18" i="6"/>
  <c r="AM18" i="6" s="1"/>
  <c r="AV20" i="6"/>
  <c r="AW20" i="6"/>
  <c r="AU20" i="6"/>
  <c r="AX14" i="5"/>
  <c r="AZ14" i="5" s="1"/>
  <c r="AK14" i="5"/>
  <c r="AM14" i="5" s="1"/>
  <c r="AI14" i="5"/>
  <c r="AJ14" i="5" s="1"/>
  <c r="AW17" i="5"/>
  <c r="AV17" i="5"/>
  <c r="AU17" i="5"/>
  <c r="BA8" i="4"/>
  <c r="AK8" i="4"/>
  <c r="AM8" i="4" s="1"/>
  <c r="AI8" i="4"/>
  <c r="AJ8" i="4" s="1"/>
  <c r="AX8" i="4"/>
  <c r="AZ8" i="4" s="1"/>
  <c r="BB8" i="4" s="1"/>
  <c r="AW25" i="1"/>
  <c r="AW10" i="1"/>
  <c r="AV10" i="1"/>
  <c r="AU10" i="1"/>
  <c r="AT26" i="5"/>
  <c r="AT22" i="1"/>
  <c r="BA18" i="4"/>
  <c r="AK19" i="3"/>
  <c r="AM19" i="3" s="1"/>
  <c r="AI19" i="3"/>
  <c r="AJ19" i="3" s="1"/>
  <c r="AX19" i="3"/>
  <c r="AZ19" i="3" s="1"/>
  <c r="AW28" i="2"/>
  <c r="AV28" i="2"/>
  <c r="AU28" i="2"/>
  <c r="AI22" i="6"/>
  <c r="AJ22" i="6" s="1"/>
  <c r="BA22" i="6"/>
  <c r="AX22" i="6"/>
  <c r="AZ22" i="6" s="1"/>
  <c r="AK22" i="6"/>
  <c r="AM22" i="6" s="1"/>
  <c r="AU13" i="3"/>
  <c r="AW13" i="3"/>
  <c r="AV13" i="3"/>
  <c r="AW17" i="1"/>
  <c r="AM18" i="4"/>
  <c r="AM9" i="5"/>
  <c r="AV8" i="3"/>
  <c r="AU8" i="3"/>
  <c r="AW8" i="3"/>
  <c r="AX18" i="4"/>
  <c r="AZ18" i="4" s="1"/>
  <c r="BB18" i="4" s="1"/>
  <c r="AX9" i="5"/>
  <c r="AZ9" i="5" s="1"/>
  <c r="AU8" i="1"/>
  <c r="AV8" i="1"/>
  <c r="AW8" i="1"/>
  <c r="AV18" i="3"/>
  <c r="AU18" i="3"/>
  <c r="AW18" i="3"/>
  <c r="BB16" i="6"/>
  <c r="AI6" i="6"/>
  <c r="AJ6" i="6" s="1"/>
  <c r="BA6" i="6"/>
  <c r="AX6" i="6"/>
  <c r="AZ6" i="6" s="1"/>
  <c r="AK6" i="6"/>
  <c r="AM6" i="6" s="1"/>
  <c r="BB23" i="4"/>
  <c r="AW19" i="5"/>
  <c r="AV19" i="5"/>
  <c r="AU19" i="5"/>
  <c r="BB15" i="6"/>
  <c r="AW23" i="6"/>
  <c r="AU23" i="6"/>
  <c r="AV23" i="6"/>
  <c r="BA22" i="1"/>
  <c r="AX22" i="1"/>
  <c r="AZ22" i="1" s="1"/>
  <c r="BB22" i="1" s="1"/>
  <c r="AK22" i="1"/>
  <c r="AM22" i="1" s="1"/>
  <c r="AI22" i="1"/>
  <c r="AJ22" i="1" s="1"/>
  <c r="BA19" i="6"/>
  <c r="AK19" i="6"/>
  <c r="AM19" i="6" s="1"/>
  <c r="AI19" i="6"/>
  <c r="AJ19" i="6" s="1"/>
  <c r="AX19" i="6"/>
  <c r="AZ19" i="6" s="1"/>
  <c r="AW16" i="2"/>
  <c r="AV16" i="2"/>
  <c r="AU16" i="2"/>
  <c r="AK17" i="1"/>
  <c r="AM17" i="1" s="1"/>
  <c r="AI17" i="1"/>
  <c r="AJ17" i="1" s="1"/>
  <c r="BA17" i="1"/>
  <c r="AX17" i="1"/>
  <c r="AZ17" i="1" s="1"/>
  <c r="BB17" i="1" s="1"/>
  <c r="AW27" i="5"/>
  <c r="AV27" i="5"/>
  <c r="AU27" i="5"/>
  <c r="AV18" i="2"/>
  <c r="AU18" i="2"/>
  <c r="AW18" i="2"/>
  <c r="AU29" i="3"/>
  <c r="AW29" i="3"/>
  <c r="AV29" i="3"/>
  <c r="AV22" i="6"/>
  <c r="AU22" i="6"/>
  <c r="AW22" i="6"/>
  <c r="AW21" i="6"/>
  <c r="AV21" i="6"/>
  <c r="AU21" i="6"/>
  <c r="BA13" i="6"/>
  <c r="AK13" i="6"/>
  <c r="AM13" i="6" s="1"/>
  <c r="AI13" i="6"/>
  <c r="AJ13" i="6" s="1"/>
  <c r="AX13" i="6"/>
  <c r="AZ13" i="6" s="1"/>
  <c r="BB13" i="6" s="1"/>
  <c r="AM25" i="1"/>
  <c r="BB15" i="4"/>
  <c r="BB12" i="1"/>
  <c r="AW14" i="1"/>
  <c r="AV14" i="1"/>
  <c r="AU14" i="1"/>
  <c r="AY24" i="3"/>
  <c r="AW24" i="3"/>
  <c r="AW8" i="6"/>
  <c r="AV8" i="6"/>
  <c r="AU8" i="6"/>
  <c r="AM24" i="3"/>
  <c r="AI19" i="1"/>
  <c r="AJ19" i="1" s="1"/>
  <c r="BA19" i="1"/>
  <c r="AK19" i="1"/>
  <c r="AM19" i="1" s="1"/>
  <c r="AX19" i="1"/>
  <c r="AZ19" i="1" s="1"/>
  <c r="AU16" i="1"/>
  <c r="AW16" i="1"/>
  <c r="AV16" i="1"/>
  <c r="BA9" i="6"/>
  <c r="AK9" i="6"/>
  <c r="AM9" i="6" s="1"/>
  <c r="AX9" i="6"/>
  <c r="AZ9" i="6" s="1"/>
  <c r="AI9" i="6"/>
  <c r="AJ9" i="6" s="1"/>
  <c r="AX25" i="1"/>
  <c r="AZ25" i="1" s="1"/>
  <c r="BB25" i="1" s="1"/>
  <c r="AW23" i="2"/>
  <c r="AV23" i="2"/>
  <c r="AU23" i="2"/>
  <c r="AT13" i="6"/>
  <c r="AW7" i="5"/>
  <c r="AU7" i="5"/>
  <c r="AV7" i="5"/>
  <c r="AT19" i="6"/>
  <c r="AW10" i="5"/>
  <c r="AW29" i="1"/>
  <c r="AW13" i="1"/>
  <c r="AV13" i="1"/>
  <c r="AU13" i="1"/>
  <c r="BA25" i="1"/>
  <c r="AW27" i="3"/>
  <c r="AV27" i="3"/>
  <c r="AU27" i="3"/>
  <c r="AW15" i="5"/>
  <c r="AU15" i="5"/>
  <c r="AV15" i="5"/>
  <c r="AW7" i="1"/>
  <c r="AV7" i="1"/>
  <c r="AU7" i="1"/>
  <c r="AX23" i="5"/>
  <c r="AZ23" i="5" s="1"/>
  <c r="AW16" i="5"/>
  <c r="AW29" i="5"/>
  <c r="AU29" i="5"/>
  <c r="AV29" i="5"/>
  <c r="AW9" i="6"/>
  <c r="AV9" i="6"/>
  <c r="AU9" i="6"/>
  <c r="AW18" i="6"/>
  <c r="AW19" i="1"/>
  <c r="AT28" i="5"/>
  <c r="BB22" i="4"/>
  <c r="AV30" i="5"/>
  <c r="AU30" i="5"/>
  <c r="AW30" i="5"/>
  <c r="AI26" i="5"/>
  <c r="AJ26" i="5" s="1"/>
  <c r="AX26" i="5"/>
  <c r="AZ26" i="5" s="1"/>
  <c r="AK26" i="5"/>
  <c r="AM26" i="5" s="1"/>
  <c r="AW18" i="5"/>
  <c r="AI18" i="5"/>
  <c r="AJ18" i="5" s="1"/>
  <c r="AX18" i="5"/>
  <c r="AZ18" i="5" s="1"/>
  <c r="AK18" i="5"/>
  <c r="AM18" i="5" s="1"/>
  <c r="BB13" i="1"/>
  <c r="BB18" i="1"/>
  <c r="AW21" i="3"/>
  <c r="AU21" i="3"/>
  <c r="AV21" i="3"/>
  <c r="AW22" i="4" l="1"/>
  <c r="AV22" i="4"/>
  <c r="AU22" i="4"/>
  <c r="BB19" i="6"/>
  <c r="BB9" i="6"/>
  <c r="BB6" i="6"/>
  <c r="AV22" i="1"/>
  <c r="AU22" i="1"/>
  <c r="AW22" i="1"/>
  <c r="AU23" i="1"/>
  <c r="AW23" i="1"/>
  <c r="AV23" i="1"/>
  <c r="AV18" i="1"/>
  <c r="AU18" i="1"/>
  <c r="AW18" i="1"/>
  <c r="BB12" i="6"/>
  <c r="AW6" i="4"/>
  <c r="AV6" i="4"/>
  <c r="AU6" i="4"/>
  <c r="AU29" i="2"/>
  <c r="AW29" i="2"/>
  <c r="AV29" i="2"/>
  <c r="BB19" i="1"/>
  <c r="BB18" i="6"/>
  <c r="BB22" i="6"/>
  <c r="AW25" i="5"/>
  <c r="AU25" i="5"/>
  <c r="AV25" i="5"/>
  <c r="AV28" i="5"/>
  <c r="AW28" i="5"/>
  <c r="AU28" i="5"/>
  <c r="AW13" i="6"/>
  <c r="AV13" i="6"/>
  <c r="AU13" i="6"/>
  <c r="AW21" i="2"/>
  <c r="AV21" i="2"/>
  <c r="AU21" i="2"/>
  <c r="BB28" i="1"/>
  <c r="BB16" i="1"/>
  <c r="AW22" i="3"/>
  <c r="AV22" i="3"/>
  <c r="AU22" i="3"/>
  <c r="AW26" i="5"/>
  <c r="AV26" i="5"/>
  <c r="AU26" i="5"/>
  <c r="AU19" i="6"/>
  <c r="AV19" i="6"/>
  <c r="AW19" i="6"/>
  <c r="AW7" i="6"/>
  <c r="AU7" i="6"/>
  <c r="AV7" i="6"/>
  <c r="AW14" i="4"/>
  <c r="AV14" i="4"/>
  <c r="AU14" i="4"/>
</calcChain>
</file>

<file path=xl/sharedStrings.xml><?xml version="1.0" encoding="utf-8"?>
<sst xmlns="http://schemas.openxmlformats.org/spreadsheetml/2006/main" count="1300" uniqueCount="62">
  <si>
    <t>x</t>
  </si>
  <si>
    <t>mm</t>
  </si>
  <si>
    <t>MicroPump Flowrate</t>
  </si>
  <si>
    <t>Uk</t>
  </si>
  <si>
    <t>W/mK</t>
  </si>
  <si>
    <t>Level</t>
  </si>
  <si>
    <t>ml/min</t>
  </si>
  <si>
    <t>kg/s</t>
  </si>
  <si>
    <t>Kcu</t>
  </si>
  <si>
    <t>Ux</t>
  </si>
  <si>
    <t>T1</t>
  </si>
  <si>
    <t>degC</t>
  </si>
  <si>
    <t>Experiment  Data Points</t>
  </si>
  <si>
    <t>Standard Deviation</t>
  </si>
  <si>
    <t>T2</t>
  </si>
  <si>
    <t>T3</t>
  </si>
  <si>
    <t>T4</t>
  </si>
  <si>
    <t>Liquid Temperature</t>
  </si>
  <si>
    <t>Inlet</t>
  </si>
  <si>
    <t>Outlet</t>
  </si>
  <si>
    <t>spacing</t>
  </si>
  <si>
    <t>dt/dx</t>
  </si>
  <si>
    <t>q"</t>
  </si>
  <si>
    <t>Tsurf</t>
  </si>
  <si>
    <t>Pressure</t>
  </si>
  <si>
    <t>Tsat</t>
  </si>
  <si>
    <t xml:space="preserve">subcool </t>
  </si>
  <si>
    <t>ΔTsat</t>
  </si>
  <si>
    <t>htc</t>
  </si>
  <si>
    <t>θJ-CW, ˚C</t>
  </si>
  <si>
    <t>q</t>
  </si>
  <si>
    <t>Thermal Resistance</t>
  </si>
  <si>
    <t>Del T</t>
  </si>
  <si>
    <t>Flow Rate</t>
  </si>
  <si>
    <t>mCpdT</t>
  </si>
  <si>
    <t>precision uncertainity</t>
  </si>
  <si>
    <t>a</t>
  </si>
  <si>
    <t>bias uncertainity</t>
  </si>
  <si>
    <t>total</t>
  </si>
  <si>
    <t>percentage</t>
  </si>
  <si>
    <t>whole(q")</t>
  </si>
  <si>
    <t>whole(Q)</t>
  </si>
  <si>
    <t>R_chip</t>
  </si>
  <si>
    <t xml:space="preserve">R_condenser </t>
  </si>
  <si>
    <t>R_total</t>
  </si>
  <si>
    <t>Cp</t>
  </si>
  <si>
    <t>J/kgK</t>
  </si>
  <si>
    <t>Calibrated</t>
  </si>
  <si>
    <t>X_Value</t>
  </si>
  <si>
    <t>Pool Temperature</t>
  </si>
  <si>
    <t>From Chiller 1</t>
  </si>
  <si>
    <t>To Chiller 1</t>
  </si>
  <si>
    <t>Untitled</t>
  </si>
  <si>
    <t>Untitled 1</t>
  </si>
  <si>
    <t>Untitled 2</t>
  </si>
  <si>
    <t>Untitled 3</t>
  </si>
  <si>
    <t>DininduPlainWater25000ml40%4012kPaG</t>
  </si>
  <si>
    <t>Slope</t>
  </si>
  <si>
    <t xml:space="preserve">y-intercept </t>
  </si>
  <si>
    <t>Uncalibrated</t>
  </si>
  <si>
    <t>Dininduplainwater25000ml40%4012kPaG</t>
  </si>
  <si>
    <t>ml%kPaG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</si>
</sst>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>
      <alignment horizontal="center" vertical="center"/>
    </xf>
    <xf numFmtId="2" fontId="3" fillId="7" borderId="1" xfId="0" applyNumberFormat="1" applyFont="1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>
      <alignment horizontal="center" vertical="center"/>
    </xf>
    <xf numFmtId="2" fontId="3" fillId="9" borderId="1" xfId="0" applyNumberFormat="1" applyFon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>
      <alignment horizontal="center" vertical="center"/>
    </xf>
    <xf numFmtId="2" fontId="3" fillId="10" borderId="1" xfId="0" applyNumberFormat="1" applyFont="1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>
      <alignment horizontal="center" vertical="center"/>
    </xf>
    <xf numFmtId="2" fontId="3" fillId="11" borderId="1" xfId="0" applyNumberFormat="1" applyFont="1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4" fillId="0" borderId="1" xfId="0" applyFont="1" applyBorder="1"/>
    <xf numFmtId="164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0" fillId="5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30C old'!$AD$6:$AD$22</c:f>
              <c:numCache>
                <c:formatCode>General</c:formatCode>
                <c:ptCount val="17"/>
                <c:pt idx="0">
                  <c:v>3.4264445913997337</c:v>
                </c:pt>
                <c:pt idx="1">
                  <c:v>5.4294147392002232</c:v>
                </c:pt>
                <c:pt idx="2">
                  <c:v>7.6847915744004283</c:v>
                </c:pt>
                <c:pt idx="3">
                  <c:v>10.405451058799857</c:v>
                </c:pt>
                <c:pt idx="4">
                  <c:v>13.822173357000072</c:v>
                </c:pt>
                <c:pt idx="5">
                  <c:v>16.986510629199582</c:v>
                </c:pt>
                <c:pt idx="6">
                  <c:v>21.890456167400188</c:v>
                </c:pt>
                <c:pt idx="7">
                  <c:v>26.020710768399329</c:v>
                </c:pt>
                <c:pt idx="8">
                  <c:v>31.343486670000516</c:v>
                </c:pt>
                <c:pt idx="9">
                  <c:v>36.628057101399627</c:v>
                </c:pt>
                <c:pt idx="10">
                  <c:v>42.686509590800121</c:v>
                </c:pt>
                <c:pt idx="11">
                  <c:v>48.542484528800394</c:v>
                </c:pt>
                <c:pt idx="12">
                  <c:v>53.378726774799539</c:v>
                </c:pt>
                <c:pt idx="13">
                  <c:v>59.259529274400172</c:v>
                </c:pt>
                <c:pt idx="14">
                  <c:v>64.241682554400896</c:v>
                </c:pt>
                <c:pt idx="15">
                  <c:v>69.471855267199786</c:v>
                </c:pt>
                <c:pt idx="16">
                  <c:v>74.468390230998097</c:v>
                </c:pt>
              </c:numCache>
            </c:numRef>
          </c:xVal>
          <c:yVal>
            <c:numRef>
              <c:f>'Plain Chip 30C old'!$AU$6:$AU$22</c:f>
              <c:numCache>
                <c:formatCode>General</c:formatCode>
                <c:ptCount val="17"/>
                <c:pt idx="0">
                  <c:v>27.50804720225123</c:v>
                </c:pt>
                <c:pt idx="1">
                  <c:v>17.482761793981744</c:v>
                </c:pt>
                <c:pt idx="2">
                  <c:v>12.724828451466227</c:v>
                </c:pt>
                <c:pt idx="3">
                  <c:v>9.5458288906883872</c:v>
                </c:pt>
                <c:pt idx="4">
                  <c:v>7.7430653763548785</c:v>
                </c:pt>
                <c:pt idx="5">
                  <c:v>6.575912324967871</c:v>
                </c:pt>
                <c:pt idx="6">
                  <c:v>5.4619546975081876</c:v>
                </c:pt>
                <c:pt idx="7">
                  <c:v>4.8731318690601668</c:v>
                </c:pt>
                <c:pt idx="8">
                  <c:v>4.4598217968033271</c:v>
                </c:pt>
                <c:pt idx="9">
                  <c:v>4.1714815041934212</c:v>
                </c:pt>
                <c:pt idx="10">
                  <c:v>3.968093315327609</c:v>
                </c:pt>
                <c:pt idx="11">
                  <c:v>3.8148696971247356</c:v>
                </c:pt>
                <c:pt idx="12">
                  <c:v>3.7226120430366922</c:v>
                </c:pt>
                <c:pt idx="13">
                  <c:v>3.6564421389694144</c:v>
                </c:pt>
                <c:pt idx="14">
                  <c:v>3.5882341884858402</c:v>
                </c:pt>
                <c:pt idx="15">
                  <c:v>3.535570226401231</c:v>
                </c:pt>
                <c:pt idx="16">
                  <c:v>3.5337944228987554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79-41E5-97B8-7F0510DBA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28543"/>
        <c:axId val="1540015583"/>
      </c:scatterChart>
      <c:valAx>
        <c:axId val="154002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015583"/>
        <c:crosses val="autoZero"/>
        <c:crossBetween val="midCat"/>
      </c:valAx>
      <c:valAx>
        <c:axId val="15400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02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80% old'!$AE$6:$AE$14</c:f>
              <c:numCache>
                <c:formatCode>General</c:formatCode>
                <c:ptCount val="9"/>
                <c:pt idx="0">
                  <c:v>55.738128095999997</c:v>
                </c:pt>
                <c:pt idx="1">
                  <c:v>64.974443999999949</c:v>
                </c:pt>
                <c:pt idx="2">
                  <c:v>69.463017608000101</c:v>
                </c:pt>
                <c:pt idx="3">
                  <c:v>71.601819568000082</c:v>
                </c:pt>
                <c:pt idx="4">
                  <c:v>74.571258759999935</c:v>
                </c:pt>
                <c:pt idx="5">
                  <c:v>77.245867904000121</c:v>
                </c:pt>
                <c:pt idx="6">
                  <c:v>80.729251775999785</c:v>
                </c:pt>
                <c:pt idx="7">
                  <c:v>85.629986312</c:v>
                </c:pt>
                <c:pt idx="8">
                  <c:v>91.176292392000207</c:v>
                </c:pt>
              </c:numCache>
            </c:numRef>
          </c:xVal>
          <c:yVal>
            <c:numRef>
              <c:f>'Plain Chip 80% old'!$AD$6:$AD$14</c:f>
              <c:numCache>
                <c:formatCode>General</c:formatCode>
                <c:ptCount val="9"/>
                <c:pt idx="0">
                  <c:v>6.8995400184000921</c:v>
                </c:pt>
                <c:pt idx="1">
                  <c:v>9.3369603540002348</c:v>
                </c:pt>
                <c:pt idx="2">
                  <c:v>16.237758923199216</c:v>
                </c:pt>
                <c:pt idx="3">
                  <c:v>23.587100493199493</c:v>
                </c:pt>
                <c:pt idx="4">
                  <c:v>32.655349929000486</c:v>
                </c:pt>
                <c:pt idx="5">
                  <c:v>41.570636567599308</c:v>
                </c:pt>
                <c:pt idx="6">
                  <c:v>54.629859366401057</c:v>
                </c:pt>
                <c:pt idx="7">
                  <c:v>67.946773295799943</c:v>
                </c:pt>
                <c:pt idx="8">
                  <c:v>82.040281884798745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10-4CED-A27B-43A23316E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31056"/>
        <c:axId val="1927029616"/>
      </c:scatterChart>
      <c:valAx>
        <c:axId val="192703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29616"/>
        <c:crosses val="autoZero"/>
        <c:crossBetween val="midCat"/>
      </c:valAx>
      <c:valAx>
        <c:axId val="19270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3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80% old'!$AE$6:$AE$13</c:f>
              <c:numCache>
                <c:formatCode>General</c:formatCode>
                <c:ptCount val="8"/>
                <c:pt idx="0">
                  <c:v>55.738128095999997</c:v>
                </c:pt>
                <c:pt idx="1">
                  <c:v>64.974443999999949</c:v>
                </c:pt>
                <c:pt idx="2">
                  <c:v>69.463017608000101</c:v>
                </c:pt>
                <c:pt idx="3">
                  <c:v>71.601819568000082</c:v>
                </c:pt>
                <c:pt idx="4">
                  <c:v>74.571258759999935</c:v>
                </c:pt>
                <c:pt idx="5">
                  <c:v>77.245867904000121</c:v>
                </c:pt>
                <c:pt idx="6">
                  <c:v>80.729251775999785</c:v>
                </c:pt>
                <c:pt idx="7">
                  <c:v>85.629986312</c:v>
                </c:pt>
              </c:numCache>
            </c:numRef>
          </c:xVal>
          <c:yVal>
            <c:numRef>
              <c:f>'Plain Chip 80% old'!$AL$6:$AL$13</c:f>
              <c:numCache>
                <c:formatCode>General</c:formatCode>
                <c:ptCount val="8"/>
                <c:pt idx="0">
                  <c:v>76.170921803137034</c:v>
                </c:pt>
                <c:pt idx="1">
                  <c:v>103.0800423081626</c:v>
                </c:pt>
                <c:pt idx="2">
                  <c:v>179.26485851211936</c:v>
                </c:pt>
                <c:pt idx="3">
                  <c:v>260.40158944492242</c:v>
                </c:pt>
                <c:pt idx="4">
                  <c:v>360.5150632161654</c:v>
                </c:pt>
                <c:pt idx="5">
                  <c:v>458.9398277062964</c:v>
                </c:pt>
                <c:pt idx="6">
                  <c:v>603.1136474050677</c:v>
                </c:pt>
                <c:pt idx="7">
                  <c:v>750.13237718563141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C9-442B-886D-CA5D18839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64032"/>
        <c:axId val="1932863072"/>
      </c:scatterChart>
      <c:valAx>
        <c:axId val="19328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63072"/>
        <c:crosses val="autoZero"/>
        <c:crossBetween val="midCat"/>
      </c:valAx>
      <c:valAx>
        <c:axId val="19328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6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80% old'!$AD$6:$AD$25</c:f>
              <c:numCache>
                <c:formatCode>General</c:formatCode>
                <c:ptCount val="20"/>
                <c:pt idx="0">
                  <c:v>6.8995400184000921</c:v>
                </c:pt>
                <c:pt idx="1">
                  <c:v>9.3369603540002348</c:v>
                </c:pt>
                <c:pt idx="2">
                  <c:v>16.237758923199216</c:v>
                </c:pt>
                <c:pt idx="3">
                  <c:v>23.587100493199493</c:v>
                </c:pt>
                <c:pt idx="4">
                  <c:v>32.655349929000486</c:v>
                </c:pt>
                <c:pt idx="5">
                  <c:v>41.570636567599308</c:v>
                </c:pt>
                <c:pt idx="6">
                  <c:v>54.629859366401057</c:v>
                </c:pt>
                <c:pt idx="7">
                  <c:v>67.946773295799943</c:v>
                </c:pt>
                <c:pt idx="8">
                  <c:v>82.040281884798745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'Plain Chip 80% old'!$AT$6:$AT$25</c:f>
              <c:numCache>
                <c:formatCode>General</c:formatCode>
                <c:ptCount val="20"/>
                <c:pt idx="0">
                  <c:v>0.14597700859054052</c:v>
                </c:pt>
                <c:pt idx="1">
                  <c:v>0.2103750528016545</c:v>
                </c:pt>
                <c:pt idx="2">
                  <c:v>0.30511183397711011</c:v>
                </c:pt>
                <c:pt idx="3">
                  <c:v>0.11202283905098481</c:v>
                </c:pt>
                <c:pt idx="4">
                  <c:v>5.4175681488945922E-2</c:v>
                </c:pt>
                <c:pt idx="5">
                  <c:v>4.7857981612710251E-2</c:v>
                </c:pt>
                <c:pt idx="6">
                  <c:v>4.352802725018403E-2</c:v>
                </c:pt>
                <c:pt idx="7">
                  <c:v>4.3867123490889171E-2</c:v>
                </c:pt>
                <c:pt idx="8">
                  <c:v>4.2684589654845416E-2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56-4625-9B93-2787EF21C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14831"/>
        <c:axId val="89211951"/>
      </c:scatterChart>
      <c:valAx>
        <c:axId val="892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1951"/>
        <c:crosses val="autoZero"/>
        <c:crossBetween val="midCat"/>
      </c:valAx>
      <c:valAx>
        <c:axId val="892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60% old'!$AE$6:$AE$14</c:f>
              <c:numCache>
                <c:formatCode>General</c:formatCode>
                <c:ptCount val="9"/>
                <c:pt idx="0">
                  <c:v>52.763929592000004</c:v>
                </c:pt>
                <c:pt idx="1">
                  <c:v>61.285238335999935</c:v>
                </c:pt>
                <c:pt idx="2">
                  <c:v>64.689128304000022</c:v>
                </c:pt>
                <c:pt idx="3">
                  <c:v>66.636920112000013</c:v>
                </c:pt>
                <c:pt idx="4">
                  <c:v>69.081105215999983</c:v>
                </c:pt>
                <c:pt idx="5">
                  <c:v>71.119553680000195</c:v>
                </c:pt>
                <c:pt idx="6">
                  <c:v>73.524079511999972</c:v>
                </c:pt>
                <c:pt idx="7">
                  <c:v>77.431806592000058</c:v>
                </c:pt>
                <c:pt idx="8">
                  <c:v>82.513393348000221</c:v>
                </c:pt>
              </c:numCache>
            </c:numRef>
          </c:xVal>
          <c:yVal>
            <c:numRef>
              <c:f>'Plain Chip 60% old'!$AD$6:$AD$14</c:f>
              <c:numCache>
                <c:formatCode>General</c:formatCode>
                <c:ptCount val="9"/>
                <c:pt idx="0">
                  <c:v>5.9408832468001043</c:v>
                </c:pt>
                <c:pt idx="1">
                  <c:v>8.4569641804002789</c:v>
                </c:pt>
                <c:pt idx="2">
                  <c:v>12.330619244599957</c:v>
                </c:pt>
                <c:pt idx="3">
                  <c:v>18.597453150799915</c:v>
                </c:pt>
                <c:pt idx="4">
                  <c:v>24.904665392400144</c:v>
                </c:pt>
                <c:pt idx="5">
                  <c:v>32.146474376998889</c:v>
                </c:pt>
                <c:pt idx="6">
                  <c:v>39.499546790800359</c:v>
                </c:pt>
                <c:pt idx="7">
                  <c:v>50.043513196799537</c:v>
                </c:pt>
                <c:pt idx="8">
                  <c:v>61.170018929198513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D9-4E60-86F3-A0AE501E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31056"/>
        <c:axId val="1927029616"/>
      </c:scatterChart>
      <c:valAx>
        <c:axId val="192703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29616"/>
        <c:crosses val="autoZero"/>
        <c:crossBetween val="midCat"/>
      </c:valAx>
      <c:valAx>
        <c:axId val="19270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3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60% old'!$AE$6:$AE$13</c:f>
              <c:numCache>
                <c:formatCode>General</c:formatCode>
                <c:ptCount val="8"/>
                <c:pt idx="0">
                  <c:v>52.763929592000004</c:v>
                </c:pt>
                <c:pt idx="1">
                  <c:v>61.285238335999935</c:v>
                </c:pt>
                <c:pt idx="2">
                  <c:v>64.689128304000022</c:v>
                </c:pt>
                <c:pt idx="3">
                  <c:v>66.636920112000013</c:v>
                </c:pt>
                <c:pt idx="4">
                  <c:v>69.081105215999983</c:v>
                </c:pt>
                <c:pt idx="5">
                  <c:v>71.119553680000195</c:v>
                </c:pt>
                <c:pt idx="6">
                  <c:v>73.524079511999972</c:v>
                </c:pt>
                <c:pt idx="7">
                  <c:v>77.431806592000058</c:v>
                </c:pt>
              </c:numCache>
            </c:numRef>
          </c:xVal>
          <c:yVal>
            <c:numRef>
              <c:f>'Plain Chip 60% old'!$AL$6:$AL$13</c:f>
              <c:numCache>
                <c:formatCode>General</c:formatCode>
                <c:ptCount val="8"/>
                <c:pt idx="0">
                  <c:v>65.587351044673156</c:v>
                </c:pt>
                <c:pt idx="1">
                  <c:v>93.364884551619085</c:v>
                </c:pt>
                <c:pt idx="2">
                  <c:v>136.13003646038354</c:v>
                </c:pt>
                <c:pt idx="3">
                  <c:v>205.31588278483105</c:v>
                </c:pt>
                <c:pt idx="4">
                  <c:v>274.94750593209761</c:v>
                </c:pt>
                <c:pt idx="5">
                  <c:v>354.89707712206774</c:v>
                </c:pt>
                <c:pt idx="6">
                  <c:v>436.07499657043604</c:v>
                </c:pt>
                <c:pt idx="7">
                  <c:v>552.48038569266691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33-45B4-836E-2B68E1BCA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64032"/>
        <c:axId val="1932863072"/>
      </c:scatterChart>
      <c:valAx>
        <c:axId val="19328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63072"/>
        <c:crosses val="autoZero"/>
        <c:crossBetween val="midCat"/>
      </c:valAx>
      <c:valAx>
        <c:axId val="19328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6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'Plain Chip 60% old'!$AD$6:$AD$25</c:f>
              <c:numCache>
                <c:formatCode>General</c:formatCode>
                <c:ptCount val="20"/>
                <c:pt idx="0">
                  <c:v>5.9408832468001043</c:v>
                </c:pt>
                <c:pt idx="1">
                  <c:v>8.4569641804002789</c:v>
                </c:pt>
                <c:pt idx="2">
                  <c:v>12.330619244599957</c:v>
                </c:pt>
                <c:pt idx="3">
                  <c:v>18.597453150799915</c:v>
                </c:pt>
                <c:pt idx="4">
                  <c:v>24.904665392400144</c:v>
                </c:pt>
                <c:pt idx="5">
                  <c:v>32.146474376998889</c:v>
                </c:pt>
                <c:pt idx="6">
                  <c:v>39.499546790800359</c:v>
                </c:pt>
                <c:pt idx="7">
                  <c:v>50.043513196799537</c:v>
                </c:pt>
                <c:pt idx="8">
                  <c:v>61.170018929198513</c:v>
                </c:pt>
                <c:pt idx="9">
                  <c:v>74.278929382400491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'Plain Chip 60% old'!$AT$6:$AT$25</c:f>
              <c:numCache>
                <c:formatCode>General</c:formatCode>
                <c:ptCount val="20"/>
                <c:pt idx="0">
                  <c:v>0.20448765518803569</c:v>
                </c:pt>
                <c:pt idx="1">
                  <c:v>0.11815181710531335</c:v>
                </c:pt>
                <c:pt idx="2">
                  <c:v>0.14358375838012111</c:v>
                </c:pt>
                <c:pt idx="3">
                  <c:v>8.2668734377579309E-2</c:v>
                </c:pt>
                <c:pt idx="4">
                  <c:v>5.6116248101771869E-2</c:v>
                </c:pt>
                <c:pt idx="5">
                  <c:v>6.2009592081111453E-2</c:v>
                </c:pt>
                <c:pt idx="6">
                  <c:v>4.5659282715837884E-2</c:v>
                </c:pt>
                <c:pt idx="7">
                  <c:v>4.313010083002336E-2</c:v>
                </c:pt>
                <c:pt idx="8">
                  <c:v>4.3756505448931747E-2</c:v>
                </c:pt>
                <c:pt idx="9">
                  <c:v>5.7260755547469948E-2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6-4079-977A-D8E58E121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14831"/>
        <c:axId val="89211951"/>
      </c:scatterChart>
      <c:valAx>
        <c:axId val="892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1951"/>
        <c:crosses val="autoZero"/>
        <c:crossBetween val="midCat"/>
      </c:valAx>
      <c:valAx>
        <c:axId val="892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479610</xdr:colOff>
      <xdr:row>33</xdr:row>
      <xdr:rowOff>26894</xdr:rowOff>
    </xdr:from>
    <xdr:to>
      <xdr:col>41</xdr:col>
      <xdr:colOff>94128</xdr:colOff>
      <xdr:row>48</xdr:row>
      <xdr:rowOff>80682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0E19C-962D-4EDE-8B7F-3691B0F62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551330</xdr:colOff>
      <xdr:row>30</xdr:row>
      <xdr:rowOff>8965</xdr:rowOff>
    </xdr:from>
    <xdr:to>
      <xdr:col>37</xdr:col>
      <xdr:colOff>363071</xdr:colOff>
      <xdr:row>45</xdr:row>
      <xdr:rowOff>62754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A97C2-300F-4BF4-9CF5-7BB232854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452717</xdr:colOff>
      <xdr:row>29</xdr:row>
      <xdr:rowOff>35859</xdr:rowOff>
    </xdr:from>
    <xdr:to>
      <xdr:col>42</xdr:col>
      <xdr:colOff>1313329</xdr:colOff>
      <xdr:row>44</xdr:row>
      <xdr:rowOff>89648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2C4FBC-15A3-48DC-AD28-6EF839EC9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1196787</xdr:colOff>
      <xdr:row>30</xdr:row>
      <xdr:rowOff>0</xdr:rowOff>
    </xdr:from>
    <xdr:to>
      <xdr:col>30</xdr:col>
      <xdr:colOff>76199</xdr:colOff>
      <xdr:row>45</xdr:row>
      <xdr:rowOff>53789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B8C18-CF7C-48F3-B835-6FB76F36E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551330</xdr:colOff>
      <xdr:row>30</xdr:row>
      <xdr:rowOff>8965</xdr:rowOff>
    </xdr:from>
    <xdr:to>
      <xdr:col>37</xdr:col>
      <xdr:colOff>363071</xdr:colOff>
      <xdr:row>45</xdr:row>
      <xdr:rowOff>62754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5B7BD-0D12-4592-ABB9-42433DFAC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452717</xdr:colOff>
      <xdr:row>29</xdr:row>
      <xdr:rowOff>35859</xdr:rowOff>
    </xdr:from>
    <xdr:to>
      <xdr:col>42</xdr:col>
      <xdr:colOff>1313329</xdr:colOff>
      <xdr:row>44</xdr:row>
      <xdr:rowOff>89648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2219FB-4CD4-400A-8EC9-5AB5E6AEF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1196787</xdr:colOff>
      <xdr:row>30</xdr:row>
      <xdr:rowOff>0</xdr:rowOff>
    </xdr:from>
    <xdr:to>
      <xdr:col>30</xdr:col>
      <xdr:colOff>76199</xdr:colOff>
      <xdr:row>45</xdr:row>
      <xdr:rowOff>53789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37A6DE-0408-4ACC-B5C2-D9356CE06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d1bccc8a5dd0a0f/Desktop/ALL/NOOR/PHD%20Work/Lab%20work/Excel%20Data%20Processing/Plain%20Chip/plain%20chip.xlsx" TargetMode="External"/><Relationship Id="rId1" Type="http://schemas.openxmlformats.org/officeDocument/2006/relationships/externalLinkPath" Target="https://d.docs.live.net/5d1bccc8a5dd0a0f/Desktop/ALL/NOOR/PHD%20Work/Lab%20work/Excel%20Data%20Processing/Plain%20Chip/plain%20ch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in chip 20C new test degass"/>
      <sheetName val="Plain chip 20C"/>
      <sheetName val="Plain chip 20C T2"/>
      <sheetName val="Plain chip 30C"/>
      <sheetName val="Plain chip 40C"/>
      <sheetName val="Plain chip 50C"/>
      <sheetName val="Plain chip 60%"/>
      <sheetName val="Plain Chip Analysis"/>
      <sheetName val="Plain chip 80%"/>
      <sheetName val="Fill ratio analysis"/>
      <sheetName val="taper 4 sided test 1 15 deg"/>
      <sheetName val="Plain Chip 20C old"/>
      <sheetName val="Sheet2"/>
      <sheetName val="Plain Chip 30C old"/>
      <sheetName val="Plain Chip 40C old"/>
      <sheetName val="Plain Chip 80% old"/>
      <sheetName val="Plain Chip 50C Old"/>
      <sheetName val="Plain Chip 60% old"/>
      <sheetName val="Plain Chip Analysis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D6">
            <v>3.4264445913997337</v>
          </cell>
          <cell r="AU6">
            <v>27.50804720225123</v>
          </cell>
        </row>
        <row r="7">
          <cell r="AD7">
            <v>5.4294147392002232</v>
          </cell>
          <cell r="AU7">
            <v>17.482761793981744</v>
          </cell>
        </row>
        <row r="8">
          <cell r="AD8">
            <v>7.6847915744004283</v>
          </cell>
          <cell r="AU8">
            <v>12.724828451466227</v>
          </cell>
        </row>
        <row r="9">
          <cell r="AD9">
            <v>10.405451058799857</v>
          </cell>
          <cell r="AU9">
            <v>9.5458288906883872</v>
          </cell>
        </row>
        <row r="10">
          <cell r="AD10">
            <v>13.822173357000072</v>
          </cell>
          <cell r="AU10">
            <v>7.7430653763548785</v>
          </cell>
        </row>
        <row r="11">
          <cell r="AD11">
            <v>16.986510629199582</v>
          </cell>
          <cell r="AU11">
            <v>6.575912324967871</v>
          </cell>
        </row>
        <row r="12">
          <cell r="AD12">
            <v>21.890456167400188</v>
          </cell>
          <cell r="AU12">
            <v>5.4619546975081876</v>
          </cell>
        </row>
        <row r="13">
          <cell r="AD13">
            <v>26.020710768399329</v>
          </cell>
          <cell r="AU13">
            <v>4.8731318690601668</v>
          </cell>
        </row>
        <row r="14">
          <cell r="AD14">
            <v>31.343486670000516</v>
          </cell>
          <cell r="AU14">
            <v>4.4598217968033271</v>
          </cell>
        </row>
        <row r="15">
          <cell r="AD15">
            <v>36.628057101399627</v>
          </cell>
          <cell r="AU15">
            <v>4.1714815041934212</v>
          </cell>
        </row>
        <row r="16">
          <cell r="AD16">
            <v>42.686509590800121</v>
          </cell>
          <cell r="AU16">
            <v>3.968093315327609</v>
          </cell>
        </row>
        <row r="17">
          <cell r="AD17">
            <v>48.542484528800394</v>
          </cell>
          <cell r="AU17">
            <v>3.8148696971247356</v>
          </cell>
        </row>
        <row r="18">
          <cell r="AD18">
            <v>53.378726774799539</v>
          </cell>
          <cell r="AU18">
            <v>3.7226120430366922</v>
          </cell>
        </row>
        <row r="19">
          <cell r="AD19">
            <v>59.259529274400172</v>
          </cell>
          <cell r="AU19">
            <v>3.6564421389694144</v>
          </cell>
        </row>
        <row r="20">
          <cell r="AD20">
            <v>64.241682554400896</v>
          </cell>
          <cell r="AU20">
            <v>3.5882341884858402</v>
          </cell>
        </row>
        <row r="21">
          <cell r="AD21">
            <v>69.471855267199786</v>
          </cell>
          <cell r="AU21">
            <v>3.535570226401231</v>
          </cell>
        </row>
        <row r="22">
          <cell r="AD22">
            <v>74.468390230998097</v>
          </cell>
          <cell r="AU22">
            <v>3.5337944228987554</v>
          </cell>
        </row>
      </sheetData>
      <sheetData sheetId="14"/>
      <sheetData sheetId="15">
        <row r="6">
          <cell r="AD6">
            <v>6.8995400184000921</v>
          </cell>
          <cell r="AE6">
            <v>55.738128095999997</v>
          </cell>
          <cell r="AL6">
            <v>76.170921803137034</v>
          </cell>
          <cell r="AT6">
            <v>0.14597700859054052</v>
          </cell>
        </row>
        <row r="7">
          <cell r="AD7">
            <v>9.3369603540002348</v>
          </cell>
          <cell r="AE7">
            <v>64.974443999999949</v>
          </cell>
          <cell r="AL7">
            <v>103.0800423081626</v>
          </cell>
          <cell r="AT7">
            <v>0.2103750528016545</v>
          </cell>
        </row>
        <row r="8">
          <cell r="AD8">
            <v>16.237758923199216</v>
          </cell>
          <cell r="AE8">
            <v>69.463017608000101</v>
          </cell>
          <cell r="AL8">
            <v>179.26485851211936</v>
          </cell>
          <cell r="AT8">
            <v>0.30511183397711011</v>
          </cell>
        </row>
        <row r="9">
          <cell r="AD9">
            <v>23.587100493199493</v>
          </cell>
          <cell r="AE9">
            <v>71.601819568000082</v>
          </cell>
          <cell r="AL9">
            <v>260.40158944492242</v>
          </cell>
          <cell r="AT9">
            <v>0.11202283905098481</v>
          </cell>
        </row>
        <row r="10">
          <cell r="AD10">
            <v>32.655349929000486</v>
          </cell>
          <cell r="AE10">
            <v>74.571258759999935</v>
          </cell>
          <cell r="AL10">
            <v>360.5150632161654</v>
          </cell>
          <cell r="AT10">
            <v>5.4175681488945922E-2</v>
          </cell>
        </row>
        <row r="11">
          <cell r="AD11">
            <v>41.570636567599308</v>
          </cell>
          <cell r="AE11">
            <v>77.245867904000121</v>
          </cell>
          <cell r="AL11">
            <v>458.9398277062964</v>
          </cell>
          <cell r="AT11">
            <v>4.7857981612710251E-2</v>
          </cell>
        </row>
        <row r="12">
          <cell r="AD12">
            <v>54.629859366401057</v>
          </cell>
          <cell r="AE12">
            <v>80.729251775999785</v>
          </cell>
          <cell r="AL12">
            <v>603.1136474050677</v>
          </cell>
          <cell r="AT12">
            <v>4.352802725018403E-2</v>
          </cell>
        </row>
        <row r="13">
          <cell r="AD13">
            <v>67.946773295799943</v>
          </cell>
          <cell r="AE13">
            <v>85.629986312</v>
          </cell>
          <cell r="AL13">
            <v>750.13237718563141</v>
          </cell>
          <cell r="AT13">
            <v>4.3867123490889171E-2</v>
          </cell>
        </row>
        <row r="14">
          <cell r="AD14">
            <v>82.040281884798745</v>
          </cell>
          <cell r="AE14">
            <v>91.176292392000207</v>
          </cell>
          <cell r="AT14">
            <v>4.2684589654845416E-2</v>
          </cell>
        </row>
        <row r="15">
          <cell r="AD15" t="e">
            <v>#DIV/0!</v>
          </cell>
          <cell r="AT15" t="e">
            <v>#DIV/0!</v>
          </cell>
        </row>
        <row r="16">
          <cell r="AD16" t="e">
            <v>#DIV/0!</v>
          </cell>
          <cell r="AT16" t="e">
            <v>#DIV/0!</v>
          </cell>
        </row>
        <row r="17">
          <cell r="AD17" t="e">
            <v>#DIV/0!</v>
          </cell>
          <cell r="AT17" t="e">
            <v>#DIV/0!</v>
          </cell>
        </row>
        <row r="18">
          <cell r="AD18" t="e">
            <v>#DIV/0!</v>
          </cell>
          <cell r="AT18" t="e">
            <v>#DIV/0!</v>
          </cell>
        </row>
        <row r="19">
          <cell r="AD19" t="e">
            <v>#DIV/0!</v>
          </cell>
          <cell r="AT19" t="e">
            <v>#DIV/0!</v>
          </cell>
        </row>
        <row r="20">
          <cell r="AD20" t="e">
            <v>#DIV/0!</v>
          </cell>
          <cell r="AT20" t="e">
            <v>#DIV/0!</v>
          </cell>
        </row>
        <row r="21">
          <cell r="AD21" t="e">
            <v>#DIV/0!</v>
          </cell>
          <cell r="AT21" t="e">
            <v>#DIV/0!</v>
          </cell>
        </row>
        <row r="22">
          <cell r="AD22" t="e">
            <v>#DIV/0!</v>
          </cell>
          <cell r="AT22" t="e">
            <v>#DIV/0!</v>
          </cell>
        </row>
        <row r="23">
          <cell r="AD23" t="e">
            <v>#DIV/0!</v>
          </cell>
          <cell r="AT23" t="e">
            <v>#DIV/0!</v>
          </cell>
        </row>
      </sheetData>
      <sheetData sheetId="16"/>
      <sheetData sheetId="17">
        <row r="6">
          <cell r="AD6">
            <v>5.9408832468001043</v>
          </cell>
          <cell r="AE6">
            <v>52.763929592000004</v>
          </cell>
          <cell r="AL6">
            <v>65.587351044673156</v>
          </cell>
          <cell r="AT6">
            <v>0.20448765518803569</v>
          </cell>
        </row>
        <row r="7">
          <cell r="AD7">
            <v>8.4569641804002789</v>
          </cell>
          <cell r="AE7">
            <v>61.285238335999935</v>
          </cell>
          <cell r="AL7">
            <v>93.364884551619085</v>
          </cell>
          <cell r="AT7">
            <v>0.11815181710531335</v>
          </cell>
        </row>
        <row r="8">
          <cell r="AD8">
            <v>12.330619244599957</v>
          </cell>
          <cell r="AE8">
            <v>64.689128304000022</v>
          </cell>
          <cell r="AL8">
            <v>136.13003646038354</v>
          </cell>
          <cell r="AT8">
            <v>0.14358375838012111</v>
          </cell>
        </row>
        <row r="9">
          <cell r="AD9">
            <v>18.597453150799915</v>
          </cell>
          <cell r="AE9">
            <v>66.636920112000013</v>
          </cell>
          <cell r="AL9">
            <v>205.31588278483105</v>
          </cell>
          <cell r="AT9">
            <v>8.2668734377579309E-2</v>
          </cell>
        </row>
        <row r="10">
          <cell r="AD10">
            <v>24.904665392400144</v>
          </cell>
          <cell r="AE10">
            <v>69.081105215999983</v>
          </cell>
          <cell r="AL10">
            <v>274.94750593209761</v>
          </cell>
          <cell r="AT10">
            <v>5.6116248101771869E-2</v>
          </cell>
        </row>
        <row r="11">
          <cell r="AD11">
            <v>32.146474376998889</v>
          </cell>
          <cell r="AE11">
            <v>71.119553680000195</v>
          </cell>
          <cell r="AL11">
            <v>354.89707712206774</v>
          </cell>
          <cell r="AT11">
            <v>6.2009592081111453E-2</v>
          </cell>
        </row>
        <row r="12">
          <cell r="AD12">
            <v>39.499546790800359</v>
          </cell>
          <cell r="AE12">
            <v>73.524079511999972</v>
          </cell>
          <cell r="AL12">
            <v>436.07499657043604</v>
          </cell>
          <cell r="AT12">
            <v>4.5659282715837884E-2</v>
          </cell>
        </row>
        <row r="13">
          <cell r="AD13">
            <v>50.043513196799537</v>
          </cell>
          <cell r="AE13">
            <v>77.431806592000058</v>
          </cell>
          <cell r="AL13">
            <v>552.48038569266691</v>
          </cell>
          <cell r="AT13">
            <v>4.313010083002336E-2</v>
          </cell>
        </row>
        <row r="14">
          <cell r="AD14">
            <v>61.170018929198513</v>
          </cell>
          <cell r="AE14">
            <v>82.513393348000221</v>
          </cell>
          <cell r="AT14">
            <v>4.3756505448931747E-2</v>
          </cell>
        </row>
        <row r="15">
          <cell r="AD15">
            <v>74.278929382400491</v>
          </cell>
          <cell r="AT15">
            <v>5.7260755547469948E-2</v>
          </cell>
        </row>
        <row r="16">
          <cell r="AD16" t="e">
            <v>#DIV/0!</v>
          </cell>
          <cell r="AT16" t="e">
            <v>#DIV/0!</v>
          </cell>
        </row>
        <row r="17">
          <cell r="AD17" t="e">
            <v>#DIV/0!</v>
          </cell>
          <cell r="AT17" t="e">
            <v>#DIV/0!</v>
          </cell>
        </row>
        <row r="18">
          <cell r="AD18" t="e">
            <v>#DIV/0!</v>
          </cell>
          <cell r="AT18" t="e">
            <v>#DIV/0!</v>
          </cell>
        </row>
        <row r="19">
          <cell r="AD19" t="e">
            <v>#DIV/0!</v>
          </cell>
          <cell r="AT19" t="e">
            <v>#DIV/0!</v>
          </cell>
        </row>
        <row r="20">
          <cell r="AD20" t="e">
            <v>#DIV/0!</v>
          </cell>
          <cell r="AT20" t="e">
            <v>#DIV/0!</v>
          </cell>
        </row>
        <row r="21">
          <cell r="AD21" t="e">
            <v>#DIV/0!</v>
          </cell>
          <cell r="AT21" t="e">
            <v>#DIV/0!</v>
          </cell>
        </row>
        <row r="22">
          <cell r="AD22" t="e">
            <v>#DIV/0!</v>
          </cell>
          <cell r="AT22" t="e">
            <v>#DIV/0!</v>
          </cell>
        </row>
        <row r="23">
          <cell r="AD23" t="e">
            <v>#DIV/0!</v>
          </cell>
          <cell r="AT23" t="e">
            <v>#DIV/0!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E572-5ED2-4B05-94CA-E0CEDBCB4D51}">
  <dimension ref="A1:BB1292"/>
  <sheetViews>
    <sheetView tabSelected="1" topLeftCell="AK4" zoomScale="85" zoomScaleNormal="85" workbookViewId="0">
      <selection activeCell="AN40" sqref="AN40"/>
    </sheetView>
  </sheetViews>
  <sheetFormatPr defaultColWidth="8.88671875" defaultRowHeight="14.4" x14ac:dyDescent="0.3"/>
  <cols>
    <col min="1" max="1" width="14.33203125" style="1" bestFit="1" customWidth="1"/>
    <col min="2" max="5" width="8.88671875" style="1"/>
    <col min="6" max="6" width="16" style="1" customWidth="1"/>
    <col min="7" max="7" width="12.33203125" style="1" bestFit="1" customWidth="1"/>
    <col min="8" max="8" width="15.33203125" style="1" customWidth="1"/>
    <col min="9" max="14" width="8.88671875" style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3320312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/>
    <col min="32" max="32" width="15.6640625" style="1" customWidth="1"/>
    <col min="33" max="36" width="8.88671875" style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/>
    <col min="41" max="41" width="10.6640625" style="1" customWidth="1"/>
    <col min="42" max="42" width="8.88671875" style="1"/>
    <col min="43" max="43" width="19.5546875" style="1" bestFit="1" customWidth="1"/>
    <col min="44" max="44" width="8.88671875" style="1"/>
    <col min="45" max="45" width="14.44140625" style="1" customWidth="1"/>
    <col min="46" max="46" width="8.88671875" style="1"/>
    <col min="47" max="47" width="12.44140625" style="1" customWidth="1"/>
    <col min="48" max="49" width="12.44140625" style="1" bestFit="1" customWidth="1"/>
    <col min="50" max="16384" width="8.88671875" style="1"/>
  </cols>
  <sheetData>
    <row r="1" spans="1:54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54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54" x14ac:dyDescent="0.3">
      <c r="D3" s="2" t="s">
        <v>8</v>
      </c>
      <c r="E3" s="3">
        <v>391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54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54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2.5</v>
      </c>
      <c r="L5" s="3">
        <f>0.0388</f>
        <v>3.8800000000000001E-2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</row>
    <row r="6" spans="1:54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6">
        <v>1</v>
      </c>
      <c r="P6" s="7">
        <f>AVERAGE(B25:B74)</f>
        <v>49.954815200000013</v>
      </c>
      <c r="Q6" s="8">
        <f>STDEV(B25:B74)</f>
        <v>1.6637897426523079E-2</v>
      </c>
      <c r="R6" s="9">
        <f>AVERAGE(C25:C74)</f>
        <v>50.514499400000012</v>
      </c>
      <c r="S6" s="10">
        <f>STDEV(C25:C74)</f>
        <v>1.1695661389888777E-2</v>
      </c>
      <c r="T6" s="11">
        <f>AVERAGE(D25:D74)</f>
        <v>51.001283200000017</v>
      </c>
      <c r="U6" s="12">
        <f>STDEV(D25:D74)</f>
        <v>9.270452398532603E-3</v>
      </c>
      <c r="V6" s="13">
        <f>AVERAGE(E25:E74)</f>
        <v>44.846679920000014</v>
      </c>
      <c r="W6" s="14">
        <f>STDEV(E25:E74)</f>
        <v>4.626699950303443E-2</v>
      </c>
      <c r="X6" s="15">
        <f>AVERAGE(F25:F74)</f>
        <v>27.623316759999998</v>
      </c>
      <c r="Y6" s="16">
        <f>STDEV(F25:F74)</f>
        <v>0.32553698334507369</v>
      </c>
      <c r="Z6" s="17">
        <f>AVERAGE(G25:G74)</f>
        <v>20.002098400000001</v>
      </c>
      <c r="AA6" s="18">
        <f>AVERAGE(H25:H74)</f>
        <v>20.485933919999997</v>
      </c>
      <c r="AB6" s="6">
        <f>(T6-R6)/(R6-P6)</f>
        <v>0.86974726104472</v>
      </c>
      <c r="AC6" s="6">
        <f>(3*P6- 4*R6 +T6)/(2*0.005)</f>
        <v>-119.22687999999937</v>
      </c>
      <c r="AD6" s="6">
        <f>-(E$3)*AC6*(1/10000)</f>
        <v>4.6617710079999748</v>
      </c>
      <c r="AE6" s="6">
        <f>(V6)-((0.006*AD6)/(0.0001*391))</f>
        <v>44.131318640000018</v>
      </c>
      <c r="AF6" s="19">
        <v>88</v>
      </c>
      <c r="AG6" s="19">
        <v>49</v>
      </c>
      <c r="AH6" s="6">
        <f>AG6-X6</f>
        <v>21.376683240000002</v>
      </c>
      <c r="AI6" s="6">
        <f>AE6-AG6</f>
        <v>-4.8686813599999823</v>
      </c>
      <c r="AJ6" s="6">
        <f>ABS(AD6*10/AI6)</f>
        <v>9.5750176758332604</v>
      </c>
      <c r="AK6" s="6">
        <f t="shared" ref="AK6:AK18" si="0">(AE6-20)</f>
        <v>24.131318640000018</v>
      </c>
      <c r="AL6" s="6">
        <f>AD6*3.45*3.2</f>
        <v>51.465951928319726</v>
      </c>
      <c r="AM6" s="6">
        <f>AK6/AL6</f>
        <v>0.46887928301820614</v>
      </c>
      <c r="AN6" s="6">
        <f>AA6-Z6</f>
        <v>0.48383551999999597</v>
      </c>
      <c r="AO6" s="6">
        <f>L$5</f>
        <v>3.8800000000000001E-2</v>
      </c>
      <c r="AP6" s="6">
        <f>AO6*AN6*K$8</f>
        <v>78.601789702911347</v>
      </c>
      <c r="AQ6" s="6">
        <f>SQRT((($E$2^2)/($E$3^2))+(($E$4^2)/($E$1^2))+(9*($E$5^2)/(AR6^2))+(16*($E$6^2)/(AR6^2))+(($E$7^2)/(AR6^2)))</f>
        <v>0.19752527260328059</v>
      </c>
      <c r="AR6" s="6">
        <f>3*P6- 4*R6 +T6</f>
        <v>-1.1922687999999937</v>
      </c>
      <c r="AS6" s="6">
        <f>SQRT((($E$2^2)/(E$3^2))+(($E$4^2)/($E$1^2))+(9*(Q6^2)/(AR6^2))+(16*(S6^2)/(AR6^2))+((U6^2)/(AR6^2)))</f>
        <v>6.234229822364197E-2</v>
      </c>
      <c r="AT6" s="6">
        <f>SQRT(AS6^2 + AQ6^2)</f>
        <v>0.20712989997778164</v>
      </c>
      <c r="AU6" s="6">
        <f>AT6*100</f>
        <v>20.712989997778163</v>
      </c>
      <c r="AV6" s="6">
        <f>AT6*AD6</f>
        <v>0.96559216260635705</v>
      </c>
      <c r="AW6" s="6">
        <f t="shared" ref="AW6:AW30" si="1">AT6*AL6</f>
        <v>10.660137475174183</v>
      </c>
      <c r="AX6" s="20">
        <f xml:space="preserve"> (AE6-X6)/ AL6</f>
        <v>0.32075578633019131</v>
      </c>
      <c r="AY6" s="20">
        <f>(X6-(AVERAGE(Z6:AA6)))/AL6</f>
        <v>0.14338218421137283</v>
      </c>
      <c r="AZ6" s="20">
        <f xml:space="preserve"> SUM(AX6:AY6)</f>
        <v>0.46413797054156414</v>
      </c>
      <c r="BA6" s="1">
        <f>(AE6-X6)/AL6</f>
        <v>0.32075578633019131</v>
      </c>
      <c r="BB6" s="1">
        <f>AZ6+BA6</f>
        <v>0.78489375687175544</v>
      </c>
    </row>
    <row r="7" spans="1:54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6">
        <v>2</v>
      </c>
      <c r="P7" s="7">
        <f>AVERAGE(B75:B124)</f>
        <v>55.96226005999997</v>
      </c>
      <c r="Q7" s="8">
        <f>STDEV(B75:B124)</f>
        <v>1.8340745172596873E-2</v>
      </c>
      <c r="R7" s="9">
        <f>AVERAGE(C75:C124)</f>
        <v>56.833814119999971</v>
      </c>
      <c r="S7" s="10">
        <f>STDEV(C75:C124)</f>
        <v>1.9528153478273864E-2</v>
      </c>
      <c r="T7" s="11">
        <f>AVERAGE(D75:D124)</f>
        <v>57.572563120000012</v>
      </c>
      <c r="U7" s="12">
        <f>STDEV(D75:D124)</f>
        <v>1.7668455633560586E-2</v>
      </c>
      <c r="V7" s="13">
        <f>AVERAGE(E75:E124)</f>
        <v>48.470248740000009</v>
      </c>
      <c r="W7" s="14">
        <f>STDEV(E75:E124)</f>
        <v>9.8401222679232084E-2</v>
      </c>
      <c r="X7" s="15">
        <f>AVERAGE(F75:F124)</f>
        <v>28.160121339999986</v>
      </c>
      <c r="Y7" s="16">
        <f>STDEV(F75:F124)</f>
        <v>0.27053427828481585</v>
      </c>
      <c r="Z7" s="17">
        <f>AVERAGE(G75:G124)</f>
        <v>20.061311500000002</v>
      </c>
      <c r="AA7" s="18">
        <f>AVERAGE(H75:H124)</f>
        <v>20.750627839999993</v>
      </c>
      <c r="AB7" s="6">
        <f t="shared" ref="AB7:AB30" si="2">(T7-R7)/(R7-P7)</f>
        <v>0.84762269365143017</v>
      </c>
      <c r="AC7" s="6">
        <f>(3*P7- 4*R7 +T7)/(2*0.005)</f>
        <v>-187.59131799999693</v>
      </c>
      <c r="AD7" s="6">
        <f t="shared" ref="AD7:AD30" si="3">-(E$3)*AC7*(1/10000)</f>
        <v>7.3348205337998813</v>
      </c>
      <c r="AE7" s="6">
        <f>(V7)-((0.006*AD7)/(0.0001*391))</f>
        <v>47.344700832000029</v>
      </c>
      <c r="AF7" s="19">
        <v>88</v>
      </c>
      <c r="AG7" s="19">
        <v>49</v>
      </c>
      <c r="AH7" s="6">
        <f t="shared" ref="AH7:AH30" si="4">AG7-X7</f>
        <v>20.839878660000014</v>
      </c>
      <c r="AI7" s="6">
        <f t="shared" ref="AI7:AI30" si="5">AE7-AG7</f>
        <v>-1.6552991679999707</v>
      </c>
      <c r="AJ7" s="6">
        <f t="shared" ref="AJ7:AJ30" si="6">ABS(AD7*10/AI7)</f>
        <v>44.311147347837078</v>
      </c>
      <c r="AK7" s="6">
        <f t="shared" si="0"/>
        <v>27.344700832000029</v>
      </c>
      <c r="AL7" s="6">
        <f t="shared" ref="AL7:AL30" si="7">AD7*3.45*3.2</f>
        <v>80.976418693150706</v>
      </c>
      <c r="AM7" s="6">
        <f t="shared" ref="AM7:AM30" si="8">AK7/AL7</f>
        <v>0.33768720910737127</v>
      </c>
      <c r="AN7" s="6">
        <f t="shared" ref="AN7:AN30" si="9">AA7-Z7</f>
        <v>0.68931633999999065</v>
      </c>
      <c r="AO7" s="6">
        <f t="shared" ref="AO7:AO30" si="10">L$5</f>
        <v>3.8800000000000001E-2</v>
      </c>
      <c r="AP7" s="6">
        <f t="shared" ref="AP7:AP30" si="11">AO7*AN7*K$8</f>
        <v>111.98329960450248</v>
      </c>
      <c r="AQ7" s="6">
        <f t="shared" ref="AQ7:AQ30" si="12">SQRT((($E$2^2)/($E$3^2))+(($E$4^2)/($E$1^2))+(9*($E$5^2)/(AR7^2))+(16*($E$6^2)/(AR7^2))+(($E$7^2)/(AR7^2)))</f>
        <v>0.12680151452238878</v>
      </c>
      <c r="AR7" s="6">
        <f t="shared" ref="AR7:AR30" si="13">3*P7- 4*R7 +T7</f>
        <v>-1.8759131799999693</v>
      </c>
      <c r="AS7" s="6">
        <f t="shared" ref="AS7:AS30" si="14">SQRT((($E$2^2)/(E$3^2))+(($E$4^2)/($E$1^2))+(9*(Q7^2)/(AR7^2))+(16*(S7^2)/(AR7^2))+((U7^2)/(AR7^2)))</f>
        <v>5.6716022002912203E-2</v>
      </c>
      <c r="AT7" s="6">
        <f t="shared" ref="AT7:AT30" si="15">SQRT(AS7^2 + AQ7^2)</f>
        <v>0.13890763563248204</v>
      </c>
      <c r="AU7" s="6">
        <f t="shared" ref="AU7:AU30" si="16">AT7*100</f>
        <v>13.890763563248203</v>
      </c>
      <c r="AV7" s="6">
        <f t="shared" ref="AV7:AV30" si="17">AT7*AD7</f>
        <v>1.0188625781387213</v>
      </c>
      <c r="AW7" s="6">
        <f t="shared" si="1"/>
        <v>11.248242862651486</v>
      </c>
      <c r="AX7" s="20">
        <f t="shared" ref="AX7:AX30" si="18" xml:space="preserve"> (AE7-X7)/ AL7</f>
        <v>0.23691563299060481</v>
      </c>
      <c r="AY7" s="20">
        <f t="shared" ref="AY7:AY30" si="19">(X7-(AVERAGE(Z7:AA7)))/AL7</f>
        <v>9.5758145335907083E-2</v>
      </c>
      <c r="AZ7" s="20">
        <f t="shared" ref="AZ7:AZ30" si="20" xml:space="preserve"> SUM(AX7:AY7)</f>
        <v>0.3326737783265119</v>
      </c>
      <c r="BA7" s="1">
        <f t="shared" ref="BA7:BA30" si="21">(AE7-X7)/AL7</f>
        <v>0.23691563299060481</v>
      </c>
      <c r="BB7" s="1">
        <f t="shared" ref="BB7:BB30" si="22">AZ7+BA7</f>
        <v>0.56958941131711671</v>
      </c>
    </row>
    <row r="8" spans="1:54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6">
        <v>3</v>
      </c>
      <c r="P8" s="7">
        <f>AVERAGE(B125:B174)</f>
        <v>62.3800946</v>
      </c>
      <c r="Q8" s="8">
        <f>STDEV(B125:B174)</f>
        <v>1.7952228956031595E-2</v>
      </c>
      <c r="R8" s="9">
        <f>AVERAGE(C125:C174)</f>
        <v>63.437598199999982</v>
      </c>
      <c r="S8" s="10">
        <f>STDEV(C125:C174)</f>
        <v>1.210336581960814E-2</v>
      </c>
      <c r="T8" s="11">
        <f>AVERAGE(D125:D174)</f>
        <v>64.340325079999985</v>
      </c>
      <c r="U8" s="12">
        <f>STDEV(D125:D174)</f>
        <v>1.0668314538647814E-2</v>
      </c>
      <c r="V8" s="13">
        <f>AVERAGE(E125:E174)</f>
        <v>53.193371919999997</v>
      </c>
      <c r="W8" s="14">
        <f>STDEV(E125:E174)</f>
        <v>0.1122426301817443</v>
      </c>
      <c r="X8" s="15">
        <f>AVERAGE(F125:F174)</f>
        <v>29.825981959999989</v>
      </c>
      <c r="Y8" s="16">
        <f>STDEV(F125:F174)</f>
        <v>0.22004760003912338</v>
      </c>
      <c r="Z8" s="17">
        <f>AVERAGE(G125:G174)</f>
        <v>20.113882520000008</v>
      </c>
      <c r="AA8" s="18">
        <f>AVERAGE(H125:H174)</f>
        <v>20.930195920000003</v>
      </c>
      <c r="AB8" s="6">
        <f t="shared" si="2"/>
        <v>0.8536395337094056</v>
      </c>
      <c r="AC8" s="6">
        <f t="shared" ref="AC8:AC30" si="23">(3*P8- 4*R8 +T8)/(2*0.005)</f>
        <v>-226.97839199999521</v>
      </c>
      <c r="AD8" s="6">
        <f t="shared" si="3"/>
        <v>8.8748551271998135</v>
      </c>
      <c r="AE8" s="6">
        <f t="shared" ref="AE8:AE30" si="24">(V8)-((0.006*AD8)/(0.0001*391))</f>
        <v>51.831501568000029</v>
      </c>
      <c r="AF8" s="19">
        <v>88</v>
      </c>
      <c r="AG8" s="19">
        <v>49</v>
      </c>
      <c r="AH8" s="6">
        <f t="shared" si="4"/>
        <v>19.174018040000011</v>
      </c>
      <c r="AI8" s="6">
        <f t="shared" si="5"/>
        <v>2.8315015680000286</v>
      </c>
      <c r="AJ8" s="6">
        <f t="shared" si="6"/>
        <v>31.343281697238758</v>
      </c>
      <c r="AK8" s="6">
        <f t="shared" si="0"/>
        <v>31.831501568000029</v>
      </c>
      <c r="AL8" s="6">
        <f t="shared" si="7"/>
        <v>97.978400604285952</v>
      </c>
      <c r="AM8" s="6">
        <f t="shared" si="8"/>
        <v>0.32488284531772194</v>
      </c>
      <c r="AN8" s="6">
        <f t="shared" si="9"/>
        <v>0.81631339999999497</v>
      </c>
      <c r="AO8" s="6">
        <f t="shared" si="10"/>
        <v>3.8800000000000001E-2</v>
      </c>
      <c r="AP8" s="6">
        <f t="shared" si="11"/>
        <v>132.61468318503918</v>
      </c>
      <c r="AQ8" s="6">
        <f t="shared" si="12"/>
        <v>0.10560206471300206</v>
      </c>
      <c r="AR8" s="6">
        <f t="shared" si="13"/>
        <v>-2.2697839199999521</v>
      </c>
      <c r="AS8" s="6">
        <f t="shared" si="14"/>
        <v>3.9671995015480757E-2</v>
      </c>
      <c r="AT8" s="6">
        <f t="shared" si="15"/>
        <v>0.11280808153743864</v>
      </c>
      <c r="AU8" s="6">
        <f t="shared" si="16"/>
        <v>11.280808153743864</v>
      </c>
      <c r="AV8" s="6">
        <f t="shared" si="17"/>
        <v>1.0011553808221119</v>
      </c>
      <c r="AW8" s="6">
        <f t="shared" si="1"/>
        <v>11.052755404276118</v>
      </c>
      <c r="AX8" s="20">
        <f t="shared" si="18"/>
        <v>0.22459561977211367</v>
      </c>
      <c r="AY8" s="20">
        <f t="shared" si="19"/>
        <v>9.4959120404267919E-2</v>
      </c>
      <c r="AZ8" s="20">
        <f t="shared" si="20"/>
        <v>0.31955474017638158</v>
      </c>
      <c r="BA8" s="1">
        <f t="shared" si="21"/>
        <v>0.22459561977211367</v>
      </c>
      <c r="BB8" s="1">
        <f t="shared" si="22"/>
        <v>0.54415035994849525</v>
      </c>
    </row>
    <row r="9" spans="1:54" x14ac:dyDescent="0.25">
      <c r="O9" s="6">
        <v>4</v>
      </c>
      <c r="P9" s="7">
        <f>AVERAGE(B175:B224)</f>
        <v>70.288741759999994</v>
      </c>
      <c r="Q9" s="8">
        <f>STDEV(B175:B224)</f>
        <v>7.8426571879939691E-2</v>
      </c>
      <c r="R9" s="9">
        <f>AVERAGE(C175:C224)</f>
        <v>71.708573119999997</v>
      </c>
      <c r="S9" s="10">
        <f>STDEV(C175:C224)</f>
        <v>5.7963285036918291E-2</v>
      </c>
      <c r="T9" s="11">
        <f>AVERAGE(D175:D224)</f>
        <v>73.133969160000021</v>
      </c>
      <c r="U9" s="12">
        <f>STDEV(D175:D224)</f>
        <v>4.0906590291540319E-2</v>
      </c>
      <c r="V9" s="13">
        <f>AVERAGE(E175:E224)</f>
        <v>58.317581360000005</v>
      </c>
      <c r="W9" s="14">
        <f>STDEV(E175:E224)</f>
        <v>0.27755789573787931</v>
      </c>
      <c r="X9" s="15">
        <f>AVERAGE(F175:F224)</f>
        <v>33.670809399999982</v>
      </c>
      <c r="Y9" s="16">
        <f>STDEV(F175:F224)</f>
        <v>0.26227329605024868</v>
      </c>
      <c r="Z9" s="17">
        <f>AVERAGE(G175:G224)</f>
        <v>19.938496639999997</v>
      </c>
      <c r="AA9" s="18">
        <f>AVERAGE(H175:H224)</f>
        <v>20.96109208</v>
      </c>
      <c r="AB9" s="6">
        <f t="shared" si="2"/>
        <v>1.0039192541852437</v>
      </c>
      <c r="AC9" s="6">
        <f t="shared" si="23"/>
        <v>-283.40980399999864</v>
      </c>
      <c r="AD9" s="6">
        <f t="shared" si="3"/>
        <v>11.081323336399947</v>
      </c>
      <c r="AE9" s="6">
        <f t="shared" si="24"/>
        <v>56.617122536000011</v>
      </c>
      <c r="AF9" s="19">
        <v>88</v>
      </c>
      <c r="AG9" s="19">
        <v>49</v>
      </c>
      <c r="AH9" s="6">
        <f t="shared" si="4"/>
        <v>15.329190600000018</v>
      </c>
      <c r="AI9" s="6">
        <f t="shared" si="5"/>
        <v>7.6171225360000108</v>
      </c>
      <c r="AJ9" s="6">
        <f t="shared" si="6"/>
        <v>14.547912658654822</v>
      </c>
      <c r="AK9" s="6">
        <f t="shared" si="0"/>
        <v>36.617122536000011</v>
      </c>
      <c r="AL9" s="6">
        <f t="shared" si="7"/>
        <v>122.33780963385544</v>
      </c>
      <c r="AM9" s="6">
        <f t="shared" si="8"/>
        <v>0.29931157542865378</v>
      </c>
      <c r="AN9" s="6">
        <f t="shared" si="9"/>
        <v>1.0225954400000035</v>
      </c>
      <c r="AO9" s="6">
        <f t="shared" si="10"/>
        <v>3.8800000000000001E-2</v>
      </c>
      <c r="AP9" s="6">
        <f t="shared" si="11"/>
        <v>166.12635576246456</v>
      </c>
      <c r="AQ9" s="6">
        <f t="shared" si="12"/>
        <v>8.5699202454646087E-2</v>
      </c>
      <c r="AR9" s="6">
        <f t="shared" si="13"/>
        <v>-2.8340980399999864</v>
      </c>
      <c r="AS9" s="6">
        <f t="shared" si="14"/>
        <v>0.11969411587926461</v>
      </c>
      <c r="AT9" s="6">
        <f t="shared" si="15"/>
        <v>0.14721085108605697</v>
      </c>
      <c r="AU9" s="6">
        <f t="shared" si="16"/>
        <v>14.721085108605697</v>
      </c>
      <c r="AV9" s="6">
        <f t="shared" si="17"/>
        <v>1.6312910395112206</v>
      </c>
      <c r="AW9" s="6">
        <f t="shared" si="1"/>
        <v>18.009453076203879</v>
      </c>
      <c r="AX9" s="20">
        <f t="shared" si="18"/>
        <v>0.18756517878386084</v>
      </c>
      <c r="AY9" s="20">
        <f t="shared" si="19"/>
        <v>0.10806973804393857</v>
      </c>
      <c r="AZ9" s="20">
        <f t="shared" si="20"/>
        <v>0.29563491682779941</v>
      </c>
      <c r="BA9" s="1">
        <f t="shared" si="21"/>
        <v>0.18756517878386084</v>
      </c>
      <c r="BB9" s="1">
        <f t="shared" si="22"/>
        <v>0.48320009561166022</v>
      </c>
    </row>
    <row r="10" spans="1:54" x14ac:dyDescent="0.25">
      <c r="O10" s="6">
        <v>5</v>
      </c>
      <c r="P10" s="7">
        <f>AVERAGE(B225:B274)</f>
        <v>76.010598679999973</v>
      </c>
      <c r="Q10" s="8">
        <f>STDEV(B225:B274)</f>
        <v>2.6040055045115196E-2</v>
      </c>
      <c r="R10" s="9">
        <f>AVERAGE(C225:C274)</f>
        <v>77.869882059999981</v>
      </c>
      <c r="S10" s="10">
        <f>STDEV(C225:C274)</f>
        <v>2.24684748294048E-2</v>
      </c>
      <c r="T10" s="11">
        <f>AVERAGE(D225:D274)</f>
        <v>79.669949500000016</v>
      </c>
      <c r="U10" s="12">
        <f>STDEV(D225:D274)</f>
        <v>1.3263792173679069E-2</v>
      </c>
      <c r="V10" s="13">
        <f>AVERAGE(E225:E274)</f>
        <v>60.820048080000007</v>
      </c>
      <c r="W10" s="14">
        <f>STDEV(E225:E274)</f>
        <v>0.17516875406360929</v>
      </c>
      <c r="X10" s="15">
        <f>AVERAGE(F225:F274)</f>
        <v>35.537239299999996</v>
      </c>
      <c r="Y10" s="16">
        <f>STDEV(F225:F274)</f>
        <v>0.32524673999854875</v>
      </c>
      <c r="Z10" s="17">
        <f>AVERAGE(G225:G274)</f>
        <v>19.927010359999993</v>
      </c>
      <c r="AA10" s="18">
        <f>AVERAGE(H225:H274)</f>
        <v>21.195330519999999</v>
      </c>
      <c r="AB10" s="6">
        <f t="shared" si="2"/>
        <v>0.96815120242726382</v>
      </c>
      <c r="AC10" s="6">
        <f t="shared" si="23"/>
        <v>-377.7782700000003</v>
      </c>
      <c r="AD10" s="6">
        <f t="shared" si="3"/>
        <v>14.771130357000011</v>
      </c>
      <c r="AE10" s="6">
        <f t="shared" si="24"/>
        <v>58.553378460000005</v>
      </c>
      <c r="AF10" s="19">
        <v>88</v>
      </c>
      <c r="AG10" s="19">
        <v>49</v>
      </c>
      <c r="AH10" s="6">
        <f t="shared" si="4"/>
        <v>13.462760700000004</v>
      </c>
      <c r="AI10" s="6">
        <f t="shared" si="5"/>
        <v>9.5533784600000047</v>
      </c>
      <c r="AJ10" s="6">
        <f t="shared" si="6"/>
        <v>15.46168239732858</v>
      </c>
      <c r="AK10" s="6">
        <f t="shared" si="0"/>
        <v>38.553378460000005</v>
      </c>
      <c r="AL10" s="6">
        <f t="shared" si="7"/>
        <v>163.07327914128015</v>
      </c>
      <c r="AM10" s="6">
        <f t="shared" si="8"/>
        <v>0.23641750912851212</v>
      </c>
      <c r="AN10" s="6">
        <f t="shared" si="9"/>
        <v>1.2683201600000054</v>
      </c>
      <c r="AO10" s="6">
        <f t="shared" si="10"/>
        <v>3.8800000000000001E-2</v>
      </c>
      <c r="AP10" s="6">
        <f t="shared" si="11"/>
        <v>206.04571258489688</v>
      </c>
      <c r="AQ10" s="6">
        <f t="shared" si="12"/>
        <v>6.6081804320160378E-2</v>
      </c>
      <c r="AR10" s="6">
        <f t="shared" si="13"/>
        <v>-3.777782700000003</v>
      </c>
      <c r="AS10" s="6">
        <f t="shared" si="14"/>
        <v>3.9239459160660704E-2</v>
      </c>
      <c r="AT10" s="6">
        <f t="shared" si="15"/>
        <v>7.6854017575069725E-2</v>
      </c>
      <c r="AU10" s="6">
        <f t="shared" si="16"/>
        <v>7.6854017575069724</v>
      </c>
      <c r="AV10" s="6">
        <f t="shared" si="17"/>
        <v>1.1352207120605249</v>
      </c>
      <c r="AW10" s="6">
        <f t="shared" si="1"/>
        <v>12.532836661148195</v>
      </c>
      <c r="AX10" s="20">
        <f t="shared" si="18"/>
        <v>0.14113985615055763</v>
      </c>
      <c r="AY10" s="20">
        <f t="shared" si="19"/>
        <v>9.1836436593792495E-2</v>
      </c>
      <c r="AZ10" s="20">
        <f t="shared" si="20"/>
        <v>0.23297629274435011</v>
      </c>
      <c r="BA10" s="1">
        <f t="shared" si="21"/>
        <v>0.14113985615055763</v>
      </c>
      <c r="BB10" s="1">
        <f t="shared" si="22"/>
        <v>0.37411614889490774</v>
      </c>
    </row>
    <row r="11" spans="1:54" x14ac:dyDescent="0.25">
      <c r="O11" s="6">
        <v>6</v>
      </c>
      <c r="P11" s="7">
        <f>AVERAGE(B275:B324)</f>
        <v>84.304406040000018</v>
      </c>
      <c r="Q11" s="8">
        <f>STDEV(B275:B324)</f>
        <v>2.4813522255679208E-2</v>
      </c>
      <c r="R11" s="9">
        <f>AVERAGE(C275:C324)</f>
        <v>86.52619851999998</v>
      </c>
      <c r="S11" s="10">
        <f>STDEV(C275:C324)</f>
        <v>2.2842532934569153E-2</v>
      </c>
      <c r="T11" s="11">
        <f>AVERAGE(D275:D324)</f>
        <v>88.711508440000017</v>
      </c>
      <c r="U11" s="12">
        <f>STDEV(D275:D324)</f>
        <v>1.7476223771531133E-2</v>
      </c>
      <c r="V11" s="13">
        <f>AVERAGE(E275:E324)</f>
        <v>65.864432439999973</v>
      </c>
      <c r="W11" s="14">
        <f>STDEV(E275:E324)</f>
        <v>0.14174586233635159</v>
      </c>
      <c r="X11" s="15">
        <f>AVERAGE(F275:F324)</f>
        <v>39.642894080000005</v>
      </c>
      <c r="Y11" s="16">
        <f>STDEV(F275:F324)</f>
        <v>1.1773159974384815</v>
      </c>
      <c r="Z11" s="17">
        <f>AVERAGE(G275:G324)</f>
        <v>19.953511239999994</v>
      </c>
      <c r="AA11" s="18">
        <f>AVERAGE(H275:H324)</f>
        <v>21.440466760000003</v>
      </c>
      <c r="AB11" s="6">
        <f t="shared" si="2"/>
        <v>0.98357967257143397</v>
      </c>
      <c r="AC11" s="6">
        <f t="shared" si="23"/>
        <v>-448.00675199998352</v>
      </c>
      <c r="AD11" s="6">
        <f t="shared" si="3"/>
        <v>17.517064003199359</v>
      </c>
      <c r="AE11" s="6">
        <f t="shared" si="24"/>
        <v>63.176391928000072</v>
      </c>
      <c r="AF11" s="19">
        <v>88</v>
      </c>
      <c r="AG11" s="19">
        <v>49</v>
      </c>
      <c r="AH11" s="6">
        <f t="shared" si="4"/>
        <v>9.3571059199999951</v>
      </c>
      <c r="AI11" s="6">
        <f t="shared" si="5"/>
        <v>14.176391928000072</v>
      </c>
      <c r="AJ11" s="6">
        <f t="shared" si="6"/>
        <v>12.356503750859947</v>
      </c>
      <c r="AK11" s="6">
        <f t="shared" si="0"/>
        <v>43.176391928000072</v>
      </c>
      <c r="AL11" s="6">
        <f t="shared" si="7"/>
        <v>193.38838659532095</v>
      </c>
      <c r="AM11" s="6">
        <f t="shared" si="8"/>
        <v>0.22326258928024342</v>
      </c>
      <c r="AN11" s="6">
        <f t="shared" si="9"/>
        <v>1.4869555200000093</v>
      </c>
      <c r="AO11" s="6">
        <f t="shared" si="10"/>
        <v>3.8800000000000001E-2</v>
      </c>
      <c r="AP11" s="6">
        <f t="shared" si="11"/>
        <v>241.56425117491349</v>
      </c>
      <c r="AQ11" s="6">
        <f t="shared" si="12"/>
        <v>5.7090230467926016E-2</v>
      </c>
      <c r="AR11" s="6">
        <f t="shared" si="13"/>
        <v>-4.4800675199998352</v>
      </c>
      <c r="AS11" s="6">
        <f t="shared" si="14"/>
        <v>3.5228948128608675E-2</v>
      </c>
      <c r="AT11" s="6">
        <f t="shared" si="15"/>
        <v>6.7084820944302362E-2</v>
      </c>
      <c r="AU11" s="6">
        <f t="shared" si="16"/>
        <v>6.7084820944302361</v>
      </c>
      <c r="AV11" s="6">
        <f t="shared" si="17"/>
        <v>1.1751291021245134</v>
      </c>
      <c r="AW11" s="6">
        <f t="shared" si="1"/>
        <v>12.97342528745463</v>
      </c>
      <c r="AX11" s="20">
        <f t="shared" si="18"/>
        <v>0.12169033654148838</v>
      </c>
      <c r="AY11" s="20">
        <f t="shared" si="19"/>
        <v>9.7968163515659651E-2</v>
      </c>
      <c r="AZ11" s="20">
        <f t="shared" si="20"/>
        <v>0.21965850005714804</v>
      </c>
      <c r="BA11" s="1">
        <f t="shared" si="21"/>
        <v>0.12169033654148838</v>
      </c>
      <c r="BB11" s="1">
        <f t="shared" si="22"/>
        <v>0.34134883659863641</v>
      </c>
    </row>
    <row r="12" spans="1:54" x14ac:dyDescent="0.25">
      <c r="O12" s="6">
        <v>7</v>
      </c>
      <c r="P12" s="7">
        <f>AVERAGE(B325:B374)</f>
        <v>92.176716839999969</v>
      </c>
      <c r="Q12" s="8">
        <f>STDEV(B325:B374)</f>
        <v>2.4756038580894615E-2</v>
      </c>
      <c r="R12" s="9">
        <f>AVERAGE(C325:C374)</f>
        <v>94.911513359999987</v>
      </c>
      <c r="S12" s="10">
        <f>STDEV(C325:C374)</f>
        <v>1.863054976431984E-2</v>
      </c>
      <c r="T12" s="11">
        <f>AVERAGE(D325:D374)</f>
        <v>97.551621319999981</v>
      </c>
      <c r="U12" s="12">
        <f>STDEV(D325:D374)</f>
        <v>1.4415045573119492E-2</v>
      </c>
      <c r="V12" s="13">
        <f>AVERAGE(E325:E374)</f>
        <v>69.656958399999994</v>
      </c>
      <c r="W12" s="14">
        <f>STDEV(E325:E374)</f>
        <v>7.5564581468369987E-2</v>
      </c>
      <c r="X12" s="15">
        <f>AVERAGE(F325:F374)</f>
        <v>42.048845899999989</v>
      </c>
      <c r="Y12" s="16">
        <f>STDEV(F325:F374)</f>
        <v>0.61061245522137875</v>
      </c>
      <c r="Z12" s="17">
        <f>AVERAGE(G325:G374)</f>
        <v>20.003591900000007</v>
      </c>
      <c r="AA12" s="18">
        <f>AVERAGE(H325:H374)</f>
        <v>21.795790400000001</v>
      </c>
      <c r="AB12" s="6">
        <f t="shared" si="2"/>
        <v>0.96537637834933976</v>
      </c>
      <c r="AC12" s="6">
        <f t="shared" si="23"/>
        <v>-556.42816000000721</v>
      </c>
      <c r="AD12" s="6">
        <f t="shared" si="3"/>
        <v>21.756341056000281</v>
      </c>
      <c r="AE12" s="6">
        <f t="shared" si="24"/>
        <v>66.318389439999947</v>
      </c>
      <c r="AF12" s="19">
        <v>85</v>
      </c>
      <c r="AG12" s="19">
        <v>54</v>
      </c>
      <c r="AH12" s="6">
        <f t="shared" si="4"/>
        <v>11.951154100000011</v>
      </c>
      <c r="AI12" s="6">
        <f t="shared" si="5"/>
        <v>12.318389439999947</v>
      </c>
      <c r="AJ12" s="6">
        <f t="shared" si="6"/>
        <v>17.661676603074156</v>
      </c>
      <c r="AK12" s="6">
        <f t="shared" si="0"/>
        <v>46.318389439999947</v>
      </c>
      <c r="AL12" s="6">
        <f t="shared" si="7"/>
        <v>240.19000525824313</v>
      </c>
      <c r="AM12" s="6">
        <f t="shared" si="8"/>
        <v>0.19284061961779042</v>
      </c>
      <c r="AN12" s="6">
        <f t="shared" si="9"/>
        <v>1.7921984999999943</v>
      </c>
      <c r="AO12" s="6">
        <f t="shared" si="10"/>
        <v>3.8800000000000001E-2</v>
      </c>
      <c r="AP12" s="6">
        <f t="shared" si="11"/>
        <v>291.15268263659908</v>
      </c>
      <c r="AQ12" s="6">
        <f t="shared" si="12"/>
        <v>4.796503187154811E-2</v>
      </c>
      <c r="AR12" s="6">
        <f t="shared" si="13"/>
        <v>-5.5642816000000721</v>
      </c>
      <c r="AS12" s="6">
        <f t="shared" si="14"/>
        <v>2.9967598347690791E-2</v>
      </c>
      <c r="AT12" s="6">
        <f t="shared" si="15"/>
        <v>5.6557061744464288E-2</v>
      </c>
      <c r="AU12" s="6">
        <f t="shared" si="16"/>
        <v>5.6557061744464292</v>
      </c>
      <c r="AV12" s="6">
        <f t="shared" si="17"/>
        <v>1.2304747244378313</v>
      </c>
      <c r="AW12" s="6">
        <f t="shared" si="1"/>
        <v>13.584440957793658</v>
      </c>
      <c r="AX12" s="20">
        <f t="shared" si="18"/>
        <v>0.10104310341267644</v>
      </c>
      <c r="AY12" s="20">
        <f t="shared" si="19"/>
        <v>8.8051768545744535E-2</v>
      </c>
      <c r="AZ12" s="20">
        <f t="shared" si="20"/>
        <v>0.18909487195842098</v>
      </c>
      <c r="BA12" s="1">
        <f t="shared" si="21"/>
        <v>0.10104310341267644</v>
      </c>
      <c r="BB12" s="1">
        <f t="shared" si="22"/>
        <v>0.29013797537109742</v>
      </c>
    </row>
    <row r="13" spans="1:54" x14ac:dyDescent="0.25">
      <c r="O13" s="6">
        <v>8</v>
      </c>
      <c r="P13" s="7">
        <f>AVERAGE(B375:B424)</f>
        <v>98.485750119999963</v>
      </c>
      <c r="Q13" s="8">
        <f>STDEV(B375:B424)</f>
        <v>1.508786176630674E-2</v>
      </c>
      <c r="R13" s="9">
        <f>AVERAGE(C375:C424)</f>
        <v>101.77766371999996</v>
      </c>
      <c r="S13" s="10">
        <f>STDEV(C375:C424)</f>
        <v>1.1861222446274879E-2</v>
      </c>
      <c r="T13" s="11">
        <f>AVERAGE(D375:D424)</f>
        <v>104.96610524000002</v>
      </c>
      <c r="U13" s="12">
        <f>STDEV(D375:D424)</f>
        <v>1.230517871825244E-2</v>
      </c>
      <c r="V13" s="13">
        <f>AVERAGE(E375:E424)</f>
        <v>71.803478440000006</v>
      </c>
      <c r="W13" s="14">
        <f>STDEV(E375:E424)</f>
        <v>0.11420371527538108</v>
      </c>
      <c r="X13" s="15">
        <f>AVERAGE(F375:F424)</f>
        <v>46.224587960000001</v>
      </c>
      <c r="Y13" s="16">
        <f>STDEV(F375:F424)</f>
        <v>0.67150557629489649</v>
      </c>
      <c r="Z13" s="17">
        <f>AVERAGE(G375:G424)</f>
        <v>20.012567799999996</v>
      </c>
      <c r="AA13" s="18">
        <f>AVERAGE(H375:H424)</f>
        <v>22.088927719999994</v>
      </c>
      <c r="AB13" s="6">
        <f t="shared" si="2"/>
        <v>0.9685678020225239</v>
      </c>
      <c r="AC13" s="6">
        <f t="shared" si="23"/>
        <v>-668.72992799999622</v>
      </c>
      <c r="AD13" s="6">
        <f t="shared" si="3"/>
        <v>26.147340184799855</v>
      </c>
      <c r="AE13" s="6">
        <f t="shared" si="24"/>
        <v>67.791098872000035</v>
      </c>
      <c r="AF13" s="19">
        <v>85</v>
      </c>
      <c r="AG13" s="19">
        <v>54</v>
      </c>
      <c r="AH13" s="6">
        <f t="shared" si="4"/>
        <v>7.7754120399999991</v>
      </c>
      <c r="AI13" s="6">
        <f t="shared" si="5"/>
        <v>13.791098872000035</v>
      </c>
      <c r="AJ13" s="6">
        <f t="shared" si="6"/>
        <v>18.959577063062468</v>
      </c>
      <c r="AK13" s="6">
        <f t="shared" si="0"/>
        <v>47.791098872000035</v>
      </c>
      <c r="AL13" s="6">
        <f t="shared" si="7"/>
        <v>288.66663564019041</v>
      </c>
      <c r="AM13" s="6">
        <f t="shared" si="8"/>
        <v>0.16555809702777508</v>
      </c>
      <c r="AN13" s="6">
        <f t="shared" si="9"/>
        <v>2.076359919999998</v>
      </c>
      <c r="AO13" s="6">
        <f t="shared" si="10"/>
        <v>3.8800000000000001E-2</v>
      </c>
      <c r="AP13" s="6">
        <f t="shared" si="11"/>
        <v>337.31629661955168</v>
      </c>
      <c r="AQ13" s="6">
        <f t="shared" si="12"/>
        <v>4.1917258808553987E-2</v>
      </c>
      <c r="AR13" s="6">
        <f t="shared" si="13"/>
        <v>-6.6872992799999622</v>
      </c>
      <c r="AS13" s="6">
        <f t="shared" si="14"/>
        <v>2.5166632744568582E-2</v>
      </c>
      <c r="AT13" s="6">
        <f t="shared" si="15"/>
        <v>4.8891880611439856E-2</v>
      </c>
      <c r="AU13" s="6">
        <f t="shared" si="16"/>
        <v>4.8891880611439857</v>
      </c>
      <c r="AV13" s="6">
        <f t="shared" si="17"/>
        <v>1.2783926346219383</v>
      </c>
      <c r="AW13" s="6">
        <f t="shared" si="1"/>
        <v>14.113454686226198</v>
      </c>
      <c r="AX13" s="20">
        <f t="shared" si="18"/>
        <v>7.4710784861474921E-2</v>
      </c>
      <c r="AY13" s="20">
        <f t="shared" si="19"/>
        <v>8.7207307987536301E-2</v>
      </c>
      <c r="AZ13" s="20">
        <f t="shared" si="20"/>
        <v>0.16191809284901121</v>
      </c>
      <c r="BA13" s="1">
        <f t="shared" si="21"/>
        <v>7.4710784861474921E-2</v>
      </c>
      <c r="BB13" s="1">
        <f t="shared" si="22"/>
        <v>0.23662887771048613</v>
      </c>
    </row>
    <row r="14" spans="1:54" x14ac:dyDescent="0.25">
      <c r="O14" s="6">
        <v>9</v>
      </c>
      <c r="P14" s="7">
        <f>AVERAGE(B425:B474)</f>
        <v>105.23871436000002</v>
      </c>
      <c r="Q14" s="8">
        <f>STDEV(B425:B474)</f>
        <v>1.1935505953144188E-2</v>
      </c>
      <c r="R14" s="9">
        <f>AVERAGE(C425:C474)</f>
        <v>109.13314387999999</v>
      </c>
      <c r="S14" s="10">
        <f>STDEV(C425:C474)</f>
        <v>1.2798738899356187E-2</v>
      </c>
      <c r="T14" s="11">
        <f>AVERAGE(D425:D474)</f>
        <v>112.87131448000002</v>
      </c>
      <c r="U14" s="12">
        <f>STDEV(D425:D474)</f>
        <v>1.1056362357538728E-2</v>
      </c>
      <c r="V14" s="13">
        <f>AVERAGE(E425:E474)</f>
        <v>74.184780360000033</v>
      </c>
      <c r="W14" s="14">
        <f>STDEV(E425:E474)</f>
        <v>5.1603625226932591E-2</v>
      </c>
      <c r="X14" s="15">
        <f>AVERAGE(F425:F474)</f>
        <v>47.440696040000006</v>
      </c>
      <c r="Y14" s="16">
        <f>STDEV(F425:F474)</f>
        <v>0.59498596769688783</v>
      </c>
      <c r="Z14" s="17">
        <f>AVERAGE(G425:G474)</f>
        <v>20.001621280000002</v>
      </c>
      <c r="AA14" s="18">
        <f>AVERAGE(H425:H474)</f>
        <v>22.369186320000011</v>
      </c>
      <c r="AB14" s="6">
        <f t="shared" si="2"/>
        <v>0.95987630044465577</v>
      </c>
      <c r="AC14" s="6">
        <f t="shared" si="23"/>
        <v>-794.51179599998909</v>
      </c>
      <c r="AD14" s="6">
        <f t="shared" si="3"/>
        <v>31.065411223599572</v>
      </c>
      <c r="AE14" s="6">
        <f t="shared" si="24"/>
        <v>69.417709584000093</v>
      </c>
      <c r="AF14" s="19">
        <v>74</v>
      </c>
      <c r="AG14" s="19">
        <v>54</v>
      </c>
      <c r="AH14" s="6">
        <f t="shared" si="4"/>
        <v>6.559303959999994</v>
      </c>
      <c r="AI14" s="6">
        <f t="shared" si="5"/>
        <v>15.417709584000093</v>
      </c>
      <c r="AJ14" s="6">
        <f t="shared" si="6"/>
        <v>20.149173944642246</v>
      </c>
      <c r="AK14" s="6">
        <f t="shared" si="0"/>
        <v>49.417709584000093</v>
      </c>
      <c r="AL14" s="6">
        <f t="shared" si="7"/>
        <v>342.96213990853931</v>
      </c>
      <c r="AM14" s="6">
        <f t="shared" si="8"/>
        <v>0.14409085970007868</v>
      </c>
      <c r="AN14" s="6">
        <f t="shared" si="9"/>
        <v>2.3675650400000094</v>
      </c>
      <c r="AO14" s="6">
        <f t="shared" si="10"/>
        <v>3.8800000000000001E-2</v>
      </c>
      <c r="AP14" s="6">
        <f t="shared" si="11"/>
        <v>384.62419911222554</v>
      </c>
      <c r="AQ14" s="6">
        <f t="shared" si="12"/>
        <v>3.7422003586788911E-2</v>
      </c>
      <c r="AR14" s="6">
        <f t="shared" si="13"/>
        <v>-7.9451179599998909</v>
      </c>
      <c r="AS14" s="6">
        <f t="shared" si="14"/>
        <v>2.4445667470058254E-2</v>
      </c>
      <c r="AT14" s="6">
        <f t="shared" si="15"/>
        <v>4.4698959836961601E-2</v>
      </c>
      <c r="AU14" s="6">
        <f t="shared" si="16"/>
        <v>4.4698959836961603</v>
      </c>
      <c r="AV14" s="6">
        <f t="shared" si="17"/>
        <v>1.3885915686023733</v>
      </c>
      <c r="AW14" s="6">
        <f t="shared" si="1"/>
        <v>15.330050917370205</v>
      </c>
      <c r="AX14" s="20">
        <f t="shared" si="18"/>
        <v>6.4079998888101439E-2</v>
      </c>
      <c r="AY14" s="20">
        <f t="shared" si="19"/>
        <v>7.6554491545340039E-2</v>
      </c>
      <c r="AZ14" s="20">
        <f t="shared" si="20"/>
        <v>0.14063449043344148</v>
      </c>
      <c r="BA14" s="1">
        <f t="shared" si="21"/>
        <v>6.4079998888101439E-2</v>
      </c>
      <c r="BB14" s="1">
        <f t="shared" si="22"/>
        <v>0.2047144893215429</v>
      </c>
    </row>
    <row r="15" spans="1:54" ht="21" x14ac:dyDescent="0.25">
      <c r="A15" s="21" t="s">
        <v>47</v>
      </c>
      <c r="O15" s="6">
        <v>10</v>
      </c>
      <c r="P15" s="7">
        <f>AVERAGE(B475:B524)</f>
        <v>113.69279191999998</v>
      </c>
      <c r="Q15" s="8">
        <f>STDEV(B475:B524)</f>
        <v>1.1127512261791924E-2</v>
      </c>
      <c r="R15" s="9">
        <f>AVERAGE(C475:C524)</f>
        <v>118.29810999999998</v>
      </c>
      <c r="S15" s="10">
        <f>STDEV(C475:C524)</f>
        <v>1.1425578458094297E-2</v>
      </c>
      <c r="T15" s="11">
        <f>AVERAGE(D475:D524)</f>
        <v>122.68114412000001</v>
      </c>
      <c r="U15" s="12">
        <f>STDEV(D475:D524)</f>
        <v>1.4147329717956698E-2</v>
      </c>
      <c r="V15" s="13">
        <f>AVERAGE(E475:E524)</f>
        <v>77.269839600000012</v>
      </c>
      <c r="W15" s="14">
        <f>STDEV(E475:E524)</f>
        <v>5.0607130834962155E-2</v>
      </c>
      <c r="X15" s="15">
        <f>AVERAGE(F475:F524)</f>
        <v>49.239605760000011</v>
      </c>
      <c r="Y15" s="16">
        <f>STDEV(F475:F524)</f>
        <v>0.60573338713683889</v>
      </c>
      <c r="Z15" s="17">
        <f>AVERAGE(G475:G524)</f>
        <v>19.988939640000002</v>
      </c>
      <c r="AA15" s="18">
        <f>AVERAGE(H475:H524)</f>
        <v>22.721187360000009</v>
      </c>
      <c r="AB15" s="6">
        <f t="shared" si="2"/>
        <v>0.95173320145565932</v>
      </c>
      <c r="AC15" s="6">
        <f t="shared" si="23"/>
        <v>-943.29201199999909</v>
      </c>
      <c r="AD15" s="6">
        <f t="shared" si="3"/>
        <v>36.88271766919997</v>
      </c>
      <c r="AE15" s="6">
        <f t="shared" si="24"/>
        <v>71.610087528000022</v>
      </c>
      <c r="AF15" s="19">
        <v>74</v>
      </c>
      <c r="AG15" s="19">
        <v>54</v>
      </c>
      <c r="AH15" s="6">
        <f t="shared" si="4"/>
        <v>4.7603942399999895</v>
      </c>
      <c r="AI15" s="6">
        <f t="shared" si="5"/>
        <v>17.610087528000022</v>
      </c>
      <c r="AJ15" s="6">
        <f t="shared" si="6"/>
        <v>20.944085377518132</v>
      </c>
      <c r="AK15" s="6">
        <f t="shared" si="0"/>
        <v>51.610087528000022</v>
      </c>
      <c r="AL15" s="6">
        <f t="shared" si="7"/>
        <v>407.18520306796768</v>
      </c>
      <c r="AM15" s="6">
        <f t="shared" si="8"/>
        <v>0.12674843569741709</v>
      </c>
      <c r="AN15" s="6">
        <f t="shared" si="9"/>
        <v>2.7322477200000073</v>
      </c>
      <c r="AO15" s="6">
        <f t="shared" si="10"/>
        <v>3.8800000000000001E-2</v>
      </c>
      <c r="AP15" s="6">
        <f t="shared" si="11"/>
        <v>443.86894270123315</v>
      </c>
      <c r="AQ15" s="6">
        <f t="shared" si="12"/>
        <v>3.3891028703701601E-2</v>
      </c>
      <c r="AR15" s="6">
        <f t="shared" si="13"/>
        <v>-9.4329201199999915</v>
      </c>
      <c r="AS15" s="6">
        <f t="shared" si="14"/>
        <v>2.3918008463257017E-2</v>
      </c>
      <c r="AT15" s="6">
        <f t="shared" si="15"/>
        <v>4.1480995111539458E-2</v>
      </c>
      <c r="AU15" s="6">
        <f t="shared" si="16"/>
        <v>4.148099511153946</v>
      </c>
      <c r="AV15" s="6">
        <f t="shared" si="17"/>
        <v>1.5299318313363739</v>
      </c>
      <c r="AW15" s="6">
        <f t="shared" si="1"/>
        <v>16.89044741795357</v>
      </c>
      <c r="AX15" s="20">
        <f t="shared" si="18"/>
        <v>5.4939328834761006E-2</v>
      </c>
      <c r="AY15" s="20">
        <f t="shared" si="19"/>
        <v>6.8481226846903609E-2</v>
      </c>
      <c r="AZ15" s="20">
        <f t="shared" si="20"/>
        <v>0.12342055568166461</v>
      </c>
      <c r="BA15" s="1">
        <f t="shared" si="21"/>
        <v>5.4939328834761006E-2</v>
      </c>
      <c r="BB15" s="1">
        <f t="shared" si="22"/>
        <v>0.17835988451642562</v>
      </c>
    </row>
    <row r="16" spans="1:54" x14ac:dyDescent="0.25">
      <c r="O16" s="6">
        <v>11</v>
      </c>
      <c r="P16" s="7">
        <f>AVERAGE(B525:B574)</f>
        <v>121.35788338000003</v>
      </c>
      <c r="Q16" s="8">
        <f>STDEV(B525:B574)</f>
        <v>1.221301034258809E-2</v>
      </c>
      <c r="R16" s="9">
        <f>AVERAGE(C525:C574)</f>
        <v>126.66176856</v>
      </c>
      <c r="S16" s="10">
        <f>STDEV(C525:C574)</f>
        <v>1.0913963894210106E-2</v>
      </c>
      <c r="T16" s="11">
        <f>AVERAGE(D525:D574)</f>
        <v>131.68016010000002</v>
      </c>
      <c r="U16" s="12">
        <f>STDEV(D525:D574)</f>
        <v>9.9780937716756352E-3</v>
      </c>
      <c r="V16" s="13">
        <f>AVERAGE(E525:E574)</f>
        <v>79.876629820000005</v>
      </c>
      <c r="W16" s="14">
        <f>STDEV(E525:E574)</f>
        <v>6.7462422404787253E-2</v>
      </c>
      <c r="X16" s="15">
        <f>AVERAGE(F525:F574)</f>
        <v>50.166396799999994</v>
      </c>
      <c r="Y16" s="16">
        <f>STDEV(F525:F574)</f>
        <v>0.42757931740452865</v>
      </c>
      <c r="Z16" s="17">
        <f>AVERAGE(G525:G574)</f>
        <v>19.970616359999994</v>
      </c>
      <c r="AA16" s="18">
        <f>AVERAGE(H525:H574)</f>
        <v>22.99984220000001</v>
      </c>
      <c r="AB16" s="6">
        <f t="shared" si="2"/>
        <v>0.94617273370161015</v>
      </c>
      <c r="AC16" s="6">
        <f t="shared" si="23"/>
        <v>-1089.3263999999874</v>
      </c>
      <c r="AD16" s="6">
        <f t="shared" si="3"/>
        <v>42.592662239999513</v>
      </c>
      <c r="AE16" s="6">
        <f t="shared" si="24"/>
        <v>73.340671420000078</v>
      </c>
      <c r="AF16" s="19">
        <v>74</v>
      </c>
      <c r="AG16" s="19">
        <v>54</v>
      </c>
      <c r="AH16" s="6">
        <f t="shared" si="4"/>
        <v>3.833603200000006</v>
      </c>
      <c r="AI16" s="6">
        <f t="shared" si="5"/>
        <v>19.340671420000078</v>
      </c>
      <c r="AJ16" s="6">
        <f t="shared" si="6"/>
        <v>22.022328653985966</v>
      </c>
      <c r="AK16" s="6">
        <f t="shared" si="0"/>
        <v>53.340671420000078</v>
      </c>
      <c r="AL16" s="6">
        <f t="shared" si="7"/>
        <v>470.22299112959467</v>
      </c>
      <c r="AM16" s="6">
        <f t="shared" si="8"/>
        <v>0.11343697017421943</v>
      </c>
      <c r="AN16" s="6">
        <f t="shared" si="9"/>
        <v>3.0292258400000165</v>
      </c>
      <c r="AO16" s="6">
        <f t="shared" si="10"/>
        <v>3.8800000000000001E-2</v>
      </c>
      <c r="AP16" s="6">
        <f t="shared" si="11"/>
        <v>492.11470137270669</v>
      </c>
      <c r="AQ16" s="6">
        <f t="shared" si="12"/>
        <v>3.1540721137090735E-2</v>
      </c>
      <c r="AR16" s="6">
        <f t="shared" si="13"/>
        <v>-10.893263999999874</v>
      </c>
      <c r="AS16" s="6">
        <f t="shared" si="14"/>
        <v>2.3707311011723811E-2</v>
      </c>
      <c r="AT16" s="6">
        <f t="shared" si="15"/>
        <v>3.9456985252985605E-2</v>
      </c>
      <c r="AU16" s="6">
        <f t="shared" si="16"/>
        <v>3.9456985252985604</v>
      </c>
      <c r="AV16" s="6">
        <f t="shared" si="17"/>
        <v>1.6805780458890576</v>
      </c>
      <c r="AW16" s="6">
        <f t="shared" si="1"/>
        <v>18.553581626615198</v>
      </c>
      <c r="AX16" s="20">
        <f t="shared" si="18"/>
        <v>4.9283584718666368E-2</v>
      </c>
      <c r="AY16" s="20">
        <f t="shared" si="19"/>
        <v>6.0994821735748321E-2</v>
      </c>
      <c r="AZ16" s="20">
        <f t="shared" si="20"/>
        <v>0.1102784064544147</v>
      </c>
      <c r="BA16" s="1">
        <f t="shared" si="21"/>
        <v>4.9283584718666368E-2</v>
      </c>
      <c r="BB16" s="1">
        <f t="shared" si="22"/>
        <v>0.15956199117308106</v>
      </c>
    </row>
    <row r="17" spans="1:54" x14ac:dyDescent="0.25">
      <c r="O17" s="6">
        <v>12</v>
      </c>
      <c r="P17" s="7">
        <f>AVERAGE(B575:B624)</f>
        <v>129.89946491999996</v>
      </c>
      <c r="Q17" s="8">
        <f>STDEV(B575:B624)</f>
        <v>1.9468900028506837E-2</v>
      </c>
      <c r="R17" s="9">
        <f>AVERAGE(C575:C624)</f>
        <v>135.9188485</v>
      </c>
      <c r="S17" s="10">
        <f>STDEV(C575:C624)</f>
        <v>1.5283466417164077E-2</v>
      </c>
      <c r="T17" s="11">
        <f>AVERAGE(D575:D624)</f>
        <v>141.60608271999996</v>
      </c>
      <c r="U17" s="12">
        <f>STDEV(D575:D624)</f>
        <v>1.1810210243754313E-2</v>
      </c>
      <c r="V17" s="13">
        <f>AVERAGE(E575:E624)</f>
        <v>82.656090480000003</v>
      </c>
      <c r="W17" s="14">
        <f>STDEV(E575:E624)</f>
        <v>7.9682231232140036E-2</v>
      </c>
      <c r="X17" s="15">
        <f>AVERAGE(F575:F624)</f>
        <v>51.140357580000007</v>
      </c>
      <c r="Y17" s="16">
        <f>STDEV(F575:F624)</f>
        <v>0.62815704498399461</v>
      </c>
      <c r="Z17" s="17">
        <f>AVERAGE(G575:G624)</f>
        <v>20.007820700000003</v>
      </c>
      <c r="AA17" s="18">
        <f>AVERAGE(H575:H624)</f>
        <v>23.399931400000003</v>
      </c>
      <c r="AB17" s="6">
        <f t="shared" si="2"/>
        <v>0.94482003753612398</v>
      </c>
      <c r="AC17" s="6">
        <f t="shared" si="23"/>
        <v>-1237.0916520000151</v>
      </c>
      <c r="AD17" s="6">
        <f t="shared" si="3"/>
        <v>48.37028359320059</v>
      </c>
      <c r="AE17" s="6">
        <f t="shared" si="24"/>
        <v>75.23354056799991</v>
      </c>
      <c r="AF17" s="19">
        <v>74</v>
      </c>
      <c r="AG17" s="19">
        <v>54</v>
      </c>
      <c r="AH17" s="6">
        <f t="shared" si="4"/>
        <v>2.859642419999993</v>
      </c>
      <c r="AI17" s="6">
        <f t="shared" si="5"/>
        <v>21.23354056799991</v>
      </c>
      <c r="AJ17" s="6">
        <f t="shared" si="6"/>
        <v>22.780131009379197</v>
      </c>
      <c r="AK17" s="6">
        <f t="shared" si="0"/>
        <v>55.23354056799991</v>
      </c>
      <c r="AL17" s="6">
        <f t="shared" si="7"/>
        <v>534.00793086893452</v>
      </c>
      <c r="AM17" s="6">
        <f t="shared" si="8"/>
        <v>0.10343206041551521</v>
      </c>
      <c r="AN17" s="6">
        <f t="shared" si="9"/>
        <v>3.3921106999999999</v>
      </c>
      <c r="AO17" s="6">
        <f t="shared" si="10"/>
        <v>3.8800000000000001E-2</v>
      </c>
      <c r="AP17" s="6">
        <f t="shared" si="11"/>
        <v>551.06737903492001</v>
      </c>
      <c r="AQ17" s="6">
        <f t="shared" si="12"/>
        <v>2.9854093590282828E-2</v>
      </c>
      <c r="AR17" s="6">
        <f t="shared" si="13"/>
        <v>-12.370916520000151</v>
      </c>
      <c r="AS17" s="6">
        <f t="shared" si="14"/>
        <v>2.4113204902476731E-2</v>
      </c>
      <c r="AT17" s="6">
        <f t="shared" si="15"/>
        <v>3.8375950213202462E-2</v>
      </c>
      <c r="AU17" s="6">
        <f t="shared" si="16"/>
        <v>3.8375950213202463</v>
      </c>
      <c r="AV17" s="6">
        <f t="shared" si="17"/>
        <v>1.8562555949711497</v>
      </c>
      <c r="AW17" s="6">
        <f t="shared" si="1"/>
        <v>20.493061768481493</v>
      </c>
      <c r="AX17" s="20">
        <f t="shared" si="18"/>
        <v>4.5117650123277418E-2</v>
      </c>
      <c r="AY17" s="20">
        <f t="shared" si="19"/>
        <v>5.512367856054335E-2</v>
      </c>
      <c r="AZ17" s="20">
        <f t="shared" si="20"/>
        <v>0.10024132868382077</v>
      </c>
      <c r="BA17" s="1">
        <f t="shared" si="21"/>
        <v>4.5117650123277418E-2</v>
      </c>
      <c r="BB17" s="1">
        <f t="shared" si="22"/>
        <v>0.14535897880709819</v>
      </c>
    </row>
    <row r="18" spans="1:54" x14ac:dyDescent="0.25">
      <c r="O18" s="6">
        <v>13</v>
      </c>
      <c r="P18" s="7">
        <f>AVERAGE(B625:B674)</f>
        <v>139.07977939999998</v>
      </c>
      <c r="Q18" s="8">
        <f>STDEV(B625:B674)</f>
        <v>1.6794764700552436E-2</v>
      </c>
      <c r="R18" s="9">
        <f>AVERAGE(C625:C674)</f>
        <v>145.87963132000002</v>
      </c>
      <c r="S18" s="10">
        <f>STDEV(C625:C674)</f>
        <v>1.1897291131296376E-2</v>
      </c>
      <c r="T18" s="11">
        <f>AVERAGE(D625:D674)</f>
        <v>152.22152628000001</v>
      </c>
      <c r="U18" s="12">
        <f>STDEV(D625:D674)</f>
        <v>1.0424505939527701E-2</v>
      </c>
      <c r="V18" s="13">
        <f>AVERAGE(E625:E674)</f>
        <v>85.780799559999977</v>
      </c>
      <c r="W18" s="14">
        <f>STDEV(E625:E674)</f>
        <v>4.9987096375846418E-2</v>
      </c>
      <c r="X18" s="15">
        <f>AVERAGE(F625:F674)</f>
        <v>52.784199279999996</v>
      </c>
      <c r="Y18" s="16">
        <f>STDEV(F625:F674)</f>
        <v>0.5487352376649659</v>
      </c>
      <c r="Z18" s="17">
        <f>AVERAGE(G625:G674)</f>
        <v>20.014104099999997</v>
      </c>
      <c r="AA18" s="18">
        <f>AVERAGE(H625:H674)</f>
        <v>23.806096019999995</v>
      </c>
      <c r="AB18" s="6">
        <f t="shared" si="2"/>
        <v>0.93265192163183985</v>
      </c>
      <c r="AC18" s="6">
        <f t="shared" si="23"/>
        <v>-1405.7660800000149</v>
      </c>
      <c r="AD18" s="6">
        <f t="shared" si="3"/>
        <v>54.96545372800059</v>
      </c>
      <c r="AE18" s="6">
        <f t="shared" si="24"/>
        <v>77.346203079999881</v>
      </c>
      <c r="AF18" s="19">
        <v>74</v>
      </c>
      <c r="AG18" s="19">
        <v>54</v>
      </c>
      <c r="AH18" s="6">
        <f t="shared" si="4"/>
        <v>1.2158007200000043</v>
      </c>
      <c r="AI18" s="6">
        <f t="shared" si="5"/>
        <v>23.346203079999881</v>
      </c>
      <c r="AJ18" s="6">
        <f t="shared" si="6"/>
        <v>23.543637284252078</v>
      </c>
      <c r="AK18" s="6">
        <f t="shared" si="0"/>
        <v>57.346203079999881</v>
      </c>
      <c r="AL18" s="6">
        <f t="shared" si="7"/>
        <v>606.8186091571265</v>
      </c>
      <c r="AM18" s="6">
        <f t="shared" si="8"/>
        <v>9.4503039647472226E-2</v>
      </c>
      <c r="AN18" s="6">
        <f t="shared" si="9"/>
        <v>3.7919919199999974</v>
      </c>
      <c r="AO18" s="6">
        <f t="shared" si="10"/>
        <v>3.8800000000000001E-2</v>
      </c>
      <c r="AP18" s="6">
        <f t="shared" si="11"/>
        <v>616.03032255875155</v>
      </c>
      <c r="AQ18" s="6">
        <f t="shared" si="12"/>
        <v>2.8471662813034378E-2</v>
      </c>
      <c r="AR18" s="6">
        <f t="shared" si="13"/>
        <v>-14.05766080000015</v>
      </c>
      <c r="AS18" s="6">
        <f t="shared" si="14"/>
        <v>2.3636408051514908E-2</v>
      </c>
      <c r="AT18" s="6">
        <f t="shared" si="15"/>
        <v>3.7004261496709316E-2</v>
      </c>
      <c r="AU18" s="6">
        <f t="shared" si="16"/>
        <v>3.7004261496709314</v>
      </c>
      <c r="AV18" s="6">
        <f t="shared" si="17"/>
        <v>2.0339560230362097</v>
      </c>
      <c r="AW18" s="6">
        <f t="shared" si="1"/>
        <v>22.454874494319757</v>
      </c>
      <c r="AX18" s="20">
        <f t="shared" si="18"/>
        <v>4.0476681877170191E-2</v>
      </c>
      <c r="AY18" s="20">
        <f t="shared" si="19"/>
        <v>5.0878629551068394E-2</v>
      </c>
      <c r="AZ18" s="20">
        <f t="shared" si="20"/>
        <v>9.1355311428238578E-2</v>
      </c>
      <c r="BA18" s="1">
        <f t="shared" si="21"/>
        <v>4.0476681877170191E-2</v>
      </c>
      <c r="BB18" s="1">
        <f t="shared" si="22"/>
        <v>0.13183199330540876</v>
      </c>
    </row>
    <row r="19" spans="1:54" x14ac:dyDescent="0.25">
      <c r="O19" s="6">
        <v>14</v>
      </c>
      <c r="P19" s="7">
        <f>AVERAGE(B675:B724)</f>
        <v>148.77340422000006</v>
      </c>
      <c r="Q19" s="8">
        <f>STDEV(B675:B724)</f>
        <v>1.2698111798076556E-2</v>
      </c>
      <c r="R19" s="9">
        <f>AVERAGE(C675:C724)</f>
        <v>156.34336386000004</v>
      </c>
      <c r="S19" s="10">
        <f>STDEV(C675:C724)</f>
        <v>1.0933901021658018E-2</v>
      </c>
      <c r="T19" s="11">
        <f>AVERAGE(D675:D724)</f>
        <v>163.38833080000003</v>
      </c>
      <c r="U19" s="12">
        <f>STDEV(D675:D724)</f>
        <v>1.1675545108983826E-2</v>
      </c>
      <c r="V19" s="13">
        <f>AVERAGE(E675:E724)</f>
        <v>88.805480540000005</v>
      </c>
      <c r="W19" s="14">
        <f>STDEV(E675:E724)</f>
        <v>5.8045579829678701E-2</v>
      </c>
      <c r="X19" s="15">
        <f>AVERAGE(F675:F724)</f>
        <v>54.211553500000008</v>
      </c>
      <c r="Y19" s="16">
        <f>STDEV(F675:F724)</f>
        <v>0.28319718218376777</v>
      </c>
      <c r="Z19" s="17">
        <f>AVERAGE(G675:G724)</f>
        <v>20.072263160000002</v>
      </c>
      <c r="AA19" s="18">
        <f>AVERAGE(H675:H724)</f>
        <v>24.31312046</v>
      </c>
      <c r="AB19" s="6">
        <f t="shared" si="2"/>
        <v>0.93064788651898467</v>
      </c>
      <c r="AC19" s="6">
        <f t="shared" si="23"/>
        <v>-1566.491197999997</v>
      </c>
      <c r="AD19" s="6">
        <f t="shared" si="3"/>
        <v>61.249805841799883</v>
      </c>
      <c r="AE19" s="6">
        <f t="shared" si="24"/>
        <v>79.406533352000025</v>
      </c>
      <c r="AF19" s="19">
        <v>74</v>
      </c>
      <c r="AG19" s="19">
        <v>54</v>
      </c>
      <c r="AH19" s="6">
        <f t="shared" si="4"/>
        <v>-0.21155350000000794</v>
      </c>
      <c r="AI19" s="6">
        <f t="shared" si="5"/>
        <v>25.406533352000025</v>
      </c>
      <c r="AJ19" s="6">
        <f t="shared" si="6"/>
        <v>24.107895789323909</v>
      </c>
      <c r="AK19" s="6">
        <f>(AE19-20)</f>
        <v>59.406533352000025</v>
      </c>
      <c r="AL19" s="6">
        <f t="shared" si="7"/>
        <v>676.19785649347079</v>
      </c>
      <c r="AM19" s="6">
        <f t="shared" si="8"/>
        <v>8.7853773539096749E-2</v>
      </c>
      <c r="AN19" s="6">
        <f t="shared" si="9"/>
        <v>4.2408572999999983</v>
      </c>
      <c r="AO19" s="6">
        <f t="shared" si="10"/>
        <v>3.8800000000000001E-2</v>
      </c>
      <c r="AP19" s="6">
        <f t="shared" si="11"/>
        <v>688.95101718587978</v>
      </c>
      <c r="AQ19" s="6">
        <f t="shared" si="12"/>
        <v>2.7509030452850611E-2</v>
      </c>
      <c r="AR19" s="6">
        <f t="shared" si="13"/>
        <v>-15.664911979999971</v>
      </c>
      <c r="AS19" s="6">
        <f t="shared" si="14"/>
        <v>2.3411281736534752E-2</v>
      </c>
      <c r="AT19" s="6">
        <f t="shared" si="15"/>
        <v>3.6122498100259734E-2</v>
      </c>
      <c r="AU19" s="6">
        <f t="shared" si="16"/>
        <v>3.6122498100259732</v>
      </c>
      <c r="AV19" s="6">
        <f t="shared" si="17"/>
        <v>2.212495995161694</v>
      </c>
      <c r="AW19" s="6">
        <f t="shared" si="1"/>
        <v>24.425955786585103</v>
      </c>
      <c r="AX19" s="20">
        <f t="shared" si="18"/>
        <v>3.7259774798241017E-2</v>
      </c>
      <c r="AY19" s="20">
        <f t="shared" si="19"/>
        <v>4.7351320893027966E-2</v>
      </c>
      <c r="AZ19" s="20">
        <f t="shared" si="20"/>
        <v>8.4611095691268984E-2</v>
      </c>
      <c r="BA19" s="1">
        <f t="shared" si="21"/>
        <v>3.7259774798241017E-2</v>
      </c>
      <c r="BB19" s="1">
        <f t="shared" si="22"/>
        <v>0.12187087048951001</v>
      </c>
    </row>
    <row r="20" spans="1:54" x14ac:dyDescent="0.25">
      <c r="O20" s="6">
        <v>15</v>
      </c>
      <c r="P20" s="7" t="e">
        <f>AVERAGE(B725:B774)</f>
        <v>#DIV/0!</v>
      </c>
      <c r="Q20" s="8" t="e">
        <f>STDEV(B725:B774)</f>
        <v>#DIV/0!</v>
      </c>
      <c r="R20" s="9" t="e">
        <f>AVERAGE(C725:C774)</f>
        <v>#DIV/0!</v>
      </c>
      <c r="S20" s="10" t="e">
        <f>STDEV(C725:C774)</f>
        <v>#DIV/0!</v>
      </c>
      <c r="T20" s="11" t="e">
        <f>AVERAGE(D725:D774)</f>
        <v>#DIV/0!</v>
      </c>
      <c r="U20" s="12" t="e">
        <f>STDEV(D725:D774)</f>
        <v>#DIV/0!</v>
      </c>
      <c r="V20" s="13" t="e">
        <f>AVERAGE(E725:E774)</f>
        <v>#DIV/0!</v>
      </c>
      <c r="W20" s="14" t="e">
        <f>STDEV(E725:E774)</f>
        <v>#DIV/0!</v>
      </c>
      <c r="X20" s="15" t="e">
        <f>AVERAGE(F725:F774)</f>
        <v>#DIV/0!</v>
      </c>
      <c r="Y20" s="16" t="e">
        <f>STDEV(F725:F774)</f>
        <v>#DIV/0!</v>
      </c>
      <c r="Z20" s="17" t="e">
        <f>AVERAGE(G725:G774)</f>
        <v>#DIV/0!</v>
      </c>
      <c r="AA20" s="18" t="e">
        <f>AVERAGE(H725:H774)</f>
        <v>#DIV/0!</v>
      </c>
      <c r="AB20" s="6" t="e">
        <f t="shared" si="2"/>
        <v>#DIV/0!</v>
      </c>
      <c r="AC20" s="6" t="e">
        <f t="shared" si="23"/>
        <v>#DIV/0!</v>
      </c>
      <c r="AD20" s="6" t="e">
        <f t="shared" si="3"/>
        <v>#DIV/0!</v>
      </c>
      <c r="AE20" s="6" t="e">
        <f t="shared" si="24"/>
        <v>#DIV/0!</v>
      </c>
      <c r="AF20" s="19"/>
      <c r="AG20" s="19"/>
      <c r="AH20" s="6" t="e">
        <f t="shared" si="4"/>
        <v>#DIV/0!</v>
      </c>
      <c r="AI20" s="6" t="e">
        <f t="shared" si="5"/>
        <v>#DIV/0!</v>
      </c>
      <c r="AJ20" s="6" t="e">
        <f t="shared" si="6"/>
        <v>#DIV/0!</v>
      </c>
      <c r="AK20" s="6" t="e">
        <f t="shared" ref="AK20:AK30" si="25">(AE20-AG20)+(AG20-59)</f>
        <v>#DIV/0!</v>
      </c>
      <c r="AL20" s="6" t="e">
        <f t="shared" si="7"/>
        <v>#DIV/0!</v>
      </c>
      <c r="AM20" s="6" t="e">
        <f t="shared" si="8"/>
        <v>#DIV/0!</v>
      </c>
      <c r="AN20" s="6" t="e">
        <f t="shared" si="9"/>
        <v>#DIV/0!</v>
      </c>
      <c r="AO20" s="6">
        <f t="shared" si="10"/>
        <v>3.8800000000000001E-2</v>
      </c>
      <c r="AP20" s="6" t="e">
        <f t="shared" si="11"/>
        <v>#DIV/0!</v>
      </c>
      <c r="AQ20" s="6" t="e">
        <f t="shared" si="12"/>
        <v>#DIV/0!</v>
      </c>
      <c r="AR20" s="6" t="e">
        <f t="shared" si="13"/>
        <v>#DIV/0!</v>
      </c>
      <c r="AS20" s="6" t="e">
        <f t="shared" si="14"/>
        <v>#DIV/0!</v>
      </c>
      <c r="AT20" s="6" t="e">
        <f t="shared" si="15"/>
        <v>#DIV/0!</v>
      </c>
      <c r="AU20" s="6" t="e">
        <f t="shared" si="16"/>
        <v>#DIV/0!</v>
      </c>
      <c r="AV20" s="6" t="e">
        <f t="shared" si="17"/>
        <v>#DIV/0!</v>
      </c>
      <c r="AW20" s="6" t="e">
        <f t="shared" si="1"/>
        <v>#DIV/0!</v>
      </c>
      <c r="AX20" s="20" t="e">
        <f t="shared" si="18"/>
        <v>#DIV/0!</v>
      </c>
      <c r="AY20" s="20" t="e">
        <f t="shared" si="19"/>
        <v>#DIV/0!</v>
      </c>
      <c r="AZ20" s="20" t="e">
        <f t="shared" si="20"/>
        <v>#DIV/0!</v>
      </c>
      <c r="BA20" s="1" t="e">
        <f t="shared" si="21"/>
        <v>#DIV/0!</v>
      </c>
      <c r="BB20" s="1" t="e">
        <f t="shared" si="22"/>
        <v>#DIV/0!</v>
      </c>
    </row>
    <row r="21" spans="1:54" x14ac:dyDescent="0.25">
      <c r="O21" s="6">
        <v>16</v>
      </c>
      <c r="P21" s="7" t="e">
        <f>AVERAGE(B775:B824)</f>
        <v>#DIV/0!</v>
      </c>
      <c r="Q21" s="8" t="e">
        <f>STDEV(B775:B824)</f>
        <v>#DIV/0!</v>
      </c>
      <c r="R21" s="9" t="e">
        <f>AVERAGE(C775:C824)</f>
        <v>#DIV/0!</v>
      </c>
      <c r="S21" s="10" t="e">
        <f>STDEV(C775:C824)</f>
        <v>#DIV/0!</v>
      </c>
      <c r="T21" s="11" t="e">
        <f>AVERAGE(D775:D824)</f>
        <v>#DIV/0!</v>
      </c>
      <c r="U21" s="12" t="e">
        <f>STDEV(D775:D824)</f>
        <v>#DIV/0!</v>
      </c>
      <c r="V21" s="13" t="e">
        <f>AVERAGE(E775:E824)</f>
        <v>#DIV/0!</v>
      </c>
      <c r="W21" s="14" t="e">
        <f>STDEV(E775:E824)</f>
        <v>#DIV/0!</v>
      </c>
      <c r="X21" s="15" t="e">
        <f>AVERAGE(F775:F824)</f>
        <v>#DIV/0!</v>
      </c>
      <c r="Y21" s="16" t="e">
        <f>STDEV(F775:F824)</f>
        <v>#DIV/0!</v>
      </c>
      <c r="Z21" s="17" t="e">
        <f>AVERAGE(G775:G824)</f>
        <v>#DIV/0!</v>
      </c>
      <c r="AA21" s="18" t="e">
        <f>AVERAGE(H775:H824)</f>
        <v>#DIV/0!</v>
      </c>
      <c r="AB21" s="6" t="e">
        <f t="shared" si="2"/>
        <v>#DIV/0!</v>
      </c>
      <c r="AC21" s="6" t="e">
        <f t="shared" si="23"/>
        <v>#DIV/0!</v>
      </c>
      <c r="AD21" s="6" t="e">
        <f t="shared" si="3"/>
        <v>#DIV/0!</v>
      </c>
      <c r="AE21" s="6" t="e">
        <f t="shared" si="24"/>
        <v>#DIV/0!</v>
      </c>
      <c r="AF21" s="19"/>
      <c r="AG21" s="19"/>
      <c r="AH21" s="6" t="e">
        <f t="shared" si="4"/>
        <v>#DIV/0!</v>
      </c>
      <c r="AI21" s="6" t="e">
        <f t="shared" si="5"/>
        <v>#DIV/0!</v>
      </c>
      <c r="AJ21" s="6" t="e">
        <f t="shared" si="6"/>
        <v>#DIV/0!</v>
      </c>
      <c r="AK21" s="6" t="e">
        <f t="shared" si="25"/>
        <v>#DIV/0!</v>
      </c>
      <c r="AL21" s="6" t="e">
        <f t="shared" si="7"/>
        <v>#DIV/0!</v>
      </c>
      <c r="AM21" s="6" t="e">
        <f t="shared" si="8"/>
        <v>#DIV/0!</v>
      </c>
      <c r="AN21" s="6" t="e">
        <f t="shared" si="9"/>
        <v>#DIV/0!</v>
      </c>
      <c r="AO21" s="6">
        <f t="shared" si="10"/>
        <v>3.8800000000000001E-2</v>
      </c>
      <c r="AP21" s="6" t="e">
        <f t="shared" si="11"/>
        <v>#DIV/0!</v>
      </c>
      <c r="AQ21" s="6" t="e">
        <f t="shared" si="12"/>
        <v>#DIV/0!</v>
      </c>
      <c r="AR21" s="6" t="e">
        <f t="shared" si="13"/>
        <v>#DIV/0!</v>
      </c>
      <c r="AS21" s="6" t="e">
        <f t="shared" si="14"/>
        <v>#DIV/0!</v>
      </c>
      <c r="AT21" s="6" t="e">
        <f t="shared" si="15"/>
        <v>#DIV/0!</v>
      </c>
      <c r="AU21" s="6" t="e">
        <f t="shared" si="16"/>
        <v>#DIV/0!</v>
      </c>
      <c r="AV21" s="6" t="e">
        <f t="shared" si="17"/>
        <v>#DIV/0!</v>
      </c>
      <c r="AW21" s="6" t="e">
        <f t="shared" si="1"/>
        <v>#DIV/0!</v>
      </c>
      <c r="AX21" s="20" t="e">
        <f t="shared" si="18"/>
        <v>#DIV/0!</v>
      </c>
      <c r="AY21" s="20" t="e">
        <f t="shared" si="19"/>
        <v>#DIV/0!</v>
      </c>
      <c r="AZ21" s="20" t="e">
        <f t="shared" si="20"/>
        <v>#DIV/0!</v>
      </c>
      <c r="BA21" s="1" t="e">
        <f t="shared" si="21"/>
        <v>#DIV/0!</v>
      </c>
      <c r="BB21" s="1" t="e">
        <f t="shared" si="22"/>
        <v>#DIV/0!</v>
      </c>
    </row>
    <row r="22" spans="1:54" x14ac:dyDescent="0.25">
      <c r="O22" s="6">
        <v>17</v>
      </c>
      <c r="P22" s="7" t="e">
        <f>AVERAGE(B825:B874)</f>
        <v>#DIV/0!</v>
      </c>
      <c r="Q22" s="8" t="e">
        <f>STDEV(B825:B874)</f>
        <v>#DIV/0!</v>
      </c>
      <c r="R22" s="9" t="e">
        <f>AVERAGE(C825:C874)</f>
        <v>#DIV/0!</v>
      </c>
      <c r="S22" s="10" t="e">
        <f>STDEV(C825:C874)</f>
        <v>#DIV/0!</v>
      </c>
      <c r="T22" s="11" t="e">
        <f>AVERAGE(D825:D874)</f>
        <v>#DIV/0!</v>
      </c>
      <c r="U22" s="12" t="e">
        <f>STDEV(D825:D874)</f>
        <v>#DIV/0!</v>
      </c>
      <c r="V22" s="13" t="e">
        <f>AVERAGE(E825:E874)</f>
        <v>#DIV/0!</v>
      </c>
      <c r="W22" s="14" t="e">
        <f>STDEV(E825:E874)</f>
        <v>#DIV/0!</v>
      </c>
      <c r="X22" s="15" t="e">
        <f>AVERAGE(F825:F874)</f>
        <v>#DIV/0!</v>
      </c>
      <c r="Y22" s="16" t="e">
        <f>STDEV(F825:F874)</f>
        <v>#DIV/0!</v>
      </c>
      <c r="Z22" s="17" t="e">
        <f>AVERAGE(G825:G874)</f>
        <v>#DIV/0!</v>
      </c>
      <c r="AA22" s="18" t="e">
        <f>AVERAGE(H825:H874)</f>
        <v>#DIV/0!</v>
      </c>
      <c r="AB22" s="6" t="e">
        <f t="shared" si="2"/>
        <v>#DIV/0!</v>
      </c>
      <c r="AC22" s="6" t="e">
        <f t="shared" si="23"/>
        <v>#DIV/0!</v>
      </c>
      <c r="AD22" s="6" t="e">
        <f t="shared" si="3"/>
        <v>#DIV/0!</v>
      </c>
      <c r="AE22" s="6" t="e">
        <f t="shared" si="24"/>
        <v>#DIV/0!</v>
      </c>
      <c r="AF22" s="19"/>
      <c r="AG22" s="19"/>
      <c r="AH22" s="6" t="e">
        <f t="shared" si="4"/>
        <v>#DIV/0!</v>
      </c>
      <c r="AI22" s="6" t="e">
        <f t="shared" si="5"/>
        <v>#DIV/0!</v>
      </c>
      <c r="AJ22" s="6" t="e">
        <f t="shared" si="6"/>
        <v>#DIV/0!</v>
      </c>
      <c r="AK22" s="6" t="e">
        <f t="shared" si="25"/>
        <v>#DIV/0!</v>
      </c>
      <c r="AL22" s="6" t="e">
        <f t="shared" si="7"/>
        <v>#DIV/0!</v>
      </c>
      <c r="AM22" s="6" t="e">
        <f t="shared" si="8"/>
        <v>#DIV/0!</v>
      </c>
      <c r="AN22" s="6" t="e">
        <f t="shared" si="9"/>
        <v>#DIV/0!</v>
      </c>
      <c r="AO22" s="6">
        <f t="shared" si="10"/>
        <v>3.8800000000000001E-2</v>
      </c>
      <c r="AP22" s="6" t="e">
        <f t="shared" si="11"/>
        <v>#DIV/0!</v>
      </c>
      <c r="AQ22" s="6" t="e">
        <f t="shared" si="12"/>
        <v>#DIV/0!</v>
      </c>
      <c r="AR22" s="6" t="e">
        <f t="shared" si="13"/>
        <v>#DIV/0!</v>
      </c>
      <c r="AS22" s="6" t="e">
        <f t="shared" si="14"/>
        <v>#DIV/0!</v>
      </c>
      <c r="AT22" s="6" t="e">
        <f t="shared" si="15"/>
        <v>#DIV/0!</v>
      </c>
      <c r="AU22" s="6" t="e">
        <f t="shared" si="16"/>
        <v>#DIV/0!</v>
      </c>
      <c r="AV22" s="6" t="e">
        <f t="shared" si="17"/>
        <v>#DIV/0!</v>
      </c>
      <c r="AW22" s="6" t="e">
        <f t="shared" si="1"/>
        <v>#DIV/0!</v>
      </c>
      <c r="AX22" s="20" t="e">
        <f t="shared" si="18"/>
        <v>#DIV/0!</v>
      </c>
      <c r="AY22" s="20" t="e">
        <f t="shared" si="19"/>
        <v>#DIV/0!</v>
      </c>
      <c r="AZ22" s="20" t="e">
        <f t="shared" si="20"/>
        <v>#DIV/0!</v>
      </c>
      <c r="BA22" s="1" t="e">
        <f t="shared" si="21"/>
        <v>#DIV/0!</v>
      </c>
      <c r="BB22" s="1" t="e">
        <f t="shared" si="22"/>
        <v>#DIV/0!</v>
      </c>
    </row>
    <row r="23" spans="1:54" x14ac:dyDescent="0.25">
      <c r="O23" s="6">
        <v>18</v>
      </c>
      <c r="P23" s="7" t="e">
        <f>AVERAGE(B875:B924)</f>
        <v>#DIV/0!</v>
      </c>
      <c r="Q23" s="8" t="e">
        <f>STDEV(B875:B924)</f>
        <v>#DIV/0!</v>
      </c>
      <c r="R23" s="9" t="e">
        <f>AVERAGE(C875:C924)</f>
        <v>#DIV/0!</v>
      </c>
      <c r="S23" s="10" t="e">
        <f>STDEV(C875:C924)</f>
        <v>#DIV/0!</v>
      </c>
      <c r="T23" s="11" t="e">
        <f>AVERAGE(D875:D924)</f>
        <v>#DIV/0!</v>
      </c>
      <c r="U23" s="12" t="e">
        <f>STDEV(D875:D924)</f>
        <v>#DIV/0!</v>
      </c>
      <c r="V23" s="13" t="e">
        <f>AVERAGE(E875:E924)</f>
        <v>#DIV/0!</v>
      </c>
      <c r="W23" s="14" t="e">
        <f>STDEV(E875:E924)</f>
        <v>#DIV/0!</v>
      </c>
      <c r="X23" s="15" t="e">
        <f>AVERAGE(F875:F924)</f>
        <v>#DIV/0!</v>
      </c>
      <c r="Y23" s="16" t="e">
        <f>STDEV(F875:F924)</f>
        <v>#DIV/0!</v>
      </c>
      <c r="Z23" s="17" t="e">
        <f>AVERAGE(G875:G924)</f>
        <v>#DIV/0!</v>
      </c>
      <c r="AA23" s="18" t="e">
        <f>AVERAGE(H875:H924)</f>
        <v>#DIV/0!</v>
      </c>
      <c r="AB23" s="6" t="e">
        <f t="shared" si="2"/>
        <v>#DIV/0!</v>
      </c>
      <c r="AC23" s="6" t="e">
        <f t="shared" si="23"/>
        <v>#DIV/0!</v>
      </c>
      <c r="AD23" s="6" t="e">
        <f t="shared" si="3"/>
        <v>#DIV/0!</v>
      </c>
      <c r="AE23" s="6" t="e">
        <f t="shared" si="24"/>
        <v>#DIV/0!</v>
      </c>
      <c r="AF23" s="19"/>
      <c r="AG23" s="19"/>
      <c r="AH23" s="6" t="e">
        <f t="shared" si="4"/>
        <v>#DIV/0!</v>
      </c>
      <c r="AI23" s="6" t="e">
        <f t="shared" si="5"/>
        <v>#DIV/0!</v>
      </c>
      <c r="AJ23" s="6" t="e">
        <f t="shared" si="6"/>
        <v>#DIV/0!</v>
      </c>
      <c r="AK23" s="6" t="e">
        <f t="shared" si="25"/>
        <v>#DIV/0!</v>
      </c>
      <c r="AL23" s="6" t="e">
        <f t="shared" si="7"/>
        <v>#DIV/0!</v>
      </c>
      <c r="AM23" s="6" t="e">
        <f t="shared" si="8"/>
        <v>#DIV/0!</v>
      </c>
      <c r="AN23" s="6" t="e">
        <f t="shared" si="9"/>
        <v>#DIV/0!</v>
      </c>
      <c r="AO23" s="6">
        <f t="shared" si="10"/>
        <v>3.8800000000000001E-2</v>
      </c>
      <c r="AP23" s="6" t="e">
        <f t="shared" si="11"/>
        <v>#DIV/0!</v>
      </c>
      <c r="AQ23" s="6" t="e">
        <f t="shared" si="12"/>
        <v>#DIV/0!</v>
      </c>
      <c r="AR23" s="6" t="e">
        <f t="shared" si="13"/>
        <v>#DIV/0!</v>
      </c>
      <c r="AS23" s="6" t="e">
        <f t="shared" si="14"/>
        <v>#DIV/0!</v>
      </c>
      <c r="AT23" s="6" t="e">
        <f t="shared" si="15"/>
        <v>#DIV/0!</v>
      </c>
      <c r="AU23" s="6" t="e">
        <f t="shared" si="16"/>
        <v>#DIV/0!</v>
      </c>
      <c r="AV23" s="6" t="e">
        <f t="shared" si="17"/>
        <v>#DIV/0!</v>
      </c>
      <c r="AW23" s="6" t="e">
        <f t="shared" si="1"/>
        <v>#DIV/0!</v>
      </c>
      <c r="AX23" s="20" t="e">
        <f t="shared" si="18"/>
        <v>#DIV/0!</v>
      </c>
      <c r="AY23" s="20" t="e">
        <f t="shared" si="19"/>
        <v>#DIV/0!</v>
      </c>
      <c r="AZ23" s="20" t="e">
        <f t="shared" si="20"/>
        <v>#DIV/0!</v>
      </c>
      <c r="BA23" s="1" t="e">
        <f t="shared" si="21"/>
        <v>#DIV/0!</v>
      </c>
      <c r="BB23" s="1" t="e">
        <f t="shared" si="22"/>
        <v>#DIV/0!</v>
      </c>
    </row>
    <row r="24" spans="1:54" x14ac:dyDescent="0.3">
      <c r="A24" s="1" t="s">
        <v>48</v>
      </c>
      <c r="B24" s="1" t="s">
        <v>10</v>
      </c>
      <c r="C24" s="1" t="s">
        <v>14</v>
      </c>
      <c r="D24" s="1" t="s">
        <v>15</v>
      </c>
      <c r="E24" s="1" t="s">
        <v>16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54</v>
      </c>
      <c r="L24" s="1" t="s">
        <v>55</v>
      </c>
      <c r="O24" s="6">
        <v>19</v>
      </c>
      <c r="P24" s="7" t="e">
        <f>AVERAGE(B925:B974)</f>
        <v>#DIV/0!</v>
      </c>
      <c r="Q24" s="8" t="e">
        <f>STDEV(B925:B974)</f>
        <v>#DIV/0!</v>
      </c>
      <c r="R24" s="9" t="e">
        <f>AVERAGE(C925:C974)</f>
        <v>#DIV/0!</v>
      </c>
      <c r="S24" s="10" t="e">
        <f>STDEV(C925:C974)</f>
        <v>#DIV/0!</v>
      </c>
      <c r="T24" s="11" t="e">
        <f>AVERAGE(D925:D974)</f>
        <v>#DIV/0!</v>
      </c>
      <c r="U24" s="12" t="e">
        <f>STDEV(D925:D974)</f>
        <v>#DIV/0!</v>
      </c>
      <c r="V24" s="13" t="e">
        <f>AVERAGE(E925:E974)</f>
        <v>#DIV/0!</v>
      </c>
      <c r="W24" s="14" t="e">
        <f>STDEV(E925:E974)</f>
        <v>#DIV/0!</v>
      </c>
      <c r="X24" s="15" t="e">
        <f>AVERAGE(F925:F974)</f>
        <v>#DIV/0!</v>
      </c>
      <c r="Y24" s="16" t="e">
        <f>STDEV(F925:F974)</f>
        <v>#DIV/0!</v>
      </c>
      <c r="Z24" s="17" t="e">
        <f>AVERAGE(G925:G974)</f>
        <v>#DIV/0!</v>
      </c>
      <c r="AA24" s="18" t="e">
        <f>AVERAGE(H925:H974)</f>
        <v>#DIV/0!</v>
      </c>
      <c r="AB24" s="6" t="e">
        <f t="shared" si="2"/>
        <v>#DIV/0!</v>
      </c>
      <c r="AC24" s="6" t="e">
        <f t="shared" si="23"/>
        <v>#DIV/0!</v>
      </c>
      <c r="AD24" s="6" t="e">
        <f t="shared" si="3"/>
        <v>#DIV/0!</v>
      </c>
      <c r="AE24" s="6" t="e">
        <f t="shared" si="24"/>
        <v>#DIV/0!</v>
      </c>
      <c r="AF24" s="22"/>
      <c r="AG24" s="22"/>
      <c r="AH24" s="6" t="e">
        <f t="shared" si="4"/>
        <v>#DIV/0!</v>
      </c>
      <c r="AI24" s="6" t="e">
        <f t="shared" si="5"/>
        <v>#DIV/0!</v>
      </c>
      <c r="AJ24" s="6" t="e">
        <f t="shared" si="6"/>
        <v>#DIV/0!</v>
      </c>
      <c r="AK24" s="6" t="e">
        <f t="shared" si="25"/>
        <v>#DIV/0!</v>
      </c>
      <c r="AL24" s="6" t="e">
        <f t="shared" si="7"/>
        <v>#DIV/0!</v>
      </c>
      <c r="AM24" s="6" t="e">
        <f t="shared" si="8"/>
        <v>#DIV/0!</v>
      </c>
      <c r="AN24" s="6" t="e">
        <f t="shared" si="9"/>
        <v>#DIV/0!</v>
      </c>
      <c r="AO24" s="6">
        <f t="shared" si="10"/>
        <v>3.8800000000000001E-2</v>
      </c>
      <c r="AP24" s="6" t="e">
        <f t="shared" si="11"/>
        <v>#DIV/0!</v>
      </c>
      <c r="AQ24" s="6" t="e">
        <f t="shared" si="12"/>
        <v>#DIV/0!</v>
      </c>
      <c r="AR24" s="6" t="e">
        <f t="shared" si="13"/>
        <v>#DIV/0!</v>
      </c>
      <c r="AS24" s="6" t="e">
        <f t="shared" si="14"/>
        <v>#DIV/0!</v>
      </c>
      <c r="AT24" s="6" t="e">
        <f t="shared" si="15"/>
        <v>#DIV/0!</v>
      </c>
      <c r="AU24" s="6" t="e">
        <f t="shared" si="16"/>
        <v>#DIV/0!</v>
      </c>
      <c r="AV24" s="6" t="e">
        <f t="shared" si="17"/>
        <v>#DIV/0!</v>
      </c>
      <c r="AW24" s="6" t="e">
        <f t="shared" si="1"/>
        <v>#DIV/0!</v>
      </c>
      <c r="AX24" s="20" t="e">
        <f t="shared" si="18"/>
        <v>#DIV/0!</v>
      </c>
      <c r="AY24" s="20" t="e">
        <f t="shared" si="19"/>
        <v>#DIV/0!</v>
      </c>
      <c r="AZ24" s="20" t="e">
        <f t="shared" si="20"/>
        <v>#DIV/0!</v>
      </c>
      <c r="BA24" s="1" t="e">
        <f t="shared" si="21"/>
        <v>#DIV/0!</v>
      </c>
      <c r="BB24" s="1" t="e">
        <f t="shared" si="22"/>
        <v>#DIV/0!</v>
      </c>
    </row>
    <row r="25" spans="1:54" x14ac:dyDescent="0.3">
      <c r="A25">
        <v>30</v>
      </c>
      <c r="B25">
        <v>49.940215000000002</v>
      </c>
      <c r="C25">
        <v>50.519886</v>
      </c>
      <c r="D25">
        <v>51.007424999999998</v>
      </c>
      <c r="E25">
        <v>44.876278999999997</v>
      </c>
      <c r="F25">
        <v>27.844031000000001</v>
      </c>
      <c r="G25">
        <v>19.988531999999999</v>
      </c>
      <c r="H25">
        <v>20.503703999999999</v>
      </c>
      <c r="I25" t="s">
        <v>56</v>
      </c>
      <c r="O25" s="6">
        <v>20</v>
      </c>
      <c r="P25" s="7" t="e">
        <f>AVERAGE(B975:B1024)</f>
        <v>#DIV/0!</v>
      </c>
      <c r="Q25" s="8" t="e">
        <f>STDEV(B975:B1024)</f>
        <v>#DIV/0!</v>
      </c>
      <c r="R25" s="9" t="e">
        <f>AVERAGE(C975:C1024)</f>
        <v>#DIV/0!</v>
      </c>
      <c r="S25" s="10" t="e">
        <f>STDEV(C975:C1024)</f>
        <v>#DIV/0!</v>
      </c>
      <c r="T25" s="11" t="e">
        <f>AVERAGE(D975:D1024)</f>
        <v>#DIV/0!</v>
      </c>
      <c r="U25" s="12" t="e">
        <f>STDEV(D975:D1024)</f>
        <v>#DIV/0!</v>
      </c>
      <c r="V25" s="13" t="e">
        <f>AVERAGE(E975:E1024)</f>
        <v>#DIV/0!</v>
      </c>
      <c r="W25" s="14" t="e">
        <f>STDEV(E975:E1024)</f>
        <v>#DIV/0!</v>
      </c>
      <c r="X25" s="15" t="e">
        <f>AVERAGE(F975:F1024)</f>
        <v>#DIV/0!</v>
      </c>
      <c r="Y25" s="16" t="e">
        <f>STDEV(F975:F1024)</f>
        <v>#DIV/0!</v>
      </c>
      <c r="Z25" s="17" t="e">
        <f>AVERAGE(G975:G1024)</f>
        <v>#DIV/0!</v>
      </c>
      <c r="AA25" s="18" t="e">
        <f>AVERAGE(H975:H1024)</f>
        <v>#DIV/0!</v>
      </c>
      <c r="AB25" s="6" t="e">
        <f t="shared" si="2"/>
        <v>#DIV/0!</v>
      </c>
      <c r="AC25" s="6" t="e">
        <f t="shared" si="23"/>
        <v>#DIV/0!</v>
      </c>
      <c r="AD25" s="6" t="e">
        <f t="shared" si="3"/>
        <v>#DIV/0!</v>
      </c>
      <c r="AE25" s="6" t="e">
        <f t="shared" si="24"/>
        <v>#DIV/0!</v>
      </c>
      <c r="AF25" s="22"/>
      <c r="AG25" s="22"/>
      <c r="AH25" s="6" t="e">
        <f t="shared" si="4"/>
        <v>#DIV/0!</v>
      </c>
      <c r="AI25" s="6" t="e">
        <f t="shared" si="5"/>
        <v>#DIV/0!</v>
      </c>
      <c r="AJ25" s="6" t="e">
        <f t="shared" si="6"/>
        <v>#DIV/0!</v>
      </c>
      <c r="AK25" s="6" t="e">
        <f t="shared" si="25"/>
        <v>#DIV/0!</v>
      </c>
      <c r="AL25" s="6" t="e">
        <f t="shared" si="7"/>
        <v>#DIV/0!</v>
      </c>
      <c r="AM25" s="6" t="e">
        <f t="shared" si="8"/>
        <v>#DIV/0!</v>
      </c>
      <c r="AN25" s="6" t="e">
        <f t="shared" si="9"/>
        <v>#DIV/0!</v>
      </c>
      <c r="AO25" s="6">
        <f t="shared" si="10"/>
        <v>3.8800000000000001E-2</v>
      </c>
      <c r="AP25" s="6" t="e">
        <f t="shared" si="11"/>
        <v>#DIV/0!</v>
      </c>
      <c r="AQ25" s="6" t="e">
        <f t="shared" si="12"/>
        <v>#DIV/0!</v>
      </c>
      <c r="AR25" s="6" t="e">
        <f t="shared" si="13"/>
        <v>#DIV/0!</v>
      </c>
      <c r="AS25" s="6" t="e">
        <f t="shared" si="14"/>
        <v>#DIV/0!</v>
      </c>
      <c r="AT25" s="6" t="e">
        <f t="shared" si="15"/>
        <v>#DIV/0!</v>
      </c>
      <c r="AU25" s="6" t="e">
        <f t="shared" si="16"/>
        <v>#DIV/0!</v>
      </c>
      <c r="AV25" s="6" t="e">
        <f t="shared" si="17"/>
        <v>#DIV/0!</v>
      </c>
      <c r="AW25" s="6" t="e">
        <f t="shared" si="1"/>
        <v>#DIV/0!</v>
      </c>
      <c r="AX25" s="20" t="e">
        <f t="shared" si="18"/>
        <v>#DIV/0!</v>
      </c>
      <c r="AY25" s="20" t="e">
        <f t="shared" si="19"/>
        <v>#DIV/0!</v>
      </c>
      <c r="AZ25" s="20" t="e">
        <f t="shared" si="20"/>
        <v>#DIV/0!</v>
      </c>
      <c r="BA25" s="1" t="e">
        <f t="shared" si="21"/>
        <v>#DIV/0!</v>
      </c>
      <c r="BB25" s="1" t="e">
        <f t="shared" si="22"/>
        <v>#DIV/0!</v>
      </c>
    </row>
    <row r="26" spans="1:54" x14ac:dyDescent="0.3">
      <c r="A26">
        <v>30.2</v>
      </c>
      <c r="B26">
        <v>49.940215000000002</v>
      </c>
      <c r="C26">
        <v>50.519886</v>
      </c>
      <c r="D26">
        <v>51.007424999999998</v>
      </c>
      <c r="E26">
        <v>44.876278999999997</v>
      </c>
      <c r="F26">
        <v>27.844031000000001</v>
      </c>
      <c r="G26">
        <v>19.988531999999999</v>
      </c>
      <c r="H26">
        <v>20.503703999999999</v>
      </c>
      <c r="I26"/>
      <c r="O26" s="6">
        <v>21</v>
      </c>
      <c r="P26" s="7" t="e">
        <f>AVERAGE(B1025:B1074)</f>
        <v>#DIV/0!</v>
      </c>
      <c r="Q26" s="8" t="e">
        <f>STDEV(C1025:C1074)</f>
        <v>#DIV/0!</v>
      </c>
      <c r="R26" s="9" t="e">
        <f>AVERAGE(C1025:C1074)</f>
        <v>#DIV/0!</v>
      </c>
      <c r="S26" s="10" t="e">
        <f>STDEV(E1025:E1074)</f>
        <v>#DIV/0!</v>
      </c>
      <c r="T26" s="11" t="e">
        <f>AVERAGE(D1025:D1074)</f>
        <v>#DIV/0!</v>
      </c>
      <c r="U26" s="12" t="e">
        <f>STDEV(D1025:D1074)</f>
        <v>#DIV/0!</v>
      </c>
      <c r="V26" s="13" t="e">
        <f>AVERAGE(E1025:E1074)</f>
        <v>#DIV/0!</v>
      </c>
      <c r="W26" s="14" t="e">
        <f>STDEV(E1025:E1074)</f>
        <v>#DIV/0!</v>
      </c>
      <c r="X26" s="15" t="e">
        <f>AVERAGE(F1025:F1074)</f>
        <v>#DIV/0!</v>
      </c>
      <c r="Y26" s="16" t="e">
        <f>STDEV(F1025:F1074)</f>
        <v>#DIV/0!</v>
      </c>
      <c r="Z26" s="17" t="e">
        <f>AVERAGE(G1025:G1074)</f>
        <v>#DIV/0!</v>
      </c>
      <c r="AA26" s="18" t="e">
        <f>AVERAGE(H1025:H1074)</f>
        <v>#DIV/0!</v>
      </c>
      <c r="AB26" s="6" t="e">
        <f t="shared" si="2"/>
        <v>#DIV/0!</v>
      </c>
      <c r="AC26" s="6" t="e">
        <f t="shared" si="23"/>
        <v>#DIV/0!</v>
      </c>
      <c r="AD26" s="6" t="e">
        <f t="shared" si="3"/>
        <v>#DIV/0!</v>
      </c>
      <c r="AE26" s="6" t="e">
        <f t="shared" si="24"/>
        <v>#DIV/0!</v>
      </c>
      <c r="AF26" s="22"/>
      <c r="AG26" s="22"/>
      <c r="AH26" s="6" t="e">
        <f t="shared" si="4"/>
        <v>#DIV/0!</v>
      </c>
      <c r="AI26" s="6" t="e">
        <f t="shared" si="5"/>
        <v>#DIV/0!</v>
      </c>
      <c r="AJ26" s="6" t="e">
        <f t="shared" si="6"/>
        <v>#DIV/0!</v>
      </c>
      <c r="AK26" s="6" t="e">
        <f t="shared" si="25"/>
        <v>#DIV/0!</v>
      </c>
      <c r="AL26" s="6" t="e">
        <f t="shared" si="7"/>
        <v>#DIV/0!</v>
      </c>
      <c r="AM26" s="6" t="e">
        <f t="shared" si="8"/>
        <v>#DIV/0!</v>
      </c>
      <c r="AN26" s="6" t="e">
        <f t="shared" si="9"/>
        <v>#DIV/0!</v>
      </c>
      <c r="AO26" s="6">
        <f t="shared" si="10"/>
        <v>3.8800000000000001E-2</v>
      </c>
      <c r="AP26" s="6" t="e">
        <f t="shared" si="11"/>
        <v>#DIV/0!</v>
      </c>
      <c r="AQ26" s="6" t="e">
        <f t="shared" si="12"/>
        <v>#DIV/0!</v>
      </c>
      <c r="AR26" s="6" t="e">
        <f t="shared" si="13"/>
        <v>#DIV/0!</v>
      </c>
      <c r="AS26" s="6" t="e">
        <f t="shared" si="14"/>
        <v>#DIV/0!</v>
      </c>
      <c r="AT26" s="6" t="e">
        <f t="shared" si="15"/>
        <v>#DIV/0!</v>
      </c>
      <c r="AU26" s="6" t="e">
        <f t="shared" si="16"/>
        <v>#DIV/0!</v>
      </c>
      <c r="AV26" s="6" t="e">
        <f t="shared" si="17"/>
        <v>#DIV/0!</v>
      </c>
      <c r="AW26" s="6" t="e">
        <f t="shared" si="1"/>
        <v>#DIV/0!</v>
      </c>
      <c r="AX26" s="20" t="e">
        <f t="shared" si="18"/>
        <v>#DIV/0!</v>
      </c>
      <c r="AY26" s="20" t="e">
        <f t="shared" si="19"/>
        <v>#DIV/0!</v>
      </c>
      <c r="AZ26" s="20" t="e">
        <f t="shared" si="20"/>
        <v>#DIV/0!</v>
      </c>
      <c r="BA26" s="1" t="e">
        <f t="shared" si="21"/>
        <v>#DIV/0!</v>
      </c>
      <c r="BB26" s="1" t="e">
        <f t="shared" si="22"/>
        <v>#DIV/0!</v>
      </c>
    </row>
    <row r="27" spans="1:54" x14ac:dyDescent="0.3">
      <c r="A27">
        <v>30.4</v>
      </c>
      <c r="B27">
        <v>49.964486999999998</v>
      </c>
      <c r="C27">
        <v>50.51276</v>
      </c>
      <c r="D27">
        <v>50.981546000000002</v>
      </c>
      <c r="E27">
        <v>44.869641000000001</v>
      </c>
      <c r="F27">
        <v>27.995739</v>
      </c>
      <c r="G27">
        <v>20.017963000000002</v>
      </c>
      <c r="H27">
        <v>20.496365999999998</v>
      </c>
      <c r="I27"/>
      <c r="O27" s="6">
        <v>22</v>
      </c>
      <c r="P27" s="7" t="e">
        <f>AVERAGE(B1075:B1124)</f>
        <v>#DIV/0!</v>
      </c>
      <c r="Q27" s="23" t="e">
        <f>STDEV(C1075:C1124)</f>
        <v>#DIV/0!</v>
      </c>
      <c r="R27" s="9" t="e">
        <f>AVERAGE(C1075:C1124)</f>
        <v>#DIV/0!</v>
      </c>
      <c r="S27" s="10" t="e">
        <f>STDEV(E1075:E1124)</f>
        <v>#DIV/0!</v>
      </c>
      <c r="T27" s="11" t="e">
        <f>AVERAGE(D1075:D1124)</f>
        <v>#DIV/0!</v>
      </c>
      <c r="U27" s="12" t="e">
        <f>STDEV(D1075:D1124)</f>
        <v>#DIV/0!</v>
      </c>
      <c r="V27" s="13" t="e">
        <f>AVERAGE(E1075:E1124)</f>
        <v>#DIV/0!</v>
      </c>
      <c r="W27" s="14" t="e">
        <f>STDEV(E1075:E1124)</f>
        <v>#DIV/0!</v>
      </c>
      <c r="X27" s="15" t="e">
        <f>AVERAGE(F1075:F1124)</f>
        <v>#DIV/0!</v>
      </c>
      <c r="Y27" s="16" t="e">
        <f>STDEV(F1075:F1124)</f>
        <v>#DIV/0!</v>
      </c>
      <c r="Z27" s="17" t="e">
        <f>AVERAGE(G1075:G1124)</f>
        <v>#DIV/0!</v>
      </c>
      <c r="AA27" s="18" t="e">
        <f>AVERAGE(H1075:H1124)</f>
        <v>#DIV/0!</v>
      </c>
      <c r="AB27" s="6" t="e">
        <f t="shared" si="2"/>
        <v>#DIV/0!</v>
      </c>
      <c r="AC27" s="6" t="e">
        <f t="shared" si="23"/>
        <v>#DIV/0!</v>
      </c>
      <c r="AD27" s="6" t="e">
        <f t="shared" si="3"/>
        <v>#DIV/0!</v>
      </c>
      <c r="AE27" s="6" t="e">
        <f t="shared" si="24"/>
        <v>#DIV/0!</v>
      </c>
      <c r="AF27" s="22"/>
      <c r="AG27" s="22"/>
      <c r="AH27" s="6" t="e">
        <f t="shared" si="4"/>
        <v>#DIV/0!</v>
      </c>
      <c r="AI27" s="6" t="e">
        <f t="shared" si="5"/>
        <v>#DIV/0!</v>
      </c>
      <c r="AJ27" s="6" t="e">
        <f t="shared" si="6"/>
        <v>#DIV/0!</v>
      </c>
      <c r="AK27" s="6" t="e">
        <f t="shared" si="25"/>
        <v>#DIV/0!</v>
      </c>
      <c r="AL27" s="6" t="e">
        <f t="shared" si="7"/>
        <v>#DIV/0!</v>
      </c>
      <c r="AM27" s="6" t="e">
        <f t="shared" si="8"/>
        <v>#DIV/0!</v>
      </c>
      <c r="AN27" s="6" t="e">
        <f t="shared" si="9"/>
        <v>#DIV/0!</v>
      </c>
      <c r="AO27" s="6">
        <f t="shared" si="10"/>
        <v>3.8800000000000001E-2</v>
      </c>
      <c r="AP27" s="6" t="e">
        <f t="shared" si="11"/>
        <v>#DIV/0!</v>
      </c>
      <c r="AQ27" s="6" t="e">
        <f t="shared" si="12"/>
        <v>#DIV/0!</v>
      </c>
      <c r="AR27" s="6" t="e">
        <f t="shared" si="13"/>
        <v>#DIV/0!</v>
      </c>
      <c r="AS27" s="6" t="e">
        <f t="shared" si="14"/>
        <v>#DIV/0!</v>
      </c>
      <c r="AT27" s="6" t="e">
        <f t="shared" si="15"/>
        <v>#DIV/0!</v>
      </c>
      <c r="AU27" s="6" t="e">
        <f t="shared" si="16"/>
        <v>#DIV/0!</v>
      </c>
      <c r="AV27" s="6" t="e">
        <f t="shared" si="17"/>
        <v>#DIV/0!</v>
      </c>
      <c r="AW27" s="6" t="e">
        <f t="shared" si="1"/>
        <v>#DIV/0!</v>
      </c>
      <c r="AX27" s="20" t="e">
        <f t="shared" si="18"/>
        <v>#DIV/0!</v>
      </c>
      <c r="AY27" s="20" t="e">
        <f t="shared" si="19"/>
        <v>#DIV/0!</v>
      </c>
      <c r="AZ27" s="20" t="e">
        <f t="shared" si="20"/>
        <v>#DIV/0!</v>
      </c>
      <c r="BA27" s="1" t="e">
        <f t="shared" si="21"/>
        <v>#DIV/0!</v>
      </c>
      <c r="BB27" s="1" t="e">
        <f t="shared" si="22"/>
        <v>#DIV/0!</v>
      </c>
    </row>
    <row r="28" spans="1:54" x14ac:dyDescent="0.3">
      <c r="A28">
        <v>30.6</v>
      </c>
      <c r="B28">
        <v>49.964486999999998</v>
      </c>
      <c r="C28">
        <v>50.51276</v>
      </c>
      <c r="D28">
        <v>50.981546000000002</v>
      </c>
      <c r="E28">
        <v>44.869641000000001</v>
      </c>
      <c r="F28">
        <v>27.995739</v>
      </c>
      <c r="G28">
        <v>20.017963000000002</v>
      </c>
      <c r="H28">
        <v>20.496365999999998</v>
      </c>
      <c r="I28"/>
      <c r="O28" s="6">
        <v>23</v>
      </c>
      <c r="P28" s="7" t="e">
        <f>AVERAGE(B1125:B1174)</f>
        <v>#DIV/0!</v>
      </c>
      <c r="Q28" s="23" t="e">
        <f>STDEV(C1125:C1174)</f>
        <v>#DIV/0!</v>
      </c>
      <c r="R28" s="9" t="e">
        <f>AVERAGE(C1125:C1174)</f>
        <v>#DIV/0!</v>
      </c>
      <c r="S28" s="10" t="e">
        <f>STDEV(E1125:E1174)</f>
        <v>#DIV/0!</v>
      </c>
      <c r="T28" s="11" t="e">
        <f>AVERAGE(D1125:D1174)</f>
        <v>#DIV/0!</v>
      </c>
      <c r="U28" s="12" t="e">
        <f>STDEV(D1125:D1174)</f>
        <v>#DIV/0!</v>
      </c>
      <c r="V28" s="13" t="e">
        <f>AVERAGE(E1125:E1174)</f>
        <v>#DIV/0!</v>
      </c>
      <c r="W28" s="14" t="e">
        <f>STDEV(E1125:E1174)</f>
        <v>#DIV/0!</v>
      </c>
      <c r="X28" s="15" t="e">
        <f>AVERAGE(F1125:F1174)</f>
        <v>#DIV/0!</v>
      </c>
      <c r="Y28" s="16" t="e">
        <f>STDEV(F1125:F1174)</f>
        <v>#DIV/0!</v>
      </c>
      <c r="Z28" s="17" t="e">
        <f>AVERAGE(G1125:G1174)</f>
        <v>#DIV/0!</v>
      </c>
      <c r="AA28" s="18" t="e">
        <f>AVERAGE(H1125:H1174)</f>
        <v>#DIV/0!</v>
      </c>
      <c r="AB28" s="6" t="e">
        <f t="shared" si="2"/>
        <v>#DIV/0!</v>
      </c>
      <c r="AC28" s="6" t="e">
        <f t="shared" si="23"/>
        <v>#DIV/0!</v>
      </c>
      <c r="AD28" s="6" t="e">
        <f t="shared" si="3"/>
        <v>#DIV/0!</v>
      </c>
      <c r="AE28" s="6" t="e">
        <f t="shared" si="24"/>
        <v>#DIV/0!</v>
      </c>
      <c r="AF28" s="22"/>
      <c r="AG28" s="22"/>
      <c r="AH28" s="6" t="e">
        <f t="shared" si="4"/>
        <v>#DIV/0!</v>
      </c>
      <c r="AI28" s="6" t="e">
        <f t="shared" si="5"/>
        <v>#DIV/0!</v>
      </c>
      <c r="AJ28" s="6" t="e">
        <f t="shared" si="6"/>
        <v>#DIV/0!</v>
      </c>
      <c r="AK28" s="6" t="e">
        <f t="shared" si="25"/>
        <v>#DIV/0!</v>
      </c>
      <c r="AL28" s="6" t="e">
        <f t="shared" si="7"/>
        <v>#DIV/0!</v>
      </c>
      <c r="AM28" s="6" t="e">
        <f t="shared" si="8"/>
        <v>#DIV/0!</v>
      </c>
      <c r="AN28" s="6" t="e">
        <f t="shared" si="9"/>
        <v>#DIV/0!</v>
      </c>
      <c r="AO28" s="6">
        <f t="shared" si="10"/>
        <v>3.8800000000000001E-2</v>
      </c>
      <c r="AP28" s="6" t="e">
        <f t="shared" si="11"/>
        <v>#DIV/0!</v>
      </c>
      <c r="AQ28" s="6" t="e">
        <f t="shared" si="12"/>
        <v>#DIV/0!</v>
      </c>
      <c r="AR28" s="6" t="e">
        <f t="shared" si="13"/>
        <v>#DIV/0!</v>
      </c>
      <c r="AS28" s="6" t="e">
        <f t="shared" si="14"/>
        <v>#DIV/0!</v>
      </c>
      <c r="AT28" s="6" t="e">
        <f t="shared" si="15"/>
        <v>#DIV/0!</v>
      </c>
      <c r="AU28" s="6" t="e">
        <f t="shared" si="16"/>
        <v>#DIV/0!</v>
      </c>
      <c r="AV28" s="6" t="e">
        <f t="shared" si="17"/>
        <v>#DIV/0!</v>
      </c>
      <c r="AW28" s="6" t="e">
        <f t="shared" si="1"/>
        <v>#DIV/0!</v>
      </c>
      <c r="AX28" s="20" t="e">
        <f t="shared" si="18"/>
        <v>#DIV/0!</v>
      </c>
      <c r="AY28" s="20" t="e">
        <f t="shared" si="19"/>
        <v>#DIV/0!</v>
      </c>
      <c r="AZ28" s="20" t="e">
        <f t="shared" si="20"/>
        <v>#DIV/0!</v>
      </c>
      <c r="BA28" s="1" t="e">
        <f t="shared" si="21"/>
        <v>#DIV/0!</v>
      </c>
      <c r="BB28" s="1" t="e">
        <f t="shared" si="22"/>
        <v>#DIV/0!</v>
      </c>
    </row>
    <row r="29" spans="1:54" x14ac:dyDescent="0.3">
      <c r="A29">
        <v>30.8</v>
      </c>
      <c r="B29">
        <v>49.951709000000001</v>
      </c>
      <c r="C29">
        <v>50.518642999999997</v>
      </c>
      <c r="D29">
        <v>50.997810000000001</v>
      </c>
      <c r="E29">
        <v>44.87867</v>
      </c>
      <c r="F29">
        <v>27.903979</v>
      </c>
      <c r="G29">
        <v>20.002139</v>
      </c>
      <c r="H29">
        <v>20.484817</v>
      </c>
      <c r="I29"/>
      <c r="O29" s="6">
        <v>24</v>
      </c>
      <c r="P29" s="7" t="e">
        <f>AVERAGE(B1175:B1224)</f>
        <v>#DIV/0!</v>
      </c>
      <c r="Q29" s="23" t="e">
        <f>STDEV(C1175:C1224)</f>
        <v>#DIV/0!</v>
      </c>
      <c r="R29" s="9" t="e">
        <f>AVERAGE(C1175:C1224)</f>
        <v>#DIV/0!</v>
      </c>
      <c r="S29" s="10" t="e">
        <f>STDEV(E1175:E1224)</f>
        <v>#DIV/0!</v>
      </c>
      <c r="T29" s="11" t="e">
        <f>AVERAGE(D1175:D1224)</f>
        <v>#DIV/0!</v>
      </c>
      <c r="U29" s="12" t="e">
        <f>STDEV(D1175:D1224)</f>
        <v>#DIV/0!</v>
      </c>
      <c r="V29" s="13" t="e">
        <f>AVERAGE(E1175:E1224)</f>
        <v>#DIV/0!</v>
      </c>
      <c r="W29" s="14" t="e">
        <f>STDEV(E1175:E1224)</f>
        <v>#DIV/0!</v>
      </c>
      <c r="X29" s="15" t="e">
        <f>AVERAGE(F1175:F1224)</f>
        <v>#DIV/0!</v>
      </c>
      <c r="Y29" s="16" t="e">
        <f>STDEV(F1175:F1224)</f>
        <v>#DIV/0!</v>
      </c>
      <c r="Z29" s="17" t="e">
        <f>AVERAGE(G1175:G1224)</f>
        <v>#DIV/0!</v>
      </c>
      <c r="AA29" s="18" t="e">
        <f>AVERAGE(H1175:H1224)</f>
        <v>#DIV/0!</v>
      </c>
      <c r="AB29" s="6" t="e">
        <f t="shared" si="2"/>
        <v>#DIV/0!</v>
      </c>
      <c r="AC29" s="6" t="e">
        <f t="shared" si="23"/>
        <v>#DIV/0!</v>
      </c>
      <c r="AD29" s="6" t="e">
        <f t="shared" si="3"/>
        <v>#DIV/0!</v>
      </c>
      <c r="AE29" s="6" t="e">
        <f t="shared" si="24"/>
        <v>#DIV/0!</v>
      </c>
      <c r="AF29" s="22"/>
      <c r="AG29" s="22"/>
      <c r="AH29" s="6" t="e">
        <f t="shared" si="4"/>
        <v>#DIV/0!</v>
      </c>
      <c r="AI29" s="6" t="e">
        <f t="shared" si="5"/>
        <v>#DIV/0!</v>
      </c>
      <c r="AJ29" s="6" t="e">
        <f t="shared" si="6"/>
        <v>#DIV/0!</v>
      </c>
      <c r="AK29" s="6" t="e">
        <f t="shared" si="25"/>
        <v>#DIV/0!</v>
      </c>
      <c r="AL29" s="6" t="e">
        <f t="shared" si="7"/>
        <v>#DIV/0!</v>
      </c>
      <c r="AM29" s="6" t="e">
        <f t="shared" si="8"/>
        <v>#DIV/0!</v>
      </c>
      <c r="AN29" s="6" t="e">
        <f t="shared" si="9"/>
        <v>#DIV/0!</v>
      </c>
      <c r="AO29" s="6">
        <f t="shared" si="10"/>
        <v>3.8800000000000001E-2</v>
      </c>
      <c r="AP29" s="6" t="e">
        <f t="shared" si="11"/>
        <v>#DIV/0!</v>
      </c>
      <c r="AQ29" s="6" t="e">
        <f t="shared" si="12"/>
        <v>#DIV/0!</v>
      </c>
      <c r="AR29" s="6" t="e">
        <f t="shared" si="13"/>
        <v>#DIV/0!</v>
      </c>
      <c r="AS29" s="6" t="e">
        <f t="shared" si="14"/>
        <v>#DIV/0!</v>
      </c>
      <c r="AT29" s="6" t="e">
        <f t="shared" si="15"/>
        <v>#DIV/0!</v>
      </c>
      <c r="AU29" s="6" t="e">
        <f t="shared" si="16"/>
        <v>#DIV/0!</v>
      </c>
      <c r="AV29" s="6" t="e">
        <f t="shared" si="17"/>
        <v>#DIV/0!</v>
      </c>
      <c r="AW29" s="6" t="e">
        <f t="shared" si="1"/>
        <v>#DIV/0!</v>
      </c>
      <c r="AX29" s="20" t="e">
        <f t="shared" si="18"/>
        <v>#DIV/0!</v>
      </c>
      <c r="AY29" s="20" t="e">
        <f t="shared" si="19"/>
        <v>#DIV/0!</v>
      </c>
      <c r="AZ29" s="20" t="e">
        <f t="shared" si="20"/>
        <v>#DIV/0!</v>
      </c>
      <c r="BA29" s="1" t="e">
        <f t="shared" si="21"/>
        <v>#DIV/0!</v>
      </c>
      <c r="BB29" s="1" t="e">
        <f t="shared" si="22"/>
        <v>#DIV/0!</v>
      </c>
    </row>
    <row r="30" spans="1:54" x14ac:dyDescent="0.3">
      <c r="A30">
        <v>31</v>
      </c>
      <c r="B30">
        <v>49.951709000000001</v>
      </c>
      <c r="C30">
        <v>50.518642999999997</v>
      </c>
      <c r="D30">
        <v>50.997810000000001</v>
      </c>
      <c r="E30">
        <v>44.87867</v>
      </c>
      <c r="F30">
        <v>27.903979</v>
      </c>
      <c r="G30">
        <v>20.002139</v>
      </c>
      <c r="H30">
        <v>20.484817</v>
      </c>
      <c r="I30" t="s">
        <v>56</v>
      </c>
      <c r="O30" s="6">
        <v>25</v>
      </c>
      <c r="P30" s="7" t="e">
        <f>AVERAGE(B1225:B1274)</f>
        <v>#DIV/0!</v>
      </c>
      <c r="Q30" s="23" t="e">
        <f>STDEV(C1225:C1274)</f>
        <v>#DIV/0!</v>
      </c>
      <c r="R30" s="9" t="e">
        <f>AVERAGE(C1225:C1274)</f>
        <v>#DIV/0!</v>
      </c>
      <c r="S30" s="10" t="e">
        <f>STDEV(E1225:E1274)</f>
        <v>#DIV/0!</v>
      </c>
      <c r="T30" s="11" t="e">
        <f>AVERAGE(D1225:D1274)</f>
        <v>#DIV/0!</v>
      </c>
      <c r="U30" s="12" t="e">
        <f>STDEV(D1225:D1274)</f>
        <v>#DIV/0!</v>
      </c>
      <c r="V30" s="13" t="e">
        <f>AVERAGE(E1225:E1274)</f>
        <v>#DIV/0!</v>
      </c>
      <c r="W30" s="14" t="e">
        <f>STDEV(E1225:E1274)</f>
        <v>#DIV/0!</v>
      </c>
      <c r="X30" s="15" t="e">
        <f>AVERAGE(F1225:F1274)</f>
        <v>#DIV/0!</v>
      </c>
      <c r="Y30" s="16" t="e">
        <f>STDEV(F1225:F1274)</f>
        <v>#DIV/0!</v>
      </c>
      <c r="Z30" s="17" t="e">
        <f>AVERAGE(G1225:G1274)</f>
        <v>#DIV/0!</v>
      </c>
      <c r="AA30" s="18" t="e">
        <f>AVERAGE(H1225:H1274)</f>
        <v>#DIV/0!</v>
      </c>
      <c r="AB30" s="6" t="e">
        <f t="shared" si="2"/>
        <v>#DIV/0!</v>
      </c>
      <c r="AC30" s="6" t="e">
        <f t="shared" si="23"/>
        <v>#DIV/0!</v>
      </c>
      <c r="AD30" s="6" t="e">
        <f t="shared" si="3"/>
        <v>#DIV/0!</v>
      </c>
      <c r="AE30" s="6" t="e">
        <f t="shared" si="24"/>
        <v>#DIV/0!</v>
      </c>
      <c r="AF30" s="22"/>
      <c r="AG30" s="22"/>
      <c r="AH30" s="6" t="e">
        <f t="shared" si="4"/>
        <v>#DIV/0!</v>
      </c>
      <c r="AI30" s="6" t="e">
        <f t="shared" si="5"/>
        <v>#DIV/0!</v>
      </c>
      <c r="AJ30" s="6" t="e">
        <f t="shared" si="6"/>
        <v>#DIV/0!</v>
      </c>
      <c r="AK30" s="6" t="e">
        <f t="shared" si="25"/>
        <v>#DIV/0!</v>
      </c>
      <c r="AL30" s="6" t="e">
        <f t="shared" si="7"/>
        <v>#DIV/0!</v>
      </c>
      <c r="AM30" s="6" t="e">
        <f t="shared" si="8"/>
        <v>#DIV/0!</v>
      </c>
      <c r="AN30" s="6" t="e">
        <f t="shared" si="9"/>
        <v>#DIV/0!</v>
      </c>
      <c r="AO30" s="6">
        <f t="shared" si="10"/>
        <v>3.8800000000000001E-2</v>
      </c>
      <c r="AP30" s="6" t="e">
        <f t="shared" si="11"/>
        <v>#DIV/0!</v>
      </c>
      <c r="AQ30" s="6" t="e">
        <f t="shared" si="12"/>
        <v>#DIV/0!</v>
      </c>
      <c r="AR30" s="6" t="e">
        <f t="shared" si="13"/>
        <v>#DIV/0!</v>
      </c>
      <c r="AS30" s="6" t="e">
        <f t="shared" si="14"/>
        <v>#DIV/0!</v>
      </c>
      <c r="AT30" s="6" t="e">
        <f t="shared" si="15"/>
        <v>#DIV/0!</v>
      </c>
      <c r="AU30" s="6" t="e">
        <f t="shared" si="16"/>
        <v>#DIV/0!</v>
      </c>
      <c r="AV30" s="6" t="e">
        <f t="shared" si="17"/>
        <v>#DIV/0!</v>
      </c>
      <c r="AW30" s="6" t="e">
        <f t="shared" si="1"/>
        <v>#DIV/0!</v>
      </c>
      <c r="AX30" s="20" t="e">
        <f t="shared" si="18"/>
        <v>#DIV/0!</v>
      </c>
      <c r="AY30" s="20" t="e">
        <f t="shared" si="19"/>
        <v>#DIV/0!</v>
      </c>
      <c r="AZ30" s="20" t="e">
        <f t="shared" si="20"/>
        <v>#DIV/0!</v>
      </c>
      <c r="BA30" s="1" t="e">
        <f t="shared" si="21"/>
        <v>#DIV/0!</v>
      </c>
      <c r="BB30" s="1" t="e">
        <f t="shared" si="22"/>
        <v>#DIV/0!</v>
      </c>
    </row>
    <row r="31" spans="1:54" x14ac:dyDescent="0.3">
      <c r="A31">
        <v>31.2</v>
      </c>
      <c r="B31">
        <v>49.942304999999998</v>
      </c>
      <c r="C31">
        <v>50.517423000000001</v>
      </c>
      <c r="D31">
        <v>51.004071000000003</v>
      </c>
      <c r="E31">
        <v>44.894236999999997</v>
      </c>
      <c r="F31">
        <v>27.975045999999999</v>
      </c>
      <c r="G31">
        <v>19.979748000000001</v>
      </c>
      <c r="H31">
        <v>20.493264</v>
      </c>
      <c r="I31"/>
      <c r="N31"/>
      <c r="O31"/>
    </row>
    <row r="32" spans="1:54" x14ac:dyDescent="0.3">
      <c r="A32">
        <v>31.4</v>
      </c>
      <c r="B32">
        <v>49.942304999999998</v>
      </c>
      <c r="C32">
        <v>50.517423000000001</v>
      </c>
      <c r="D32">
        <v>51.004071000000003</v>
      </c>
      <c r="E32">
        <v>44.894236999999997</v>
      </c>
      <c r="F32">
        <v>27.975045999999999</v>
      </c>
      <c r="G32">
        <v>19.979748000000001</v>
      </c>
      <c r="H32">
        <v>20.493264</v>
      </c>
      <c r="I32"/>
      <c r="N32"/>
      <c r="O32"/>
    </row>
    <row r="33" spans="1:34" x14ac:dyDescent="0.3">
      <c r="A33">
        <v>31.6</v>
      </c>
      <c r="B33">
        <v>49.941445000000002</v>
      </c>
      <c r="C33">
        <v>50.512915</v>
      </c>
      <c r="D33">
        <v>51.003667</v>
      </c>
      <c r="E33">
        <v>44.921044000000002</v>
      </c>
      <c r="F33">
        <v>28.111723000000001</v>
      </c>
      <c r="G33">
        <v>19.999579000000001</v>
      </c>
      <c r="H33">
        <v>20.478939</v>
      </c>
      <c r="I33"/>
      <c r="N33"/>
      <c r="O33"/>
    </row>
    <row r="34" spans="1:34" x14ac:dyDescent="0.3">
      <c r="A34">
        <v>31.8</v>
      </c>
      <c r="B34">
        <v>49.941445000000002</v>
      </c>
      <c r="C34">
        <v>50.512915</v>
      </c>
      <c r="D34">
        <v>51.003667</v>
      </c>
      <c r="E34">
        <v>44.921044000000002</v>
      </c>
      <c r="F34">
        <v>28.111723000000001</v>
      </c>
      <c r="G34">
        <v>19.999579000000001</v>
      </c>
      <c r="H34">
        <v>20.478939</v>
      </c>
      <c r="I34"/>
      <c r="N34"/>
      <c r="O34"/>
    </row>
    <row r="35" spans="1:34" x14ac:dyDescent="0.3">
      <c r="A35">
        <v>32</v>
      </c>
      <c r="B35">
        <v>49.950147999999999</v>
      </c>
      <c r="C35">
        <v>50.489961999999998</v>
      </c>
      <c r="D35">
        <v>50.991951999999998</v>
      </c>
      <c r="E35">
        <v>44.939245999999997</v>
      </c>
      <c r="F35">
        <v>28.077773000000001</v>
      </c>
      <c r="G35">
        <v>19.997387</v>
      </c>
      <c r="H35">
        <v>20.467973000000001</v>
      </c>
      <c r="I35" t="s">
        <v>56</v>
      </c>
      <c r="N35"/>
      <c r="P35" s="24" t="s">
        <v>57</v>
      </c>
      <c r="Q35" s="24" t="s">
        <v>58</v>
      </c>
    </row>
    <row r="36" spans="1:34" x14ac:dyDescent="0.3">
      <c r="A36">
        <v>32.200000000000003</v>
      </c>
      <c r="B36">
        <v>49.950147999999999</v>
      </c>
      <c r="C36">
        <v>50.489961999999998</v>
      </c>
      <c r="D36">
        <v>50.991951999999998</v>
      </c>
      <c r="E36">
        <v>44.939245999999997</v>
      </c>
      <c r="F36">
        <v>28.077773000000001</v>
      </c>
      <c r="G36">
        <v>19.997387</v>
      </c>
      <c r="H36">
        <v>20.467973000000001</v>
      </c>
      <c r="I36"/>
      <c r="N36"/>
      <c r="O36" s="24" t="s">
        <v>10</v>
      </c>
      <c r="P36" s="7">
        <v>0.98399999999999999</v>
      </c>
      <c r="Q36" s="7">
        <v>0.78649999999999998</v>
      </c>
    </row>
    <row r="37" spans="1:34" x14ac:dyDescent="0.3">
      <c r="A37">
        <v>32.4</v>
      </c>
      <c r="B37">
        <v>49.971677999999997</v>
      </c>
      <c r="C37">
        <v>50.528624999999998</v>
      </c>
      <c r="D37">
        <v>50.989614000000003</v>
      </c>
      <c r="E37">
        <v>44.887697000000003</v>
      </c>
      <c r="F37">
        <v>27.736654000000001</v>
      </c>
      <c r="G37">
        <v>19.987915999999998</v>
      </c>
      <c r="H37">
        <v>20.470837</v>
      </c>
      <c r="I37"/>
      <c r="N37"/>
      <c r="O37" s="24" t="s">
        <v>14</v>
      </c>
      <c r="P37" s="7">
        <v>0.98629999999999995</v>
      </c>
      <c r="Q37" s="7">
        <v>0.68220000000000003</v>
      </c>
      <c r="AH37" s="1">
        <f>(59)/62</f>
        <v>0.95161290322580649</v>
      </c>
    </row>
    <row r="38" spans="1:34" x14ac:dyDescent="0.3">
      <c r="A38">
        <v>32.6</v>
      </c>
      <c r="B38">
        <v>49.971677999999997</v>
      </c>
      <c r="C38">
        <v>50.528624999999998</v>
      </c>
      <c r="D38">
        <v>50.989614000000003</v>
      </c>
      <c r="E38">
        <v>44.887697000000003</v>
      </c>
      <c r="F38">
        <v>27.736654000000001</v>
      </c>
      <c r="G38">
        <v>19.987915999999998</v>
      </c>
      <c r="H38">
        <v>20.470837</v>
      </c>
      <c r="I38"/>
      <c r="N38"/>
      <c r="O38" s="24" t="s">
        <v>15</v>
      </c>
      <c r="P38" s="7">
        <v>0.98070000000000002</v>
      </c>
      <c r="Q38" s="7">
        <v>0.81030000000000002</v>
      </c>
    </row>
    <row r="39" spans="1:34" x14ac:dyDescent="0.3">
      <c r="A39">
        <v>32.799999999999997</v>
      </c>
      <c r="B39">
        <v>49.979258000000002</v>
      </c>
      <c r="C39">
        <v>50.535308000000001</v>
      </c>
      <c r="D39">
        <v>51.014600000000002</v>
      </c>
      <c r="E39">
        <v>44.903644999999997</v>
      </c>
      <c r="F39">
        <v>27.682915999999999</v>
      </c>
      <c r="G39">
        <v>20.000610999999999</v>
      </c>
      <c r="H39">
        <v>20.470959000000001</v>
      </c>
      <c r="I39"/>
      <c r="N39"/>
      <c r="O39" s="24" t="s">
        <v>16</v>
      </c>
      <c r="P39" s="7">
        <v>0.97760000000000002</v>
      </c>
      <c r="Q39" s="7">
        <v>0.92379999999999995</v>
      </c>
    </row>
    <row r="40" spans="1:34" x14ac:dyDescent="0.3">
      <c r="A40">
        <v>33</v>
      </c>
      <c r="B40">
        <v>49.979258000000002</v>
      </c>
      <c r="C40">
        <v>50.535308000000001</v>
      </c>
      <c r="D40">
        <v>51.014600000000002</v>
      </c>
      <c r="E40">
        <v>44.903644999999997</v>
      </c>
      <c r="F40">
        <v>27.682915999999999</v>
      </c>
      <c r="G40">
        <v>20.000610999999999</v>
      </c>
      <c r="H40">
        <v>20.470959000000001</v>
      </c>
      <c r="I40" t="s">
        <v>56</v>
      </c>
      <c r="N40"/>
      <c r="O40"/>
    </row>
    <row r="41" spans="1:34" x14ac:dyDescent="0.3">
      <c r="A41">
        <v>33.200000000000003</v>
      </c>
      <c r="B41">
        <v>49.972256999999999</v>
      </c>
      <c r="C41">
        <v>50.521912999999998</v>
      </c>
      <c r="D41">
        <v>51.016007000000002</v>
      </c>
      <c r="E41">
        <v>44.904601</v>
      </c>
      <c r="F41">
        <v>27.606915999999998</v>
      </c>
      <c r="G41">
        <v>20.004156999999999</v>
      </c>
      <c r="H41">
        <v>20.478771999999999</v>
      </c>
      <c r="I41"/>
      <c r="N41"/>
      <c r="O41"/>
      <c r="P41" s="25" t="s">
        <v>59</v>
      </c>
      <c r="Q41" s="25"/>
      <c r="R41" s="25"/>
      <c r="S41" s="25"/>
    </row>
    <row r="42" spans="1:34" x14ac:dyDescent="0.3">
      <c r="A42">
        <v>33.4</v>
      </c>
      <c r="B42">
        <v>49.972256999999999</v>
      </c>
      <c r="C42">
        <v>50.521912999999998</v>
      </c>
      <c r="D42">
        <v>51.016007000000002</v>
      </c>
      <c r="E42">
        <v>44.904601</v>
      </c>
      <c r="F42">
        <v>27.606915999999998</v>
      </c>
      <c r="G42">
        <v>20.004156999999999</v>
      </c>
      <c r="H42">
        <v>20.478771999999999</v>
      </c>
      <c r="I42"/>
      <c r="N42"/>
      <c r="O42"/>
      <c r="P42" s="6" t="s">
        <v>10</v>
      </c>
      <c r="Q42" s="6" t="s">
        <v>14</v>
      </c>
      <c r="R42" s="6" t="s">
        <v>15</v>
      </c>
      <c r="S42" s="6" t="s">
        <v>16</v>
      </c>
    </row>
    <row r="43" spans="1:34" x14ac:dyDescent="0.3">
      <c r="A43">
        <v>33.6</v>
      </c>
      <c r="B43">
        <v>49.950285000000001</v>
      </c>
      <c r="C43">
        <v>50.521999999999998</v>
      </c>
      <c r="D43">
        <v>51.001373000000001</v>
      </c>
      <c r="E43">
        <v>44.881104000000001</v>
      </c>
      <c r="F43">
        <v>27.639489999999999</v>
      </c>
      <c r="G43">
        <v>20.031310999999999</v>
      </c>
      <c r="H43">
        <v>20.483387</v>
      </c>
      <c r="I43"/>
      <c r="N43"/>
      <c r="O43"/>
      <c r="P43" s="1">
        <f>(B25+Q$36)/P$36</f>
        <v>51.551539634146344</v>
      </c>
      <c r="Q43" s="1">
        <f>(C25+Q$36)/P$36</f>
        <v>52.140636178861783</v>
      </c>
      <c r="R43" s="1">
        <f>(D25+Q$38)/P$38</f>
        <v>52.837488528602016</v>
      </c>
      <c r="S43" s="1">
        <f>(E25+Q$39)/P$39</f>
        <v>46.849507978723402</v>
      </c>
    </row>
    <row r="44" spans="1:34" x14ac:dyDescent="0.3">
      <c r="A44">
        <v>33.799999999999997</v>
      </c>
      <c r="B44">
        <v>49.950285000000001</v>
      </c>
      <c r="C44">
        <v>50.521999999999998</v>
      </c>
      <c r="D44">
        <v>51.001373000000001</v>
      </c>
      <c r="E44">
        <v>44.881104000000001</v>
      </c>
      <c r="F44">
        <v>27.639489999999999</v>
      </c>
      <c r="G44">
        <v>20.031310999999999</v>
      </c>
      <c r="H44">
        <v>20.483387</v>
      </c>
      <c r="I44"/>
      <c r="N44"/>
      <c r="O44"/>
      <c r="P44" s="1">
        <f t="shared" ref="P44:P107" si="26">(B26+Q$36)/P$36</f>
        <v>51.551539634146344</v>
      </c>
      <c r="Q44" s="1">
        <f t="shared" ref="Q44:Q107" si="27">(C26+Q$36)/P$36</f>
        <v>52.140636178861783</v>
      </c>
      <c r="R44" s="1">
        <f t="shared" ref="R44:R107" si="28">(D26+Q$38)/P$38</f>
        <v>52.837488528602016</v>
      </c>
      <c r="S44" s="1">
        <f t="shared" ref="S44:S107" si="29">(E26+Q$39)/P$39</f>
        <v>46.849507978723402</v>
      </c>
    </row>
    <row r="45" spans="1:34" x14ac:dyDescent="0.3">
      <c r="A45">
        <v>34</v>
      </c>
      <c r="B45">
        <v>49.963647000000002</v>
      </c>
      <c r="C45">
        <v>50.520122000000001</v>
      </c>
      <c r="D45">
        <v>50.997920999999998</v>
      </c>
      <c r="E45">
        <v>44.877420000000001</v>
      </c>
      <c r="F45">
        <v>27.850968999999999</v>
      </c>
      <c r="G45">
        <v>19.985889</v>
      </c>
      <c r="H45">
        <v>20.489204999999998</v>
      </c>
      <c r="I45" t="s">
        <v>56</v>
      </c>
      <c r="N45"/>
      <c r="O45"/>
      <c r="P45" s="1">
        <f t="shared" si="26"/>
        <v>51.576206300813006</v>
      </c>
      <c r="Q45" s="1">
        <f t="shared" si="27"/>
        <v>52.133394308943089</v>
      </c>
      <c r="R45" s="1">
        <f t="shared" si="28"/>
        <v>52.811100234526357</v>
      </c>
      <c r="S45" s="1">
        <f t="shared" si="29"/>
        <v>46.842717880523729</v>
      </c>
    </row>
    <row r="46" spans="1:34" x14ac:dyDescent="0.3">
      <c r="A46">
        <v>34.200000000000003</v>
      </c>
      <c r="B46">
        <v>49.963647000000002</v>
      </c>
      <c r="C46">
        <v>50.520122000000001</v>
      </c>
      <c r="D46">
        <v>50.997920999999998</v>
      </c>
      <c r="E46">
        <v>44.877420000000001</v>
      </c>
      <c r="F46">
        <v>27.850968999999999</v>
      </c>
      <c r="G46">
        <v>19.985889</v>
      </c>
      <c r="H46">
        <v>20.489204999999998</v>
      </c>
      <c r="I46"/>
      <c r="N46"/>
      <c r="O46"/>
      <c r="P46" s="1">
        <f t="shared" si="26"/>
        <v>51.576206300813006</v>
      </c>
      <c r="Q46" s="1">
        <f t="shared" si="27"/>
        <v>52.133394308943089</v>
      </c>
      <c r="R46" s="1">
        <f t="shared" si="28"/>
        <v>52.811100234526357</v>
      </c>
      <c r="S46" s="1">
        <f t="shared" si="29"/>
        <v>46.842717880523729</v>
      </c>
    </row>
    <row r="47" spans="1:34" x14ac:dyDescent="0.3">
      <c r="A47">
        <v>34.4</v>
      </c>
      <c r="B47">
        <v>49.972608000000001</v>
      </c>
      <c r="C47">
        <v>50.507908999999998</v>
      </c>
      <c r="D47">
        <v>50.985556000000003</v>
      </c>
      <c r="E47">
        <v>44.818550999999999</v>
      </c>
      <c r="F47">
        <v>27.646775000000002</v>
      </c>
      <c r="G47">
        <v>19.996745000000001</v>
      </c>
      <c r="H47">
        <v>20.501715999999998</v>
      </c>
      <c r="I47"/>
      <c r="N47"/>
      <c r="O47"/>
      <c r="P47" s="1">
        <f t="shared" si="26"/>
        <v>51.563220528455282</v>
      </c>
      <c r="Q47" s="1">
        <f t="shared" si="27"/>
        <v>52.139372967479666</v>
      </c>
      <c r="R47" s="1">
        <f t="shared" si="28"/>
        <v>52.827684307127562</v>
      </c>
      <c r="S47" s="1">
        <f t="shared" si="29"/>
        <v>46.851953764320783</v>
      </c>
    </row>
    <row r="48" spans="1:34" x14ac:dyDescent="0.3">
      <c r="A48">
        <v>34.6</v>
      </c>
      <c r="B48">
        <v>49.972608000000001</v>
      </c>
      <c r="C48">
        <v>50.507908999999998</v>
      </c>
      <c r="D48">
        <v>50.985556000000003</v>
      </c>
      <c r="E48">
        <v>44.818550999999999</v>
      </c>
      <c r="F48">
        <v>27.646775000000002</v>
      </c>
      <c r="G48">
        <v>19.996745000000001</v>
      </c>
      <c r="H48">
        <v>20.501715999999998</v>
      </c>
      <c r="I48"/>
      <c r="N48"/>
      <c r="O48"/>
      <c r="P48" s="1">
        <f t="shared" si="26"/>
        <v>51.563220528455282</v>
      </c>
      <c r="Q48" s="1">
        <f t="shared" si="27"/>
        <v>52.139372967479666</v>
      </c>
      <c r="R48" s="1">
        <f t="shared" si="28"/>
        <v>52.827684307127562</v>
      </c>
      <c r="S48" s="1">
        <f t="shared" si="29"/>
        <v>46.851953764320783</v>
      </c>
    </row>
    <row r="49" spans="1:19" x14ac:dyDescent="0.3">
      <c r="A49">
        <v>34.799999999999997</v>
      </c>
      <c r="B49">
        <v>49.970075999999999</v>
      </c>
      <c r="C49">
        <v>50.522917999999997</v>
      </c>
      <c r="D49">
        <v>50.999115000000003</v>
      </c>
      <c r="E49">
        <v>44.829859999999996</v>
      </c>
      <c r="F49">
        <v>27.706721000000002</v>
      </c>
      <c r="G49">
        <v>20.007728</v>
      </c>
      <c r="H49">
        <v>20.498467000000002</v>
      </c>
      <c r="I49"/>
      <c r="N49"/>
      <c r="O49"/>
      <c r="P49" s="1">
        <f t="shared" si="26"/>
        <v>51.553663617886173</v>
      </c>
      <c r="Q49" s="1">
        <f t="shared" si="27"/>
        <v>52.1381331300813</v>
      </c>
      <c r="R49" s="1">
        <f t="shared" si="28"/>
        <v>52.834068522483939</v>
      </c>
      <c r="S49" s="1">
        <f t="shared" si="29"/>
        <v>46.867877454991813</v>
      </c>
    </row>
    <row r="50" spans="1:19" x14ac:dyDescent="0.3">
      <c r="A50">
        <v>35</v>
      </c>
      <c r="B50">
        <v>49.970075999999999</v>
      </c>
      <c r="C50">
        <v>50.522917999999997</v>
      </c>
      <c r="D50">
        <v>50.999115000000003</v>
      </c>
      <c r="E50">
        <v>44.829859999999996</v>
      </c>
      <c r="F50">
        <v>27.706721000000002</v>
      </c>
      <c r="G50">
        <v>20.007728</v>
      </c>
      <c r="H50">
        <v>20.498467000000002</v>
      </c>
      <c r="I50" t="s">
        <v>56</v>
      </c>
      <c r="N50"/>
      <c r="O50"/>
      <c r="P50" s="1">
        <f t="shared" si="26"/>
        <v>51.553663617886173</v>
      </c>
      <c r="Q50" s="1">
        <f t="shared" si="27"/>
        <v>52.1381331300813</v>
      </c>
      <c r="R50" s="1">
        <f t="shared" si="28"/>
        <v>52.834068522483939</v>
      </c>
      <c r="S50" s="1">
        <f t="shared" si="29"/>
        <v>46.867877454991813</v>
      </c>
    </row>
    <row r="51" spans="1:19" x14ac:dyDescent="0.3">
      <c r="A51">
        <v>35.200000000000003</v>
      </c>
      <c r="B51">
        <v>49.971600000000002</v>
      </c>
      <c r="C51">
        <v>50.520116000000002</v>
      </c>
      <c r="D51">
        <v>51.014899999999997</v>
      </c>
      <c r="E51">
        <v>44.825257000000001</v>
      </c>
      <c r="F51">
        <v>27.565149999999999</v>
      </c>
      <c r="G51">
        <v>19.994506999999999</v>
      </c>
      <c r="H51">
        <v>20.503036000000002</v>
      </c>
      <c r="I51"/>
      <c r="N51"/>
      <c r="O51"/>
      <c r="P51" s="1">
        <f t="shared" si="26"/>
        <v>51.552789634146343</v>
      </c>
      <c r="Q51" s="1">
        <f t="shared" si="27"/>
        <v>52.133551829268292</v>
      </c>
      <c r="R51" s="1">
        <f t="shared" si="28"/>
        <v>52.833656571836443</v>
      </c>
      <c r="S51" s="1">
        <f t="shared" si="29"/>
        <v>46.895298690671034</v>
      </c>
    </row>
    <row r="52" spans="1:19" x14ac:dyDescent="0.3">
      <c r="A52">
        <v>35.4</v>
      </c>
      <c r="B52">
        <v>49.971600000000002</v>
      </c>
      <c r="C52">
        <v>50.520116000000002</v>
      </c>
      <c r="D52">
        <v>51.014899999999997</v>
      </c>
      <c r="E52">
        <v>44.825257000000001</v>
      </c>
      <c r="F52">
        <v>27.565149999999999</v>
      </c>
      <c r="G52">
        <v>19.994506999999999</v>
      </c>
      <c r="H52">
        <v>20.503036000000002</v>
      </c>
      <c r="I52"/>
      <c r="N52"/>
      <c r="O52"/>
      <c r="P52" s="1">
        <f t="shared" si="26"/>
        <v>51.552789634146343</v>
      </c>
      <c r="Q52" s="1">
        <f t="shared" si="27"/>
        <v>52.133551829268292</v>
      </c>
      <c r="R52" s="1">
        <f t="shared" si="28"/>
        <v>52.833656571836443</v>
      </c>
      <c r="S52" s="1">
        <f t="shared" si="29"/>
        <v>46.895298690671034</v>
      </c>
    </row>
    <row r="53" spans="1:19" x14ac:dyDescent="0.3">
      <c r="A53">
        <v>35.6</v>
      </c>
      <c r="B53">
        <v>49.963973000000003</v>
      </c>
      <c r="C53">
        <v>50.514296999999999</v>
      </c>
      <c r="D53">
        <v>51.014552000000002</v>
      </c>
      <c r="E53">
        <v>44.821052999999999</v>
      </c>
      <c r="F53">
        <v>27.189520999999999</v>
      </c>
      <c r="G53">
        <v>19.99173</v>
      </c>
      <c r="H53">
        <v>20.509509000000001</v>
      </c>
      <c r="I53"/>
      <c r="N53"/>
      <c r="O53"/>
      <c r="P53" s="1">
        <f t="shared" si="26"/>
        <v>51.561634146341461</v>
      </c>
      <c r="Q53" s="1">
        <f t="shared" si="27"/>
        <v>52.110225609756093</v>
      </c>
      <c r="R53" s="1">
        <f t="shared" si="28"/>
        <v>52.821711022738853</v>
      </c>
      <c r="S53" s="1">
        <f t="shared" si="29"/>
        <v>46.913917757774136</v>
      </c>
    </row>
    <row r="54" spans="1:19" x14ac:dyDescent="0.3">
      <c r="A54">
        <v>35.799999999999997</v>
      </c>
      <c r="B54">
        <v>49.963973000000003</v>
      </c>
      <c r="C54">
        <v>50.514296999999999</v>
      </c>
      <c r="D54">
        <v>51.014552000000002</v>
      </c>
      <c r="E54">
        <v>44.821052999999999</v>
      </c>
      <c r="F54">
        <v>27.189520999999999</v>
      </c>
      <c r="G54">
        <v>19.99173</v>
      </c>
      <c r="H54">
        <v>20.509509000000001</v>
      </c>
      <c r="I54"/>
      <c r="N54"/>
      <c r="O54"/>
      <c r="P54" s="1">
        <f t="shared" si="26"/>
        <v>51.561634146341461</v>
      </c>
      <c r="Q54" s="1">
        <f t="shared" si="27"/>
        <v>52.110225609756093</v>
      </c>
      <c r="R54" s="1">
        <f t="shared" si="28"/>
        <v>52.821711022738853</v>
      </c>
      <c r="S54" s="1">
        <f t="shared" si="29"/>
        <v>46.913917757774136</v>
      </c>
    </row>
    <row r="55" spans="1:19" x14ac:dyDescent="0.3">
      <c r="A55">
        <v>36</v>
      </c>
      <c r="B55">
        <v>49.940930000000002</v>
      </c>
      <c r="C55">
        <v>50.501233999999997</v>
      </c>
      <c r="D55">
        <v>51.006551999999999</v>
      </c>
      <c r="E55">
        <v>44.826422000000001</v>
      </c>
      <c r="F55">
        <v>27.266349999999999</v>
      </c>
      <c r="G55">
        <v>19.982330999999999</v>
      </c>
      <c r="H55">
        <v>20.490154</v>
      </c>
      <c r="I55" t="s">
        <v>56</v>
      </c>
      <c r="N55"/>
      <c r="O55"/>
      <c r="P55" s="1">
        <f t="shared" si="26"/>
        <v>51.583514227642269</v>
      </c>
      <c r="Q55" s="1">
        <f t="shared" si="27"/>
        <v>52.149517276422756</v>
      </c>
      <c r="R55" s="1">
        <f t="shared" si="28"/>
        <v>52.81932701131845</v>
      </c>
      <c r="S55" s="1">
        <f t="shared" si="29"/>
        <v>46.861187602291331</v>
      </c>
    </row>
    <row r="56" spans="1:19" x14ac:dyDescent="0.3">
      <c r="A56">
        <v>36.200000000000003</v>
      </c>
      <c r="B56">
        <v>49.940930000000002</v>
      </c>
      <c r="C56">
        <v>50.501233999999997</v>
      </c>
      <c r="D56">
        <v>51.006551999999999</v>
      </c>
      <c r="E56">
        <v>44.826422000000001</v>
      </c>
      <c r="F56">
        <v>27.266349999999999</v>
      </c>
      <c r="G56">
        <v>19.982330999999999</v>
      </c>
      <c r="H56">
        <v>20.490154</v>
      </c>
      <c r="I56"/>
      <c r="N56"/>
      <c r="O56"/>
      <c r="P56" s="1">
        <f t="shared" si="26"/>
        <v>51.583514227642269</v>
      </c>
      <c r="Q56" s="1">
        <f t="shared" si="27"/>
        <v>52.149517276422756</v>
      </c>
      <c r="R56" s="1">
        <f t="shared" si="28"/>
        <v>52.81932701131845</v>
      </c>
      <c r="S56" s="1">
        <f t="shared" si="29"/>
        <v>46.861187602291331</v>
      </c>
    </row>
    <row r="57" spans="1:19" x14ac:dyDescent="0.3">
      <c r="A57">
        <v>36.4</v>
      </c>
      <c r="B57">
        <v>49.978583</v>
      </c>
      <c r="C57">
        <v>50.529617999999999</v>
      </c>
      <c r="D57">
        <v>51.010756999999998</v>
      </c>
      <c r="E57">
        <v>44.820427000000002</v>
      </c>
      <c r="F57">
        <v>27.387046999999999</v>
      </c>
      <c r="G57">
        <v>20.013356999999999</v>
      </c>
      <c r="H57">
        <v>20.482513999999998</v>
      </c>
      <c r="I57"/>
      <c r="N57"/>
      <c r="O57"/>
      <c r="P57" s="1">
        <f t="shared" si="26"/>
        <v>51.591217479674796</v>
      </c>
      <c r="Q57" s="1">
        <f t="shared" si="27"/>
        <v>52.156308943089428</v>
      </c>
      <c r="R57" s="1">
        <f t="shared" si="28"/>
        <v>52.844804731314369</v>
      </c>
      <c r="S57" s="1">
        <f t="shared" si="29"/>
        <v>46.87750102291325</v>
      </c>
    </row>
    <row r="58" spans="1:19" x14ac:dyDescent="0.3">
      <c r="A58">
        <v>36.6</v>
      </c>
      <c r="B58">
        <v>49.978583</v>
      </c>
      <c r="C58">
        <v>50.529617999999999</v>
      </c>
      <c r="D58">
        <v>51.010756999999998</v>
      </c>
      <c r="E58">
        <v>44.820427000000002</v>
      </c>
      <c r="F58">
        <v>27.387046999999999</v>
      </c>
      <c r="G58">
        <v>20.013356999999999</v>
      </c>
      <c r="H58">
        <v>20.482513999999998</v>
      </c>
      <c r="I58"/>
      <c r="N58"/>
      <c r="O58"/>
      <c r="P58" s="1">
        <f t="shared" si="26"/>
        <v>51.591217479674796</v>
      </c>
      <c r="Q58" s="1">
        <f t="shared" si="27"/>
        <v>52.156308943089428</v>
      </c>
      <c r="R58" s="1">
        <f t="shared" si="28"/>
        <v>52.844804731314369</v>
      </c>
      <c r="S58" s="1">
        <f t="shared" si="29"/>
        <v>46.87750102291325</v>
      </c>
    </row>
    <row r="59" spans="1:19" x14ac:dyDescent="0.3">
      <c r="A59">
        <v>36.799999999999997</v>
      </c>
      <c r="B59">
        <v>49.954152000000001</v>
      </c>
      <c r="C59">
        <v>50.517443999999998</v>
      </c>
      <c r="D59">
        <v>51.007714999999997</v>
      </c>
      <c r="E59">
        <v>44.828946999999999</v>
      </c>
      <c r="F59">
        <v>27.936789000000001</v>
      </c>
      <c r="G59">
        <v>20.026924000000001</v>
      </c>
      <c r="H59">
        <v>20.48161</v>
      </c>
      <c r="I59"/>
      <c r="N59"/>
      <c r="O59"/>
      <c r="P59" s="1">
        <f t="shared" si="26"/>
        <v>51.58410264227642</v>
      </c>
      <c r="Q59" s="1">
        <f t="shared" si="27"/>
        <v>52.142696138211377</v>
      </c>
      <c r="R59" s="1">
        <f t="shared" si="28"/>
        <v>52.84623942082186</v>
      </c>
      <c r="S59" s="1">
        <f t="shared" si="29"/>
        <v>46.878478927986905</v>
      </c>
    </row>
    <row r="60" spans="1:19" x14ac:dyDescent="0.3">
      <c r="A60">
        <v>37</v>
      </c>
      <c r="B60">
        <v>49.954152000000001</v>
      </c>
      <c r="C60">
        <v>50.517443999999998</v>
      </c>
      <c r="D60">
        <v>51.007714999999997</v>
      </c>
      <c r="E60">
        <v>44.828946999999999</v>
      </c>
      <c r="F60">
        <v>27.936789000000001</v>
      </c>
      <c r="G60">
        <v>20.026924000000001</v>
      </c>
      <c r="H60">
        <v>20.48161</v>
      </c>
      <c r="I60" t="s">
        <v>56</v>
      </c>
      <c r="N60"/>
      <c r="O60"/>
      <c r="P60" s="1">
        <f t="shared" si="26"/>
        <v>51.58410264227642</v>
      </c>
      <c r="Q60" s="1">
        <f t="shared" si="27"/>
        <v>52.142696138211377</v>
      </c>
      <c r="R60" s="1">
        <f t="shared" si="28"/>
        <v>52.84623942082186</v>
      </c>
      <c r="S60" s="1">
        <f t="shared" si="29"/>
        <v>46.878478927986905</v>
      </c>
    </row>
    <row r="61" spans="1:19" x14ac:dyDescent="0.3">
      <c r="A61">
        <v>37.200000000000003</v>
      </c>
      <c r="B61">
        <v>49.951920999999999</v>
      </c>
      <c r="C61">
        <v>50.507233999999997</v>
      </c>
      <c r="D61">
        <v>51.000284999999998</v>
      </c>
      <c r="E61">
        <v>44.775243000000003</v>
      </c>
      <c r="F61">
        <v>27.447299000000001</v>
      </c>
      <c r="G61">
        <v>20.020831999999999</v>
      </c>
      <c r="H61">
        <v>20.478603</v>
      </c>
      <c r="I61"/>
      <c r="N61"/>
      <c r="O61"/>
      <c r="P61" s="1">
        <f t="shared" si="26"/>
        <v>51.56177337398374</v>
      </c>
      <c r="Q61" s="1">
        <f t="shared" si="27"/>
        <v>52.142784552845526</v>
      </c>
      <c r="R61" s="1">
        <f t="shared" si="28"/>
        <v>52.831317426328134</v>
      </c>
      <c r="S61" s="1">
        <f t="shared" si="29"/>
        <v>46.854443535188217</v>
      </c>
    </row>
    <row r="62" spans="1:19" x14ac:dyDescent="0.3">
      <c r="A62">
        <v>37.4</v>
      </c>
      <c r="B62">
        <v>49.951920999999999</v>
      </c>
      <c r="C62">
        <v>50.507233999999997</v>
      </c>
      <c r="D62">
        <v>51.000284999999998</v>
      </c>
      <c r="E62">
        <v>44.775243000000003</v>
      </c>
      <c r="F62">
        <v>27.447299000000001</v>
      </c>
      <c r="G62">
        <v>20.020831999999999</v>
      </c>
      <c r="H62">
        <v>20.478603</v>
      </c>
      <c r="I62"/>
      <c r="N62"/>
      <c r="O62"/>
      <c r="P62" s="1">
        <f t="shared" si="26"/>
        <v>51.56177337398374</v>
      </c>
      <c r="Q62" s="1">
        <f t="shared" si="27"/>
        <v>52.142784552845526</v>
      </c>
      <c r="R62" s="1">
        <f t="shared" si="28"/>
        <v>52.831317426328134</v>
      </c>
      <c r="S62" s="1">
        <f t="shared" si="29"/>
        <v>46.854443535188217</v>
      </c>
    </row>
    <row r="63" spans="1:19" x14ac:dyDescent="0.3">
      <c r="A63">
        <v>37.6</v>
      </c>
      <c r="B63">
        <v>49.957723000000001</v>
      </c>
      <c r="C63">
        <v>50.507350000000002</v>
      </c>
      <c r="D63">
        <v>51.005383999999999</v>
      </c>
      <c r="E63">
        <v>44.805522000000003</v>
      </c>
      <c r="F63">
        <v>28.020347000000001</v>
      </c>
      <c r="G63">
        <v>19.989345</v>
      </c>
      <c r="H63">
        <v>20.495742</v>
      </c>
      <c r="I63"/>
      <c r="N63"/>
      <c r="O63"/>
      <c r="P63" s="1">
        <f t="shared" si="26"/>
        <v>51.575352642276421</v>
      </c>
      <c r="Q63" s="1">
        <f t="shared" si="27"/>
        <v>52.140876016260158</v>
      </c>
      <c r="R63" s="1">
        <f t="shared" si="28"/>
        <v>52.827797491587638</v>
      </c>
      <c r="S63" s="1">
        <f t="shared" si="29"/>
        <v>46.850675122749593</v>
      </c>
    </row>
    <row r="64" spans="1:19" x14ac:dyDescent="0.3">
      <c r="A64">
        <v>37.799999999999997</v>
      </c>
      <c r="B64">
        <v>49.957723000000001</v>
      </c>
      <c r="C64">
        <v>50.507350000000002</v>
      </c>
      <c r="D64">
        <v>51.005383999999999</v>
      </c>
      <c r="E64">
        <v>44.805522000000003</v>
      </c>
      <c r="F64">
        <v>28.020347000000001</v>
      </c>
      <c r="G64">
        <v>19.989345</v>
      </c>
      <c r="H64">
        <v>20.495742</v>
      </c>
      <c r="I64"/>
      <c r="N64"/>
      <c r="O64"/>
      <c r="P64" s="1">
        <f t="shared" si="26"/>
        <v>51.575352642276421</v>
      </c>
      <c r="Q64" s="1">
        <f t="shared" si="27"/>
        <v>52.140876016260158</v>
      </c>
      <c r="R64" s="1">
        <f t="shared" si="28"/>
        <v>52.827797491587638</v>
      </c>
      <c r="S64" s="1">
        <f t="shared" si="29"/>
        <v>46.850675122749593</v>
      </c>
    </row>
    <row r="65" spans="1:19" x14ac:dyDescent="0.3">
      <c r="A65">
        <v>38</v>
      </c>
      <c r="B65">
        <v>49.936087999999998</v>
      </c>
      <c r="C65">
        <v>50.516889999999997</v>
      </c>
      <c r="D65">
        <v>50.990180000000002</v>
      </c>
      <c r="E65">
        <v>44.795740000000002</v>
      </c>
      <c r="F65">
        <v>27.465539</v>
      </c>
      <c r="G65">
        <v>20.001579</v>
      </c>
      <c r="H65">
        <v>20.474297</v>
      </c>
      <c r="I65" t="s">
        <v>56</v>
      </c>
      <c r="N65"/>
      <c r="O65"/>
      <c r="P65" s="1">
        <f t="shared" si="26"/>
        <v>51.584459349593494</v>
      </c>
      <c r="Q65" s="1">
        <f t="shared" si="27"/>
        <v>52.128464430894304</v>
      </c>
      <c r="R65" s="1">
        <f t="shared" si="28"/>
        <v>52.815189150606706</v>
      </c>
      <c r="S65" s="1">
        <f t="shared" si="29"/>
        <v>46.790457242225855</v>
      </c>
    </row>
    <row r="66" spans="1:19" x14ac:dyDescent="0.3">
      <c r="A66">
        <v>38.200000000000003</v>
      </c>
      <c r="B66">
        <v>49.936087999999998</v>
      </c>
      <c r="C66">
        <v>50.516889999999997</v>
      </c>
      <c r="D66">
        <v>50.990180000000002</v>
      </c>
      <c r="E66">
        <v>44.795740000000002</v>
      </c>
      <c r="F66">
        <v>27.465539</v>
      </c>
      <c r="G66">
        <v>20.001579</v>
      </c>
      <c r="H66">
        <v>20.474297</v>
      </c>
      <c r="I66"/>
      <c r="N66"/>
      <c r="O66"/>
      <c r="P66" s="1">
        <f t="shared" si="26"/>
        <v>51.584459349593494</v>
      </c>
      <c r="Q66" s="1">
        <f t="shared" si="27"/>
        <v>52.128464430894304</v>
      </c>
      <c r="R66" s="1">
        <f t="shared" si="28"/>
        <v>52.815189150606706</v>
      </c>
      <c r="S66" s="1">
        <f t="shared" si="29"/>
        <v>46.790457242225855</v>
      </c>
    </row>
    <row r="67" spans="1:19" x14ac:dyDescent="0.3">
      <c r="A67">
        <v>38.4</v>
      </c>
      <c r="B67">
        <v>49.944133999999998</v>
      </c>
      <c r="C67">
        <v>50.508318000000003</v>
      </c>
      <c r="D67">
        <v>50.996380000000002</v>
      </c>
      <c r="E67">
        <v>44.796278999999998</v>
      </c>
      <c r="F67">
        <v>27.219408000000001</v>
      </c>
      <c r="G67">
        <v>19.998904</v>
      </c>
      <c r="H67">
        <v>20.478974999999998</v>
      </c>
      <c r="I67"/>
      <c r="N67"/>
      <c r="O67"/>
      <c r="P67" s="1">
        <f t="shared" si="26"/>
        <v>51.581886178861787</v>
      </c>
      <c r="Q67" s="1">
        <f t="shared" si="27"/>
        <v>52.143717479674791</v>
      </c>
      <c r="R67" s="1">
        <f t="shared" si="28"/>
        <v>52.829014989293363</v>
      </c>
      <c r="S67" s="1">
        <f t="shared" si="29"/>
        <v>46.802025368248771</v>
      </c>
    </row>
    <row r="68" spans="1:19" x14ac:dyDescent="0.3">
      <c r="A68">
        <v>38.6</v>
      </c>
      <c r="B68">
        <v>49.944133999999998</v>
      </c>
      <c r="C68">
        <v>50.508318000000003</v>
      </c>
      <c r="D68">
        <v>50.996380000000002</v>
      </c>
      <c r="E68">
        <v>44.796278999999998</v>
      </c>
      <c r="F68">
        <v>27.219408000000001</v>
      </c>
      <c r="G68">
        <v>19.998904</v>
      </c>
      <c r="H68">
        <v>20.478974999999998</v>
      </c>
      <c r="I68"/>
      <c r="N68"/>
      <c r="O68"/>
      <c r="P68" s="1">
        <f t="shared" si="26"/>
        <v>51.581886178861787</v>
      </c>
      <c r="Q68" s="1">
        <f t="shared" si="27"/>
        <v>52.143717479674791</v>
      </c>
      <c r="R68" s="1">
        <f t="shared" si="28"/>
        <v>52.829014989293363</v>
      </c>
      <c r="S68" s="1">
        <f t="shared" si="29"/>
        <v>46.802025368248771</v>
      </c>
    </row>
    <row r="69" spans="1:19" x14ac:dyDescent="0.3">
      <c r="A69">
        <v>38.799999999999997</v>
      </c>
      <c r="B69">
        <v>49.911551000000003</v>
      </c>
      <c r="C69">
        <v>50.521928000000003</v>
      </c>
      <c r="D69">
        <v>51.002887000000001</v>
      </c>
      <c r="E69">
        <v>44.792816000000002</v>
      </c>
      <c r="F69">
        <v>27.187581999999999</v>
      </c>
      <c r="G69">
        <v>20.004764000000002</v>
      </c>
      <c r="H69">
        <v>20.474872999999999</v>
      </c>
      <c r="I69"/>
      <c r="N69"/>
      <c r="O69"/>
      <c r="P69" s="1">
        <f t="shared" si="26"/>
        <v>51.583434959349596</v>
      </c>
      <c r="Q69" s="1">
        <f t="shared" si="27"/>
        <v>52.140869918699188</v>
      </c>
      <c r="R69" s="1">
        <f t="shared" si="28"/>
        <v>52.845110635260525</v>
      </c>
      <c r="S69" s="1">
        <f t="shared" si="29"/>
        <v>46.797316898527008</v>
      </c>
    </row>
    <row r="70" spans="1:19" x14ac:dyDescent="0.3">
      <c r="A70">
        <v>39</v>
      </c>
      <c r="B70">
        <v>49.911551000000003</v>
      </c>
      <c r="C70">
        <v>50.521928000000003</v>
      </c>
      <c r="D70">
        <v>51.002887000000001</v>
      </c>
      <c r="E70">
        <v>44.792816000000002</v>
      </c>
      <c r="F70">
        <v>27.187581999999999</v>
      </c>
      <c r="G70">
        <v>20.004764000000002</v>
      </c>
      <c r="H70">
        <v>20.474872999999999</v>
      </c>
      <c r="I70" t="s">
        <v>56</v>
      </c>
      <c r="N70"/>
      <c r="O70"/>
      <c r="P70" s="1">
        <f t="shared" si="26"/>
        <v>51.583434959349596</v>
      </c>
      <c r="Q70" s="1">
        <f t="shared" si="27"/>
        <v>52.140869918699188</v>
      </c>
      <c r="R70" s="1">
        <f t="shared" si="28"/>
        <v>52.845110635260525</v>
      </c>
      <c r="S70" s="1">
        <f t="shared" si="29"/>
        <v>46.797316898527008</v>
      </c>
    </row>
    <row r="71" spans="1:19" x14ac:dyDescent="0.3">
      <c r="A71">
        <v>39.200000000000003</v>
      </c>
      <c r="B71">
        <v>49.927526</v>
      </c>
      <c r="C71">
        <v>50.506033000000002</v>
      </c>
      <c r="D71">
        <v>50.999544999999998</v>
      </c>
      <c r="E71">
        <v>44.808520000000001</v>
      </c>
      <c r="F71">
        <v>27.130098</v>
      </c>
      <c r="G71">
        <v>20.019960000000001</v>
      </c>
      <c r="H71">
        <v>20.478206</v>
      </c>
      <c r="I71"/>
      <c r="N71"/>
      <c r="O71"/>
      <c r="P71" s="1">
        <f t="shared" si="26"/>
        <v>51.57568394308943</v>
      </c>
      <c r="Q71" s="1">
        <f t="shared" si="27"/>
        <v>52.134956300813002</v>
      </c>
      <c r="R71" s="1">
        <f t="shared" si="28"/>
        <v>52.844755786682981</v>
      </c>
      <c r="S71" s="1">
        <f t="shared" si="29"/>
        <v>46.793016571194762</v>
      </c>
    </row>
    <row r="72" spans="1:19" x14ac:dyDescent="0.3">
      <c r="A72">
        <v>39.4</v>
      </c>
      <c r="B72">
        <v>49.927526</v>
      </c>
      <c r="C72">
        <v>50.506033000000002</v>
      </c>
      <c r="D72">
        <v>50.999544999999998</v>
      </c>
      <c r="E72">
        <v>44.808520000000001</v>
      </c>
      <c r="F72">
        <v>27.130098</v>
      </c>
      <c r="G72">
        <v>20.019960000000001</v>
      </c>
      <c r="H72">
        <v>20.478206</v>
      </c>
      <c r="I72"/>
      <c r="N72"/>
      <c r="O72"/>
      <c r="P72" s="1">
        <f t="shared" si="26"/>
        <v>51.57568394308943</v>
      </c>
      <c r="Q72" s="1">
        <f t="shared" si="27"/>
        <v>52.134956300813002</v>
      </c>
      <c r="R72" s="1">
        <f t="shared" si="28"/>
        <v>52.844755786682981</v>
      </c>
      <c r="S72" s="1">
        <f t="shared" si="29"/>
        <v>46.793016571194762</v>
      </c>
    </row>
    <row r="73" spans="1:19" x14ac:dyDescent="0.3">
      <c r="A73">
        <v>39.6</v>
      </c>
      <c r="B73">
        <v>49.962080999999998</v>
      </c>
      <c r="C73">
        <v>50.481639000000001</v>
      </c>
      <c r="D73">
        <v>50.992286</v>
      </c>
      <c r="E73">
        <v>44.788777000000003</v>
      </c>
      <c r="F73">
        <v>26.989056999999999</v>
      </c>
      <c r="G73">
        <v>20.008521999999999</v>
      </c>
      <c r="H73">
        <v>20.482423000000001</v>
      </c>
      <c r="I73"/>
      <c r="N73"/>
      <c r="O73"/>
      <c r="P73" s="1">
        <f t="shared" si="26"/>
        <v>51.552266260162604</v>
      </c>
      <c r="Q73" s="1">
        <f t="shared" si="27"/>
        <v>52.121680894308938</v>
      </c>
      <c r="R73" s="1">
        <f t="shared" si="28"/>
        <v>52.836598348118684</v>
      </c>
      <c r="S73" s="1">
        <f t="shared" si="29"/>
        <v>46.798508592471357</v>
      </c>
    </row>
    <row r="74" spans="1:19" x14ac:dyDescent="0.3">
      <c r="A74">
        <v>39.799999999999997</v>
      </c>
      <c r="B74">
        <v>49.962080999999998</v>
      </c>
      <c r="C74">
        <v>50.481639000000001</v>
      </c>
      <c r="D74">
        <v>50.992286</v>
      </c>
      <c r="E74">
        <v>44.788777000000003</v>
      </c>
      <c r="F74">
        <v>26.989056999999999</v>
      </c>
      <c r="G74">
        <v>20.008521999999999</v>
      </c>
      <c r="H74">
        <v>20.482423000000001</v>
      </c>
      <c r="I74"/>
      <c r="N74"/>
      <c r="O74"/>
      <c r="P74" s="1">
        <f t="shared" si="26"/>
        <v>51.552266260162604</v>
      </c>
      <c r="Q74" s="1">
        <f t="shared" si="27"/>
        <v>52.121680894308938</v>
      </c>
      <c r="R74" s="1">
        <f t="shared" si="28"/>
        <v>52.836598348118684</v>
      </c>
      <c r="S74" s="1">
        <f t="shared" si="29"/>
        <v>46.798508592471357</v>
      </c>
    </row>
    <row r="75" spans="1:19" x14ac:dyDescent="0.3">
      <c r="A75">
        <v>1207</v>
      </c>
      <c r="B75">
        <v>56.01793</v>
      </c>
      <c r="C75">
        <v>56.895541999999999</v>
      </c>
      <c r="D75">
        <v>57.599687000000003</v>
      </c>
      <c r="E75">
        <v>48.217824</v>
      </c>
      <c r="F75">
        <v>28.218630000000001</v>
      </c>
      <c r="G75">
        <v>20.073308999999998</v>
      </c>
      <c r="H75">
        <v>20.802543</v>
      </c>
      <c r="I75" t="s">
        <v>56</v>
      </c>
      <c r="N75"/>
      <c r="O75"/>
      <c r="P75" s="1">
        <f t="shared" si="26"/>
        <v>51.590531504065041</v>
      </c>
      <c r="Q75" s="1">
        <f t="shared" si="27"/>
        <v>52.150526422764223</v>
      </c>
      <c r="R75" s="1">
        <f t="shared" si="28"/>
        <v>52.840886101764042</v>
      </c>
      <c r="S75" s="1">
        <f t="shared" si="29"/>
        <v>46.792376227495907</v>
      </c>
    </row>
    <row r="76" spans="1:19" x14ac:dyDescent="0.3">
      <c r="A76">
        <v>1207.2</v>
      </c>
      <c r="B76">
        <v>55.992117999999998</v>
      </c>
      <c r="C76">
        <v>56.856741</v>
      </c>
      <c r="D76">
        <v>57.600831999999997</v>
      </c>
      <c r="E76">
        <v>48.277327</v>
      </c>
      <c r="F76">
        <v>27.935649000000002</v>
      </c>
      <c r="G76">
        <v>20.068974999999998</v>
      </c>
      <c r="H76">
        <v>20.804849999999998</v>
      </c>
      <c r="I76"/>
      <c r="N76"/>
      <c r="O76"/>
      <c r="P76" s="1">
        <f t="shared" si="26"/>
        <v>51.590531504065041</v>
      </c>
      <c r="Q76" s="1">
        <f t="shared" si="27"/>
        <v>52.150526422764223</v>
      </c>
      <c r="R76" s="1">
        <f t="shared" si="28"/>
        <v>52.840886101764042</v>
      </c>
      <c r="S76" s="1">
        <f t="shared" si="29"/>
        <v>46.792376227495907</v>
      </c>
    </row>
    <row r="77" spans="1:19" x14ac:dyDescent="0.3">
      <c r="A77">
        <v>1207.4000000000001</v>
      </c>
      <c r="B77">
        <v>55.992117999999998</v>
      </c>
      <c r="C77">
        <v>56.856741</v>
      </c>
      <c r="D77">
        <v>57.600831999999997</v>
      </c>
      <c r="E77">
        <v>48.277327</v>
      </c>
      <c r="F77">
        <v>27.935649000000002</v>
      </c>
      <c r="G77">
        <v>20.068974999999998</v>
      </c>
      <c r="H77">
        <v>20.804849999999998</v>
      </c>
      <c r="I77"/>
      <c r="N77"/>
      <c r="O77"/>
      <c r="P77" s="1">
        <f t="shared" si="26"/>
        <v>51.56570325203252</v>
      </c>
      <c r="Q77" s="1">
        <f t="shared" si="27"/>
        <v>52.138154471544709</v>
      </c>
      <c r="R77" s="1">
        <f t="shared" si="28"/>
        <v>52.837784235749972</v>
      </c>
      <c r="S77" s="1">
        <f t="shared" si="29"/>
        <v>46.80109144844517</v>
      </c>
    </row>
    <row r="78" spans="1:19" x14ac:dyDescent="0.3">
      <c r="A78">
        <v>1207.5999999999999</v>
      </c>
      <c r="B78">
        <v>55.982700000000001</v>
      </c>
      <c r="C78">
        <v>56.86365</v>
      </c>
      <c r="D78">
        <v>57.583557999999996</v>
      </c>
      <c r="E78">
        <v>48.311804000000002</v>
      </c>
      <c r="F78">
        <v>28.092115</v>
      </c>
      <c r="G78">
        <v>20.055667</v>
      </c>
      <c r="H78">
        <v>20.835645</v>
      </c>
      <c r="I78"/>
      <c r="N78"/>
      <c r="O78"/>
      <c r="P78" s="1">
        <f t="shared" si="26"/>
        <v>51.56570325203252</v>
      </c>
      <c r="Q78" s="1">
        <f t="shared" si="27"/>
        <v>52.138154471544709</v>
      </c>
      <c r="R78" s="1">
        <f t="shared" si="28"/>
        <v>52.837784235749972</v>
      </c>
      <c r="S78" s="1">
        <f t="shared" si="29"/>
        <v>46.80109144844517</v>
      </c>
    </row>
    <row r="79" spans="1:19" x14ac:dyDescent="0.3">
      <c r="A79">
        <v>1207.8</v>
      </c>
      <c r="B79">
        <v>55.982700000000001</v>
      </c>
      <c r="C79">
        <v>56.86365</v>
      </c>
      <c r="D79">
        <v>57.583557999999996</v>
      </c>
      <c r="E79">
        <v>48.311804000000002</v>
      </c>
      <c r="F79">
        <v>28.092115</v>
      </c>
      <c r="G79">
        <v>20.055667</v>
      </c>
      <c r="H79">
        <v>20.835645</v>
      </c>
      <c r="I79"/>
      <c r="N79"/>
      <c r="O79"/>
      <c r="P79" s="1">
        <f t="shared" si="26"/>
        <v>51.56343597560975</v>
      </c>
      <c r="Q79" s="1">
        <f t="shared" si="27"/>
        <v>52.127778455284549</v>
      </c>
      <c r="R79" s="1">
        <f t="shared" si="28"/>
        <v>52.830208014683386</v>
      </c>
      <c r="S79" s="1">
        <f t="shared" si="29"/>
        <v>46.746156914893618</v>
      </c>
    </row>
    <row r="80" spans="1:19" x14ac:dyDescent="0.3">
      <c r="A80">
        <v>1208</v>
      </c>
      <c r="B80">
        <v>55.961562000000001</v>
      </c>
      <c r="C80">
        <v>56.842925999999999</v>
      </c>
      <c r="D80">
        <v>57.578978999999997</v>
      </c>
      <c r="E80">
        <v>48.304726000000002</v>
      </c>
      <c r="F80">
        <v>28.183202000000001</v>
      </c>
      <c r="G80">
        <v>20.066334000000001</v>
      </c>
      <c r="H80">
        <v>20.779451000000002</v>
      </c>
      <c r="I80" t="s">
        <v>56</v>
      </c>
      <c r="N80"/>
      <c r="O80"/>
      <c r="P80" s="1">
        <f t="shared" si="26"/>
        <v>51.56343597560975</v>
      </c>
      <c r="Q80" s="1">
        <f t="shared" si="27"/>
        <v>52.127778455284549</v>
      </c>
      <c r="R80" s="1">
        <f t="shared" si="28"/>
        <v>52.830208014683386</v>
      </c>
      <c r="S80" s="1">
        <f t="shared" si="29"/>
        <v>46.746156914893618</v>
      </c>
    </row>
    <row r="81" spans="1:19" x14ac:dyDescent="0.3">
      <c r="A81">
        <v>1208.2</v>
      </c>
      <c r="B81">
        <v>55.961562000000001</v>
      </c>
      <c r="C81">
        <v>56.842925999999999</v>
      </c>
      <c r="D81">
        <v>57.578978999999997</v>
      </c>
      <c r="E81">
        <v>48.304726000000002</v>
      </c>
      <c r="F81">
        <v>28.183202000000001</v>
      </c>
      <c r="G81">
        <v>20.066334000000001</v>
      </c>
      <c r="H81">
        <v>20.779451000000002</v>
      </c>
      <c r="I81"/>
      <c r="N81"/>
      <c r="O81"/>
      <c r="P81" s="1">
        <f t="shared" si="26"/>
        <v>51.569332317073169</v>
      </c>
      <c r="Q81" s="1">
        <f t="shared" si="27"/>
        <v>52.127896341463412</v>
      </c>
      <c r="R81" s="1">
        <f t="shared" si="28"/>
        <v>52.835407362088304</v>
      </c>
      <c r="S81" s="1">
        <f t="shared" si="29"/>
        <v>46.777129705400988</v>
      </c>
    </row>
    <row r="82" spans="1:19" x14ac:dyDescent="0.3">
      <c r="A82">
        <v>1208.4000000000001</v>
      </c>
      <c r="B82">
        <v>55.959476000000002</v>
      </c>
      <c r="C82">
        <v>56.835616000000002</v>
      </c>
      <c r="D82">
        <v>57.605330000000002</v>
      </c>
      <c r="E82">
        <v>48.382933000000001</v>
      </c>
      <c r="F82">
        <v>27.875164999999999</v>
      </c>
      <c r="G82">
        <v>20.089236</v>
      </c>
      <c r="H82">
        <v>20.774363999999998</v>
      </c>
      <c r="I82"/>
      <c r="N82"/>
      <c r="O82"/>
      <c r="P82" s="1">
        <f t="shared" si="26"/>
        <v>51.569332317073169</v>
      </c>
      <c r="Q82" s="1">
        <f t="shared" si="27"/>
        <v>52.127896341463412</v>
      </c>
      <c r="R82" s="1">
        <f t="shared" si="28"/>
        <v>52.835407362088304</v>
      </c>
      <c r="S82" s="1">
        <f t="shared" si="29"/>
        <v>46.777129705400988</v>
      </c>
    </row>
    <row r="83" spans="1:19" x14ac:dyDescent="0.3">
      <c r="A83">
        <v>1208.5999999999999</v>
      </c>
      <c r="B83">
        <v>55.959476000000002</v>
      </c>
      <c r="C83">
        <v>56.835616000000002</v>
      </c>
      <c r="D83">
        <v>57.605330000000002</v>
      </c>
      <c r="E83">
        <v>48.382933000000001</v>
      </c>
      <c r="F83">
        <v>27.875164999999999</v>
      </c>
      <c r="G83">
        <v>20.089236</v>
      </c>
      <c r="H83">
        <v>20.774363999999998</v>
      </c>
      <c r="I83"/>
      <c r="N83"/>
      <c r="O83"/>
      <c r="P83" s="1">
        <f t="shared" si="26"/>
        <v>51.547345528455281</v>
      </c>
      <c r="Q83" s="1">
        <f t="shared" si="27"/>
        <v>52.13759146341463</v>
      </c>
      <c r="R83" s="1">
        <f t="shared" si="28"/>
        <v>52.819904150096868</v>
      </c>
      <c r="S83" s="1">
        <f t="shared" si="29"/>
        <v>46.767123567921438</v>
      </c>
    </row>
    <row r="84" spans="1:19" x14ac:dyDescent="0.3">
      <c r="A84">
        <v>1208.8</v>
      </c>
      <c r="B84">
        <v>55.945720999999999</v>
      </c>
      <c r="C84">
        <v>56.824784999999999</v>
      </c>
      <c r="D84">
        <v>57.592762</v>
      </c>
      <c r="E84">
        <v>48.421219999999998</v>
      </c>
      <c r="F84">
        <v>28.088327</v>
      </c>
      <c r="G84">
        <v>20.055012000000001</v>
      </c>
      <c r="H84">
        <v>20.762208999999999</v>
      </c>
      <c r="I84"/>
      <c r="N84"/>
      <c r="O84"/>
      <c r="P84" s="1">
        <f t="shared" si="26"/>
        <v>51.547345528455281</v>
      </c>
      <c r="Q84" s="1">
        <f t="shared" si="27"/>
        <v>52.13759146341463</v>
      </c>
      <c r="R84" s="1">
        <f t="shared" si="28"/>
        <v>52.819904150096868</v>
      </c>
      <c r="S84" s="1">
        <f t="shared" si="29"/>
        <v>46.767123567921438</v>
      </c>
    </row>
    <row r="85" spans="1:19" x14ac:dyDescent="0.3">
      <c r="A85">
        <v>1209</v>
      </c>
      <c r="B85">
        <v>55.945720999999999</v>
      </c>
      <c r="C85">
        <v>56.824784999999999</v>
      </c>
      <c r="D85">
        <v>57.592762</v>
      </c>
      <c r="E85">
        <v>48.421219999999998</v>
      </c>
      <c r="F85">
        <v>28.088327</v>
      </c>
      <c r="G85">
        <v>20.055012000000001</v>
      </c>
      <c r="H85">
        <v>20.762208999999999</v>
      </c>
      <c r="I85" t="s">
        <v>56</v>
      </c>
      <c r="N85"/>
      <c r="O85"/>
      <c r="P85" s="1">
        <f t="shared" si="26"/>
        <v>51.555522357723575</v>
      </c>
      <c r="Q85" s="1">
        <f t="shared" si="27"/>
        <v>52.128880081300814</v>
      </c>
      <c r="R85" s="1">
        <f t="shared" si="28"/>
        <v>52.826226164984192</v>
      </c>
      <c r="S85" s="1">
        <f t="shared" si="29"/>
        <v>46.767674918166939</v>
      </c>
    </row>
    <row r="86" spans="1:19" x14ac:dyDescent="0.3">
      <c r="A86">
        <v>1209.2</v>
      </c>
      <c r="B86">
        <v>55.946928</v>
      </c>
      <c r="C86">
        <v>56.821908000000001</v>
      </c>
      <c r="D86">
        <v>57.573206999999996</v>
      </c>
      <c r="E86">
        <v>48.458609000000003</v>
      </c>
      <c r="F86">
        <v>27.983404</v>
      </c>
      <c r="G86">
        <v>20.065097000000002</v>
      </c>
      <c r="H86">
        <v>20.762803999999999</v>
      </c>
      <c r="I86"/>
      <c r="N86"/>
      <c r="O86"/>
      <c r="P86" s="1">
        <f t="shared" si="26"/>
        <v>51.555522357723575</v>
      </c>
      <c r="Q86" s="1">
        <f t="shared" si="27"/>
        <v>52.128880081300814</v>
      </c>
      <c r="R86" s="1">
        <f t="shared" si="28"/>
        <v>52.826226164984192</v>
      </c>
      <c r="S86" s="1">
        <f t="shared" si="29"/>
        <v>46.767674918166939</v>
      </c>
    </row>
    <row r="87" spans="1:19" x14ac:dyDescent="0.3">
      <c r="A87">
        <v>1209.4000000000001</v>
      </c>
      <c r="B87">
        <v>55.946928</v>
      </c>
      <c r="C87">
        <v>56.821908000000001</v>
      </c>
      <c r="D87">
        <v>57.573206999999996</v>
      </c>
      <c r="E87">
        <v>48.458609000000003</v>
      </c>
      <c r="F87">
        <v>27.983404</v>
      </c>
      <c r="G87">
        <v>20.065097000000002</v>
      </c>
      <c r="H87">
        <v>20.762803999999999</v>
      </c>
      <c r="I87"/>
      <c r="N87"/>
      <c r="O87"/>
      <c r="P87" s="1">
        <f t="shared" si="26"/>
        <v>51.522409552845531</v>
      </c>
      <c r="Q87" s="1">
        <f t="shared" si="27"/>
        <v>52.142711382113824</v>
      </c>
      <c r="R87" s="1">
        <f t="shared" si="28"/>
        <v>52.832861221576422</v>
      </c>
      <c r="S87" s="1">
        <f t="shared" si="29"/>
        <v>46.7641325695581</v>
      </c>
    </row>
    <row r="88" spans="1:19" x14ac:dyDescent="0.3">
      <c r="A88">
        <v>1209.5999999999999</v>
      </c>
      <c r="B88">
        <v>55.948794999999997</v>
      </c>
      <c r="C88">
        <v>56.834902</v>
      </c>
      <c r="D88">
        <v>57.552728999999999</v>
      </c>
      <c r="E88">
        <v>48.544595999999999</v>
      </c>
      <c r="F88">
        <v>27.964297999999999</v>
      </c>
      <c r="G88">
        <v>20.075658000000001</v>
      </c>
      <c r="H88">
        <v>20.748939</v>
      </c>
      <c r="I88"/>
      <c r="N88"/>
      <c r="O88"/>
      <c r="P88" s="1">
        <f t="shared" si="26"/>
        <v>51.522409552845531</v>
      </c>
      <c r="Q88" s="1">
        <f t="shared" si="27"/>
        <v>52.142711382113824</v>
      </c>
      <c r="R88" s="1">
        <f t="shared" si="28"/>
        <v>52.832861221576422</v>
      </c>
      <c r="S88" s="1">
        <f t="shared" si="29"/>
        <v>46.7641325695581</v>
      </c>
    </row>
    <row r="89" spans="1:19" x14ac:dyDescent="0.3">
      <c r="A89">
        <v>1209.8</v>
      </c>
      <c r="B89">
        <v>55.948794999999997</v>
      </c>
      <c r="C89">
        <v>56.834902</v>
      </c>
      <c r="D89">
        <v>57.552728999999999</v>
      </c>
      <c r="E89">
        <v>48.544595999999999</v>
      </c>
      <c r="F89">
        <v>27.964297999999999</v>
      </c>
      <c r="G89">
        <v>20.075658000000001</v>
      </c>
      <c r="H89">
        <v>20.748939</v>
      </c>
      <c r="I89"/>
      <c r="N89"/>
      <c r="O89"/>
      <c r="P89" s="1">
        <f t="shared" si="26"/>
        <v>51.538644308943084</v>
      </c>
      <c r="Q89" s="1">
        <f t="shared" si="27"/>
        <v>52.126557926829271</v>
      </c>
      <c r="R89" s="1">
        <f t="shared" si="28"/>
        <v>52.829453451616189</v>
      </c>
      <c r="S89" s="1">
        <f t="shared" si="29"/>
        <v>46.780196399345336</v>
      </c>
    </row>
    <row r="90" spans="1:19" x14ac:dyDescent="0.3">
      <c r="A90">
        <v>1210</v>
      </c>
      <c r="B90">
        <v>55.964613999999997</v>
      </c>
      <c r="C90">
        <v>56.827368999999997</v>
      </c>
      <c r="D90">
        <v>57.570737999999999</v>
      </c>
      <c r="E90">
        <v>48.635004000000002</v>
      </c>
      <c r="F90">
        <v>27.88063</v>
      </c>
      <c r="G90">
        <v>20.076125000000001</v>
      </c>
      <c r="H90">
        <v>20.74419</v>
      </c>
      <c r="I90" t="s">
        <v>56</v>
      </c>
      <c r="N90"/>
      <c r="O90"/>
      <c r="P90" s="1">
        <f t="shared" si="26"/>
        <v>51.538644308943084</v>
      </c>
      <c r="Q90" s="1">
        <f t="shared" si="27"/>
        <v>52.126557926829271</v>
      </c>
      <c r="R90" s="1">
        <f t="shared" si="28"/>
        <v>52.829453451616189</v>
      </c>
      <c r="S90" s="1">
        <f t="shared" si="29"/>
        <v>46.780196399345336</v>
      </c>
    </row>
    <row r="91" spans="1:19" x14ac:dyDescent="0.3">
      <c r="A91">
        <v>1210.2</v>
      </c>
      <c r="B91">
        <v>55.964613999999997</v>
      </c>
      <c r="C91">
        <v>56.827368999999997</v>
      </c>
      <c r="D91">
        <v>57.570737999999999</v>
      </c>
      <c r="E91">
        <v>48.635004000000002</v>
      </c>
      <c r="F91">
        <v>27.88063</v>
      </c>
      <c r="G91">
        <v>20.076125000000001</v>
      </c>
      <c r="H91">
        <v>20.74419</v>
      </c>
      <c r="I91"/>
      <c r="N91"/>
      <c r="O91"/>
      <c r="P91" s="1">
        <f t="shared" si="26"/>
        <v>51.573761178861787</v>
      </c>
      <c r="Q91" s="1">
        <f t="shared" si="27"/>
        <v>52.101767276422763</v>
      </c>
      <c r="R91" s="1">
        <f t="shared" si="28"/>
        <v>52.822051595798918</v>
      </c>
      <c r="S91" s="1">
        <f t="shared" si="29"/>
        <v>46.760001022913258</v>
      </c>
    </row>
    <row r="92" spans="1:19" x14ac:dyDescent="0.3">
      <c r="A92">
        <v>1210.4000000000001</v>
      </c>
      <c r="B92">
        <v>55.954199000000003</v>
      </c>
      <c r="C92">
        <v>56.837592000000001</v>
      </c>
      <c r="D92">
        <v>57.553373000000001</v>
      </c>
      <c r="E92">
        <v>48.655137000000003</v>
      </c>
      <c r="F92">
        <v>27.453870999999999</v>
      </c>
      <c r="G92">
        <v>20.067406999999999</v>
      </c>
      <c r="H92">
        <v>20.744723</v>
      </c>
      <c r="I92"/>
      <c r="N92"/>
      <c r="O92"/>
      <c r="P92" s="1">
        <f t="shared" si="26"/>
        <v>51.573761178861787</v>
      </c>
      <c r="Q92" s="1">
        <f t="shared" si="27"/>
        <v>52.101767276422763</v>
      </c>
      <c r="R92" s="1">
        <f t="shared" si="28"/>
        <v>52.822051595798918</v>
      </c>
      <c r="S92" s="1">
        <f t="shared" si="29"/>
        <v>46.760001022913258</v>
      </c>
    </row>
    <row r="93" spans="1:19" x14ac:dyDescent="0.3">
      <c r="A93">
        <v>1210.5999999999999</v>
      </c>
      <c r="B93">
        <v>55.954199000000003</v>
      </c>
      <c r="C93">
        <v>56.837592000000001</v>
      </c>
      <c r="D93">
        <v>57.553373000000001</v>
      </c>
      <c r="E93">
        <v>48.655137000000003</v>
      </c>
      <c r="F93">
        <v>27.453870999999999</v>
      </c>
      <c r="G93">
        <v>20.067406999999999</v>
      </c>
      <c r="H93">
        <v>20.744723</v>
      </c>
      <c r="I93"/>
      <c r="N93"/>
      <c r="O93"/>
      <c r="P93" s="1">
        <f t="shared" si="26"/>
        <v>57.728079268292682</v>
      </c>
      <c r="Q93" s="1">
        <f t="shared" si="27"/>
        <v>58.619961382113814</v>
      </c>
      <c r="R93" s="1">
        <f t="shared" si="28"/>
        <v>59.55948506169063</v>
      </c>
      <c r="S93" s="1">
        <f t="shared" si="29"/>
        <v>50.267618657937803</v>
      </c>
    </row>
    <row r="94" spans="1:19" x14ac:dyDescent="0.3">
      <c r="A94">
        <v>1210.8</v>
      </c>
      <c r="B94">
        <v>55.960301000000001</v>
      </c>
      <c r="C94">
        <v>56.837577000000003</v>
      </c>
      <c r="D94">
        <v>57.571181000000003</v>
      </c>
      <c r="E94">
        <v>48.518993000000002</v>
      </c>
      <c r="F94">
        <v>28.532064999999999</v>
      </c>
      <c r="G94">
        <v>20.070542</v>
      </c>
      <c r="H94">
        <v>20.734817</v>
      </c>
      <c r="I94"/>
      <c r="N94"/>
      <c r="O94"/>
      <c r="P94" s="1">
        <f t="shared" si="26"/>
        <v>57.701847560975608</v>
      </c>
      <c r="Q94" s="1">
        <f t="shared" si="27"/>
        <v>58.580529471544715</v>
      </c>
      <c r="R94" s="1">
        <f t="shared" si="28"/>
        <v>59.560652595085138</v>
      </c>
      <c r="S94" s="1">
        <f t="shared" si="29"/>
        <v>50.328485065466445</v>
      </c>
    </row>
    <row r="95" spans="1:19" x14ac:dyDescent="0.3">
      <c r="A95">
        <v>1211</v>
      </c>
      <c r="B95">
        <v>55.960301000000001</v>
      </c>
      <c r="C95">
        <v>56.837577000000003</v>
      </c>
      <c r="D95">
        <v>57.571181000000003</v>
      </c>
      <c r="E95">
        <v>48.518993000000002</v>
      </c>
      <c r="F95">
        <v>28.532064999999999</v>
      </c>
      <c r="G95">
        <v>20.070542</v>
      </c>
      <c r="H95">
        <v>20.734817</v>
      </c>
      <c r="I95" t="s">
        <v>56</v>
      </c>
      <c r="N95"/>
      <c r="O95"/>
      <c r="P95" s="1">
        <f t="shared" si="26"/>
        <v>57.701847560975608</v>
      </c>
      <c r="Q95" s="1">
        <f t="shared" si="27"/>
        <v>58.580529471544715</v>
      </c>
      <c r="R95" s="1">
        <f t="shared" si="28"/>
        <v>59.560652595085138</v>
      </c>
      <c r="S95" s="1">
        <f t="shared" si="29"/>
        <v>50.328485065466445</v>
      </c>
    </row>
    <row r="96" spans="1:19" x14ac:dyDescent="0.3">
      <c r="A96">
        <v>1211.2</v>
      </c>
      <c r="B96">
        <v>55.976305000000004</v>
      </c>
      <c r="C96">
        <v>56.830683000000001</v>
      </c>
      <c r="D96">
        <v>57.578769000000001</v>
      </c>
      <c r="E96">
        <v>48.529086</v>
      </c>
      <c r="F96">
        <v>27.986965000000001</v>
      </c>
      <c r="G96">
        <v>20.063866999999998</v>
      </c>
      <c r="H96">
        <v>20.724352</v>
      </c>
      <c r="I96"/>
      <c r="N96"/>
      <c r="O96"/>
      <c r="P96" s="1">
        <f t="shared" si="26"/>
        <v>57.692276422764223</v>
      </c>
      <c r="Q96" s="1">
        <f t="shared" si="27"/>
        <v>58.587550813008129</v>
      </c>
      <c r="R96" s="1">
        <f t="shared" si="28"/>
        <v>59.543038645865195</v>
      </c>
      <c r="S96" s="1">
        <f t="shared" si="29"/>
        <v>50.363752045826516</v>
      </c>
    </row>
    <row r="97" spans="1:19" x14ac:dyDescent="0.3">
      <c r="A97">
        <v>1211.4000000000001</v>
      </c>
      <c r="B97">
        <v>55.976305000000004</v>
      </c>
      <c r="C97">
        <v>56.830683000000001</v>
      </c>
      <c r="D97">
        <v>57.578769000000001</v>
      </c>
      <c r="E97">
        <v>48.529086</v>
      </c>
      <c r="F97">
        <v>27.986965000000001</v>
      </c>
      <c r="G97">
        <v>20.063866999999998</v>
      </c>
      <c r="H97">
        <v>20.724352</v>
      </c>
      <c r="I97"/>
      <c r="N97"/>
      <c r="O97"/>
      <c r="P97" s="1">
        <f t="shared" si="26"/>
        <v>57.692276422764223</v>
      </c>
      <c r="Q97" s="1">
        <f t="shared" si="27"/>
        <v>58.587550813008129</v>
      </c>
      <c r="R97" s="1">
        <f t="shared" si="28"/>
        <v>59.543038645865195</v>
      </c>
      <c r="S97" s="1">
        <f t="shared" si="29"/>
        <v>50.363752045826516</v>
      </c>
    </row>
    <row r="98" spans="1:19" x14ac:dyDescent="0.3">
      <c r="A98">
        <v>1211.5999999999999</v>
      </c>
      <c r="B98">
        <v>55.985162000000003</v>
      </c>
      <c r="C98">
        <v>56.842734999999998</v>
      </c>
      <c r="D98">
        <v>57.575405000000003</v>
      </c>
      <c r="E98">
        <v>48.540187000000003</v>
      </c>
      <c r="F98">
        <v>27.930285999999999</v>
      </c>
      <c r="G98">
        <v>20.038537000000002</v>
      </c>
      <c r="H98">
        <v>20.740290000000002</v>
      </c>
      <c r="I98"/>
      <c r="N98"/>
      <c r="O98"/>
      <c r="P98" s="1">
        <f t="shared" si="26"/>
        <v>57.670794715447151</v>
      </c>
      <c r="Q98" s="1">
        <f t="shared" si="27"/>
        <v>58.566489837398372</v>
      </c>
      <c r="R98" s="1">
        <f t="shared" si="28"/>
        <v>59.538369531966957</v>
      </c>
      <c r="S98" s="1">
        <f t="shared" si="29"/>
        <v>50.356511865793784</v>
      </c>
    </row>
    <row r="99" spans="1:19" x14ac:dyDescent="0.3">
      <c r="A99">
        <v>1211.8</v>
      </c>
      <c r="B99">
        <v>55.985162000000003</v>
      </c>
      <c r="C99">
        <v>56.842734999999998</v>
      </c>
      <c r="D99">
        <v>57.575405000000003</v>
      </c>
      <c r="E99">
        <v>48.540187000000003</v>
      </c>
      <c r="F99">
        <v>27.930285999999999</v>
      </c>
      <c r="G99">
        <v>20.038537000000002</v>
      </c>
      <c r="H99">
        <v>20.740290000000002</v>
      </c>
      <c r="I99"/>
      <c r="N99"/>
      <c r="O99"/>
      <c r="P99" s="1">
        <f t="shared" si="26"/>
        <v>57.670794715447151</v>
      </c>
      <c r="Q99" s="1">
        <f t="shared" si="27"/>
        <v>58.566489837398372</v>
      </c>
      <c r="R99" s="1">
        <f t="shared" si="28"/>
        <v>59.538369531966957</v>
      </c>
      <c r="S99" s="1">
        <f t="shared" si="29"/>
        <v>50.356511865793784</v>
      </c>
    </row>
    <row r="100" spans="1:19" x14ac:dyDescent="0.3">
      <c r="A100">
        <v>1212</v>
      </c>
      <c r="B100">
        <v>55.976897999999998</v>
      </c>
      <c r="C100">
        <v>56.858291999999999</v>
      </c>
      <c r="D100">
        <v>57.597861000000002</v>
      </c>
      <c r="E100">
        <v>48.523121000000003</v>
      </c>
      <c r="F100">
        <v>28.332540000000002</v>
      </c>
      <c r="G100">
        <v>20.058123999999999</v>
      </c>
      <c r="H100">
        <v>20.744928999999999</v>
      </c>
      <c r="I100" t="s">
        <v>56</v>
      </c>
      <c r="N100"/>
      <c r="O100"/>
      <c r="P100" s="1">
        <f t="shared" si="26"/>
        <v>57.668674796747965</v>
      </c>
      <c r="Q100" s="1">
        <f t="shared" si="27"/>
        <v>58.559060975609754</v>
      </c>
      <c r="R100" s="1">
        <f t="shared" si="28"/>
        <v>59.565239114917915</v>
      </c>
      <c r="S100" s="1">
        <f t="shared" si="29"/>
        <v>50.436510842880523</v>
      </c>
    </row>
    <row r="101" spans="1:19" x14ac:dyDescent="0.3">
      <c r="A101">
        <v>1212.2</v>
      </c>
      <c r="B101">
        <v>55.976897999999998</v>
      </c>
      <c r="C101">
        <v>56.858291999999999</v>
      </c>
      <c r="D101">
        <v>57.597861000000002</v>
      </c>
      <c r="E101">
        <v>48.523121000000003</v>
      </c>
      <c r="F101">
        <v>28.332540000000002</v>
      </c>
      <c r="G101">
        <v>20.058123999999999</v>
      </c>
      <c r="H101">
        <v>20.744928999999999</v>
      </c>
      <c r="I101"/>
      <c r="N101"/>
      <c r="O101"/>
      <c r="P101" s="1">
        <f t="shared" si="26"/>
        <v>57.668674796747965</v>
      </c>
      <c r="Q101" s="1">
        <f t="shared" si="27"/>
        <v>58.559060975609754</v>
      </c>
      <c r="R101" s="1">
        <f t="shared" si="28"/>
        <v>59.565239114917915</v>
      </c>
      <c r="S101" s="1">
        <f t="shared" si="29"/>
        <v>50.436510842880523</v>
      </c>
    </row>
    <row r="102" spans="1:19" x14ac:dyDescent="0.3">
      <c r="A102">
        <v>1212.4000000000001</v>
      </c>
      <c r="B102">
        <v>55.958401000000002</v>
      </c>
      <c r="C102">
        <v>56.847250000000003</v>
      </c>
      <c r="D102">
        <v>57.589593999999998</v>
      </c>
      <c r="E102">
        <v>48.527273000000001</v>
      </c>
      <c r="F102">
        <v>28.692879000000001</v>
      </c>
      <c r="G102">
        <v>20.059003000000001</v>
      </c>
      <c r="H102">
        <v>20.732768</v>
      </c>
      <c r="I102"/>
      <c r="N102"/>
      <c r="O102"/>
      <c r="P102" s="1">
        <f t="shared" si="26"/>
        <v>57.654696138211378</v>
      </c>
      <c r="Q102" s="1">
        <f t="shared" si="27"/>
        <v>58.548053861788617</v>
      </c>
      <c r="R102" s="1">
        <f t="shared" si="28"/>
        <v>59.552423778933409</v>
      </c>
      <c r="S102" s="1">
        <f t="shared" si="29"/>
        <v>50.475675122749585</v>
      </c>
    </row>
    <row r="103" spans="1:19" x14ac:dyDescent="0.3">
      <c r="A103">
        <v>1212.5999999999999</v>
      </c>
      <c r="B103">
        <v>55.958401000000002</v>
      </c>
      <c r="C103">
        <v>56.847250000000003</v>
      </c>
      <c r="D103">
        <v>57.589593999999998</v>
      </c>
      <c r="E103">
        <v>48.527273000000001</v>
      </c>
      <c r="F103">
        <v>28.692879000000001</v>
      </c>
      <c r="G103">
        <v>20.059003000000001</v>
      </c>
      <c r="H103">
        <v>20.732768</v>
      </c>
      <c r="I103"/>
      <c r="N103"/>
      <c r="O103"/>
      <c r="P103" s="1">
        <f t="shared" si="26"/>
        <v>57.654696138211378</v>
      </c>
      <c r="Q103" s="1">
        <f t="shared" si="27"/>
        <v>58.548053861788617</v>
      </c>
      <c r="R103" s="1">
        <f t="shared" si="28"/>
        <v>59.552423778933409</v>
      </c>
      <c r="S103" s="1">
        <f t="shared" si="29"/>
        <v>50.475675122749585</v>
      </c>
    </row>
    <row r="104" spans="1:19" x14ac:dyDescent="0.3">
      <c r="A104">
        <v>1212.8</v>
      </c>
      <c r="B104">
        <v>55.967077000000003</v>
      </c>
      <c r="C104">
        <v>56.859347999999997</v>
      </c>
      <c r="D104">
        <v>57.587854999999998</v>
      </c>
      <c r="E104">
        <v>48.507665000000003</v>
      </c>
      <c r="F104">
        <v>28.417407000000001</v>
      </c>
      <c r="G104">
        <v>20.059111000000001</v>
      </c>
      <c r="H104">
        <v>20.726237999999999</v>
      </c>
      <c r="I104"/>
      <c r="N104"/>
      <c r="O104"/>
      <c r="P104" s="1">
        <f t="shared" si="26"/>
        <v>57.65592276422764</v>
      </c>
      <c r="Q104" s="1">
        <f t="shared" si="27"/>
        <v>58.545130081300812</v>
      </c>
      <c r="R104" s="1">
        <f t="shared" si="28"/>
        <v>59.532483940042823</v>
      </c>
      <c r="S104" s="1">
        <f t="shared" si="29"/>
        <v>50.51392082651391</v>
      </c>
    </row>
    <row r="105" spans="1:19" x14ac:dyDescent="0.3">
      <c r="A105">
        <v>1213</v>
      </c>
      <c r="B105">
        <v>55.967077000000003</v>
      </c>
      <c r="C105">
        <v>56.859347999999997</v>
      </c>
      <c r="D105">
        <v>57.587854999999998</v>
      </c>
      <c r="E105">
        <v>48.507665000000003</v>
      </c>
      <c r="F105">
        <v>28.417407000000001</v>
      </c>
      <c r="G105">
        <v>20.059111000000001</v>
      </c>
      <c r="H105">
        <v>20.726237999999999</v>
      </c>
      <c r="I105" t="s">
        <v>56</v>
      </c>
      <c r="N105"/>
      <c r="O105"/>
      <c r="P105" s="1">
        <f t="shared" si="26"/>
        <v>57.65592276422764</v>
      </c>
      <c r="Q105" s="1">
        <f t="shared" si="27"/>
        <v>58.545130081300812</v>
      </c>
      <c r="R105" s="1">
        <f t="shared" si="28"/>
        <v>59.532483940042823</v>
      </c>
      <c r="S105" s="1">
        <f t="shared" si="29"/>
        <v>50.51392082651391</v>
      </c>
    </row>
    <row r="106" spans="1:19" x14ac:dyDescent="0.3">
      <c r="A106">
        <v>1213.2</v>
      </c>
      <c r="B106">
        <v>55.963014000000001</v>
      </c>
      <c r="C106">
        <v>56.839841</v>
      </c>
      <c r="D106">
        <v>57.565986000000002</v>
      </c>
      <c r="E106">
        <v>48.478282</v>
      </c>
      <c r="F106">
        <v>28.297461999999999</v>
      </c>
      <c r="G106">
        <v>20.070229999999999</v>
      </c>
      <c r="H106">
        <v>20.742802999999999</v>
      </c>
      <c r="I106"/>
      <c r="N106"/>
      <c r="O106"/>
      <c r="P106" s="1">
        <f t="shared" si="26"/>
        <v>57.657820121951211</v>
      </c>
      <c r="Q106" s="1">
        <f t="shared" si="27"/>
        <v>58.558335365853658</v>
      </c>
      <c r="R106" s="1">
        <f t="shared" si="28"/>
        <v>59.511602936677882</v>
      </c>
      <c r="S106" s="1">
        <f t="shared" si="29"/>
        <v>50.601878068739765</v>
      </c>
    </row>
    <row r="107" spans="1:19" x14ac:dyDescent="0.3">
      <c r="A107">
        <v>1213.4000000000001</v>
      </c>
      <c r="B107">
        <v>55.963014000000001</v>
      </c>
      <c r="C107">
        <v>56.839841</v>
      </c>
      <c r="D107">
        <v>57.565986000000002</v>
      </c>
      <c r="E107">
        <v>48.478282</v>
      </c>
      <c r="F107">
        <v>28.297461999999999</v>
      </c>
      <c r="G107">
        <v>20.070229999999999</v>
      </c>
      <c r="H107">
        <v>20.742802999999999</v>
      </c>
      <c r="I107"/>
      <c r="N107"/>
      <c r="O107"/>
      <c r="P107" s="1">
        <f t="shared" si="26"/>
        <v>57.657820121951211</v>
      </c>
      <c r="Q107" s="1">
        <f t="shared" si="27"/>
        <v>58.558335365853658</v>
      </c>
      <c r="R107" s="1">
        <f t="shared" si="28"/>
        <v>59.511602936677882</v>
      </c>
      <c r="S107" s="1">
        <f t="shared" si="29"/>
        <v>50.601878068739765</v>
      </c>
    </row>
    <row r="108" spans="1:19" x14ac:dyDescent="0.3">
      <c r="A108">
        <v>1213.5999999999999</v>
      </c>
      <c r="B108">
        <v>55.976902000000003</v>
      </c>
      <c r="C108">
        <v>56.825150999999998</v>
      </c>
      <c r="D108">
        <v>57.550935000000003</v>
      </c>
      <c r="E108">
        <v>48.433345000000003</v>
      </c>
      <c r="F108">
        <v>28.559009</v>
      </c>
      <c r="G108">
        <v>20.048988000000001</v>
      </c>
      <c r="H108">
        <v>20.725840999999999</v>
      </c>
      <c r="I108"/>
      <c r="N108"/>
      <c r="O108"/>
      <c r="P108" s="1">
        <f t="shared" ref="P108:P171" si="30">(B90+Q$36)/P$36</f>
        <v>57.673896341463411</v>
      </c>
      <c r="Q108" s="1">
        <f t="shared" ref="Q108:Q171" si="31">(C90+Q$36)/P$36</f>
        <v>58.550679878048776</v>
      </c>
      <c r="R108" s="1">
        <f t="shared" ref="R108:R171" si="32">(D90+Q$38)/P$38</f>
        <v>59.529966350565921</v>
      </c>
      <c r="S108" s="1">
        <f t="shared" ref="S108:S171" si="33">(E90+Q$39)/P$39</f>
        <v>50.694357610474633</v>
      </c>
    </row>
    <row r="109" spans="1:19" x14ac:dyDescent="0.3">
      <c r="A109">
        <v>1213.8</v>
      </c>
      <c r="B109">
        <v>55.976902000000003</v>
      </c>
      <c r="C109">
        <v>56.825150999999998</v>
      </c>
      <c r="D109">
        <v>57.550935000000003</v>
      </c>
      <c r="E109">
        <v>48.433345000000003</v>
      </c>
      <c r="F109">
        <v>28.559009</v>
      </c>
      <c r="G109">
        <v>20.048988000000001</v>
      </c>
      <c r="H109">
        <v>20.725840999999999</v>
      </c>
      <c r="I109"/>
      <c r="N109"/>
      <c r="O109"/>
      <c r="P109" s="1">
        <f t="shared" si="30"/>
        <v>57.673896341463411</v>
      </c>
      <c r="Q109" s="1">
        <f t="shared" si="31"/>
        <v>58.550679878048776</v>
      </c>
      <c r="R109" s="1">
        <f t="shared" si="32"/>
        <v>59.529966350565921</v>
      </c>
      <c r="S109" s="1">
        <f t="shared" si="33"/>
        <v>50.694357610474633</v>
      </c>
    </row>
    <row r="110" spans="1:19" x14ac:dyDescent="0.3">
      <c r="A110">
        <v>1214</v>
      </c>
      <c r="B110">
        <v>55.964745000000001</v>
      </c>
      <c r="C110">
        <v>56.817965999999998</v>
      </c>
      <c r="D110">
        <v>57.559812999999998</v>
      </c>
      <c r="E110">
        <v>48.489733999999999</v>
      </c>
      <c r="F110">
        <v>28.410069</v>
      </c>
      <c r="G110">
        <v>20.054952</v>
      </c>
      <c r="H110">
        <v>20.738202000000001</v>
      </c>
      <c r="I110" t="s">
        <v>56</v>
      </c>
      <c r="N110"/>
      <c r="O110"/>
      <c r="P110" s="1">
        <f t="shared" si="30"/>
        <v>57.663311991869918</v>
      </c>
      <c r="Q110" s="1">
        <f t="shared" si="31"/>
        <v>58.561069105691054</v>
      </c>
      <c r="R110" s="1">
        <f t="shared" si="32"/>
        <v>59.512259610482303</v>
      </c>
      <c r="S110" s="1">
        <f t="shared" si="33"/>
        <v>50.714951923076924</v>
      </c>
    </row>
    <row r="111" spans="1:19" x14ac:dyDescent="0.3">
      <c r="A111">
        <v>1214.2</v>
      </c>
      <c r="B111">
        <v>55.964745000000001</v>
      </c>
      <c r="C111">
        <v>56.817965999999998</v>
      </c>
      <c r="D111">
        <v>57.559812999999998</v>
      </c>
      <c r="E111">
        <v>48.489733999999999</v>
      </c>
      <c r="F111">
        <v>28.410069</v>
      </c>
      <c r="G111">
        <v>20.054952</v>
      </c>
      <c r="H111">
        <v>20.738202000000001</v>
      </c>
      <c r="I111"/>
      <c r="N111"/>
      <c r="O111"/>
      <c r="P111" s="1">
        <f t="shared" si="30"/>
        <v>57.663311991869918</v>
      </c>
      <c r="Q111" s="1">
        <f t="shared" si="31"/>
        <v>58.561069105691054</v>
      </c>
      <c r="R111" s="1">
        <f t="shared" si="32"/>
        <v>59.512259610482303</v>
      </c>
      <c r="S111" s="1">
        <f t="shared" si="33"/>
        <v>50.714951923076924</v>
      </c>
    </row>
    <row r="112" spans="1:19" x14ac:dyDescent="0.3">
      <c r="A112">
        <v>1214.4000000000001</v>
      </c>
      <c r="B112">
        <v>55.985453</v>
      </c>
      <c r="C112">
        <v>56.81465</v>
      </c>
      <c r="D112">
        <v>57.574567000000002</v>
      </c>
      <c r="E112">
        <v>48.430571999999998</v>
      </c>
      <c r="F112">
        <v>28.380141999999999</v>
      </c>
      <c r="G112">
        <v>20.041775000000001</v>
      </c>
      <c r="H112">
        <v>20.733806000000001</v>
      </c>
      <c r="I112"/>
      <c r="N112"/>
      <c r="O112"/>
      <c r="P112" s="1">
        <f t="shared" si="30"/>
        <v>57.66951321138211</v>
      </c>
      <c r="Q112" s="1">
        <f t="shared" si="31"/>
        <v>58.561053861788622</v>
      </c>
      <c r="R112" s="1">
        <f t="shared" si="32"/>
        <v>59.530418068726419</v>
      </c>
      <c r="S112" s="1">
        <f t="shared" si="33"/>
        <v>50.57568842062193</v>
      </c>
    </row>
    <row r="113" spans="1:19" x14ac:dyDescent="0.3">
      <c r="A113">
        <v>1214.5999999999999</v>
      </c>
      <c r="B113">
        <v>55.985453</v>
      </c>
      <c r="C113">
        <v>56.81465</v>
      </c>
      <c r="D113">
        <v>57.574567000000002</v>
      </c>
      <c r="E113">
        <v>48.430571999999998</v>
      </c>
      <c r="F113">
        <v>28.380141999999999</v>
      </c>
      <c r="G113">
        <v>20.041775000000001</v>
      </c>
      <c r="H113">
        <v>20.733806000000001</v>
      </c>
      <c r="I113"/>
      <c r="N113"/>
      <c r="O113"/>
      <c r="P113" s="1">
        <f t="shared" si="30"/>
        <v>57.66951321138211</v>
      </c>
      <c r="Q113" s="1">
        <f t="shared" si="31"/>
        <v>58.561053861788622</v>
      </c>
      <c r="R113" s="1">
        <f t="shared" si="32"/>
        <v>59.530418068726419</v>
      </c>
      <c r="S113" s="1">
        <f t="shared" si="33"/>
        <v>50.57568842062193</v>
      </c>
    </row>
    <row r="114" spans="1:19" x14ac:dyDescent="0.3">
      <c r="A114">
        <v>1214.8</v>
      </c>
      <c r="B114">
        <v>55.929009999999998</v>
      </c>
      <c r="C114">
        <v>56.825975999999997</v>
      </c>
      <c r="D114">
        <v>57.554237000000001</v>
      </c>
      <c r="E114">
        <v>48.459494999999997</v>
      </c>
      <c r="F114">
        <v>28.304614000000001</v>
      </c>
      <c r="G114">
        <v>20.061157999999999</v>
      </c>
      <c r="H114">
        <v>20.748199</v>
      </c>
      <c r="I114"/>
      <c r="N114"/>
      <c r="O114"/>
      <c r="P114" s="1">
        <f t="shared" si="30"/>
        <v>57.685777439024392</v>
      </c>
      <c r="Q114" s="1">
        <f t="shared" si="31"/>
        <v>58.55404776422764</v>
      </c>
      <c r="R114" s="1">
        <f t="shared" si="32"/>
        <v>59.538155399204648</v>
      </c>
      <c r="S114" s="1">
        <f t="shared" si="33"/>
        <v>50.586012684124384</v>
      </c>
    </row>
    <row r="115" spans="1:19" x14ac:dyDescent="0.3">
      <c r="A115">
        <v>1215</v>
      </c>
      <c r="B115">
        <v>55.929009999999998</v>
      </c>
      <c r="C115">
        <v>56.825975999999997</v>
      </c>
      <c r="D115">
        <v>57.554237000000001</v>
      </c>
      <c r="E115">
        <v>48.459494999999997</v>
      </c>
      <c r="F115">
        <v>28.304614000000001</v>
      </c>
      <c r="G115">
        <v>20.061157999999999</v>
      </c>
      <c r="H115">
        <v>20.748199</v>
      </c>
      <c r="I115" t="s">
        <v>56</v>
      </c>
      <c r="N115"/>
      <c r="O115"/>
      <c r="P115" s="1">
        <f t="shared" si="30"/>
        <v>57.685777439024392</v>
      </c>
      <c r="Q115" s="1">
        <f t="shared" si="31"/>
        <v>58.55404776422764</v>
      </c>
      <c r="R115" s="1">
        <f t="shared" si="32"/>
        <v>59.538155399204648</v>
      </c>
      <c r="S115" s="1">
        <f t="shared" si="33"/>
        <v>50.586012684124384</v>
      </c>
    </row>
    <row r="116" spans="1:19" x14ac:dyDescent="0.3">
      <c r="A116">
        <v>1215.2</v>
      </c>
      <c r="B116">
        <v>55.934753000000001</v>
      </c>
      <c r="C116">
        <v>56.786099999999998</v>
      </c>
      <c r="D116">
        <v>57.550705000000001</v>
      </c>
      <c r="E116">
        <v>48.447588000000003</v>
      </c>
      <c r="F116">
        <v>28.249689</v>
      </c>
      <c r="G116">
        <v>20.052963999999999</v>
      </c>
      <c r="H116">
        <v>20.726731999999998</v>
      </c>
      <c r="I116"/>
      <c r="N116"/>
      <c r="O116"/>
      <c r="P116" s="1">
        <f t="shared" si="30"/>
        <v>57.694778455284556</v>
      </c>
      <c r="Q116" s="1">
        <f t="shared" si="31"/>
        <v>58.566295731707314</v>
      </c>
      <c r="R116" s="1">
        <f t="shared" si="32"/>
        <v>59.534725196288363</v>
      </c>
      <c r="S116" s="1">
        <f t="shared" si="33"/>
        <v>50.597368044189857</v>
      </c>
    </row>
    <row r="117" spans="1:19" x14ac:dyDescent="0.3">
      <c r="A117">
        <v>1215.4000000000001</v>
      </c>
      <c r="B117">
        <v>55.934753000000001</v>
      </c>
      <c r="C117">
        <v>56.786099999999998</v>
      </c>
      <c r="D117">
        <v>57.550705000000001</v>
      </c>
      <c r="E117">
        <v>48.447588000000003</v>
      </c>
      <c r="F117">
        <v>28.249689</v>
      </c>
      <c r="G117">
        <v>20.052963999999999</v>
      </c>
      <c r="H117">
        <v>20.726731999999998</v>
      </c>
      <c r="I117"/>
      <c r="N117"/>
      <c r="O117"/>
      <c r="P117" s="1">
        <f t="shared" si="30"/>
        <v>57.694778455284556</v>
      </c>
      <c r="Q117" s="1">
        <f t="shared" si="31"/>
        <v>58.566295731707314</v>
      </c>
      <c r="R117" s="1">
        <f t="shared" si="32"/>
        <v>59.534725196288363</v>
      </c>
      <c r="S117" s="1">
        <f t="shared" si="33"/>
        <v>50.597368044189857</v>
      </c>
    </row>
    <row r="118" spans="1:19" x14ac:dyDescent="0.3">
      <c r="A118">
        <v>1215.5999999999999</v>
      </c>
      <c r="B118">
        <v>55.957253999999999</v>
      </c>
      <c r="C118">
        <v>56.809099000000003</v>
      </c>
      <c r="D118">
        <v>57.546712999999997</v>
      </c>
      <c r="E118">
        <v>48.447431000000002</v>
      </c>
      <c r="F118">
        <v>28.188690000000001</v>
      </c>
      <c r="G118">
        <v>20.062260999999999</v>
      </c>
      <c r="H118">
        <v>20.746931</v>
      </c>
      <c r="I118"/>
      <c r="N118"/>
      <c r="O118"/>
      <c r="P118" s="1">
        <f t="shared" si="30"/>
        <v>57.686380081300811</v>
      </c>
      <c r="Q118" s="1">
        <f t="shared" si="31"/>
        <v>58.58210569105691</v>
      </c>
      <c r="R118" s="1">
        <f t="shared" si="32"/>
        <v>59.557623126338328</v>
      </c>
      <c r="S118" s="1">
        <f t="shared" si="33"/>
        <v>50.579911006546645</v>
      </c>
    </row>
    <row r="119" spans="1:19" x14ac:dyDescent="0.3">
      <c r="A119">
        <v>1215.8</v>
      </c>
      <c r="B119">
        <v>55.957253999999999</v>
      </c>
      <c r="C119">
        <v>56.809099000000003</v>
      </c>
      <c r="D119">
        <v>57.546712999999997</v>
      </c>
      <c r="E119">
        <v>48.447431000000002</v>
      </c>
      <c r="F119">
        <v>28.188690000000001</v>
      </c>
      <c r="G119">
        <v>20.062260999999999</v>
      </c>
      <c r="H119">
        <v>20.746931</v>
      </c>
      <c r="I119"/>
      <c r="N119"/>
      <c r="O119"/>
      <c r="P119" s="1">
        <f t="shared" si="30"/>
        <v>57.686380081300811</v>
      </c>
      <c r="Q119" s="1">
        <f t="shared" si="31"/>
        <v>58.58210569105691</v>
      </c>
      <c r="R119" s="1">
        <f t="shared" si="32"/>
        <v>59.557623126338328</v>
      </c>
      <c r="S119" s="1">
        <f t="shared" si="33"/>
        <v>50.579911006546645</v>
      </c>
    </row>
    <row r="120" spans="1:19" x14ac:dyDescent="0.3">
      <c r="A120">
        <v>1216</v>
      </c>
      <c r="B120">
        <v>55.941648999999998</v>
      </c>
      <c r="C120">
        <v>56.813668</v>
      </c>
      <c r="D120">
        <v>57.546968</v>
      </c>
      <c r="E120">
        <v>48.466230000000003</v>
      </c>
      <c r="F120">
        <v>27.920400000000001</v>
      </c>
      <c r="G120">
        <v>20.051317999999998</v>
      </c>
      <c r="H120">
        <v>20.73789</v>
      </c>
      <c r="I120" t="s">
        <v>56</v>
      </c>
      <c r="N120"/>
      <c r="O120"/>
      <c r="P120" s="1">
        <f t="shared" si="30"/>
        <v>57.667582317073169</v>
      </c>
      <c r="Q120" s="1">
        <f t="shared" si="31"/>
        <v>58.570884146341463</v>
      </c>
      <c r="R120" s="1">
        <f t="shared" si="32"/>
        <v>59.549193433261948</v>
      </c>
      <c r="S120" s="1">
        <f t="shared" si="33"/>
        <v>50.584158142389526</v>
      </c>
    </row>
    <row r="121" spans="1:19" x14ac:dyDescent="0.3">
      <c r="A121">
        <v>1216.2</v>
      </c>
      <c r="B121">
        <v>55.941648999999998</v>
      </c>
      <c r="C121">
        <v>56.813668</v>
      </c>
      <c r="D121">
        <v>57.546968</v>
      </c>
      <c r="E121">
        <v>48.466230000000003</v>
      </c>
      <c r="F121">
        <v>27.920400000000001</v>
      </c>
      <c r="G121">
        <v>20.051317999999998</v>
      </c>
      <c r="H121">
        <v>20.73789</v>
      </c>
      <c r="I121"/>
      <c r="N121"/>
      <c r="O121"/>
      <c r="P121" s="1">
        <f t="shared" si="30"/>
        <v>57.667582317073169</v>
      </c>
      <c r="Q121" s="1">
        <f t="shared" si="31"/>
        <v>58.570884146341463</v>
      </c>
      <c r="R121" s="1">
        <f t="shared" si="32"/>
        <v>59.549193433261948</v>
      </c>
      <c r="S121" s="1">
        <f t="shared" si="33"/>
        <v>50.584158142389526</v>
      </c>
    </row>
    <row r="122" spans="1:19" x14ac:dyDescent="0.3">
      <c r="A122">
        <v>1216.4000000000001</v>
      </c>
      <c r="B122">
        <v>55.941335000000002</v>
      </c>
      <c r="C122">
        <v>56.828108999999998</v>
      </c>
      <c r="D122">
        <v>57.570345000000003</v>
      </c>
      <c r="E122">
        <v>48.557276000000002</v>
      </c>
      <c r="F122">
        <v>28.06334</v>
      </c>
      <c r="G122">
        <v>20.053363000000001</v>
      </c>
      <c r="H122">
        <v>20.735903</v>
      </c>
      <c r="I122"/>
      <c r="N122"/>
      <c r="O122"/>
      <c r="P122" s="1">
        <f t="shared" si="30"/>
        <v>57.676399390243901</v>
      </c>
      <c r="Q122" s="1">
        <f t="shared" si="31"/>
        <v>58.58317886178861</v>
      </c>
      <c r="R122" s="1">
        <f t="shared" si="32"/>
        <v>59.547420210054035</v>
      </c>
      <c r="S122" s="1">
        <f t="shared" si="33"/>
        <v>50.564100859247141</v>
      </c>
    </row>
    <row r="123" spans="1:19" x14ac:dyDescent="0.3">
      <c r="A123">
        <v>1216.5999999999999</v>
      </c>
      <c r="B123">
        <v>55.941335000000002</v>
      </c>
      <c r="C123">
        <v>56.828108999999998</v>
      </c>
      <c r="D123">
        <v>57.570345000000003</v>
      </c>
      <c r="E123">
        <v>48.557276000000002</v>
      </c>
      <c r="F123">
        <v>28.06334</v>
      </c>
      <c r="G123">
        <v>20.053363000000001</v>
      </c>
      <c r="H123">
        <v>20.735903</v>
      </c>
      <c r="I123"/>
      <c r="N123"/>
      <c r="O123"/>
      <c r="P123" s="1">
        <f t="shared" si="30"/>
        <v>57.676399390243901</v>
      </c>
      <c r="Q123" s="1">
        <f t="shared" si="31"/>
        <v>58.58317886178861</v>
      </c>
      <c r="R123" s="1">
        <f t="shared" si="32"/>
        <v>59.547420210054035</v>
      </c>
      <c r="S123" s="1">
        <f t="shared" si="33"/>
        <v>50.564100859247141</v>
      </c>
    </row>
    <row r="124" spans="1:19" x14ac:dyDescent="0.3">
      <c r="A124">
        <v>1216.8</v>
      </c>
      <c r="B124">
        <v>55.946328999999999</v>
      </c>
      <c r="C124">
        <v>56.831296000000002</v>
      </c>
      <c r="D124">
        <v>57.563585000000003</v>
      </c>
      <c r="E124">
        <v>48.599345</v>
      </c>
      <c r="F124">
        <v>28.343001000000001</v>
      </c>
      <c r="G124">
        <v>20.060858</v>
      </c>
      <c r="H124">
        <v>20.735097</v>
      </c>
      <c r="I124"/>
      <c r="N124"/>
      <c r="O124"/>
      <c r="P124" s="1">
        <f t="shared" si="30"/>
        <v>57.67227032520325</v>
      </c>
      <c r="Q124" s="1">
        <f t="shared" si="31"/>
        <v>58.563354674796749</v>
      </c>
      <c r="R124" s="1">
        <f t="shared" si="32"/>
        <v>59.525120832058732</v>
      </c>
      <c r="S124" s="1">
        <f t="shared" si="33"/>
        <v>50.534044599018003</v>
      </c>
    </row>
    <row r="125" spans="1:19" x14ac:dyDescent="0.3">
      <c r="A125">
        <v>2860</v>
      </c>
      <c r="B125">
        <v>62.351818000000002</v>
      </c>
      <c r="C125">
        <v>63.432547</v>
      </c>
      <c r="D125">
        <v>64.338697999999994</v>
      </c>
      <c r="E125">
        <v>53.377853999999999</v>
      </c>
      <c r="F125">
        <v>29.911193000000001</v>
      </c>
      <c r="G125">
        <v>20.110067999999998</v>
      </c>
      <c r="H125">
        <v>20.905182</v>
      </c>
      <c r="I125" t="s">
        <v>56</v>
      </c>
      <c r="N125"/>
      <c r="O125"/>
      <c r="P125" s="1">
        <f t="shared" si="30"/>
        <v>57.67227032520325</v>
      </c>
      <c r="Q125" s="1">
        <f t="shared" si="31"/>
        <v>58.563354674796749</v>
      </c>
      <c r="R125" s="1">
        <f t="shared" si="32"/>
        <v>59.525120832058732</v>
      </c>
      <c r="S125" s="1">
        <f t="shared" si="33"/>
        <v>50.534044599018003</v>
      </c>
    </row>
    <row r="126" spans="1:19" x14ac:dyDescent="0.3">
      <c r="A126">
        <v>2860.2</v>
      </c>
      <c r="B126">
        <v>62.351818000000002</v>
      </c>
      <c r="C126">
        <v>63.432547</v>
      </c>
      <c r="D126">
        <v>64.338697999999994</v>
      </c>
      <c r="E126">
        <v>53.377853999999999</v>
      </c>
      <c r="F126">
        <v>29.911193000000001</v>
      </c>
      <c r="G126">
        <v>20.110067999999998</v>
      </c>
      <c r="H126">
        <v>20.905182</v>
      </c>
      <c r="I126"/>
      <c r="N126"/>
      <c r="O126"/>
      <c r="P126" s="1">
        <f t="shared" si="30"/>
        <v>57.68638414634146</v>
      </c>
      <c r="Q126" s="1">
        <f t="shared" si="31"/>
        <v>58.548425813008123</v>
      </c>
      <c r="R126" s="1">
        <f t="shared" si="32"/>
        <v>59.509773631079838</v>
      </c>
      <c r="S126" s="1">
        <f t="shared" si="33"/>
        <v>50.488077945990185</v>
      </c>
    </row>
    <row r="127" spans="1:19" x14ac:dyDescent="0.3">
      <c r="A127">
        <v>2860.4</v>
      </c>
      <c r="B127">
        <v>62.402075000000004</v>
      </c>
      <c r="C127">
        <v>63.441701999999999</v>
      </c>
      <c r="D127">
        <v>64.341497000000004</v>
      </c>
      <c r="E127">
        <v>53.377952999999998</v>
      </c>
      <c r="F127">
        <v>29.935372000000001</v>
      </c>
      <c r="G127">
        <v>20.119263</v>
      </c>
      <c r="H127">
        <v>20.892799</v>
      </c>
      <c r="I127"/>
      <c r="N127"/>
      <c r="O127"/>
      <c r="P127" s="1">
        <f t="shared" si="30"/>
        <v>57.68638414634146</v>
      </c>
      <c r="Q127" s="1">
        <f t="shared" si="31"/>
        <v>58.548425813008123</v>
      </c>
      <c r="R127" s="1">
        <f t="shared" si="32"/>
        <v>59.509773631079838</v>
      </c>
      <c r="S127" s="1">
        <f t="shared" si="33"/>
        <v>50.488077945990185</v>
      </c>
    </row>
    <row r="128" spans="1:19" x14ac:dyDescent="0.3">
      <c r="A128">
        <v>2860.6</v>
      </c>
      <c r="B128">
        <v>62.402075000000004</v>
      </c>
      <c r="C128">
        <v>63.441701999999999</v>
      </c>
      <c r="D128">
        <v>64.341497000000004</v>
      </c>
      <c r="E128">
        <v>53.377952999999998</v>
      </c>
      <c r="F128">
        <v>29.935372000000001</v>
      </c>
      <c r="G128">
        <v>20.119263</v>
      </c>
      <c r="H128">
        <v>20.892799</v>
      </c>
      <c r="I128"/>
      <c r="N128"/>
      <c r="O128"/>
      <c r="P128" s="1">
        <f t="shared" si="30"/>
        <v>57.674029471544713</v>
      </c>
      <c r="Q128" s="1">
        <f t="shared" si="31"/>
        <v>58.54112398373983</v>
      </c>
      <c r="R128" s="1">
        <f t="shared" si="32"/>
        <v>59.518826348526559</v>
      </c>
      <c r="S128" s="1">
        <f t="shared" si="33"/>
        <v>50.545759001636661</v>
      </c>
    </row>
    <row r="129" spans="1:19" x14ac:dyDescent="0.3">
      <c r="A129">
        <v>2860.8</v>
      </c>
      <c r="B129">
        <v>62.398007999999997</v>
      </c>
      <c r="C129">
        <v>63.448041000000003</v>
      </c>
      <c r="D129">
        <v>64.329795000000004</v>
      </c>
      <c r="E129">
        <v>53.353157000000003</v>
      </c>
      <c r="F129">
        <v>29.950593999999999</v>
      </c>
      <c r="G129">
        <v>20.108692000000001</v>
      </c>
      <c r="H129">
        <v>20.906414999999999</v>
      </c>
      <c r="I129"/>
      <c r="N129"/>
      <c r="O129"/>
      <c r="P129" s="1">
        <f t="shared" si="30"/>
        <v>57.674029471544713</v>
      </c>
      <c r="Q129" s="1">
        <f t="shared" si="31"/>
        <v>58.54112398373983</v>
      </c>
      <c r="R129" s="1">
        <f t="shared" si="32"/>
        <v>59.518826348526559</v>
      </c>
      <c r="S129" s="1">
        <f t="shared" si="33"/>
        <v>50.545759001636661</v>
      </c>
    </row>
    <row r="130" spans="1:19" x14ac:dyDescent="0.3">
      <c r="A130">
        <v>2861</v>
      </c>
      <c r="B130">
        <v>62.398007999999997</v>
      </c>
      <c r="C130">
        <v>63.448041000000003</v>
      </c>
      <c r="D130">
        <v>64.329795000000004</v>
      </c>
      <c r="E130">
        <v>53.353157000000003</v>
      </c>
      <c r="F130">
        <v>29.950593999999999</v>
      </c>
      <c r="G130">
        <v>20.108692000000001</v>
      </c>
      <c r="H130">
        <v>20.906414999999999</v>
      </c>
      <c r="I130" t="s">
        <v>56</v>
      </c>
      <c r="N130"/>
      <c r="O130"/>
      <c r="P130" s="1">
        <f t="shared" si="30"/>
        <v>57.695074186991867</v>
      </c>
      <c r="Q130" s="1">
        <f t="shared" si="31"/>
        <v>58.537754065040652</v>
      </c>
      <c r="R130" s="1">
        <f t="shared" si="32"/>
        <v>59.533870704598755</v>
      </c>
      <c r="S130" s="1">
        <f t="shared" si="33"/>
        <v>50.48524140752864</v>
      </c>
    </row>
    <row r="131" spans="1:19" x14ac:dyDescent="0.3">
      <c r="A131">
        <v>2861.2</v>
      </c>
      <c r="B131">
        <v>62.393340999999999</v>
      </c>
      <c r="C131">
        <v>63.438836000000002</v>
      </c>
      <c r="D131">
        <v>64.341798999999995</v>
      </c>
      <c r="E131">
        <v>53.192957999999997</v>
      </c>
      <c r="F131">
        <v>30.143350999999999</v>
      </c>
      <c r="G131">
        <v>20.127286000000002</v>
      </c>
      <c r="H131">
        <v>20.91338</v>
      </c>
      <c r="I131"/>
      <c r="N131"/>
      <c r="O131"/>
      <c r="P131" s="1">
        <f t="shared" si="30"/>
        <v>57.695074186991867</v>
      </c>
      <c r="Q131" s="1">
        <f t="shared" si="31"/>
        <v>58.537754065040652</v>
      </c>
      <c r="R131" s="1">
        <f t="shared" si="32"/>
        <v>59.533870704598755</v>
      </c>
      <c r="S131" s="1">
        <f t="shared" si="33"/>
        <v>50.48524140752864</v>
      </c>
    </row>
    <row r="132" spans="1:19" x14ac:dyDescent="0.3">
      <c r="A132">
        <v>2861.4</v>
      </c>
      <c r="B132">
        <v>62.393340999999999</v>
      </c>
      <c r="C132">
        <v>63.438836000000002</v>
      </c>
      <c r="D132">
        <v>64.341798999999995</v>
      </c>
      <c r="E132">
        <v>53.192957999999997</v>
      </c>
      <c r="F132">
        <v>30.143350999999999</v>
      </c>
      <c r="G132">
        <v>20.127286000000002</v>
      </c>
      <c r="H132">
        <v>20.91338</v>
      </c>
      <c r="I132"/>
      <c r="N132"/>
      <c r="O132"/>
      <c r="P132" s="1">
        <f t="shared" si="30"/>
        <v>57.637713414634142</v>
      </c>
      <c r="Q132" s="1">
        <f t="shared" si="31"/>
        <v>58.549264227642269</v>
      </c>
      <c r="R132" s="1">
        <f t="shared" si="32"/>
        <v>59.513140613847249</v>
      </c>
      <c r="S132" s="1">
        <f t="shared" si="33"/>
        <v>50.514827127659572</v>
      </c>
    </row>
    <row r="133" spans="1:19" x14ac:dyDescent="0.3">
      <c r="A133">
        <v>2861.6</v>
      </c>
      <c r="B133">
        <v>62.397754999999997</v>
      </c>
      <c r="C133">
        <v>63.444617000000001</v>
      </c>
      <c r="D133">
        <v>64.331342000000006</v>
      </c>
      <c r="E133">
        <v>53.134239000000001</v>
      </c>
      <c r="F133">
        <v>30.219172</v>
      </c>
      <c r="G133">
        <v>20.119707999999999</v>
      </c>
      <c r="H133">
        <v>20.908652</v>
      </c>
      <c r="I133"/>
      <c r="N133"/>
      <c r="O133"/>
      <c r="P133" s="1">
        <f t="shared" si="30"/>
        <v>57.637713414634142</v>
      </c>
      <c r="Q133" s="1">
        <f t="shared" si="31"/>
        <v>58.549264227642269</v>
      </c>
      <c r="R133" s="1">
        <f t="shared" si="32"/>
        <v>59.513140613847249</v>
      </c>
      <c r="S133" s="1">
        <f t="shared" si="33"/>
        <v>50.514827127659572</v>
      </c>
    </row>
    <row r="134" spans="1:19" x14ac:dyDescent="0.3">
      <c r="A134">
        <v>2861.8</v>
      </c>
      <c r="B134">
        <v>62.397754999999997</v>
      </c>
      <c r="C134">
        <v>63.444617000000001</v>
      </c>
      <c r="D134">
        <v>64.331342000000006</v>
      </c>
      <c r="E134">
        <v>53.134239000000001</v>
      </c>
      <c r="F134">
        <v>30.219172</v>
      </c>
      <c r="G134">
        <v>20.119707999999999</v>
      </c>
      <c r="H134">
        <v>20.908652</v>
      </c>
      <c r="I134"/>
      <c r="N134"/>
      <c r="O134"/>
      <c r="P134" s="1">
        <f t="shared" si="30"/>
        <v>57.643549796747962</v>
      </c>
      <c r="Q134" s="1">
        <f t="shared" si="31"/>
        <v>58.508739837398366</v>
      </c>
      <c r="R134" s="1">
        <f t="shared" si="32"/>
        <v>59.509539104721114</v>
      </c>
      <c r="S134" s="1">
        <f t="shared" si="33"/>
        <v>50.502647299509</v>
      </c>
    </row>
    <row r="135" spans="1:19" x14ac:dyDescent="0.3">
      <c r="A135">
        <v>2862</v>
      </c>
      <c r="B135">
        <v>62.403306999999998</v>
      </c>
      <c r="C135">
        <v>63.460141999999998</v>
      </c>
      <c r="D135">
        <v>64.349924000000001</v>
      </c>
      <c r="E135">
        <v>53.052756000000002</v>
      </c>
      <c r="F135">
        <v>30.267755999999999</v>
      </c>
      <c r="G135">
        <v>20.116274000000001</v>
      </c>
      <c r="H135">
        <v>20.952867999999999</v>
      </c>
      <c r="I135" t="s">
        <v>56</v>
      </c>
      <c r="N135"/>
      <c r="O135"/>
      <c r="P135" s="1">
        <f t="shared" si="30"/>
        <v>57.643549796747962</v>
      </c>
      <c r="Q135" s="1">
        <f t="shared" si="31"/>
        <v>58.508739837398366</v>
      </c>
      <c r="R135" s="1">
        <f t="shared" si="32"/>
        <v>59.509539104721114</v>
      </c>
      <c r="S135" s="1">
        <f t="shared" si="33"/>
        <v>50.502647299509</v>
      </c>
    </row>
    <row r="136" spans="1:19" x14ac:dyDescent="0.3">
      <c r="A136">
        <v>2862.2</v>
      </c>
      <c r="B136">
        <v>62.403306999999998</v>
      </c>
      <c r="C136">
        <v>63.460141999999998</v>
      </c>
      <c r="D136">
        <v>64.349924000000001</v>
      </c>
      <c r="E136">
        <v>53.052756000000002</v>
      </c>
      <c r="F136">
        <v>30.267755999999999</v>
      </c>
      <c r="G136">
        <v>20.116274000000001</v>
      </c>
      <c r="H136">
        <v>20.952867999999999</v>
      </c>
      <c r="I136"/>
      <c r="N136"/>
      <c r="O136"/>
      <c r="P136" s="1">
        <f t="shared" si="30"/>
        <v>57.666416666666663</v>
      </c>
      <c r="Q136" s="1">
        <f t="shared" si="31"/>
        <v>58.532112804878047</v>
      </c>
      <c r="R136" s="1">
        <f t="shared" si="32"/>
        <v>59.50546854287753</v>
      </c>
      <c r="S136" s="1">
        <f t="shared" si="33"/>
        <v>50.502486702127662</v>
      </c>
    </row>
    <row r="137" spans="1:19" x14ac:dyDescent="0.3">
      <c r="A137">
        <v>2862.4</v>
      </c>
      <c r="B137">
        <v>62.392164999999999</v>
      </c>
      <c r="C137">
        <v>63.431319000000002</v>
      </c>
      <c r="D137">
        <v>64.338376999999994</v>
      </c>
      <c r="E137">
        <v>53.0227</v>
      </c>
      <c r="F137">
        <v>30.033860000000001</v>
      </c>
      <c r="G137">
        <v>20.105139000000001</v>
      </c>
      <c r="H137">
        <v>20.929414000000001</v>
      </c>
      <c r="I137"/>
      <c r="N137"/>
      <c r="O137"/>
      <c r="P137" s="1">
        <f t="shared" si="30"/>
        <v>57.666416666666663</v>
      </c>
      <c r="Q137" s="1">
        <f t="shared" si="31"/>
        <v>58.532112804878047</v>
      </c>
      <c r="R137" s="1">
        <f t="shared" si="32"/>
        <v>59.50546854287753</v>
      </c>
      <c r="S137" s="1">
        <f t="shared" si="33"/>
        <v>50.502486702127662</v>
      </c>
    </row>
    <row r="138" spans="1:19" x14ac:dyDescent="0.3">
      <c r="A138">
        <v>2862.6</v>
      </c>
      <c r="B138">
        <v>62.392164999999999</v>
      </c>
      <c r="C138">
        <v>63.431319000000002</v>
      </c>
      <c r="D138">
        <v>64.338376999999994</v>
      </c>
      <c r="E138">
        <v>53.0227</v>
      </c>
      <c r="F138">
        <v>30.033860000000001</v>
      </c>
      <c r="G138">
        <v>20.105139000000001</v>
      </c>
      <c r="H138">
        <v>20.929414000000001</v>
      </c>
      <c r="I138"/>
      <c r="N138"/>
      <c r="O138"/>
      <c r="P138" s="1">
        <f t="shared" si="30"/>
        <v>57.650557926829265</v>
      </c>
      <c r="Q138" s="1">
        <f t="shared" si="31"/>
        <v>58.536756097560975</v>
      </c>
      <c r="R138" s="1">
        <f t="shared" si="32"/>
        <v>59.50572856123177</v>
      </c>
      <c r="S138" s="1">
        <f t="shared" si="33"/>
        <v>50.521716448445176</v>
      </c>
    </row>
    <row r="139" spans="1:19" x14ac:dyDescent="0.3">
      <c r="A139">
        <v>2862.8</v>
      </c>
      <c r="B139">
        <v>62.366798000000003</v>
      </c>
      <c r="C139">
        <v>63.434879000000002</v>
      </c>
      <c r="D139">
        <v>64.356767000000005</v>
      </c>
      <c r="E139">
        <v>53.014972</v>
      </c>
      <c r="F139">
        <v>29.706918999999999</v>
      </c>
      <c r="G139">
        <v>20.115950999999999</v>
      </c>
      <c r="H139">
        <v>20.938321999999999</v>
      </c>
      <c r="I139"/>
      <c r="N139"/>
      <c r="O139"/>
      <c r="P139" s="1">
        <f t="shared" si="30"/>
        <v>57.650557926829265</v>
      </c>
      <c r="Q139" s="1">
        <f t="shared" si="31"/>
        <v>58.536756097560975</v>
      </c>
      <c r="R139" s="1">
        <f t="shared" si="32"/>
        <v>59.50572856123177</v>
      </c>
      <c r="S139" s="1">
        <f t="shared" si="33"/>
        <v>50.521716448445176</v>
      </c>
    </row>
    <row r="140" spans="1:19" x14ac:dyDescent="0.3">
      <c r="A140">
        <v>2863</v>
      </c>
      <c r="B140">
        <v>62.366798000000003</v>
      </c>
      <c r="C140">
        <v>63.434879000000002</v>
      </c>
      <c r="D140">
        <v>64.356767000000005</v>
      </c>
      <c r="E140">
        <v>53.014972</v>
      </c>
      <c r="F140">
        <v>29.706918999999999</v>
      </c>
      <c r="G140">
        <v>20.115950999999999</v>
      </c>
      <c r="H140">
        <v>20.938321999999999</v>
      </c>
      <c r="I140" t="s">
        <v>56</v>
      </c>
      <c r="N140"/>
      <c r="O140"/>
      <c r="P140" s="1">
        <f t="shared" si="30"/>
        <v>57.65023882113821</v>
      </c>
      <c r="Q140" s="1">
        <f t="shared" si="31"/>
        <v>58.5514319105691</v>
      </c>
      <c r="R140" s="1">
        <f t="shared" si="32"/>
        <v>59.529565616396454</v>
      </c>
      <c r="S140" s="1">
        <f t="shared" si="33"/>
        <v>50.614848608837974</v>
      </c>
    </row>
    <row r="141" spans="1:19" x14ac:dyDescent="0.3">
      <c r="A141">
        <v>2863.2</v>
      </c>
      <c r="B141">
        <v>62.382471000000002</v>
      </c>
      <c r="C141">
        <v>63.432020000000001</v>
      </c>
      <c r="D141">
        <v>64.342674000000002</v>
      </c>
      <c r="E141">
        <v>53.068038000000001</v>
      </c>
      <c r="F141">
        <v>29.584949999999999</v>
      </c>
      <c r="G141">
        <v>20.127061000000001</v>
      </c>
      <c r="H141">
        <v>20.952269000000001</v>
      </c>
      <c r="I141"/>
      <c r="N141"/>
      <c r="O141"/>
      <c r="P141" s="1">
        <f t="shared" si="30"/>
        <v>57.65023882113821</v>
      </c>
      <c r="Q141" s="1">
        <f t="shared" si="31"/>
        <v>58.5514319105691</v>
      </c>
      <c r="R141" s="1">
        <f t="shared" si="32"/>
        <v>59.529565616396454</v>
      </c>
      <c r="S141" s="1">
        <f t="shared" si="33"/>
        <v>50.614848608837974</v>
      </c>
    </row>
    <row r="142" spans="1:19" x14ac:dyDescent="0.3">
      <c r="A142">
        <v>2863.4</v>
      </c>
      <c r="B142">
        <v>62.382471000000002</v>
      </c>
      <c r="C142">
        <v>63.432020000000001</v>
      </c>
      <c r="D142">
        <v>64.342674000000002</v>
      </c>
      <c r="E142">
        <v>53.068038000000001</v>
      </c>
      <c r="F142">
        <v>29.584949999999999</v>
      </c>
      <c r="G142">
        <v>20.127061000000001</v>
      </c>
      <c r="H142">
        <v>20.952269000000001</v>
      </c>
      <c r="I142"/>
      <c r="N142"/>
      <c r="O142"/>
      <c r="P142" s="1">
        <f t="shared" si="30"/>
        <v>57.655314024390243</v>
      </c>
      <c r="Q142" s="1">
        <f t="shared" si="31"/>
        <v>58.554670731707319</v>
      </c>
      <c r="R142" s="1">
        <f t="shared" si="32"/>
        <v>59.522672580809626</v>
      </c>
      <c r="S142" s="1">
        <f t="shared" si="33"/>
        <v>50.657881546644845</v>
      </c>
    </row>
    <row r="143" spans="1:19" x14ac:dyDescent="0.3">
      <c r="A143">
        <v>2863.6</v>
      </c>
      <c r="B143">
        <v>62.371149000000003</v>
      </c>
      <c r="C143">
        <v>63.440598000000001</v>
      </c>
      <c r="D143">
        <v>64.331397999999993</v>
      </c>
      <c r="E143">
        <v>53.134295000000002</v>
      </c>
      <c r="F143">
        <v>29.489616999999999</v>
      </c>
      <c r="G143">
        <v>20.12584</v>
      </c>
      <c r="H143">
        <v>20.939907999999999</v>
      </c>
      <c r="I143"/>
      <c r="N143"/>
      <c r="O143"/>
      <c r="P143" s="1">
        <f t="shared" si="30"/>
        <v>64.164957317073174</v>
      </c>
      <c r="Q143" s="1">
        <f t="shared" si="31"/>
        <v>65.263259146341468</v>
      </c>
      <c r="R143" s="1">
        <f t="shared" si="32"/>
        <v>66.431118588763113</v>
      </c>
      <c r="S143" s="1">
        <f t="shared" si="33"/>
        <v>55.54588175122749</v>
      </c>
    </row>
    <row r="144" spans="1:19" x14ac:dyDescent="0.3">
      <c r="A144">
        <v>2863.8</v>
      </c>
      <c r="B144">
        <v>62.371149000000003</v>
      </c>
      <c r="C144">
        <v>63.440598000000001</v>
      </c>
      <c r="D144">
        <v>64.331397999999993</v>
      </c>
      <c r="E144">
        <v>53.134295000000002</v>
      </c>
      <c r="F144">
        <v>29.489616999999999</v>
      </c>
      <c r="G144">
        <v>20.12584</v>
      </c>
      <c r="H144">
        <v>20.939907999999999</v>
      </c>
      <c r="I144"/>
      <c r="N144"/>
      <c r="O144"/>
      <c r="P144" s="1">
        <f t="shared" si="30"/>
        <v>64.164957317073174</v>
      </c>
      <c r="Q144" s="1">
        <f t="shared" si="31"/>
        <v>65.263259146341468</v>
      </c>
      <c r="R144" s="1">
        <f t="shared" si="32"/>
        <v>66.431118588763113</v>
      </c>
      <c r="S144" s="1">
        <f t="shared" si="33"/>
        <v>55.54588175122749</v>
      </c>
    </row>
    <row r="145" spans="1:19" x14ac:dyDescent="0.3">
      <c r="A145">
        <v>2864</v>
      </c>
      <c r="B145">
        <v>62.362186000000001</v>
      </c>
      <c r="C145">
        <v>63.423693</v>
      </c>
      <c r="D145">
        <v>64.338222999999999</v>
      </c>
      <c r="E145">
        <v>53.134369</v>
      </c>
      <c r="F145">
        <v>29.648465000000002</v>
      </c>
      <c r="G145">
        <v>20.109653999999999</v>
      </c>
      <c r="H145">
        <v>20.935822000000002</v>
      </c>
      <c r="I145" t="s">
        <v>56</v>
      </c>
      <c r="N145"/>
      <c r="O145"/>
      <c r="P145" s="1">
        <f t="shared" si="30"/>
        <v>64.216031504065043</v>
      </c>
      <c r="Q145" s="1">
        <f t="shared" si="31"/>
        <v>65.272563008130078</v>
      </c>
      <c r="R145" s="1">
        <f t="shared" si="32"/>
        <v>66.433972672580808</v>
      </c>
      <c r="S145" s="1">
        <f t="shared" si="33"/>
        <v>55.545983019639934</v>
      </c>
    </row>
    <row r="146" spans="1:19" x14ac:dyDescent="0.3">
      <c r="A146">
        <v>2864.2</v>
      </c>
      <c r="B146">
        <v>62.362186000000001</v>
      </c>
      <c r="C146">
        <v>63.423693</v>
      </c>
      <c r="D146">
        <v>64.338222999999999</v>
      </c>
      <c r="E146">
        <v>53.134369</v>
      </c>
      <c r="F146">
        <v>29.648465000000002</v>
      </c>
      <c r="G146">
        <v>20.109653999999999</v>
      </c>
      <c r="H146">
        <v>20.935822000000002</v>
      </c>
      <c r="I146"/>
      <c r="N146"/>
      <c r="O146"/>
      <c r="P146" s="1">
        <f t="shared" si="30"/>
        <v>64.216031504065043</v>
      </c>
      <c r="Q146" s="1">
        <f t="shared" si="31"/>
        <v>65.272563008130078</v>
      </c>
      <c r="R146" s="1">
        <f t="shared" si="32"/>
        <v>66.433972672580808</v>
      </c>
      <c r="S146" s="1">
        <f t="shared" si="33"/>
        <v>55.545983019639934</v>
      </c>
    </row>
    <row r="147" spans="1:19" x14ac:dyDescent="0.3">
      <c r="A147">
        <v>2864.4</v>
      </c>
      <c r="B147">
        <v>62.351185999999998</v>
      </c>
      <c r="C147">
        <v>63.400672</v>
      </c>
      <c r="D147">
        <v>64.331767999999997</v>
      </c>
      <c r="E147">
        <v>53.208157999999997</v>
      </c>
      <c r="F147">
        <v>29.730692999999999</v>
      </c>
      <c r="G147">
        <v>20.106000999999999</v>
      </c>
      <c r="H147">
        <v>20.941417000000001</v>
      </c>
      <c r="I147"/>
      <c r="N147"/>
      <c r="O147"/>
      <c r="P147" s="1">
        <f t="shared" si="30"/>
        <v>64.211898373983729</v>
      </c>
      <c r="Q147" s="1">
        <f t="shared" si="31"/>
        <v>65.279005081300824</v>
      </c>
      <c r="R147" s="1">
        <f t="shared" si="32"/>
        <v>66.42204037932089</v>
      </c>
      <c r="S147" s="1">
        <f t="shared" si="33"/>
        <v>55.520618862520458</v>
      </c>
    </row>
    <row r="148" spans="1:19" x14ac:dyDescent="0.3">
      <c r="A148">
        <v>2864.6</v>
      </c>
      <c r="B148">
        <v>62.351185999999998</v>
      </c>
      <c r="C148">
        <v>63.400672</v>
      </c>
      <c r="D148">
        <v>64.331767999999997</v>
      </c>
      <c r="E148">
        <v>53.208157999999997</v>
      </c>
      <c r="F148">
        <v>29.730692999999999</v>
      </c>
      <c r="G148">
        <v>20.106000999999999</v>
      </c>
      <c r="H148">
        <v>20.941417000000001</v>
      </c>
      <c r="I148"/>
      <c r="N148"/>
      <c r="O148"/>
      <c r="P148" s="1">
        <f t="shared" si="30"/>
        <v>64.211898373983729</v>
      </c>
      <c r="Q148" s="1">
        <f t="shared" si="31"/>
        <v>65.279005081300824</v>
      </c>
      <c r="R148" s="1">
        <f t="shared" si="32"/>
        <v>66.42204037932089</v>
      </c>
      <c r="S148" s="1">
        <f t="shared" si="33"/>
        <v>55.520618862520458</v>
      </c>
    </row>
    <row r="149" spans="1:19" x14ac:dyDescent="0.3">
      <c r="A149">
        <v>2864.8</v>
      </c>
      <c r="B149">
        <v>62.383597999999999</v>
      </c>
      <c r="C149">
        <v>63.448090000000001</v>
      </c>
      <c r="D149">
        <v>64.358648000000002</v>
      </c>
      <c r="E149">
        <v>53.268900000000002</v>
      </c>
      <c r="F149">
        <v>29.769188</v>
      </c>
      <c r="G149">
        <v>20.097318999999999</v>
      </c>
      <c r="H149">
        <v>20.913777</v>
      </c>
      <c r="I149"/>
      <c r="N149"/>
      <c r="O149"/>
      <c r="P149" s="1">
        <f t="shared" si="30"/>
        <v>64.207155487804869</v>
      </c>
      <c r="Q149" s="1">
        <f t="shared" si="31"/>
        <v>65.26965040650407</v>
      </c>
      <c r="R149" s="1">
        <f t="shared" si="32"/>
        <v>66.434280615886607</v>
      </c>
      <c r="S149" s="1">
        <f t="shared" si="33"/>
        <v>55.356749181669393</v>
      </c>
    </row>
    <row r="150" spans="1:19" x14ac:dyDescent="0.3">
      <c r="A150">
        <v>2865</v>
      </c>
      <c r="B150">
        <v>62.383597999999999</v>
      </c>
      <c r="C150">
        <v>63.448090000000001</v>
      </c>
      <c r="D150">
        <v>64.358648000000002</v>
      </c>
      <c r="E150">
        <v>53.268900000000002</v>
      </c>
      <c r="F150">
        <v>29.769188</v>
      </c>
      <c r="G150">
        <v>20.097318999999999</v>
      </c>
      <c r="H150">
        <v>20.913777</v>
      </c>
      <c r="I150" t="s">
        <v>56</v>
      </c>
      <c r="N150"/>
      <c r="O150"/>
      <c r="P150" s="1">
        <f t="shared" si="30"/>
        <v>64.207155487804869</v>
      </c>
      <c r="Q150" s="1">
        <f t="shared" si="31"/>
        <v>65.26965040650407</v>
      </c>
      <c r="R150" s="1">
        <f t="shared" si="32"/>
        <v>66.434280615886607</v>
      </c>
      <c r="S150" s="1">
        <f t="shared" si="33"/>
        <v>55.356749181669393</v>
      </c>
    </row>
    <row r="151" spans="1:19" x14ac:dyDescent="0.3">
      <c r="A151">
        <v>2865.2</v>
      </c>
      <c r="B151">
        <v>62.392029000000001</v>
      </c>
      <c r="C151">
        <v>63.448388000000001</v>
      </c>
      <c r="D151">
        <v>64.324740000000006</v>
      </c>
      <c r="E151">
        <v>53.271901999999997</v>
      </c>
      <c r="F151">
        <v>29.726814000000001</v>
      </c>
      <c r="G151">
        <v>20.123279</v>
      </c>
      <c r="H151">
        <v>20.943273999999999</v>
      </c>
      <c r="I151"/>
      <c r="N151"/>
      <c r="O151"/>
      <c r="P151" s="1">
        <f t="shared" si="30"/>
        <v>64.211641260162594</v>
      </c>
      <c r="Q151" s="1">
        <f t="shared" si="31"/>
        <v>65.275525406504059</v>
      </c>
      <c r="R151" s="1">
        <f t="shared" si="32"/>
        <v>66.423617824003273</v>
      </c>
      <c r="S151" s="1">
        <f t="shared" si="33"/>
        <v>55.296684738134203</v>
      </c>
    </row>
    <row r="152" spans="1:19" x14ac:dyDescent="0.3">
      <c r="A152">
        <v>2865.4</v>
      </c>
      <c r="B152">
        <v>62.392029000000001</v>
      </c>
      <c r="C152">
        <v>63.448388000000001</v>
      </c>
      <c r="D152">
        <v>64.324740000000006</v>
      </c>
      <c r="E152">
        <v>53.271901999999997</v>
      </c>
      <c r="F152">
        <v>29.726814000000001</v>
      </c>
      <c r="G152">
        <v>20.123279</v>
      </c>
      <c r="H152">
        <v>20.943273999999999</v>
      </c>
      <c r="I152"/>
      <c r="N152"/>
      <c r="O152"/>
      <c r="P152" s="1">
        <f t="shared" si="30"/>
        <v>64.211641260162594</v>
      </c>
      <c r="Q152" s="1">
        <f t="shared" si="31"/>
        <v>65.275525406504059</v>
      </c>
      <c r="R152" s="1">
        <f t="shared" si="32"/>
        <v>66.423617824003273</v>
      </c>
      <c r="S152" s="1">
        <f t="shared" si="33"/>
        <v>55.296684738134203</v>
      </c>
    </row>
    <row r="153" spans="1:19" x14ac:dyDescent="0.3">
      <c r="A153">
        <v>2865.6</v>
      </c>
      <c r="B153">
        <v>62.385603000000003</v>
      </c>
      <c r="C153">
        <v>63.452815999999999</v>
      </c>
      <c r="D153">
        <v>64.344442999999998</v>
      </c>
      <c r="E153">
        <v>53.241596000000001</v>
      </c>
      <c r="F153">
        <v>29.693362</v>
      </c>
      <c r="G153">
        <v>20.103026</v>
      </c>
      <c r="H153">
        <v>20.947451999999998</v>
      </c>
      <c r="I153"/>
      <c r="N153"/>
      <c r="O153"/>
      <c r="P153" s="1">
        <f t="shared" si="30"/>
        <v>64.217283536585356</v>
      </c>
      <c r="Q153" s="1">
        <f t="shared" si="31"/>
        <v>65.291302845528449</v>
      </c>
      <c r="R153" s="1">
        <f t="shared" si="32"/>
        <v>66.442565514428466</v>
      </c>
      <c r="S153" s="1">
        <f t="shared" si="33"/>
        <v>55.213334697217675</v>
      </c>
    </row>
    <row r="154" spans="1:19" x14ac:dyDescent="0.3">
      <c r="A154">
        <v>2865.8</v>
      </c>
      <c r="B154">
        <v>62.385603000000003</v>
      </c>
      <c r="C154">
        <v>63.452815999999999</v>
      </c>
      <c r="D154">
        <v>64.344442999999998</v>
      </c>
      <c r="E154">
        <v>53.241596000000001</v>
      </c>
      <c r="F154">
        <v>29.693362</v>
      </c>
      <c r="G154">
        <v>20.103026</v>
      </c>
      <c r="H154">
        <v>20.947451999999998</v>
      </c>
      <c r="I154"/>
      <c r="N154"/>
      <c r="O154"/>
      <c r="P154" s="1">
        <f t="shared" si="30"/>
        <v>64.217283536585356</v>
      </c>
      <c r="Q154" s="1">
        <f t="shared" si="31"/>
        <v>65.291302845528449</v>
      </c>
      <c r="R154" s="1">
        <f t="shared" si="32"/>
        <v>66.442565514428466</v>
      </c>
      <c r="S154" s="1">
        <f t="shared" si="33"/>
        <v>55.213334697217675</v>
      </c>
    </row>
    <row r="155" spans="1:19" x14ac:dyDescent="0.3">
      <c r="A155">
        <v>2866</v>
      </c>
      <c r="B155">
        <v>62.381560999999998</v>
      </c>
      <c r="C155">
        <v>63.437446999999999</v>
      </c>
      <c r="D155">
        <v>64.338616999999999</v>
      </c>
      <c r="E155">
        <v>53.185262000000002</v>
      </c>
      <c r="F155">
        <v>29.577573999999998</v>
      </c>
      <c r="G155">
        <v>20.097473999999998</v>
      </c>
      <c r="H155">
        <v>20.959444999999999</v>
      </c>
      <c r="I155" t="s">
        <v>56</v>
      </c>
      <c r="N155"/>
      <c r="O155"/>
      <c r="P155" s="1">
        <f t="shared" si="30"/>
        <v>64.205960365853656</v>
      </c>
      <c r="Q155" s="1">
        <f t="shared" si="31"/>
        <v>65.262011178861798</v>
      </c>
      <c r="R155" s="1">
        <f t="shared" si="32"/>
        <v>66.430791271540727</v>
      </c>
      <c r="S155" s="1">
        <f t="shared" si="33"/>
        <v>55.182590016366611</v>
      </c>
    </row>
    <row r="156" spans="1:19" x14ac:dyDescent="0.3">
      <c r="A156">
        <v>2866.2</v>
      </c>
      <c r="B156">
        <v>62.381560999999998</v>
      </c>
      <c r="C156">
        <v>63.437446999999999</v>
      </c>
      <c r="D156">
        <v>64.338616999999999</v>
      </c>
      <c r="E156">
        <v>53.185262000000002</v>
      </c>
      <c r="F156">
        <v>29.577573999999998</v>
      </c>
      <c r="G156">
        <v>20.097473999999998</v>
      </c>
      <c r="H156">
        <v>20.959444999999999</v>
      </c>
      <c r="I156"/>
      <c r="N156"/>
      <c r="O156"/>
      <c r="P156" s="1">
        <f t="shared" si="30"/>
        <v>64.205960365853656</v>
      </c>
      <c r="Q156" s="1">
        <f t="shared" si="31"/>
        <v>65.262011178861798</v>
      </c>
      <c r="R156" s="1">
        <f t="shared" si="32"/>
        <v>66.430791271540727</v>
      </c>
      <c r="S156" s="1">
        <f t="shared" si="33"/>
        <v>55.182590016366611</v>
      </c>
    </row>
    <row r="157" spans="1:19" x14ac:dyDescent="0.3">
      <c r="A157">
        <v>2866.4</v>
      </c>
      <c r="B157">
        <v>62.384545000000003</v>
      </c>
      <c r="C157">
        <v>63.449945</v>
      </c>
      <c r="D157">
        <v>64.342489</v>
      </c>
      <c r="E157">
        <v>53.120607</v>
      </c>
      <c r="F157">
        <v>29.675086</v>
      </c>
      <c r="G157">
        <v>20.118172999999999</v>
      </c>
      <c r="H157">
        <v>20.963298999999999</v>
      </c>
      <c r="I157"/>
      <c r="N157"/>
      <c r="O157"/>
      <c r="P157" s="1">
        <f t="shared" si="30"/>
        <v>64.180180894308947</v>
      </c>
      <c r="Q157" s="1">
        <f t="shared" si="31"/>
        <v>65.265629065040656</v>
      </c>
      <c r="R157" s="1">
        <f t="shared" si="32"/>
        <v>66.449543183440397</v>
      </c>
      <c r="S157" s="1">
        <f t="shared" si="33"/>
        <v>55.174684942716858</v>
      </c>
    </row>
    <row r="158" spans="1:19" x14ac:dyDescent="0.3">
      <c r="A158">
        <v>2866.6</v>
      </c>
      <c r="B158">
        <v>62.384545000000003</v>
      </c>
      <c r="C158">
        <v>63.449945</v>
      </c>
      <c r="D158">
        <v>64.342489</v>
      </c>
      <c r="E158">
        <v>53.120607</v>
      </c>
      <c r="F158">
        <v>29.675086</v>
      </c>
      <c r="G158">
        <v>20.118172999999999</v>
      </c>
      <c r="H158">
        <v>20.963298999999999</v>
      </c>
      <c r="I158"/>
      <c r="N158"/>
      <c r="O158"/>
      <c r="P158" s="1">
        <f t="shared" si="30"/>
        <v>64.180180894308947</v>
      </c>
      <c r="Q158" s="1">
        <f t="shared" si="31"/>
        <v>65.265629065040656</v>
      </c>
      <c r="R158" s="1">
        <f t="shared" si="32"/>
        <v>66.449543183440397</v>
      </c>
      <c r="S158" s="1">
        <f t="shared" si="33"/>
        <v>55.174684942716858</v>
      </c>
    </row>
    <row r="159" spans="1:19" x14ac:dyDescent="0.3">
      <c r="A159">
        <v>2866.8</v>
      </c>
      <c r="B159">
        <v>62.358342</v>
      </c>
      <c r="C159">
        <v>63.441800999999998</v>
      </c>
      <c r="D159">
        <v>64.315042000000005</v>
      </c>
      <c r="E159">
        <v>53.089050999999998</v>
      </c>
      <c r="F159">
        <v>29.851572999999998</v>
      </c>
      <c r="G159">
        <v>20.120398999999999</v>
      </c>
      <c r="H159">
        <v>20.95533</v>
      </c>
      <c r="I159"/>
      <c r="N159"/>
      <c r="O159"/>
      <c r="P159" s="1">
        <f t="shared" si="30"/>
        <v>64.196108739837399</v>
      </c>
      <c r="Q159" s="1">
        <f t="shared" si="31"/>
        <v>65.262723577235775</v>
      </c>
      <c r="R159" s="1">
        <f t="shared" si="32"/>
        <v>66.435172835729574</v>
      </c>
      <c r="S159" s="1">
        <f t="shared" si="33"/>
        <v>55.228966857610473</v>
      </c>
    </row>
    <row r="160" spans="1:19" x14ac:dyDescent="0.3">
      <c r="A160">
        <v>2867</v>
      </c>
      <c r="B160">
        <v>62.358342</v>
      </c>
      <c r="C160">
        <v>63.441800999999998</v>
      </c>
      <c r="D160">
        <v>64.315042000000005</v>
      </c>
      <c r="E160">
        <v>53.089050999999998</v>
      </c>
      <c r="F160">
        <v>29.851572999999998</v>
      </c>
      <c r="G160">
        <v>20.120398999999999</v>
      </c>
      <c r="H160">
        <v>20.95533</v>
      </c>
      <c r="I160" t="s">
        <v>56</v>
      </c>
      <c r="N160"/>
      <c r="O160"/>
      <c r="P160" s="1">
        <f t="shared" si="30"/>
        <v>64.196108739837399</v>
      </c>
      <c r="Q160" s="1">
        <f t="shared" si="31"/>
        <v>65.262723577235775</v>
      </c>
      <c r="R160" s="1">
        <f t="shared" si="32"/>
        <v>66.435172835729574</v>
      </c>
      <c r="S160" s="1">
        <f t="shared" si="33"/>
        <v>55.228966857610473</v>
      </c>
    </row>
    <row r="161" spans="1:19" x14ac:dyDescent="0.3">
      <c r="A161">
        <v>2867.2</v>
      </c>
      <c r="B161">
        <v>62.373074000000003</v>
      </c>
      <c r="C161">
        <v>63.421697999999999</v>
      </c>
      <c r="D161">
        <v>64.362119000000007</v>
      </c>
      <c r="E161">
        <v>53.087519</v>
      </c>
      <c r="F161">
        <v>29.735699</v>
      </c>
      <c r="G161">
        <v>20.105256000000001</v>
      </c>
      <c r="H161">
        <v>20.950865</v>
      </c>
      <c r="I161"/>
      <c r="N161"/>
      <c r="O161"/>
      <c r="P161" s="1">
        <f t="shared" si="30"/>
        <v>64.184602642276417</v>
      </c>
      <c r="Q161" s="1">
        <f t="shared" si="31"/>
        <v>65.271441056910561</v>
      </c>
      <c r="R161" s="1">
        <f t="shared" si="32"/>
        <v>66.423674926073204</v>
      </c>
      <c r="S161" s="1">
        <f t="shared" si="33"/>
        <v>55.296742021276593</v>
      </c>
    </row>
    <row r="162" spans="1:19" x14ac:dyDescent="0.3">
      <c r="A162">
        <v>2867.4</v>
      </c>
      <c r="B162">
        <v>62.373074000000003</v>
      </c>
      <c r="C162">
        <v>63.421697999999999</v>
      </c>
      <c r="D162">
        <v>64.362119000000007</v>
      </c>
      <c r="E162">
        <v>53.087519</v>
      </c>
      <c r="F162">
        <v>29.735699</v>
      </c>
      <c r="G162">
        <v>20.105256000000001</v>
      </c>
      <c r="H162">
        <v>20.950865</v>
      </c>
      <c r="I162"/>
      <c r="N162"/>
      <c r="O162"/>
      <c r="P162" s="1">
        <f t="shared" si="30"/>
        <v>64.184602642276417</v>
      </c>
      <c r="Q162" s="1">
        <f t="shared" si="31"/>
        <v>65.271441056910561</v>
      </c>
      <c r="R162" s="1">
        <f t="shared" si="32"/>
        <v>66.423674926073204</v>
      </c>
      <c r="S162" s="1">
        <f t="shared" si="33"/>
        <v>55.296742021276593</v>
      </c>
    </row>
    <row r="163" spans="1:19" x14ac:dyDescent="0.3">
      <c r="A163">
        <v>2867.6</v>
      </c>
      <c r="B163">
        <v>62.375506999999999</v>
      </c>
      <c r="C163">
        <v>63.429569000000001</v>
      </c>
      <c r="D163">
        <v>64.328536999999997</v>
      </c>
      <c r="E163">
        <v>53.124214000000002</v>
      </c>
      <c r="F163">
        <v>29.758393999999999</v>
      </c>
      <c r="G163">
        <v>20.108236000000002</v>
      </c>
      <c r="H163">
        <v>20.927530999999998</v>
      </c>
      <c r="I163"/>
      <c r="N163"/>
      <c r="O163"/>
      <c r="P163" s="1">
        <f t="shared" si="30"/>
        <v>64.17549390243903</v>
      </c>
      <c r="Q163" s="1">
        <f t="shared" si="31"/>
        <v>65.254261178861796</v>
      </c>
      <c r="R163" s="1">
        <f t="shared" si="32"/>
        <v>66.430634240848363</v>
      </c>
      <c r="S163" s="1">
        <f t="shared" si="33"/>
        <v>55.29681771685761</v>
      </c>
    </row>
    <row r="164" spans="1:19" x14ac:dyDescent="0.3">
      <c r="A164">
        <v>2867.8</v>
      </c>
      <c r="B164">
        <v>62.375506999999999</v>
      </c>
      <c r="C164">
        <v>63.429569000000001</v>
      </c>
      <c r="D164">
        <v>64.328536999999997</v>
      </c>
      <c r="E164">
        <v>53.124214000000002</v>
      </c>
      <c r="F164">
        <v>29.758393999999999</v>
      </c>
      <c r="G164">
        <v>20.108236000000002</v>
      </c>
      <c r="H164">
        <v>20.927530999999998</v>
      </c>
      <c r="I164"/>
      <c r="N164"/>
      <c r="O164"/>
      <c r="P164" s="1">
        <f t="shared" si="30"/>
        <v>64.17549390243903</v>
      </c>
      <c r="Q164" s="1">
        <f t="shared" si="31"/>
        <v>65.254261178861796</v>
      </c>
      <c r="R164" s="1">
        <f t="shared" si="32"/>
        <v>66.430634240848363</v>
      </c>
      <c r="S164" s="1">
        <f t="shared" si="33"/>
        <v>55.29681771685761</v>
      </c>
    </row>
    <row r="165" spans="1:19" x14ac:dyDescent="0.3">
      <c r="A165">
        <v>2868</v>
      </c>
      <c r="B165">
        <v>62.351533000000003</v>
      </c>
      <c r="C165">
        <v>63.424111000000003</v>
      </c>
      <c r="D165">
        <v>64.336613999999997</v>
      </c>
      <c r="E165">
        <v>53.194076000000003</v>
      </c>
      <c r="F165">
        <v>29.961449999999999</v>
      </c>
      <c r="G165">
        <v>20.117763</v>
      </c>
      <c r="H165">
        <v>20.932784999999999</v>
      </c>
      <c r="I165" t="s">
        <v>56</v>
      </c>
      <c r="N165"/>
      <c r="O165"/>
      <c r="P165" s="1">
        <f t="shared" si="30"/>
        <v>64.164315040650408</v>
      </c>
      <c r="Q165" s="1">
        <f t="shared" si="31"/>
        <v>65.230865853658543</v>
      </c>
      <c r="R165" s="1">
        <f t="shared" si="32"/>
        <v>66.424052207606806</v>
      </c>
      <c r="S165" s="1">
        <f t="shared" si="33"/>
        <v>55.372297463175116</v>
      </c>
    </row>
    <row r="166" spans="1:19" x14ac:dyDescent="0.3">
      <c r="A166">
        <v>2868.2</v>
      </c>
      <c r="B166">
        <v>62.351533000000003</v>
      </c>
      <c r="C166">
        <v>63.424111000000003</v>
      </c>
      <c r="D166">
        <v>64.336613999999997</v>
      </c>
      <c r="E166">
        <v>53.194076000000003</v>
      </c>
      <c r="F166">
        <v>29.961449999999999</v>
      </c>
      <c r="G166">
        <v>20.117763</v>
      </c>
      <c r="H166">
        <v>20.932784999999999</v>
      </c>
      <c r="I166"/>
      <c r="N166"/>
      <c r="O166"/>
      <c r="P166" s="1">
        <f t="shared" si="30"/>
        <v>64.164315040650408</v>
      </c>
      <c r="Q166" s="1">
        <f t="shared" si="31"/>
        <v>65.230865853658543</v>
      </c>
      <c r="R166" s="1">
        <f t="shared" si="32"/>
        <v>66.424052207606806</v>
      </c>
      <c r="S166" s="1">
        <f t="shared" si="33"/>
        <v>55.372297463175116</v>
      </c>
    </row>
    <row r="167" spans="1:19" x14ac:dyDescent="0.3">
      <c r="A167">
        <v>2868.4</v>
      </c>
      <c r="B167">
        <v>62.360849000000002</v>
      </c>
      <c r="C167">
        <v>63.431182</v>
      </c>
      <c r="D167">
        <v>64.345892000000006</v>
      </c>
      <c r="E167">
        <v>53.271901999999997</v>
      </c>
      <c r="F167">
        <v>29.762822</v>
      </c>
      <c r="G167">
        <v>20.120204000000001</v>
      </c>
      <c r="H167">
        <v>20.928111999999999</v>
      </c>
      <c r="I167"/>
      <c r="N167"/>
      <c r="O167"/>
      <c r="P167" s="1">
        <f t="shared" si="30"/>
        <v>64.197254065040653</v>
      </c>
      <c r="Q167" s="1">
        <f t="shared" si="31"/>
        <v>65.279054878048782</v>
      </c>
      <c r="R167" s="1">
        <f t="shared" si="32"/>
        <v>66.451461201182823</v>
      </c>
      <c r="S167" s="1">
        <f t="shared" si="33"/>
        <v>55.434431260229132</v>
      </c>
    </row>
    <row r="168" spans="1:19" x14ac:dyDescent="0.3">
      <c r="A168">
        <v>2868.6</v>
      </c>
      <c r="B168">
        <v>62.360849000000002</v>
      </c>
      <c r="C168">
        <v>63.431182</v>
      </c>
      <c r="D168">
        <v>64.345892000000006</v>
      </c>
      <c r="E168">
        <v>53.271901999999997</v>
      </c>
      <c r="F168">
        <v>29.762822</v>
      </c>
      <c r="G168">
        <v>20.120204000000001</v>
      </c>
      <c r="H168">
        <v>20.928111999999999</v>
      </c>
      <c r="I168"/>
      <c r="N168"/>
      <c r="O168"/>
      <c r="P168" s="1">
        <f t="shared" si="30"/>
        <v>64.197254065040653</v>
      </c>
      <c r="Q168" s="1">
        <f t="shared" si="31"/>
        <v>65.279054878048782</v>
      </c>
      <c r="R168" s="1">
        <f t="shared" si="32"/>
        <v>66.451461201182823</v>
      </c>
      <c r="S168" s="1">
        <f t="shared" si="33"/>
        <v>55.434431260229132</v>
      </c>
    </row>
    <row r="169" spans="1:19" x14ac:dyDescent="0.3">
      <c r="A169">
        <v>2868.8</v>
      </c>
      <c r="B169">
        <v>62.369737999999998</v>
      </c>
      <c r="C169">
        <v>63.440994000000003</v>
      </c>
      <c r="D169">
        <v>64.343044000000006</v>
      </c>
      <c r="E169">
        <v>53.356510999999998</v>
      </c>
      <c r="F169">
        <v>29.735493999999999</v>
      </c>
      <c r="G169">
        <v>20.107900000000001</v>
      </c>
      <c r="H169">
        <v>20.919609000000001</v>
      </c>
      <c r="I169"/>
      <c r="N169"/>
      <c r="O169"/>
      <c r="P169" s="1">
        <f t="shared" si="30"/>
        <v>64.205822154471548</v>
      </c>
      <c r="Q169" s="1">
        <f t="shared" si="31"/>
        <v>65.279357723577235</v>
      </c>
      <c r="R169" s="1">
        <f t="shared" si="32"/>
        <v>66.416885897828081</v>
      </c>
      <c r="S169" s="1">
        <f t="shared" si="33"/>
        <v>55.437502045826513</v>
      </c>
    </row>
    <row r="170" spans="1:19" x14ac:dyDescent="0.3">
      <c r="A170">
        <v>2869</v>
      </c>
      <c r="B170">
        <v>62.369737999999998</v>
      </c>
      <c r="C170">
        <v>63.440994000000003</v>
      </c>
      <c r="D170">
        <v>64.343044000000006</v>
      </c>
      <c r="E170">
        <v>53.356510999999998</v>
      </c>
      <c r="F170">
        <v>29.735493999999999</v>
      </c>
      <c r="G170">
        <v>20.107900000000001</v>
      </c>
      <c r="H170">
        <v>20.919609000000001</v>
      </c>
      <c r="I170" t="s">
        <v>56</v>
      </c>
      <c r="N170"/>
      <c r="O170"/>
      <c r="P170" s="1">
        <f t="shared" si="30"/>
        <v>64.205822154471548</v>
      </c>
      <c r="Q170" s="1">
        <f t="shared" si="31"/>
        <v>65.279357723577235</v>
      </c>
      <c r="R170" s="1">
        <f t="shared" si="32"/>
        <v>66.416885897828081</v>
      </c>
      <c r="S170" s="1">
        <f t="shared" si="33"/>
        <v>55.437502045826513</v>
      </c>
    </row>
    <row r="171" spans="1:19" x14ac:dyDescent="0.3">
      <c r="A171">
        <v>2869.2</v>
      </c>
      <c r="B171">
        <v>62.396268999999997</v>
      </c>
      <c r="C171">
        <v>63.440410999999997</v>
      </c>
      <c r="D171">
        <v>64.343363999999994</v>
      </c>
      <c r="E171">
        <v>53.362693</v>
      </c>
      <c r="F171">
        <v>29.526337999999999</v>
      </c>
      <c r="G171">
        <v>20.10567</v>
      </c>
      <c r="H171">
        <v>20.898890999999999</v>
      </c>
      <c r="I171"/>
      <c r="N171"/>
      <c r="O171"/>
      <c r="P171" s="1">
        <f t="shared" si="30"/>
        <v>64.199291666666667</v>
      </c>
      <c r="Q171" s="1">
        <f t="shared" si="31"/>
        <v>65.283857723577242</v>
      </c>
      <c r="R171" s="1">
        <f t="shared" si="32"/>
        <v>66.436976649332109</v>
      </c>
      <c r="S171" s="1">
        <f t="shared" si="33"/>
        <v>55.406501636661211</v>
      </c>
    </row>
    <row r="172" spans="1:19" x14ac:dyDescent="0.3">
      <c r="A172">
        <v>2869.4</v>
      </c>
      <c r="B172">
        <v>62.396268999999997</v>
      </c>
      <c r="C172">
        <v>63.440410999999997</v>
      </c>
      <c r="D172">
        <v>64.343363999999994</v>
      </c>
      <c r="E172">
        <v>53.362693</v>
      </c>
      <c r="F172">
        <v>29.526337999999999</v>
      </c>
      <c r="G172">
        <v>20.10567</v>
      </c>
      <c r="H172">
        <v>20.898890999999999</v>
      </c>
      <c r="I172"/>
      <c r="N172"/>
      <c r="O172"/>
      <c r="P172" s="1">
        <f t="shared" ref="P172:P235" si="34">(B154+Q$36)/P$36</f>
        <v>64.199291666666667</v>
      </c>
      <c r="Q172" s="1">
        <f t="shared" ref="Q172:Q235" si="35">(C154+Q$36)/P$36</f>
        <v>65.283857723577242</v>
      </c>
      <c r="R172" s="1">
        <f t="shared" ref="R172:R235" si="36">(D154+Q$38)/P$38</f>
        <v>66.436976649332109</v>
      </c>
      <c r="S172" s="1">
        <f t="shared" ref="S172:S235" si="37">(E154+Q$39)/P$39</f>
        <v>55.406501636661211</v>
      </c>
    </row>
    <row r="173" spans="1:19" x14ac:dyDescent="0.3">
      <c r="A173">
        <v>2869.6</v>
      </c>
      <c r="B173">
        <v>62.417458000000003</v>
      </c>
      <c r="C173">
        <v>63.444437000000001</v>
      </c>
      <c r="D173">
        <v>64.352316000000002</v>
      </c>
      <c r="E173">
        <v>53.188616000000003</v>
      </c>
      <c r="F173">
        <v>30.253813000000001</v>
      </c>
      <c r="G173">
        <v>20.131426999999999</v>
      </c>
      <c r="H173">
        <v>20.89808</v>
      </c>
      <c r="I173"/>
      <c r="N173"/>
      <c r="O173"/>
      <c r="P173" s="1">
        <f t="shared" si="34"/>
        <v>64.195183943089432</v>
      </c>
      <c r="Q173" s="1">
        <f t="shared" si="35"/>
        <v>65.268238821138212</v>
      </c>
      <c r="R173" s="1">
        <f t="shared" si="36"/>
        <v>66.431035994697666</v>
      </c>
      <c r="S173" s="1">
        <f t="shared" si="37"/>
        <v>55.348876841243865</v>
      </c>
    </row>
    <row r="174" spans="1:19" x14ac:dyDescent="0.3">
      <c r="A174">
        <v>2869.8</v>
      </c>
      <c r="B174">
        <v>62.417458000000003</v>
      </c>
      <c r="C174">
        <v>63.444437000000001</v>
      </c>
      <c r="D174">
        <v>64.352316000000002</v>
      </c>
      <c r="E174">
        <v>53.188616000000003</v>
      </c>
      <c r="F174">
        <v>30.253813000000001</v>
      </c>
      <c r="G174">
        <v>20.131426999999999</v>
      </c>
      <c r="H174">
        <v>20.89808</v>
      </c>
      <c r="I174"/>
      <c r="N174"/>
      <c r="O174"/>
      <c r="P174" s="1">
        <f t="shared" si="34"/>
        <v>64.195183943089432</v>
      </c>
      <c r="Q174" s="1">
        <f t="shared" si="35"/>
        <v>65.268238821138212</v>
      </c>
      <c r="R174" s="1">
        <f t="shared" si="36"/>
        <v>66.431035994697666</v>
      </c>
      <c r="S174" s="1">
        <f t="shared" si="37"/>
        <v>55.348876841243865</v>
      </c>
    </row>
    <row r="175" spans="1:19" x14ac:dyDescent="0.3">
      <c r="A175">
        <v>5130</v>
      </c>
      <c r="B175">
        <v>70.197781000000006</v>
      </c>
      <c r="C175">
        <v>71.646252000000004</v>
      </c>
      <c r="D175">
        <v>73.112977000000001</v>
      </c>
      <c r="E175">
        <v>57.829368000000002</v>
      </c>
      <c r="F175">
        <v>34.150264999999997</v>
      </c>
      <c r="G175">
        <v>19.918697999999999</v>
      </c>
      <c r="H175">
        <v>20.98799</v>
      </c>
      <c r="I175" t="s">
        <v>56</v>
      </c>
      <c r="N175"/>
      <c r="O175"/>
      <c r="P175" s="1">
        <f t="shared" si="34"/>
        <v>64.198216463414639</v>
      </c>
      <c r="Q175" s="1">
        <f t="shared" si="35"/>
        <v>65.280940040650407</v>
      </c>
      <c r="R175" s="1">
        <f t="shared" si="36"/>
        <v>66.43498419496278</v>
      </c>
      <c r="S175" s="1">
        <f t="shared" si="37"/>
        <v>55.28274038461538</v>
      </c>
    </row>
    <row r="176" spans="1:19" x14ac:dyDescent="0.3">
      <c r="A176">
        <v>5130.2</v>
      </c>
      <c r="B176">
        <v>70.197781000000006</v>
      </c>
      <c r="C176">
        <v>71.646252000000004</v>
      </c>
      <c r="D176">
        <v>73.112977000000001</v>
      </c>
      <c r="E176">
        <v>57.829368000000002</v>
      </c>
      <c r="F176">
        <v>34.150264999999997</v>
      </c>
      <c r="G176">
        <v>19.918697999999999</v>
      </c>
      <c r="H176">
        <v>20.98799</v>
      </c>
      <c r="I176"/>
      <c r="N176"/>
      <c r="O176"/>
      <c r="P176" s="1">
        <f t="shared" si="34"/>
        <v>64.198216463414639</v>
      </c>
      <c r="Q176" s="1">
        <f t="shared" si="35"/>
        <v>65.280940040650407</v>
      </c>
      <c r="R176" s="1">
        <f t="shared" si="36"/>
        <v>66.43498419496278</v>
      </c>
      <c r="S176" s="1">
        <f t="shared" si="37"/>
        <v>55.28274038461538</v>
      </c>
    </row>
    <row r="177" spans="1:19" x14ac:dyDescent="0.3">
      <c r="A177">
        <v>5130.3999999999996</v>
      </c>
      <c r="B177">
        <v>70.188838000000004</v>
      </c>
      <c r="C177">
        <v>71.644521999999995</v>
      </c>
      <c r="D177">
        <v>73.099123000000006</v>
      </c>
      <c r="E177">
        <v>57.941426999999997</v>
      </c>
      <c r="F177">
        <v>33.499647000000003</v>
      </c>
      <c r="G177">
        <v>19.940726000000002</v>
      </c>
      <c r="H177">
        <v>20.994353</v>
      </c>
      <c r="I177"/>
      <c r="N177"/>
      <c r="O177"/>
      <c r="P177" s="1">
        <f t="shared" si="34"/>
        <v>64.171587398373987</v>
      </c>
      <c r="Q177" s="1">
        <f t="shared" si="35"/>
        <v>65.272663617886181</v>
      </c>
      <c r="R177" s="1">
        <f t="shared" si="36"/>
        <v>66.406997042928523</v>
      </c>
      <c r="S177" s="1">
        <f t="shared" si="37"/>
        <v>55.250461333878881</v>
      </c>
    </row>
    <row r="178" spans="1:19" x14ac:dyDescent="0.3">
      <c r="A178">
        <v>5130.6000000000004</v>
      </c>
      <c r="B178">
        <v>70.188838000000004</v>
      </c>
      <c r="C178">
        <v>71.644521999999995</v>
      </c>
      <c r="D178">
        <v>73.099123000000006</v>
      </c>
      <c r="E178">
        <v>57.941426999999997</v>
      </c>
      <c r="F178">
        <v>33.499647000000003</v>
      </c>
      <c r="G178">
        <v>19.940726000000002</v>
      </c>
      <c r="H178">
        <v>20.994353</v>
      </c>
      <c r="I178"/>
      <c r="N178"/>
      <c r="O178"/>
      <c r="P178" s="1">
        <f t="shared" si="34"/>
        <v>64.171587398373987</v>
      </c>
      <c r="Q178" s="1">
        <f t="shared" si="35"/>
        <v>65.272663617886181</v>
      </c>
      <c r="R178" s="1">
        <f t="shared" si="36"/>
        <v>66.406997042928523</v>
      </c>
      <c r="S178" s="1">
        <f t="shared" si="37"/>
        <v>55.250461333878881</v>
      </c>
    </row>
    <row r="179" spans="1:19" x14ac:dyDescent="0.3">
      <c r="A179">
        <v>5130.8</v>
      </c>
      <c r="B179">
        <v>70.175580999999994</v>
      </c>
      <c r="C179">
        <v>71.628523999999999</v>
      </c>
      <c r="D179">
        <v>73.105687000000003</v>
      </c>
      <c r="E179">
        <v>58.061321</v>
      </c>
      <c r="F179">
        <v>33.350883000000003</v>
      </c>
      <c r="G179">
        <v>19.931956</v>
      </c>
      <c r="H179">
        <v>20.999338999999999</v>
      </c>
      <c r="I179"/>
      <c r="N179"/>
      <c r="O179"/>
      <c r="P179" s="1">
        <f t="shared" si="34"/>
        <v>64.186558943089437</v>
      </c>
      <c r="Q179" s="1">
        <f t="shared" si="35"/>
        <v>65.252233739837394</v>
      </c>
      <c r="R179" s="1">
        <f t="shared" si="36"/>
        <v>66.45500050983992</v>
      </c>
      <c r="S179" s="1">
        <f t="shared" si="37"/>
        <v>55.248894230769231</v>
      </c>
    </row>
    <row r="180" spans="1:19" x14ac:dyDescent="0.3">
      <c r="A180">
        <v>5131</v>
      </c>
      <c r="B180">
        <v>70.175580999999994</v>
      </c>
      <c r="C180">
        <v>71.628523999999999</v>
      </c>
      <c r="D180">
        <v>73.105687000000003</v>
      </c>
      <c r="E180">
        <v>58.061321</v>
      </c>
      <c r="F180">
        <v>33.350883000000003</v>
      </c>
      <c r="G180">
        <v>19.931956</v>
      </c>
      <c r="H180">
        <v>20.999338999999999</v>
      </c>
      <c r="I180" t="s">
        <v>56</v>
      </c>
      <c r="N180"/>
      <c r="O180"/>
      <c r="P180" s="1">
        <f t="shared" si="34"/>
        <v>64.186558943089437</v>
      </c>
      <c r="Q180" s="1">
        <f t="shared" si="35"/>
        <v>65.252233739837394</v>
      </c>
      <c r="R180" s="1">
        <f t="shared" si="36"/>
        <v>66.45500050983992</v>
      </c>
      <c r="S180" s="1">
        <f t="shared" si="37"/>
        <v>55.248894230769231</v>
      </c>
    </row>
    <row r="181" spans="1:19" x14ac:dyDescent="0.3">
      <c r="A181">
        <v>5131.2</v>
      </c>
      <c r="B181">
        <v>70.184651000000002</v>
      </c>
      <c r="C181">
        <v>71.645750000000007</v>
      </c>
      <c r="D181">
        <v>73.088210000000004</v>
      </c>
      <c r="E181">
        <v>58.032590999999996</v>
      </c>
      <c r="F181">
        <v>33.599980000000002</v>
      </c>
      <c r="G181">
        <v>19.936107</v>
      </c>
      <c r="H181">
        <v>20.977886000000002</v>
      </c>
      <c r="I181"/>
      <c r="N181"/>
      <c r="O181"/>
      <c r="P181" s="1">
        <f t="shared" si="34"/>
        <v>64.189031504065042</v>
      </c>
      <c r="Q181" s="1">
        <f t="shared" si="35"/>
        <v>65.260232723577246</v>
      </c>
      <c r="R181" s="1">
        <f t="shared" si="36"/>
        <v>66.420757622106649</v>
      </c>
      <c r="S181" s="1">
        <f t="shared" si="37"/>
        <v>55.286430032733222</v>
      </c>
    </row>
    <row r="182" spans="1:19" x14ac:dyDescent="0.3">
      <c r="A182">
        <v>5131.3999999999996</v>
      </c>
      <c r="B182">
        <v>70.184651000000002</v>
      </c>
      <c r="C182">
        <v>71.645750000000007</v>
      </c>
      <c r="D182">
        <v>73.088210000000004</v>
      </c>
      <c r="E182">
        <v>58.032590999999996</v>
      </c>
      <c r="F182">
        <v>33.599980000000002</v>
      </c>
      <c r="G182">
        <v>19.936107</v>
      </c>
      <c r="H182">
        <v>20.977886000000002</v>
      </c>
      <c r="I182"/>
      <c r="N182"/>
      <c r="O182"/>
      <c r="P182" s="1">
        <f t="shared" si="34"/>
        <v>64.189031504065042</v>
      </c>
      <c r="Q182" s="1">
        <f t="shared" si="35"/>
        <v>65.260232723577246</v>
      </c>
      <c r="R182" s="1">
        <f t="shared" si="36"/>
        <v>66.420757622106649</v>
      </c>
      <c r="S182" s="1">
        <f t="shared" si="37"/>
        <v>55.286430032733222</v>
      </c>
    </row>
    <row r="183" spans="1:19" x14ac:dyDescent="0.3">
      <c r="A183">
        <v>5131.6000000000004</v>
      </c>
      <c r="B183">
        <v>70.193320999999997</v>
      </c>
      <c r="C183">
        <v>71.635906000000006</v>
      </c>
      <c r="D183">
        <v>73.061345000000003</v>
      </c>
      <c r="E183">
        <v>58.086652999999998</v>
      </c>
      <c r="F183">
        <v>33.593226999999999</v>
      </c>
      <c r="G183">
        <v>19.92822</v>
      </c>
      <c r="H183">
        <v>20.982095999999999</v>
      </c>
      <c r="I183"/>
      <c r="N183"/>
      <c r="O183"/>
      <c r="P183" s="1">
        <f t="shared" si="34"/>
        <v>64.164667682926833</v>
      </c>
      <c r="Q183" s="1">
        <f t="shared" si="35"/>
        <v>65.25468597560976</v>
      </c>
      <c r="R183" s="1">
        <f t="shared" si="36"/>
        <v>66.42899357601712</v>
      </c>
      <c r="S183" s="1">
        <f t="shared" si="37"/>
        <v>55.357892798690671</v>
      </c>
    </row>
    <row r="184" spans="1:19" x14ac:dyDescent="0.3">
      <c r="A184">
        <v>5131.8</v>
      </c>
      <c r="B184">
        <v>70.193320999999997</v>
      </c>
      <c r="C184">
        <v>71.635906000000006</v>
      </c>
      <c r="D184">
        <v>73.061345000000003</v>
      </c>
      <c r="E184">
        <v>58.086652999999998</v>
      </c>
      <c r="F184">
        <v>33.593226999999999</v>
      </c>
      <c r="G184">
        <v>19.92822</v>
      </c>
      <c r="H184">
        <v>20.982095999999999</v>
      </c>
      <c r="I184"/>
      <c r="N184"/>
      <c r="O184"/>
      <c r="P184" s="1">
        <f t="shared" si="34"/>
        <v>64.164667682926833</v>
      </c>
      <c r="Q184" s="1">
        <f t="shared" si="35"/>
        <v>65.25468597560976</v>
      </c>
      <c r="R184" s="1">
        <f t="shared" si="36"/>
        <v>66.42899357601712</v>
      </c>
      <c r="S184" s="1">
        <f t="shared" si="37"/>
        <v>55.357892798690671</v>
      </c>
    </row>
    <row r="185" spans="1:19" x14ac:dyDescent="0.3">
      <c r="A185">
        <v>5132</v>
      </c>
      <c r="B185">
        <v>70.198183</v>
      </c>
      <c r="C185">
        <v>71.640777999999997</v>
      </c>
      <c r="D185">
        <v>73.065740000000005</v>
      </c>
      <c r="E185">
        <v>58.218756999999997</v>
      </c>
      <c r="F185">
        <v>33.597155000000001</v>
      </c>
      <c r="G185">
        <v>19.938998000000002</v>
      </c>
      <c r="H185">
        <v>20.984804</v>
      </c>
      <c r="I185" t="s">
        <v>56</v>
      </c>
      <c r="N185"/>
      <c r="O185"/>
      <c r="P185" s="1">
        <f t="shared" si="34"/>
        <v>64.17413516260163</v>
      </c>
      <c r="Q185" s="1">
        <f t="shared" si="35"/>
        <v>65.261871951219504</v>
      </c>
      <c r="R185" s="1">
        <f t="shared" si="36"/>
        <v>66.438454165392073</v>
      </c>
      <c r="S185" s="1">
        <f t="shared" si="37"/>
        <v>55.437502045826513</v>
      </c>
    </row>
    <row r="186" spans="1:19" x14ac:dyDescent="0.3">
      <c r="A186">
        <v>5132.2</v>
      </c>
      <c r="B186">
        <v>70.198183</v>
      </c>
      <c r="C186">
        <v>71.640777999999997</v>
      </c>
      <c r="D186">
        <v>73.065740000000005</v>
      </c>
      <c r="E186">
        <v>58.218756999999997</v>
      </c>
      <c r="F186">
        <v>33.597155000000001</v>
      </c>
      <c r="G186">
        <v>19.938998000000002</v>
      </c>
      <c r="H186">
        <v>20.984804</v>
      </c>
      <c r="I186"/>
      <c r="N186"/>
      <c r="O186"/>
      <c r="P186" s="1">
        <f t="shared" si="34"/>
        <v>64.17413516260163</v>
      </c>
      <c r="Q186" s="1">
        <f t="shared" si="35"/>
        <v>65.261871951219504</v>
      </c>
      <c r="R186" s="1">
        <f t="shared" si="36"/>
        <v>66.438454165392073</v>
      </c>
      <c r="S186" s="1">
        <f t="shared" si="37"/>
        <v>55.437502045826513</v>
      </c>
    </row>
    <row r="187" spans="1:19" x14ac:dyDescent="0.3">
      <c r="A187">
        <v>5132.3999999999996</v>
      </c>
      <c r="B187">
        <v>70.213843999999995</v>
      </c>
      <c r="C187">
        <v>71.641558000000003</v>
      </c>
      <c r="D187">
        <v>73.110106999999999</v>
      </c>
      <c r="E187">
        <v>58.201994999999997</v>
      </c>
      <c r="F187">
        <v>33.843017000000003</v>
      </c>
      <c r="G187">
        <v>19.947586000000001</v>
      </c>
      <c r="H187">
        <v>20.969681000000001</v>
      </c>
      <c r="I187"/>
      <c r="N187"/>
      <c r="O187"/>
      <c r="P187" s="1">
        <f t="shared" si="34"/>
        <v>64.183168699186993</v>
      </c>
      <c r="Q187" s="1">
        <f t="shared" si="35"/>
        <v>65.271843495934974</v>
      </c>
      <c r="R187" s="1">
        <f t="shared" si="36"/>
        <v>66.435550117263176</v>
      </c>
      <c r="S187" s="1">
        <f t="shared" si="37"/>
        <v>55.524049713584283</v>
      </c>
    </row>
    <row r="188" spans="1:19" x14ac:dyDescent="0.3">
      <c r="A188">
        <v>5132.6000000000004</v>
      </c>
      <c r="B188">
        <v>70.213843999999995</v>
      </c>
      <c r="C188">
        <v>71.641558000000003</v>
      </c>
      <c r="D188">
        <v>73.110106999999999</v>
      </c>
      <c r="E188">
        <v>58.201994999999997</v>
      </c>
      <c r="F188">
        <v>33.843017000000003</v>
      </c>
      <c r="G188">
        <v>19.947586000000001</v>
      </c>
      <c r="H188">
        <v>20.969681000000001</v>
      </c>
      <c r="I188"/>
      <c r="N188"/>
      <c r="O188"/>
      <c r="P188" s="1">
        <f t="shared" si="34"/>
        <v>64.183168699186993</v>
      </c>
      <c r="Q188" s="1">
        <f t="shared" si="35"/>
        <v>65.271843495934974</v>
      </c>
      <c r="R188" s="1">
        <f t="shared" si="36"/>
        <v>66.435550117263176</v>
      </c>
      <c r="S188" s="1">
        <f t="shared" si="37"/>
        <v>55.524049713584283</v>
      </c>
    </row>
    <row r="189" spans="1:19" x14ac:dyDescent="0.3">
      <c r="A189">
        <v>5132.8</v>
      </c>
      <c r="B189">
        <v>70.218329999999995</v>
      </c>
      <c r="C189">
        <v>71.648764999999997</v>
      </c>
      <c r="D189">
        <v>73.087611999999993</v>
      </c>
      <c r="E189">
        <v>58.002312000000003</v>
      </c>
      <c r="F189">
        <v>33.977581000000001</v>
      </c>
      <c r="G189">
        <v>19.935212</v>
      </c>
      <c r="H189">
        <v>20.967272999999999</v>
      </c>
      <c r="I189"/>
      <c r="N189"/>
      <c r="O189"/>
      <c r="P189" s="1">
        <f t="shared" si="34"/>
        <v>64.210131097560975</v>
      </c>
      <c r="Q189" s="1">
        <f t="shared" si="35"/>
        <v>65.271251016260166</v>
      </c>
      <c r="R189" s="1">
        <f t="shared" si="36"/>
        <v>66.435876414805747</v>
      </c>
      <c r="S189" s="1">
        <f t="shared" si="37"/>
        <v>55.530373363338789</v>
      </c>
    </row>
    <row r="190" spans="1:19" x14ac:dyDescent="0.3">
      <c r="A190">
        <v>5133</v>
      </c>
      <c r="B190">
        <v>70.218329999999995</v>
      </c>
      <c r="C190">
        <v>71.648764999999997</v>
      </c>
      <c r="D190">
        <v>73.087611999999993</v>
      </c>
      <c r="E190">
        <v>58.002312000000003</v>
      </c>
      <c r="F190">
        <v>33.977581000000001</v>
      </c>
      <c r="G190">
        <v>19.935212</v>
      </c>
      <c r="H190">
        <v>20.967272999999999</v>
      </c>
      <c r="I190" t="s">
        <v>56</v>
      </c>
      <c r="N190"/>
      <c r="O190"/>
      <c r="P190" s="1">
        <f t="shared" si="34"/>
        <v>64.210131097560975</v>
      </c>
      <c r="Q190" s="1">
        <f t="shared" si="35"/>
        <v>65.271251016260166</v>
      </c>
      <c r="R190" s="1">
        <f t="shared" si="36"/>
        <v>66.435876414805747</v>
      </c>
      <c r="S190" s="1">
        <f t="shared" si="37"/>
        <v>55.530373363338789</v>
      </c>
    </row>
    <row r="191" spans="1:19" x14ac:dyDescent="0.3">
      <c r="A191">
        <v>5133.2</v>
      </c>
      <c r="B191">
        <v>70.214018999999993</v>
      </c>
      <c r="C191">
        <v>71.657100999999997</v>
      </c>
      <c r="D191">
        <v>73.109831</v>
      </c>
      <c r="E191">
        <v>58.314580999999997</v>
      </c>
      <c r="F191">
        <v>33.692694000000003</v>
      </c>
      <c r="G191">
        <v>19.953355999999999</v>
      </c>
      <c r="H191">
        <v>20.955297000000002</v>
      </c>
      <c r="I191"/>
      <c r="N191"/>
      <c r="O191"/>
      <c r="P191" s="1">
        <f t="shared" si="34"/>
        <v>64.231664634146341</v>
      </c>
      <c r="Q191" s="1">
        <f t="shared" si="35"/>
        <v>65.275342479674791</v>
      </c>
      <c r="R191" s="1">
        <f t="shared" si="36"/>
        <v>66.445004588559186</v>
      </c>
      <c r="S191" s="1">
        <f t="shared" si="37"/>
        <v>55.352307692307697</v>
      </c>
    </row>
    <row r="192" spans="1:19" x14ac:dyDescent="0.3">
      <c r="A192">
        <v>5133.3999999999996</v>
      </c>
      <c r="B192">
        <v>70.214018999999993</v>
      </c>
      <c r="C192">
        <v>71.657100999999997</v>
      </c>
      <c r="D192">
        <v>73.109831</v>
      </c>
      <c r="E192">
        <v>58.314580999999997</v>
      </c>
      <c r="F192">
        <v>33.692694000000003</v>
      </c>
      <c r="G192">
        <v>19.953355999999999</v>
      </c>
      <c r="H192">
        <v>20.955297000000002</v>
      </c>
      <c r="I192"/>
      <c r="N192"/>
      <c r="O192"/>
      <c r="P192" s="1">
        <f t="shared" si="34"/>
        <v>64.231664634146341</v>
      </c>
      <c r="Q192" s="1">
        <f t="shared" si="35"/>
        <v>65.275342479674791</v>
      </c>
      <c r="R192" s="1">
        <f t="shared" si="36"/>
        <v>66.445004588559186</v>
      </c>
      <c r="S192" s="1">
        <f t="shared" si="37"/>
        <v>55.352307692307697</v>
      </c>
    </row>
    <row r="193" spans="1:19" x14ac:dyDescent="0.3">
      <c r="A193">
        <v>5133.6000000000004</v>
      </c>
      <c r="B193">
        <v>70.218202000000005</v>
      </c>
      <c r="C193">
        <v>71.667621999999994</v>
      </c>
      <c r="D193">
        <v>73.096922000000006</v>
      </c>
      <c r="E193">
        <v>58.597059000000002</v>
      </c>
      <c r="F193">
        <v>33.626365</v>
      </c>
      <c r="G193">
        <v>19.945912</v>
      </c>
      <c r="H193">
        <v>20.958290000000002</v>
      </c>
      <c r="I193"/>
      <c r="N193"/>
      <c r="O193"/>
      <c r="P193" s="1">
        <f t="shared" si="34"/>
        <v>72.138496951219523</v>
      </c>
      <c r="Q193" s="1">
        <f t="shared" si="35"/>
        <v>73.610520325203268</v>
      </c>
      <c r="R193" s="1">
        <f t="shared" si="36"/>
        <v>75.378073824818998</v>
      </c>
      <c r="S193" s="1">
        <f t="shared" si="37"/>
        <v>60.099394435351883</v>
      </c>
    </row>
    <row r="194" spans="1:19" x14ac:dyDescent="0.3">
      <c r="A194">
        <v>5133.8</v>
      </c>
      <c r="B194">
        <v>70.218202000000005</v>
      </c>
      <c r="C194">
        <v>71.667621999999994</v>
      </c>
      <c r="D194">
        <v>73.096922000000006</v>
      </c>
      <c r="E194">
        <v>58.597059000000002</v>
      </c>
      <c r="F194">
        <v>33.626365</v>
      </c>
      <c r="G194">
        <v>19.945912</v>
      </c>
      <c r="H194">
        <v>20.958290000000002</v>
      </c>
      <c r="I194"/>
      <c r="N194"/>
      <c r="O194"/>
      <c r="P194" s="1">
        <f t="shared" si="34"/>
        <v>72.138496951219523</v>
      </c>
      <c r="Q194" s="1">
        <f t="shared" si="35"/>
        <v>73.610520325203268</v>
      </c>
      <c r="R194" s="1">
        <f t="shared" si="36"/>
        <v>75.378073824818998</v>
      </c>
      <c r="S194" s="1">
        <f t="shared" si="37"/>
        <v>60.099394435351883</v>
      </c>
    </row>
    <row r="195" spans="1:19" x14ac:dyDescent="0.3">
      <c r="A195">
        <v>5134</v>
      </c>
      <c r="B195">
        <v>70.272728000000001</v>
      </c>
      <c r="C195">
        <v>71.675257000000002</v>
      </c>
      <c r="D195">
        <v>73.101815999999999</v>
      </c>
      <c r="E195">
        <v>58.824935000000004</v>
      </c>
      <c r="F195">
        <v>33.59113</v>
      </c>
      <c r="G195">
        <v>19.939188999999999</v>
      </c>
      <c r="H195">
        <v>20.93</v>
      </c>
      <c r="I195" t="s">
        <v>56</v>
      </c>
      <c r="N195"/>
      <c r="O195"/>
      <c r="P195" s="1">
        <f t="shared" si="34"/>
        <v>72.129408536585373</v>
      </c>
      <c r="Q195" s="1">
        <f t="shared" si="35"/>
        <v>73.608762195121955</v>
      </c>
      <c r="R195" s="1">
        <f t="shared" si="36"/>
        <v>75.363947180585299</v>
      </c>
      <c r="S195" s="1">
        <f t="shared" si="37"/>
        <v>60.21402107201309</v>
      </c>
    </row>
    <row r="196" spans="1:19" x14ac:dyDescent="0.3">
      <c r="A196">
        <v>5134.2</v>
      </c>
      <c r="B196">
        <v>70.272728000000001</v>
      </c>
      <c r="C196">
        <v>71.675257000000002</v>
      </c>
      <c r="D196">
        <v>73.101815999999999</v>
      </c>
      <c r="E196">
        <v>58.824935000000004</v>
      </c>
      <c r="F196">
        <v>33.59113</v>
      </c>
      <c r="G196">
        <v>19.939188999999999</v>
      </c>
      <c r="H196">
        <v>20.93</v>
      </c>
      <c r="I196"/>
      <c r="N196"/>
      <c r="O196"/>
      <c r="P196" s="1">
        <f t="shared" si="34"/>
        <v>72.129408536585373</v>
      </c>
      <c r="Q196" s="1">
        <f t="shared" si="35"/>
        <v>73.608762195121955</v>
      </c>
      <c r="R196" s="1">
        <f t="shared" si="36"/>
        <v>75.363947180585299</v>
      </c>
      <c r="S196" s="1">
        <f t="shared" si="37"/>
        <v>60.21402107201309</v>
      </c>
    </row>
    <row r="197" spans="1:19" x14ac:dyDescent="0.3">
      <c r="A197">
        <v>5134.3999999999996</v>
      </c>
      <c r="B197">
        <v>70.298888000000005</v>
      </c>
      <c r="C197">
        <v>71.724979000000005</v>
      </c>
      <c r="D197">
        <v>73.121140999999994</v>
      </c>
      <c r="E197">
        <v>58.730530999999999</v>
      </c>
      <c r="F197">
        <v>33.832110999999998</v>
      </c>
      <c r="G197">
        <v>19.93534</v>
      </c>
      <c r="H197">
        <v>20.943460000000002</v>
      </c>
      <c r="I197"/>
      <c r="N197"/>
      <c r="O197"/>
      <c r="P197" s="1">
        <f t="shared" si="34"/>
        <v>72.115935975609759</v>
      </c>
      <c r="Q197" s="1">
        <f t="shared" si="35"/>
        <v>73.592504065040657</v>
      </c>
      <c r="R197" s="1">
        <f t="shared" si="36"/>
        <v>75.370640358927304</v>
      </c>
      <c r="S197" s="1">
        <f t="shared" si="37"/>
        <v>60.336662234042549</v>
      </c>
    </row>
    <row r="198" spans="1:19" x14ac:dyDescent="0.3">
      <c r="A198">
        <v>5134.6000000000004</v>
      </c>
      <c r="B198">
        <v>70.298888000000005</v>
      </c>
      <c r="C198">
        <v>71.724979000000005</v>
      </c>
      <c r="D198">
        <v>73.121140999999994</v>
      </c>
      <c r="E198">
        <v>58.730530999999999</v>
      </c>
      <c r="F198">
        <v>33.832110999999998</v>
      </c>
      <c r="G198">
        <v>19.93534</v>
      </c>
      <c r="H198">
        <v>20.943460000000002</v>
      </c>
      <c r="I198"/>
      <c r="N198"/>
      <c r="O198"/>
      <c r="P198" s="1">
        <f t="shared" si="34"/>
        <v>72.115935975609759</v>
      </c>
      <c r="Q198" s="1">
        <f t="shared" si="35"/>
        <v>73.592504065040657</v>
      </c>
      <c r="R198" s="1">
        <f t="shared" si="36"/>
        <v>75.370640358927304</v>
      </c>
      <c r="S198" s="1">
        <f t="shared" si="37"/>
        <v>60.336662234042549</v>
      </c>
    </row>
    <row r="199" spans="1:19" x14ac:dyDescent="0.3">
      <c r="A199">
        <v>5134.8</v>
      </c>
      <c r="B199">
        <v>70.341733000000005</v>
      </c>
      <c r="C199">
        <v>71.736277000000001</v>
      </c>
      <c r="D199">
        <v>73.142259999999993</v>
      </c>
      <c r="E199">
        <v>58.553396999999997</v>
      </c>
      <c r="F199">
        <v>33.866950000000003</v>
      </c>
      <c r="G199">
        <v>19.930527999999999</v>
      </c>
      <c r="H199">
        <v>20.911628</v>
      </c>
      <c r="I199"/>
      <c r="N199"/>
      <c r="O199"/>
      <c r="P199" s="1">
        <f t="shared" si="34"/>
        <v>72.125153455284561</v>
      </c>
      <c r="Q199" s="1">
        <f t="shared" si="35"/>
        <v>73.61001016260164</v>
      </c>
      <c r="R199" s="1">
        <f t="shared" si="36"/>
        <v>75.352819414703788</v>
      </c>
      <c r="S199" s="1">
        <f t="shared" si="37"/>
        <v>60.307273936170205</v>
      </c>
    </row>
    <row r="200" spans="1:19" x14ac:dyDescent="0.3">
      <c r="A200">
        <v>5135</v>
      </c>
      <c r="B200">
        <v>70.341733000000005</v>
      </c>
      <c r="C200">
        <v>71.736277000000001</v>
      </c>
      <c r="D200">
        <v>73.142259999999993</v>
      </c>
      <c r="E200">
        <v>58.553396999999997</v>
      </c>
      <c r="F200">
        <v>33.866950000000003</v>
      </c>
      <c r="G200">
        <v>19.930527999999999</v>
      </c>
      <c r="H200">
        <v>20.911628</v>
      </c>
      <c r="I200" t="s">
        <v>56</v>
      </c>
      <c r="N200"/>
      <c r="O200"/>
      <c r="P200" s="1">
        <f t="shared" si="34"/>
        <v>72.125153455284561</v>
      </c>
      <c r="Q200" s="1">
        <f t="shared" si="35"/>
        <v>73.61001016260164</v>
      </c>
      <c r="R200" s="1">
        <f t="shared" si="36"/>
        <v>75.352819414703788</v>
      </c>
      <c r="S200" s="1">
        <f t="shared" si="37"/>
        <v>60.307273936170205</v>
      </c>
    </row>
    <row r="201" spans="1:19" x14ac:dyDescent="0.3">
      <c r="A201">
        <v>5135.2</v>
      </c>
      <c r="B201">
        <v>70.341935000000007</v>
      </c>
      <c r="C201">
        <v>71.732410999999999</v>
      </c>
      <c r="D201">
        <v>73.151899</v>
      </c>
      <c r="E201">
        <v>58.528871000000002</v>
      </c>
      <c r="F201">
        <v>34.051271</v>
      </c>
      <c r="G201">
        <v>19.9329</v>
      </c>
      <c r="H201">
        <v>20.912338999999999</v>
      </c>
      <c r="I201"/>
      <c r="N201"/>
      <c r="O201"/>
      <c r="P201" s="1">
        <f t="shared" si="34"/>
        <v>72.133964430894309</v>
      </c>
      <c r="Q201" s="1">
        <f t="shared" si="35"/>
        <v>73.600006097560993</v>
      </c>
      <c r="R201" s="1">
        <f t="shared" si="36"/>
        <v>75.325425716325071</v>
      </c>
      <c r="S201" s="1">
        <f t="shared" si="37"/>
        <v>60.362574672667755</v>
      </c>
    </row>
    <row r="202" spans="1:19" x14ac:dyDescent="0.3">
      <c r="A202">
        <v>5135.3999999999996</v>
      </c>
      <c r="B202">
        <v>70.341935000000007</v>
      </c>
      <c r="C202">
        <v>71.732410999999999</v>
      </c>
      <c r="D202">
        <v>73.151899</v>
      </c>
      <c r="E202">
        <v>58.528871000000002</v>
      </c>
      <c r="F202">
        <v>34.051271</v>
      </c>
      <c r="G202">
        <v>19.9329</v>
      </c>
      <c r="H202">
        <v>20.912338999999999</v>
      </c>
      <c r="I202"/>
      <c r="N202"/>
      <c r="O202"/>
      <c r="P202" s="1">
        <f t="shared" si="34"/>
        <v>72.133964430894309</v>
      </c>
      <c r="Q202" s="1">
        <f t="shared" si="35"/>
        <v>73.600006097560993</v>
      </c>
      <c r="R202" s="1">
        <f t="shared" si="36"/>
        <v>75.325425716325071</v>
      </c>
      <c r="S202" s="1">
        <f t="shared" si="37"/>
        <v>60.362574672667755</v>
      </c>
    </row>
    <row r="203" spans="1:19" x14ac:dyDescent="0.3">
      <c r="A203">
        <v>5135.6000000000004</v>
      </c>
      <c r="B203">
        <v>70.342108999999994</v>
      </c>
      <c r="C203">
        <v>71.738461999999998</v>
      </c>
      <c r="D203">
        <v>73.132748000000007</v>
      </c>
      <c r="E203">
        <v>58.309632000000001</v>
      </c>
      <c r="F203">
        <v>33.606045999999999</v>
      </c>
      <c r="G203">
        <v>19.912230999999998</v>
      </c>
      <c r="H203">
        <v>20.934593</v>
      </c>
      <c r="I203"/>
      <c r="N203"/>
      <c r="O203"/>
      <c r="P203" s="1">
        <f t="shared" si="34"/>
        <v>72.138905487804877</v>
      </c>
      <c r="Q203" s="1">
        <f t="shared" si="35"/>
        <v>73.604957317073172</v>
      </c>
      <c r="R203" s="1">
        <f t="shared" si="36"/>
        <v>75.329907209136337</v>
      </c>
      <c r="S203" s="1">
        <f t="shared" si="37"/>
        <v>60.49770560556464</v>
      </c>
    </row>
    <row r="204" spans="1:19" x14ac:dyDescent="0.3">
      <c r="A204">
        <v>5135.8</v>
      </c>
      <c r="B204">
        <v>70.342108999999994</v>
      </c>
      <c r="C204">
        <v>71.738461999999998</v>
      </c>
      <c r="D204">
        <v>73.132748000000007</v>
      </c>
      <c r="E204">
        <v>58.309632000000001</v>
      </c>
      <c r="F204">
        <v>33.606045999999999</v>
      </c>
      <c r="G204">
        <v>19.912230999999998</v>
      </c>
      <c r="H204">
        <v>20.934593</v>
      </c>
      <c r="I204"/>
      <c r="N204"/>
      <c r="O204"/>
      <c r="P204" s="1">
        <f t="shared" si="34"/>
        <v>72.138905487804877</v>
      </c>
      <c r="Q204" s="1">
        <f t="shared" si="35"/>
        <v>73.604957317073172</v>
      </c>
      <c r="R204" s="1">
        <f t="shared" si="36"/>
        <v>75.329907209136337</v>
      </c>
      <c r="S204" s="1">
        <f t="shared" si="37"/>
        <v>60.49770560556464</v>
      </c>
    </row>
    <row r="205" spans="1:19" x14ac:dyDescent="0.3">
      <c r="A205">
        <v>5136</v>
      </c>
      <c r="B205">
        <v>70.356592000000006</v>
      </c>
      <c r="C205">
        <v>71.738512</v>
      </c>
      <c r="D205">
        <v>73.172794999999994</v>
      </c>
      <c r="E205">
        <v>58.198168000000003</v>
      </c>
      <c r="F205">
        <v>33.327646999999999</v>
      </c>
      <c r="G205">
        <v>19.953512</v>
      </c>
      <c r="H205">
        <v>20.971571999999998</v>
      </c>
      <c r="I205" t="s">
        <v>56</v>
      </c>
      <c r="N205"/>
      <c r="O205"/>
      <c r="P205" s="1">
        <f t="shared" si="34"/>
        <v>72.154821138211375</v>
      </c>
      <c r="Q205" s="1">
        <f t="shared" si="35"/>
        <v>73.605750000000015</v>
      </c>
      <c r="R205" s="1">
        <f t="shared" si="36"/>
        <v>75.375147343734056</v>
      </c>
      <c r="S205" s="1">
        <f t="shared" si="37"/>
        <v>60.480559533551549</v>
      </c>
    </row>
    <row r="206" spans="1:19" x14ac:dyDescent="0.3">
      <c r="A206">
        <v>5136.2</v>
      </c>
      <c r="B206">
        <v>70.356592000000006</v>
      </c>
      <c r="C206">
        <v>71.738512</v>
      </c>
      <c r="D206">
        <v>73.172794999999994</v>
      </c>
      <c r="E206">
        <v>58.198168000000003</v>
      </c>
      <c r="F206">
        <v>33.327646999999999</v>
      </c>
      <c r="G206">
        <v>19.953512</v>
      </c>
      <c r="H206">
        <v>20.971571999999998</v>
      </c>
      <c r="I206"/>
      <c r="N206"/>
      <c r="O206"/>
      <c r="P206" s="1">
        <f t="shared" si="34"/>
        <v>72.154821138211375</v>
      </c>
      <c r="Q206" s="1">
        <f t="shared" si="35"/>
        <v>73.605750000000015</v>
      </c>
      <c r="R206" s="1">
        <f t="shared" si="36"/>
        <v>75.375147343734056</v>
      </c>
      <c r="S206" s="1">
        <f t="shared" si="37"/>
        <v>60.480559533551549</v>
      </c>
    </row>
    <row r="207" spans="1:19" x14ac:dyDescent="0.3">
      <c r="A207">
        <v>5136.3999999999996</v>
      </c>
      <c r="B207">
        <v>70.324344999999994</v>
      </c>
      <c r="C207">
        <v>71.734218999999996</v>
      </c>
      <c r="D207">
        <v>73.152348000000003</v>
      </c>
      <c r="E207">
        <v>58.285626999999998</v>
      </c>
      <c r="F207">
        <v>33.661980999999997</v>
      </c>
      <c r="G207">
        <v>19.930001000000001</v>
      </c>
      <c r="H207">
        <v>20.970126</v>
      </c>
      <c r="I207"/>
      <c r="N207"/>
      <c r="O207"/>
      <c r="P207" s="1">
        <f t="shared" si="34"/>
        <v>72.15938008130081</v>
      </c>
      <c r="Q207" s="1">
        <f t="shared" si="35"/>
        <v>73.613074186991867</v>
      </c>
      <c r="R207" s="1">
        <f t="shared" si="36"/>
        <v>75.35220964617109</v>
      </c>
      <c r="S207" s="1">
        <f t="shared" si="37"/>
        <v>60.276301145662849</v>
      </c>
    </row>
    <row r="208" spans="1:19" x14ac:dyDescent="0.3">
      <c r="A208">
        <v>5136.6000000000004</v>
      </c>
      <c r="B208">
        <v>70.324344999999994</v>
      </c>
      <c r="C208">
        <v>71.734218999999996</v>
      </c>
      <c r="D208">
        <v>73.152348000000003</v>
      </c>
      <c r="E208">
        <v>58.285626999999998</v>
      </c>
      <c r="F208">
        <v>33.661980999999997</v>
      </c>
      <c r="G208">
        <v>19.930001000000001</v>
      </c>
      <c r="H208">
        <v>20.970126</v>
      </c>
      <c r="I208"/>
      <c r="N208"/>
      <c r="O208"/>
      <c r="P208" s="1">
        <f t="shared" si="34"/>
        <v>72.15938008130081</v>
      </c>
      <c r="Q208" s="1">
        <f t="shared" si="35"/>
        <v>73.613074186991867</v>
      </c>
      <c r="R208" s="1">
        <f t="shared" si="36"/>
        <v>75.35220964617109</v>
      </c>
      <c r="S208" s="1">
        <f t="shared" si="37"/>
        <v>60.276301145662849</v>
      </c>
    </row>
    <row r="209" spans="1:19" x14ac:dyDescent="0.3">
      <c r="A209">
        <v>5136.8</v>
      </c>
      <c r="B209">
        <v>70.328926999999993</v>
      </c>
      <c r="C209">
        <v>71.723894000000001</v>
      </c>
      <c r="D209">
        <v>73.159610000000001</v>
      </c>
      <c r="E209">
        <v>58.590536</v>
      </c>
      <c r="F209">
        <v>33.839106000000001</v>
      </c>
      <c r="G209">
        <v>19.934452</v>
      </c>
      <c r="H209">
        <v>20.981684000000001</v>
      </c>
      <c r="I209"/>
      <c r="N209"/>
      <c r="O209"/>
      <c r="P209" s="1">
        <f t="shared" si="34"/>
        <v>72.15499898373983</v>
      </c>
      <c r="Q209" s="1">
        <f t="shared" si="35"/>
        <v>73.621545731707315</v>
      </c>
      <c r="R209" s="1">
        <f t="shared" si="36"/>
        <v>75.374865912103601</v>
      </c>
      <c r="S209" s="1">
        <f t="shared" si="37"/>
        <v>60.595725245499175</v>
      </c>
    </row>
    <row r="210" spans="1:19" x14ac:dyDescent="0.3">
      <c r="A210">
        <v>5137</v>
      </c>
      <c r="B210">
        <v>70.328926999999993</v>
      </c>
      <c r="C210">
        <v>71.723894000000001</v>
      </c>
      <c r="D210">
        <v>73.159610000000001</v>
      </c>
      <c r="E210">
        <v>58.590536</v>
      </c>
      <c r="F210">
        <v>33.839106000000001</v>
      </c>
      <c r="G210">
        <v>19.934452</v>
      </c>
      <c r="H210">
        <v>20.981684000000001</v>
      </c>
      <c r="I210" t="s">
        <v>56</v>
      </c>
      <c r="N210"/>
      <c r="O210"/>
      <c r="P210" s="1">
        <f t="shared" si="34"/>
        <v>72.15499898373983</v>
      </c>
      <c r="Q210" s="1">
        <f t="shared" si="35"/>
        <v>73.621545731707315</v>
      </c>
      <c r="R210" s="1">
        <f t="shared" si="36"/>
        <v>75.374865912103601</v>
      </c>
      <c r="S210" s="1">
        <f t="shared" si="37"/>
        <v>60.595725245499175</v>
      </c>
    </row>
    <row r="211" spans="1:19" x14ac:dyDescent="0.3">
      <c r="A211">
        <v>5137.2</v>
      </c>
      <c r="B211">
        <v>70.348623000000003</v>
      </c>
      <c r="C211">
        <v>71.757193999999998</v>
      </c>
      <c r="D211">
        <v>73.170696000000007</v>
      </c>
      <c r="E211">
        <v>58.804377000000002</v>
      </c>
      <c r="F211">
        <v>33.826607000000003</v>
      </c>
      <c r="G211">
        <v>19.945063000000001</v>
      </c>
      <c r="H211">
        <v>20.939661999999998</v>
      </c>
      <c r="I211"/>
      <c r="N211"/>
      <c r="O211"/>
      <c r="P211" s="1">
        <f t="shared" si="34"/>
        <v>72.159250000000014</v>
      </c>
      <c r="Q211" s="1">
        <f t="shared" si="35"/>
        <v>73.632237804878045</v>
      </c>
      <c r="R211" s="1">
        <f t="shared" si="36"/>
        <v>75.361702865300302</v>
      </c>
      <c r="S211" s="1">
        <f t="shared" si="37"/>
        <v>60.884675736497542</v>
      </c>
    </row>
    <row r="212" spans="1:19" x14ac:dyDescent="0.3">
      <c r="A212">
        <v>5137.3999999999996</v>
      </c>
      <c r="B212">
        <v>70.348623000000003</v>
      </c>
      <c r="C212">
        <v>71.757193999999998</v>
      </c>
      <c r="D212">
        <v>73.170696000000007</v>
      </c>
      <c r="E212">
        <v>58.804377000000002</v>
      </c>
      <c r="F212">
        <v>33.826607000000003</v>
      </c>
      <c r="G212">
        <v>19.945063000000001</v>
      </c>
      <c r="H212">
        <v>20.939661999999998</v>
      </c>
      <c r="I212"/>
      <c r="N212"/>
      <c r="O212"/>
      <c r="P212" s="1">
        <f t="shared" si="34"/>
        <v>72.159250000000014</v>
      </c>
      <c r="Q212" s="1">
        <f t="shared" si="35"/>
        <v>73.632237804878045</v>
      </c>
      <c r="R212" s="1">
        <f t="shared" si="36"/>
        <v>75.361702865300302</v>
      </c>
      <c r="S212" s="1">
        <f t="shared" si="37"/>
        <v>60.884675736497542</v>
      </c>
    </row>
    <row r="213" spans="1:19" x14ac:dyDescent="0.3">
      <c r="A213">
        <v>5137.6000000000004</v>
      </c>
      <c r="B213">
        <v>70.380020999999999</v>
      </c>
      <c r="C213">
        <v>71.781429000000003</v>
      </c>
      <c r="D213">
        <v>73.159737000000007</v>
      </c>
      <c r="E213">
        <v>58.661245999999998</v>
      </c>
      <c r="F213">
        <v>34.197132000000003</v>
      </c>
      <c r="G213">
        <v>19.941255999999999</v>
      </c>
      <c r="H213">
        <v>20.960038000000001</v>
      </c>
      <c r="I213"/>
      <c r="N213"/>
      <c r="O213"/>
      <c r="P213" s="1">
        <f t="shared" si="34"/>
        <v>72.214662601626017</v>
      </c>
      <c r="Q213" s="1">
        <f t="shared" si="35"/>
        <v>73.639996951219516</v>
      </c>
      <c r="R213" s="1">
        <f t="shared" si="36"/>
        <v>75.36669317834199</v>
      </c>
      <c r="S213" s="1">
        <f t="shared" si="37"/>
        <v>61.117773117839612</v>
      </c>
    </row>
    <row r="214" spans="1:19" x14ac:dyDescent="0.3">
      <c r="A214">
        <v>5137.8</v>
      </c>
      <c r="B214">
        <v>70.380020999999999</v>
      </c>
      <c r="C214">
        <v>71.781429000000003</v>
      </c>
      <c r="D214">
        <v>73.159737000000007</v>
      </c>
      <c r="E214">
        <v>58.661245999999998</v>
      </c>
      <c r="F214">
        <v>34.197132000000003</v>
      </c>
      <c r="G214">
        <v>19.941255999999999</v>
      </c>
      <c r="H214">
        <v>20.960038000000001</v>
      </c>
      <c r="I214"/>
      <c r="N214"/>
      <c r="O214"/>
      <c r="P214" s="1">
        <f t="shared" si="34"/>
        <v>72.214662601626017</v>
      </c>
      <c r="Q214" s="1">
        <f t="shared" si="35"/>
        <v>73.639996951219516</v>
      </c>
      <c r="R214" s="1">
        <f t="shared" si="36"/>
        <v>75.36669317834199</v>
      </c>
      <c r="S214" s="1">
        <f t="shared" si="37"/>
        <v>61.117773117839612</v>
      </c>
    </row>
    <row r="215" spans="1:19" x14ac:dyDescent="0.3">
      <c r="A215">
        <v>5138</v>
      </c>
      <c r="B215">
        <v>70.428476000000003</v>
      </c>
      <c r="C215">
        <v>71.792022000000003</v>
      </c>
      <c r="D215">
        <v>73.201277000000005</v>
      </c>
      <c r="E215">
        <v>58.391685000000003</v>
      </c>
      <c r="F215">
        <v>33.442414999999997</v>
      </c>
      <c r="G215">
        <v>19.950147000000001</v>
      </c>
      <c r="H215">
        <v>20.929096999999999</v>
      </c>
      <c r="I215" t="s">
        <v>56</v>
      </c>
      <c r="N215"/>
      <c r="O215"/>
      <c r="P215" s="1">
        <f t="shared" si="34"/>
        <v>72.24124796747968</v>
      </c>
      <c r="Q215" s="1">
        <f t="shared" si="35"/>
        <v>73.690527439024393</v>
      </c>
      <c r="R215" s="1">
        <f t="shared" si="36"/>
        <v>75.386398490873859</v>
      </c>
      <c r="S215" s="1">
        <f t="shared" si="37"/>
        <v>61.021206014729948</v>
      </c>
    </row>
    <row r="216" spans="1:19" x14ac:dyDescent="0.3">
      <c r="A216">
        <v>5138.2</v>
      </c>
      <c r="B216">
        <v>70.428476000000003</v>
      </c>
      <c r="C216">
        <v>71.792022000000003</v>
      </c>
      <c r="D216">
        <v>73.201277000000005</v>
      </c>
      <c r="E216">
        <v>58.391685000000003</v>
      </c>
      <c r="F216">
        <v>33.442414999999997</v>
      </c>
      <c r="G216">
        <v>19.950147000000001</v>
      </c>
      <c r="H216">
        <v>20.929096999999999</v>
      </c>
      <c r="I216"/>
      <c r="N216"/>
      <c r="O216"/>
      <c r="P216" s="1">
        <f t="shared" si="34"/>
        <v>72.24124796747968</v>
      </c>
      <c r="Q216" s="1">
        <f t="shared" si="35"/>
        <v>73.690527439024393</v>
      </c>
      <c r="R216" s="1">
        <f t="shared" si="36"/>
        <v>75.386398490873859</v>
      </c>
      <c r="S216" s="1">
        <f t="shared" si="37"/>
        <v>61.021206014729948</v>
      </c>
    </row>
    <row r="217" spans="1:19" x14ac:dyDescent="0.3">
      <c r="A217">
        <v>5138.3999999999996</v>
      </c>
      <c r="B217">
        <v>70.376462000000004</v>
      </c>
      <c r="C217">
        <v>71.805436</v>
      </c>
      <c r="D217">
        <v>73.191244999999995</v>
      </c>
      <c r="E217">
        <v>58.026415999999998</v>
      </c>
      <c r="F217">
        <v>33.517916999999997</v>
      </c>
      <c r="G217">
        <v>19.951256999999998</v>
      </c>
      <c r="H217">
        <v>20.952014999999999</v>
      </c>
      <c r="I217"/>
      <c r="N217"/>
      <c r="O217"/>
      <c r="P217" s="1">
        <f t="shared" si="34"/>
        <v>72.28478963414635</v>
      </c>
      <c r="Q217" s="1">
        <f t="shared" si="35"/>
        <v>73.702009146341467</v>
      </c>
      <c r="R217" s="1">
        <f t="shared" si="36"/>
        <v>75.407933109003764</v>
      </c>
      <c r="S217" s="1">
        <f t="shared" si="37"/>
        <v>60.840013297872339</v>
      </c>
    </row>
    <row r="218" spans="1:19" x14ac:dyDescent="0.3">
      <c r="A218">
        <v>5138.6000000000004</v>
      </c>
      <c r="B218">
        <v>70.376462000000004</v>
      </c>
      <c r="C218">
        <v>71.805436</v>
      </c>
      <c r="D218">
        <v>73.191244999999995</v>
      </c>
      <c r="E218">
        <v>58.026415999999998</v>
      </c>
      <c r="F218">
        <v>33.517916999999997</v>
      </c>
      <c r="G218">
        <v>19.951256999999998</v>
      </c>
      <c r="H218">
        <v>20.952014999999999</v>
      </c>
      <c r="I218"/>
      <c r="N218"/>
      <c r="O218"/>
      <c r="P218" s="1">
        <f t="shared" si="34"/>
        <v>72.28478963414635</v>
      </c>
      <c r="Q218" s="1">
        <f t="shared" si="35"/>
        <v>73.702009146341467</v>
      </c>
      <c r="R218" s="1">
        <f t="shared" si="36"/>
        <v>75.407933109003764</v>
      </c>
      <c r="S218" s="1">
        <f t="shared" si="37"/>
        <v>60.840013297872339</v>
      </c>
    </row>
    <row r="219" spans="1:19" x14ac:dyDescent="0.3">
      <c r="A219">
        <v>5138.8</v>
      </c>
      <c r="B219">
        <v>70.364984000000007</v>
      </c>
      <c r="C219">
        <v>71.776303999999996</v>
      </c>
      <c r="D219">
        <v>73.174864999999997</v>
      </c>
      <c r="E219">
        <v>58.114803000000002</v>
      </c>
      <c r="F219">
        <v>33.671948999999998</v>
      </c>
      <c r="G219">
        <v>19.954125000000001</v>
      </c>
      <c r="H219">
        <v>20.947531999999999</v>
      </c>
      <c r="I219"/>
      <c r="N219"/>
      <c r="O219"/>
      <c r="P219" s="1">
        <f t="shared" si="34"/>
        <v>72.284994918699198</v>
      </c>
      <c r="Q219" s="1">
        <f t="shared" si="35"/>
        <v>73.698080284552844</v>
      </c>
      <c r="R219" s="1">
        <f t="shared" si="36"/>
        <v>75.417761802793919</v>
      </c>
      <c r="S219" s="1">
        <f t="shared" si="37"/>
        <v>60.81492532733224</v>
      </c>
    </row>
    <row r="220" spans="1:19" x14ac:dyDescent="0.3">
      <c r="A220">
        <v>5139</v>
      </c>
      <c r="B220">
        <v>70.364984000000007</v>
      </c>
      <c r="C220">
        <v>71.776303999999996</v>
      </c>
      <c r="D220">
        <v>73.174864999999997</v>
      </c>
      <c r="E220">
        <v>58.114803000000002</v>
      </c>
      <c r="F220">
        <v>33.671948999999998</v>
      </c>
      <c r="G220">
        <v>19.954125000000001</v>
      </c>
      <c r="H220">
        <v>20.947531999999999</v>
      </c>
      <c r="I220" t="s">
        <v>56</v>
      </c>
      <c r="N220"/>
      <c r="O220"/>
      <c r="P220" s="1">
        <f t="shared" si="34"/>
        <v>72.284994918699198</v>
      </c>
      <c r="Q220" s="1">
        <f t="shared" si="35"/>
        <v>73.698080284552844</v>
      </c>
      <c r="R220" s="1">
        <f t="shared" si="36"/>
        <v>75.417761802793919</v>
      </c>
      <c r="S220" s="1">
        <f t="shared" si="37"/>
        <v>60.81492532733224</v>
      </c>
    </row>
    <row r="221" spans="1:19" x14ac:dyDescent="0.3">
      <c r="A221">
        <v>5139.2</v>
      </c>
      <c r="B221">
        <v>70.342607000000001</v>
      </c>
      <c r="C221">
        <v>71.768342000000004</v>
      </c>
      <c r="D221">
        <v>73.184026000000003</v>
      </c>
      <c r="E221">
        <v>58.283149999999999</v>
      </c>
      <c r="F221">
        <v>33.174433000000001</v>
      </c>
      <c r="G221">
        <v>19.933471999999998</v>
      </c>
      <c r="H221">
        <v>20.983550000000001</v>
      </c>
      <c r="I221"/>
      <c r="N221"/>
      <c r="O221"/>
      <c r="P221" s="1">
        <f t="shared" si="34"/>
        <v>72.285171747967482</v>
      </c>
      <c r="Q221" s="1">
        <f t="shared" si="35"/>
        <v>73.70422967479675</v>
      </c>
      <c r="R221" s="1">
        <f t="shared" si="36"/>
        <v>75.398233914550829</v>
      </c>
      <c r="S221" s="1">
        <f t="shared" si="37"/>
        <v>60.590662847790504</v>
      </c>
    </row>
    <row r="222" spans="1:19" x14ac:dyDescent="0.3">
      <c r="A222">
        <v>5139.3999999999996</v>
      </c>
      <c r="B222">
        <v>70.342607000000001</v>
      </c>
      <c r="C222">
        <v>71.768342000000004</v>
      </c>
      <c r="D222">
        <v>73.184026000000003</v>
      </c>
      <c r="E222">
        <v>58.283149999999999</v>
      </c>
      <c r="F222">
        <v>33.174433000000001</v>
      </c>
      <c r="G222">
        <v>19.933471999999998</v>
      </c>
      <c r="H222">
        <v>20.983550000000001</v>
      </c>
      <c r="I222"/>
      <c r="N222"/>
      <c r="O222"/>
      <c r="P222" s="1">
        <f t="shared" si="34"/>
        <v>72.285171747967482</v>
      </c>
      <c r="Q222" s="1">
        <f t="shared" si="35"/>
        <v>73.70422967479675</v>
      </c>
      <c r="R222" s="1">
        <f t="shared" si="36"/>
        <v>75.398233914550829</v>
      </c>
      <c r="S222" s="1">
        <f t="shared" si="37"/>
        <v>60.590662847790504</v>
      </c>
    </row>
    <row r="223" spans="1:19" x14ac:dyDescent="0.3">
      <c r="A223">
        <v>5139.6000000000004</v>
      </c>
      <c r="B223">
        <v>70.367363999999995</v>
      </c>
      <c r="C223">
        <v>71.772812000000002</v>
      </c>
      <c r="D223">
        <v>73.195211999999998</v>
      </c>
      <c r="E223">
        <v>58.350096000000001</v>
      </c>
      <c r="F223">
        <v>33.232726</v>
      </c>
      <c r="G223">
        <v>19.942171999999999</v>
      </c>
      <c r="H223">
        <v>20.982997000000001</v>
      </c>
      <c r="I223"/>
      <c r="N223"/>
      <c r="O223"/>
      <c r="P223" s="1">
        <f t="shared" si="34"/>
        <v>72.299890243902453</v>
      </c>
      <c r="Q223" s="1">
        <f t="shared" si="35"/>
        <v>73.70428048780488</v>
      </c>
      <c r="R223" s="1">
        <f t="shared" si="36"/>
        <v>75.439069032323843</v>
      </c>
      <c r="S223" s="1">
        <f t="shared" si="37"/>
        <v>60.476644844517189</v>
      </c>
    </row>
    <row r="224" spans="1:19" x14ac:dyDescent="0.3">
      <c r="A224">
        <v>5139.8</v>
      </c>
      <c r="B224">
        <v>70.367363999999995</v>
      </c>
      <c r="C224">
        <v>71.772812000000002</v>
      </c>
      <c r="D224">
        <v>73.195211999999998</v>
      </c>
      <c r="E224">
        <v>58.350096000000001</v>
      </c>
      <c r="F224">
        <v>33.232726</v>
      </c>
      <c r="G224">
        <v>19.942171999999999</v>
      </c>
      <c r="H224">
        <v>20.982997000000001</v>
      </c>
      <c r="I224"/>
      <c r="N224"/>
      <c r="O224"/>
      <c r="P224" s="1">
        <f t="shared" si="34"/>
        <v>72.299890243902453</v>
      </c>
      <c r="Q224" s="1">
        <f t="shared" si="35"/>
        <v>73.70428048780488</v>
      </c>
      <c r="R224" s="1">
        <f t="shared" si="36"/>
        <v>75.439069032323843</v>
      </c>
      <c r="S224" s="1">
        <f t="shared" si="37"/>
        <v>60.476644844517189</v>
      </c>
    </row>
    <row r="225" spans="1:19" x14ac:dyDescent="0.3">
      <c r="A225">
        <v>6461</v>
      </c>
      <c r="B225">
        <v>76.017180999999994</v>
      </c>
      <c r="C225">
        <v>77.888079000000005</v>
      </c>
      <c r="D225">
        <v>79.671531000000002</v>
      </c>
      <c r="E225">
        <v>60.861249000000001</v>
      </c>
      <c r="F225">
        <v>35.539575999999997</v>
      </c>
      <c r="G225">
        <v>19.928442</v>
      </c>
      <c r="H225">
        <v>21.161742</v>
      </c>
      <c r="I225" t="s">
        <v>56</v>
      </c>
      <c r="N225"/>
      <c r="O225"/>
      <c r="P225" s="1">
        <f t="shared" si="34"/>
        <v>72.267118902439023</v>
      </c>
      <c r="Q225" s="1">
        <f t="shared" si="35"/>
        <v>73.699917682926824</v>
      </c>
      <c r="R225" s="1">
        <f t="shared" si="36"/>
        <v>75.418219639033339</v>
      </c>
      <c r="S225" s="1">
        <f t="shared" si="37"/>
        <v>60.566107815057279</v>
      </c>
    </row>
    <row r="226" spans="1:19" x14ac:dyDescent="0.3">
      <c r="A226">
        <v>6461.2</v>
      </c>
      <c r="B226">
        <v>76.003163999999998</v>
      </c>
      <c r="C226">
        <v>77.869056</v>
      </c>
      <c r="D226">
        <v>79.670142999999996</v>
      </c>
      <c r="E226">
        <v>60.969003999999998</v>
      </c>
      <c r="F226">
        <v>35.216704999999997</v>
      </c>
      <c r="G226">
        <v>19.935016999999998</v>
      </c>
      <c r="H226">
        <v>21.173998000000001</v>
      </c>
      <c r="I226"/>
      <c r="N226"/>
      <c r="O226"/>
      <c r="P226" s="1">
        <f t="shared" si="34"/>
        <v>72.267118902439023</v>
      </c>
      <c r="Q226" s="1">
        <f t="shared" si="35"/>
        <v>73.699917682926824</v>
      </c>
      <c r="R226" s="1">
        <f t="shared" si="36"/>
        <v>75.418219639033339</v>
      </c>
      <c r="S226" s="1">
        <f t="shared" si="37"/>
        <v>60.566107815057279</v>
      </c>
    </row>
    <row r="227" spans="1:19" x14ac:dyDescent="0.3">
      <c r="A227">
        <v>6461.4</v>
      </c>
      <c r="B227">
        <v>76.003163999999998</v>
      </c>
      <c r="C227">
        <v>77.869056</v>
      </c>
      <c r="D227">
        <v>79.670142999999996</v>
      </c>
      <c r="E227">
        <v>60.969003999999998</v>
      </c>
      <c r="F227">
        <v>35.216704999999997</v>
      </c>
      <c r="G227">
        <v>19.935016999999998</v>
      </c>
      <c r="H227">
        <v>21.173998000000001</v>
      </c>
      <c r="I227"/>
      <c r="N227"/>
      <c r="O227"/>
      <c r="P227" s="1">
        <f t="shared" si="34"/>
        <v>72.271775406504062</v>
      </c>
      <c r="Q227" s="1">
        <f t="shared" si="35"/>
        <v>73.689424796747971</v>
      </c>
      <c r="R227" s="1">
        <f t="shared" si="36"/>
        <v>75.425624553890074</v>
      </c>
      <c r="S227" s="1">
        <f t="shared" si="37"/>
        <v>60.87800327332242</v>
      </c>
    </row>
    <row r="228" spans="1:19" x14ac:dyDescent="0.3">
      <c r="A228">
        <v>6461.6</v>
      </c>
      <c r="B228">
        <v>76.018145000000004</v>
      </c>
      <c r="C228">
        <v>77.866444999999999</v>
      </c>
      <c r="D228">
        <v>79.682607000000004</v>
      </c>
      <c r="E228">
        <v>61.000095000000002</v>
      </c>
      <c r="F228">
        <v>35.679102</v>
      </c>
      <c r="G228">
        <v>19.899141</v>
      </c>
      <c r="H228">
        <v>21.172525</v>
      </c>
      <c r="I228"/>
      <c r="N228"/>
      <c r="O228"/>
      <c r="P228" s="1">
        <f t="shared" si="34"/>
        <v>72.271775406504062</v>
      </c>
      <c r="Q228" s="1">
        <f t="shared" si="35"/>
        <v>73.689424796747971</v>
      </c>
      <c r="R228" s="1">
        <f t="shared" si="36"/>
        <v>75.425624553890074</v>
      </c>
      <c r="S228" s="1">
        <f t="shared" si="37"/>
        <v>60.87800327332242</v>
      </c>
    </row>
    <row r="229" spans="1:19" x14ac:dyDescent="0.3">
      <c r="A229">
        <v>6461.8</v>
      </c>
      <c r="B229">
        <v>76.018145000000004</v>
      </c>
      <c r="C229">
        <v>77.866444999999999</v>
      </c>
      <c r="D229">
        <v>79.682607000000004</v>
      </c>
      <c r="E229">
        <v>61.000095000000002</v>
      </c>
      <c r="F229">
        <v>35.679102</v>
      </c>
      <c r="G229">
        <v>19.899141</v>
      </c>
      <c r="H229">
        <v>21.172525</v>
      </c>
      <c r="I229"/>
      <c r="N229"/>
      <c r="O229"/>
      <c r="P229" s="1">
        <f t="shared" si="34"/>
        <v>72.291791666666668</v>
      </c>
      <c r="Q229" s="1">
        <f t="shared" si="35"/>
        <v>73.723266260162603</v>
      </c>
      <c r="R229" s="1">
        <f t="shared" si="36"/>
        <v>75.43692872438055</v>
      </c>
      <c r="S229" s="1">
        <f t="shared" si="37"/>
        <v>61.09674406710311</v>
      </c>
    </row>
    <row r="230" spans="1:19" x14ac:dyDescent="0.3">
      <c r="A230">
        <v>6462</v>
      </c>
      <c r="B230">
        <v>76.003164999999996</v>
      </c>
      <c r="C230">
        <v>77.867022000000006</v>
      </c>
      <c r="D230">
        <v>79.686552000000006</v>
      </c>
      <c r="E230">
        <v>60.893774999999998</v>
      </c>
      <c r="F230">
        <v>35.592689</v>
      </c>
      <c r="G230">
        <v>19.918593999999999</v>
      </c>
      <c r="H230">
        <v>21.177499999999998</v>
      </c>
      <c r="I230" t="s">
        <v>56</v>
      </c>
      <c r="N230"/>
      <c r="O230"/>
      <c r="P230" s="1">
        <f t="shared" si="34"/>
        <v>72.291791666666668</v>
      </c>
      <c r="Q230" s="1">
        <f t="shared" si="35"/>
        <v>73.723266260162603</v>
      </c>
      <c r="R230" s="1">
        <f t="shared" si="36"/>
        <v>75.43692872438055</v>
      </c>
      <c r="S230" s="1">
        <f t="shared" si="37"/>
        <v>61.09674406710311</v>
      </c>
    </row>
    <row r="231" spans="1:19" x14ac:dyDescent="0.3">
      <c r="A231">
        <v>6462.2</v>
      </c>
      <c r="B231">
        <v>76.003164999999996</v>
      </c>
      <c r="C231">
        <v>77.867022000000006</v>
      </c>
      <c r="D231">
        <v>79.686552000000006</v>
      </c>
      <c r="E231">
        <v>60.893774999999998</v>
      </c>
      <c r="F231">
        <v>35.592689</v>
      </c>
      <c r="G231">
        <v>19.918593999999999</v>
      </c>
      <c r="H231">
        <v>21.177499999999998</v>
      </c>
      <c r="I231"/>
      <c r="N231"/>
      <c r="O231"/>
      <c r="P231" s="1">
        <f t="shared" si="34"/>
        <v>72.323700203252031</v>
      </c>
      <c r="Q231" s="1">
        <f t="shared" si="35"/>
        <v>73.74789532520326</v>
      </c>
      <c r="R231" s="1">
        <f t="shared" si="36"/>
        <v>75.425754053227294</v>
      </c>
      <c r="S231" s="1">
        <f t="shared" si="37"/>
        <v>60.950333469721762</v>
      </c>
    </row>
    <row r="232" spans="1:19" x14ac:dyDescent="0.3">
      <c r="A232">
        <v>6462.4</v>
      </c>
      <c r="B232">
        <v>76.018970999999993</v>
      </c>
      <c r="C232">
        <v>77.871566999999999</v>
      </c>
      <c r="D232">
        <v>79.663201000000001</v>
      </c>
      <c r="E232">
        <v>60.895595999999998</v>
      </c>
      <c r="F232">
        <v>35.507807999999997</v>
      </c>
      <c r="G232">
        <v>19.922018999999999</v>
      </c>
      <c r="H232">
        <v>21.170020000000001</v>
      </c>
      <c r="I232"/>
      <c r="N232"/>
      <c r="O232"/>
      <c r="P232" s="1">
        <f t="shared" si="34"/>
        <v>72.323700203252031</v>
      </c>
      <c r="Q232" s="1">
        <f t="shared" si="35"/>
        <v>73.74789532520326</v>
      </c>
      <c r="R232" s="1">
        <f t="shared" si="36"/>
        <v>75.425754053227294</v>
      </c>
      <c r="S232" s="1">
        <f t="shared" si="37"/>
        <v>60.950333469721762</v>
      </c>
    </row>
    <row r="233" spans="1:19" x14ac:dyDescent="0.3">
      <c r="A233">
        <v>6462.6</v>
      </c>
      <c r="B233">
        <v>76.018970999999993</v>
      </c>
      <c r="C233">
        <v>77.871566999999999</v>
      </c>
      <c r="D233">
        <v>79.663201000000001</v>
      </c>
      <c r="E233">
        <v>60.895595999999998</v>
      </c>
      <c r="F233">
        <v>35.507807999999997</v>
      </c>
      <c r="G233">
        <v>19.922018999999999</v>
      </c>
      <c r="H233">
        <v>21.170020000000001</v>
      </c>
      <c r="I233"/>
      <c r="N233"/>
      <c r="O233"/>
      <c r="P233" s="1">
        <f t="shared" si="34"/>
        <v>72.372943089430905</v>
      </c>
      <c r="Q233" s="1">
        <f t="shared" si="35"/>
        <v>73.7586605691057</v>
      </c>
      <c r="R233" s="1">
        <f t="shared" si="36"/>
        <v>75.468111552972374</v>
      </c>
      <c r="S233" s="1">
        <f t="shared" si="37"/>
        <v>60.674595949263505</v>
      </c>
    </row>
    <row r="234" spans="1:19" x14ac:dyDescent="0.3">
      <c r="A234">
        <v>6462.8</v>
      </c>
      <c r="B234">
        <v>76.016039000000006</v>
      </c>
      <c r="C234">
        <v>77.871340000000004</v>
      </c>
      <c r="D234">
        <v>79.661401999999995</v>
      </c>
      <c r="E234">
        <v>61.036172999999998</v>
      </c>
      <c r="F234">
        <v>35.450180000000003</v>
      </c>
      <c r="G234">
        <v>19.934501999999998</v>
      </c>
      <c r="H234">
        <v>21.182725999999999</v>
      </c>
      <c r="I234"/>
      <c r="N234"/>
      <c r="O234"/>
      <c r="P234" s="1">
        <f t="shared" si="34"/>
        <v>72.372943089430905</v>
      </c>
      <c r="Q234" s="1">
        <f t="shared" si="35"/>
        <v>73.7586605691057</v>
      </c>
      <c r="R234" s="1">
        <f t="shared" si="36"/>
        <v>75.468111552972374</v>
      </c>
      <c r="S234" s="1">
        <f t="shared" si="37"/>
        <v>60.674595949263505</v>
      </c>
    </row>
    <row r="235" spans="1:19" x14ac:dyDescent="0.3">
      <c r="A235">
        <v>6463</v>
      </c>
      <c r="B235">
        <v>76.016039000000006</v>
      </c>
      <c r="C235">
        <v>77.871340000000004</v>
      </c>
      <c r="D235">
        <v>79.661401999999995</v>
      </c>
      <c r="E235">
        <v>61.036172999999998</v>
      </c>
      <c r="F235">
        <v>35.450180000000003</v>
      </c>
      <c r="G235">
        <v>19.934501999999998</v>
      </c>
      <c r="H235">
        <v>21.182725999999999</v>
      </c>
      <c r="I235" t="s">
        <v>56</v>
      </c>
      <c r="N235"/>
      <c r="O235"/>
      <c r="P235" s="1">
        <f t="shared" si="34"/>
        <v>72.320083333333343</v>
      </c>
      <c r="Q235" s="1">
        <f t="shared" si="35"/>
        <v>73.772292682926832</v>
      </c>
      <c r="R235" s="1">
        <f t="shared" si="36"/>
        <v>75.457882125012745</v>
      </c>
      <c r="S235" s="1">
        <f t="shared" si="37"/>
        <v>60.300957446808503</v>
      </c>
    </row>
    <row r="236" spans="1:19" x14ac:dyDescent="0.3">
      <c r="A236">
        <v>6463.2</v>
      </c>
      <c r="B236">
        <v>76.009551999999999</v>
      </c>
      <c r="C236">
        <v>77.870939000000007</v>
      </c>
      <c r="D236">
        <v>79.677411000000006</v>
      </c>
      <c r="E236">
        <v>60.984799000000002</v>
      </c>
      <c r="F236">
        <v>35.294600000000003</v>
      </c>
      <c r="G236">
        <v>19.932458</v>
      </c>
      <c r="H236">
        <v>21.192533999999998</v>
      </c>
      <c r="I236"/>
      <c r="N236"/>
      <c r="O236"/>
      <c r="P236" s="1">
        <f t="shared" ref="P236:P299" si="38">(B218+Q$36)/P$36</f>
        <v>72.320083333333343</v>
      </c>
      <c r="Q236" s="1">
        <f t="shared" ref="Q236:Q299" si="39">(C218+Q$36)/P$36</f>
        <v>73.772292682926832</v>
      </c>
      <c r="R236" s="1">
        <f t="shared" ref="R236:R299" si="40">(D218+Q$38)/P$38</f>
        <v>75.457882125012745</v>
      </c>
      <c r="S236" s="1">
        <f t="shared" ref="S236:S299" si="41">(E218+Q$39)/P$39</f>
        <v>60.300957446808503</v>
      </c>
    </row>
    <row r="237" spans="1:19" x14ac:dyDescent="0.3">
      <c r="A237">
        <v>6463.4</v>
      </c>
      <c r="B237">
        <v>76.009551999999999</v>
      </c>
      <c r="C237">
        <v>77.870939000000007</v>
      </c>
      <c r="D237">
        <v>79.677411000000006</v>
      </c>
      <c r="E237">
        <v>60.984799000000002</v>
      </c>
      <c r="F237">
        <v>35.294600000000003</v>
      </c>
      <c r="G237">
        <v>19.932458</v>
      </c>
      <c r="H237">
        <v>21.192533999999998</v>
      </c>
      <c r="I237"/>
      <c r="N237"/>
      <c r="O237"/>
      <c r="P237" s="1">
        <f t="shared" si="38"/>
        <v>72.308418699187001</v>
      </c>
      <c r="Q237" s="1">
        <f t="shared" si="39"/>
        <v>73.742686991869917</v>
      </c>
      <c r="R237" s="1">
        <f t="shared" si="40"/>
        <v>75.441179769552349</v>
      </c>
      <c r="S237" s="1">
        <f t="shared" si="41"/>
        <v>60.391369680851064</v>
      </c>
    </row>
    <row r="238" spans="1:19" x14ac:dyDescent="0.3">
      <c r="A238">
        <v>6463.6</v>
      </c>
      <c r="B238">
        <v>76.018868999999995</v>
      </c>
      <c r="C238">
        <v>77.861294999999998</v>
      </c>
      <c r="D238">
        <v>79.683104</v>
      </c>
      <c r="E238">
        <v>60.841372</v>
      </c>
      <c r="F238">
        <v>35.645999000000003</v>
      </c>
      <c r="G238">
        <v>19.921993000000001</v>
      </c>
      <c r="H238">
        <v>21.195588999999998</v>
      </c>
      <c r="I238"/>
      <c r="N238"/>
      <c r="O238"/>
      <c r="P238" s="1">
        <f t="shared" si="38"/>
        <v>72.308418699187001</v>
      </c>
      <c r="Q238" s="1">
        <f t="shared" si="39"/>
        <v>73.742686991869917</v>
      </c>
      <c r="R238" s="1">
        <f t="shared" si="40"/>
        <v>75.441179769552349</v>
      </c>
      <c r="S238" s="1">
        <f t="shared" si="41"/>
        <v>60.391369680851064</v>
      </c>
    </row>
    <row r="239" spans="1:19" x14ac:dyDescent="0.3">
      <c r="A239">
        <v>6463.8</v>
      </c>
      <c r="B239">
        <v>76.018868999999995</v>
      </c>
      <c r="C239">
        <v>77.861294999999998</v>
      </c>
      <c r="D239">
        <v>79.683104</v>
      </c>
      <c r="E239">
        <v>60.841372</v>
      </c>
      <c r="F239">
        <v>35.645999000000003</v>
      </c>
      <c r="G239">
        <v>19.921993000000001</v>
      </c>
      <c r="H239">
        <v>21.195588999999998</v>
      </c>
      <c r="I239"/>
      <c r="N239"/>
      <c r="O239"/>
      <c r="P239" s="1">
        <f t="shared" si="38"/>
        <v>72.285677845528454</v>
      </c>
      <c r="Q239" s="1">
        <f t="shared" si="39"/>
        <v>73.734595528455287</v>
      </c>
      <c r="R239" s="1">
        <f t="shared" si="40"/>
        <v>75.450521056388297</v>
      </c>
      <c r="S239" s="1">
        <f t="shared" si="41"/>
        <v>60.563574058919798</v>
      </c>
    </row>
    <row r="240" spans="1:19" x14ac:dyDescent="0.3">
      <c r="A240">
        <v>6464</v>
      </c>
      <c r="B240">
        <v>76.043695</v>
      </c>
      <c r="C240">
        <v>77.888440000000003</v>
      </c>
      <c r="D240">
        <v>79.669642999999994</v>
      </c>
      <c r="E240">
        <v>60.998595999999999</v>
      </c>
      <c r="F240">
        <v>35.492700999999997</v>
      </c>
      <c r="G240">
        <v>19.925985000000001</v>
      </c>
      <c r="H240">
        <v>21.188912999999999</v>
      </c>
      <c r="I240" t="s">
        <v>56</v>
      </c>
      <c r="N240"/>
      <c r="O240"/>
      <c r="P240" s="1">
        <f t="shared" si="38"/>
        <v>72.285677845528454</v>
      </c>
      <c r="Q240" s="1">
        <f t="shared" si="39"/>
        <v>73.734595528455287</v>
      </c>
      <c r="R240" s="1">
        <f t="shared" si="40"/>
        <v>75.450521056388297</v>
      </c>
      <c r="S240" s="1">
        <f t="shared" si="41"/>
        <v>60.563574058919798</v>
      </c>
    </row>
    <row r="241" spans="1:19" x14ac:dyDescent="0.3">
      <c r="A241">
        <v>6464.2</v>
      </c>
      <c r="B241">
        <v>76.043695</v>
      </c>
      <c r="C241">
        <v>77.888440000000003</v>
      </c>
      <c r="D241">
        <v>79.669642999999994</v>
      </c>
      <c r="E241">
        <v>60.998595999999999</v>
      </c>
      <c r="F241">
        <v>35.492700999999997</v>
      </c>
      <c r="G241">
        <v>19.925985000000001</v>
      </c>
      <c r="H241">
        <v>21.188912999999999</v>
      </c>
      <c r="I241"/>
      <c r="N241"/>
      <c r="O241"/>
      <c r="P241" s="1">
        <f t="shared" si="38"/>
        <v>72.310837398373977</v>
      </c>
      <c r="Q241" s="1">
        <f t="shared" si="39"/>
        <v>73.739138211382127</v>
      </c>
      <c r="R241" s="1">
        <f t="shared" si="40"/>
        <v>75.461927194860806</v>
      </c>
      <c r="S241" s="1">
        <f t="shared" si="41"/>
        <v>60.632054009819967</v>
      </c>
    </row>
    <row r="242" spans="1:19" x14ac:dyDescent="0.3">
      <c r="A242">
        <v>6464.4</v>
      </c>
      <c r="B242">
        <v>76.027387000000004</v>
      </c>
      <c r="C242">
        <v>77.890173000000004</v>
      </c>
      <c r="D242">
        <v>79.678559000000007</v>
      </c>
      <c r="E242">
        <v>60.901058999999997</v>
      </c>
      <c r="F242">
        <v>35.250171999999999</v>
      </c>
      <c r="G242">
        <v>19.924377</v>
      </c>
      <c r="H242">
        <v>21.186595000000001</v>
      </c>
      <c r="I242"/>
      <c r="N242"/>
      <c r="O242"/>
      <c r="P242" s="1">
        <f t="shared" si="38"/>
        <v>72.310837398373977</v>
      </c>
      <c r="Q242" s="1">
        <f t="shared" si="39"/>
        <v>73.739138211382127</v>
      </c>
      <c r="R242" s="1">
        <f t="shared" si="40"/>
        <v>75.461927194860806</v>
      </c>
      <c r="S242" s="1">
        <f t="shared" si="41"/>
        <v>60.632054009819967</v>
      </c>
    </row>
    <row r="243" spans="1:19" x14ac:dyDescent="0.3">
      <c r="A243">
        <v>6464.6</v>
      </c>
      <c r="B243">
        <v>76.027387000000004</v>
      </c>
      <c r="C243">
        <v>77.890173000000004</v>
      </c>
      <c r="D243">
        <v>79.678559000000007</v>
      </c>
      <c r="E243">
        <v>60.901058999999997</v>
      </c>
      <c r="F243">
        <v>35.250171999999999</v>
      </c>
      <c r="G243">
        <v>19.924377</v>
      </c>
      <c r="H243">
        <v>21.186595000000001</v>
      </c>
      <c r="I243"/>
      <c r="N243"/>
      <c r="O243"/>
      <c r="P243" s="1">
        <f t="shared" si="38"/>
        <v>78.052521341463418</v>
      </c>
      <c r="Q243" s="1">
        <f t="shared" si="39"/>
        <v>79.953840447154477</v>
      </c>
      <c r="R243" s="1">
        <f t="shared" si="40"/>
        <v>82.065698990516978</v>
      </c>
      <c r="S243" s="1">
        <f t="shared" si="41"/>
        <v>63.200745703764319</v>
      </c>
    </row>
    <row r="244" spans="1:19" x14ac:dyDescent="0.3">
      <c r="A244">
        <v>6464.8</v>
      </c>
      <c r="B244">
        <v>76.034223999999995</v>
      </c>
      <c r="C244">
        <v>77.886630999999994</v>
      </c>
      <c r="D244">
        <v>79.678407000000007</v>
      </c>
      <c r="E244">
        <v>60.915953999999999</v>
      </c>
      <c r="F244">
        <v>35.768895999999998</v>
      </c>
      <c r="G244">
        <v>19.922201999999999</v>
      </c>
      <c r="H244">
        <v>21.191770000000002</v>
      </c>
      <c r="I244"/>
      <c r="N244"/>
      <c r="O244"/>
      <c r="P244" s="1">
        <f t="shared" si="38"/>
        <v>78.038276422764227</v>
      </c>
      <c r="Q244" s="1">
        <f t="shared" si="39"/>
        <v>79.934508130081312</v>
      </c>
      <c r="R244" s="1">
        <f t="shared" si="40"/>
        <v>82.06428367492606</v>
      </c>
      <c r="S244" s="1">
        <f t="shared" si="41"/>
        <v>63.310969721767592</v>
      </c>
    </row>
    <row r="245" spans="1:19" x14ac:dyDescent="0.3">
      <c r="A245">
        <v>6465</v>
      </c>
      <c r="B245">
        <v>76.034223999999995</v>
      </c>
      <c r="C245">
        <v>77.886630999999994</v>
      </c>
      <c r="D245">
        <v>79.678407000000007</v>
      </c>
      <c r="E245">
        <v>60.915953999999999</v>
      </c>
      <c r="F245">
        <v>35.768895999999998</v>
      </c>
      <c r="G245">
        <v>19.922201999999999</v>
      </c>
      <c r="H245">
        <v>21.191770000000002</v>
      </c>
      <c r="I245" t="s">
        <v>56</v>
      </c>
      <c r="N245"/>
      <c r="O245"/>
      <c r="P245" s="1">
        <f t="shared" si="38"/>
        <v>78.038276422764227</v>
      </c>
      <c r="Q245" s="1">
        <f t="shared" si="39"/>
        <v>79.934508130081312</v>
      </c>
      <c r="R245" s="1">
        <f t="shared" si="40"/>
        <v>82.06428367492606</v>
      </c>
      <c r="S245" s="1">
        <f t="shared" si="41"/>
        <v>63.310969721767592</v>
      </c>
    </row>
    <row r="246" spans="1:19" x14ac:dyDescent="0.3">
      <c r="A246">
        <v>6465.2</v>
      </c>
      <c r="B246">
        <v>76.061255000000003</v>
      </c>
      <c r="C246">
        <v>77.897003999999995</v>
      </c>
      <c r="D246">
        <v>79.687375000000003</v>
      </c>
      <c r="E246">
        <v>60.948267999999999</v>
      </c>
      <c r="F246">
        <v>36.208142000000002</v>
      </c>
      <c r="G246">
        <v>19.932573000000001</v>
      </c>
      <c r="H246">
        <v>21.197863000000002</v>
      </c>
      <c r="I246"/>
      <c r="N246"/>
      <c r="O246"/>
      <c r="P246" s="1">
        <f t="shared" si="38"/>
        <v>78.053501016260171</v>
      </c>
      <c r="Q246" s="1">
        <f t="shared" si="39"/>
        <v>79.931854674796753</v>
      </c>
      <c r="R246" s="1">
        <f t="shared" si="40"/>
        <v>82.076992964209239</v>
      </c>
      <c r="S246" s="1">
        <f t="shared" si="41"/>
        <v>63.342773117839606</v>
      </c>
    </row>
    <row r="247" spans="1:19" x14ac:dyDescent="0.3">
      <c r="A247">
        <v>6465.4</v>
      </c>
      <c r="B247">
        <v>76.061255000000003</v>
      </c>
      <c r="C247">
        <v>77.897003999999995</v>
      </c>
      <c r="D247">
        <v>79.687375000000003</v>
      </c>
      <c r="E247">
        <v>60.948267999999999</v>
      </c>
      <c r="F247">
        <v>36.208142000000002</v>
      </c>
      <c r="G247">
        <v>19.932573000000001</v>
      </c>
      <c r="H247">
        <v>21.197863000000002</v>
      </c>
      <c r="I247"/>
      <c r="N247"/>
      <c r="O247"/>
      <c r="P247" s="1">
        <f t="shared" si="38"/>
        <v>78.053501016260171</v>
      </c>
      <c r="Q247" s="1">
        <f t="shared" si="39"/>
        <v>79.931854674796753</v>
      </c>
      <c r="R247" s="1">
        <f t="shared" si="40"/>
        <v>82.076992964209239</v>
      </c>
      <c r="S247" s="1">
        <f t="shared" si="41"/>
        <v>63.342773117839606</v>
      </c>
    </row>
    <row r="248" spans="1:19" x14ac:dyDescent="0.3">
      <c r="A248">
        <v>6465.6</v>
      </c>
      <c r="B248">
        <v>76.049030000000002</v>
      </c>
      <c r="C248">
        <v>77.926559999999995</v>
      </c>
      <c r="D248">
        <v>79.660352000000003</v>
      </c>
      <c r="E248">
        <v>60.862656000000001</v>
      </c>
      <c r="F248">
        <v>35.968156999999998</v>
      </c>
      <c r="G248">
        <v>19.93666</v>
      </c>
      <c r="H248">
        <v>21.188199999999998</v>
      </c>
      <c r="I248"/>
      <c r="N248"/>
      <c r="O248"/>
      <c r="P248" s="1">
        <f t="shared" si="38"/>
        <v>78.038277439024384</v>
      </c>
      <c r="Q248" s="1">
        <f t="shared" si="39"/>
        <v>79.932441056910577</v>
      </c>
      <c r="R248" s="1">
        <f t="shared" si="40"/>
        <v>82.081015601101257</v>
      </c>
      <c r="S248" s="1">
        <f t="shared" si="41"/>
        <v>63.23401698036006</v>
      </c>
    </row>
    <row r="249" spans="1:19" x14ac:dyDescent="0.3">
      <c r="A249">
        <v>6465.8</v>
      </c>
      <c r="B249">
        <v>76.049030000000002</v>
      </c>
      <c r="C249">
        <v>77.926559999999995</v>
      </c>
      <c r="D249">
        <v>79.660352000000003</v>
      </c>
      <c r="E249">
        <v>60.862656000000001</v>
      </c>
      <c r="F249">
        <v>35.968156999999998</v>
      </c>
      <c r="G249">
        <v>19.93666</v>
      </c>
      <c r="H249">
        <v>21.188199999999998</v>
      </c>
      <c r="I249"/>
      <c r="N249"/>
      <c r="O249"/>
      <c r="P249" s="1">
        <f t="shared" si="38"/>
        <v>78.038277439024384</v>
      </c>
      <c r="Q249" s="1">
        <f t="shared" si="39"/>
        <v>79.932441056910577</v>
      </c>
      <c r="R249" s="1">
        <f t="shared" si="40"/>
        <v>82.081015601101257</v>
      </c>
      <c r="S249" s="1">
        <f t="shared" si="41"/>
        <v>63.23401698036006</v>
      </c>
    </row>
    <row r="250" spans="1:19" x14ac:dyDescent="0.3">
      <c r="A250">
        <v>6466</v>
      </c>
      <c r="B250">
        <v>76.040111999999993</v>
      </c>
      <c r="C250">
        <v>77.897732000000005</v>
      </c>
      <c r="D250">
        <v>79.697989000000007</v>
      </c>
      <c r="E250">
        <v>60.839624999999998</v>
      </c>
      <c r="F250">
        <v>35.44397</v>
      </c>
      <c r="G250">
        <v>19.920026</v>
      </c>
      <c r="H250">
        <v>21.206185999999999</v>
      </c>
      <c r="I250" t="s">
        <v>56</v>
      </c>
      <c r="N250"/>
      <c r="O250"/>
      <c r="P250" s="1">
        <f t="shared" si="38"/>
        <v>78.054340447154473</v>
      </c>
      <c r="Q250" s="1">
        <f t="shared" si="39"/>
        <v>79.937059959349597</v>
      </c>
      <c r="R250" s="1">
        <f t="shared" si="40"/>
        <v>82.05720505761191</v>
      </c>
      <c r="S250" s="1">
        <f t="shared" si="41"/>
        <v>63.235879705400976</v>
      </c>
    </row>
    <row r="251" spans="1:19" x14ac:dyDescent="0.3">
      <c r="A251">
        <v>6466.2</v>
      </c>
      <c r="B251">
        <v>76.040111999999993</v>
      </c>
      <c r="C251">
        <v>77.897732000000005</v>
      </c>
      <c r="D251">
        <v>79.697989000000007</v>
      </c>
      <c r="E251">
        <v>60.839624999999998</v>
      </c>
      <c r="F251">
        <v>35.44397</v>
      </c>
      <c r="G251">
        <v>19.920026</v>
      </c>
      <c r="H251">
        <v>21.206185999999999</v>
      </c>
      <c r="I251"/>
      <c r="N251"/>
      <c r="O251"/>
      <c r="P251" s="1">
        <f t="shared" si="38"/>
        <v>78.054340447154473</v>
      </c>
      <c r="Q251" s="1">
        <f t="shared" si="39"/>
        <v>79.937059959349597</v>
      </c>
      <c r="R251" s="1">
        <f t="shared" si="40"/>
        <v>82.05720505761191</v>
      </c>
      <c r="S251" s="1">
        <f t="shared" si="41"/>
        <v>63.235879705400976</v>
      </c>
    </row>
    <row r="252" spans="1:19" x14ac:dyDescent="0.3">
      <c r="A252">
        <v>6466.4</v>
      </c>
      <c r="B252">
        <v>76.030567000000005</v>
      </c>
      <c r="C252">
        <v>77.886581000000007</v>
      </c>
      <c r="D252">
        <v>79.679480999999996</v>
      </c>
      <c r="E252">
        <v>60.491880000000002</v>
      </c>
      <c r="F252">
        <v>35.297660999999998</v>
      </c>
      <c r="G252">
        <v>19.922212999999999</v>
      </c>
      <c r="H252">
        <v>21.204578000000001</v>
      </c>
      <c r="I252"/>
      <c r="N252"/>
      <c r="O252"/>
      <c r="P252" s="1">
        <f t="shared" si="38"/>
        <v>78.051360772357739</v>
      </c>
      <c r="Q252" s="1">
        <f t="shared" si="39"/>
        <v>79.936829268292698</v>
      </c>
      <c r="R252" s="1">
        <f t="shared" si="40"/>
        <v>82.055370653614759</v>
      </c>
      <c r="S252" s="1">
        <f t="shared" si="41"/>
        <v>63.379677782324052</v>
      </c>
    </row>
    <row r="253" spans="1:19" x14ac:dyDescent="0.3">
      <c r="A253">
        <v>6466.6</v>
      </c>
      <c r="B253">
        <v>76.030567000000005</v>
      </c>
      <c r="C253">
        <v>77.886581000000007</v>
      </c>
      <c r="D253">
        <v>79.679480999999996</v>
      </c>
      <c r="E253">
        <v>60.491880000000002</v>
      </c>
      <c r="F253">
        <v>35.297660999999998</v>
      </c>
      <c r="G253">
        <v>19.922212999999999</v>
      </c>
      <c r="H253">
        <v>21.204578000000001</v>
      </c>
      <c r="I253"/>
      <c r="N253"/>
      <c r="O253"/>
      <c r="P253" s="1">
        <f t="shared" si="38"/>
        <v>78.051360772357739</v>
      </c>
      <c r="Q253" s="1">
        <f t="shared" si="39"/>
        <v>79.936829268292698</v>
      </c>
      <c r="R253" s="1">
        <f t="shared" si="40"/>
        <v>82.055370653614759</v>
      </c>
      <c r="S253" s="1">
        <f t="shared" si="41"/>
        <v>63.379677782324052</v>
      </c>
    </row>
    <row r="254" spans="1:19" x14ac:dyDescent="0.3">
      <c r="A254">
        <v>6466.8</v>
      </c>
      <c r="B254">
        <v>76.031419</v>
      </c>
      <c r="C254">
        <v>77.886983000000001</v>
      </c>
      <c r="D254">
        <v>79.683476999999996</v>
      </c>
      <c r="E254">
        <v>60.454545000000003</v>
      </c>
      <c r="F254">
        <v>35.406773000000001</v>
      </c>
      <c r="G254">
        <v>19.940477999999999</v>
      </c>
      <c r="H254">
        <v>21.232303000000002</v>
      </c>
      <c r="I254"/>
      <c r="N254"/>
      <c r="O254"/>
      <c r="P254" s="1">
        <f t="shared" si="38"/>
        <v>78.044768292682932</v>
      </c>
      <c r="Q254" s="1">
        <f t="shared" si="39"/>
        <v>79.936421747967486</v>
      </c>
      <c r="R254" s="1">
        <f t="shared" si="40"/>
        <v>82.071694707861738</v>
      </c>
      <c r="S254" s="1">
        <f t="shared" si="41"/>
        <v>63.327126636661212</v>
      </c>
    </row>
    <row r="255" spans="1:19" x14ac:dyDescent="0.3">
      <c r="A255">
        <v>6467</v>
      </c>
      <c r="B255">
        <v>76.031419</v>
      </c>
      <c r="C255">
        <v>77.886983000000001</v>
      </c>
      <c r="D255">
        <v>79.683476999999996</v>
      </c>
      <c r="E255">
        <v>60.454545000000003</v>
      </c>
      <c r="F255">
        <v>35.406773000000001</v>
      </c>
      <c r="G255">
        <v>19.940477999999999</v>
      </c>
      <c r="H255">
        <v>21.232303000000002</v>
      </c>
      <c r="I255" t="s">
        <v>56</v>
      </c>
      <c r="N255"/>
      <c r="O255"/>
      <c r="P255" s="1">
        <f t="shared" si="38"/>
        <v>78.044768292682932</v>
      </c>
      <c r="Q255" s="1">
        <f t="shared" si="39"/>
        <v>79.936421747967486</v>
      </c>
      <c r="R255" s="1">
        <f t="shared" si="40"/>
        <v>82.071694707861738</v>
      </c>
      <c r="S255" s="1">
        <f t="shared" si="41"/>
        <v>63.327126636661212</v>
      </c>
    </row>
    <row r="256" spans="1:19" x14ac:dyDescent="0.3">
      <c r="A256">
        <v>6467.2</v>
      </c>
      <c r="B256">
        <v>76.013531999999998</v>
      </c>
      <c r="C256">
        <v>77.858656999999994</v>
      </c>
      <c r="D256">
        <v>79.679580999999999</v>
      </c>
      <c r="E256">
        <v>60.532184000000001</v>
      </c>
      <c r="F256">
        <v>35.109050000000003</v>
      </c>
      <c r="G256">
        <v>19.93364</v>
      </c>
      <c r="H256">
        <v>21.222628</v>
      </c>
      <c r="I256"/>
      <c r="N256"/>
      <c r="O256"/>
      <c r="P256" s="1">
        <f t="shared" si="38"/>
        <v>78.054236788617885</v>
      </c>
      <c r="Q256" s="1">
        <f t="shared" si="39"/>
        <v>79.926620934959359</v>
      </c>
      <c r="R256" s="1">
        <f t="shared" si="40"/>
        <v>82.077499745080047</v>
      </c>
      <c r="S256" s="1">
        <f t="shared" si="41"/>
        <v>63.180413256955809</v>
      </c>
    </row>
    <row r="257" spans="1:19" x14ac:dyDescent="0.3">
      <c r="A257">
        <v>6467.4</v>
      </c>
      <c r="B257">
        <v>76.013531999999998</v>
      </c>
      <c r="C257">
        <v>77.858656999999994</v>
      </c>
      <c r="D257">
        <v>79.679580999999999</v>
      </c>
      <c r="E257">
        <v>60.532184000000001</v>
      </c>
      <c r="F257">
        <v>35.109050000000003</v>
      </c>
      <c r="G257">
        <v>19.93364</v>
      </c>
      <c r="H257">
        <v>21.222628</v>
      </c>
      <c r="I257"/>
      <c r="N257"/>
      <c r="O257"/>
      <c r="P257" s="1">
        <f t="shared" si="38"/>
        <v>78.054236788617885</v>
      </c>
      <c r="Q257" s="1">
        <f t="shared" si="39"/>
        <v>79.926620934959359</v>
      </c>
      <c r="R257" s="1">
        <f t="shared" si="40"/>
        <v>82.077499745080047</v>
      </c>
      <c r="S257" s="1">
        <f t="shared" si="41"/>
        <v>63.180413256955809</v>
      </c>
    </row>
    <row r="258" spans="1:19" x14ac:dyDescent="0.3">
      <c r="A258">
        <v>6467.6</v>
      </c>
      <c r="B258">
        <v>75.981566999999998</v>
      </c>
      <c r="C258">
        <v>77.855542999999997</v>
      </c>
      <c r="D258">
        <v>79.650411000000005</v>
      </c>
      <c r="E258">
        <v>60.452947000000002</v>
      </c>
      <c r="F258">
        <v>35.014657999999997</v>
      </c>
      <c r="G258">
        <v>19.929076999999999</v>
      </c>
      <c r="H258">
        <v>21.224232000000001</v>
      </c>
      <c r="I258"/>
      <c r="N258"/>
      <c r="O258"/>
      <c r="P258" s="1">
        <f t="shared" si="38"/>
        <v>78.079466463414633</v>
      </c>
      <c r="Q258" s="1">
        <f t="shared" si="39"/>
        <v>79.954207317073184</v>
      </c>
      <c r="R258" s="1">
        <f t="shared" si="40"/>
        <v>82.063773835015795</v>
      </c>
      <c r="S258" s="1">
        <f t="shared" si="41"/>
        <v>63.341239770867425</v>
      </c>
    </row>
    <row r="259" spans="1:19" x14ac:dyDescent="0.3">
      <c r="A259">
        <v>6467.8</v>
      </c>
      <c r="B259">
        <v>75.981566999999998</v>
      </c>
      <c r="C259">
        <v>77.855542999999997</v>
      </c>
      <c r="D259">
        <v>79.650411000000005</v>
      </c>
      <c r="E259">
        <v>60.452947000000002</v>
      </c>
      <c r="F259">
        <v>35.014657999999997</v>
      </c>
      <c r="G259">
        <v>19.929076999999999</v>
      </c>
      <c r="H259">
        <v>21.224232000000001</v>
      </c>
      <c r="I259"/>
      <c r="N259"/>
      <c r="O259"/>
      <c r="P259" s="1">
        <f t="shared" si="38"/>
        <v>78.079466463414633</v>
      </c>
      <c r="Q259" s="1">
        <f t="shared" si="39"/>
        <v>79.954207317073184</v>
      </c>
      <c r="R259" s="1">
        <f t="shared" si="40"/>
        <v>82.063773835015795</v>
      </c>
      <c r="S259" s="1">
        <f t="shared" si="41"/>
        <v>63.341239770867425</v>
      </c>
    </row>
    <row r="260" spans="1:19" x14ac:dyDescent="0.3">
      <c r="A260">
        <v>6468</v>
      </c>
      <c r="B260">
        <v>75.988105000000004</v>
      </c>
      <c r="C260">
        <v>77.832262999999998</v>
      </c>
      <c r="D260">
        <v>79.654680999999997</v>
      </c>
      <c r="E260">
        <v>60.696188999999997</v>
      </c>
      <c r="F260">
        <v>34.929099000000001</v>
      </c>
      <c r="G260">
        <v>19.929738</v>
      </c>
      <c r="H260">
        <v>21.219915</v>
      </c>
      <c r="I260" t="s">
        <v>56</v>
      </c>
      <c r="N260"/>
      <c r="O260"/>
      <c r="P260" s="1">
        <f t="shared" si="38"/>
        <v>78.062893292682929</v>
      </c>
      <c r="Q260" s="1">
        <f t="shared" si="39"/>
        <v>79.955968495934968</v>
      </c>
      <c r="R260" s="1">
        <f t="shared" si="40"/>
        <v>82.072865300295717</v>
      </c>
      <c r="S260" s="1">
        <f t="shared" si="41"/>
        <v>63.241467880523729</v>
      </c>
    </row>
    <row r="261" spans="1:19" x14ac:dyDescent="0.3">
      <c r="A261">
        <v>6468.2</v>
      </c>
      <c r="B261">
        <v>75.988105000000004</v>
      </c>
      <c r="C261">
        <v>77.832262999999998</v>
      </c>
      <c r="D261">
        <v>79.654680999999997</v>
      </c>
      <c r="E261">
        <v>60.696188999999997</v>
      </c>
      <c r="F261">
        <v>34.929099000000001</v>
      </c>
      <c r="G261">
        <v>19.929738</v>
      </c>
      <c r="H261">
        <v>21.219915</v>
      </c>
      <c r="I261"/>
      <c r="N261"/>
      <c r="O261"/>
      <c r="P261" s="1">
        <f t="shared" si="38"/>
        <v>78.062893292682929</v>
      </c>
      <c r="Q261" s="1">
        <f t="shared" si="39"/>
        <v>79.955968495934968</v>
      </c>
      <c r="R261" s="1">
        <f t="shared" si="40"/>
        <v>82.072865300295717</v>
      </c>
      <c r="S261" s="1">
        <f t="shared" si="41"/>
        <v>63.241467880523729</v>
      </c>
    </row>
    <row r="262" spans="1:19" x14ac:dyDescent="0.3">
      <c r="A262">
        <v>6468.4</v>
      </c>
      <c r="B262">
        <v>75.956591000000003</v>
      </c>
      <c r="C262">
        <v>77.841353999999995</v>
      </c>
      <c r="D262">
        <v>79.658327</v>
      </c>
      <c r="E262">
        <v>60.947766999999999</v>
      </c>
      <c r="F262">
        <v>35.377209000000001</v>
      </c>
      <c r="G262">
        <v>19.926758</v>
      </c>
      <c r="H262">
        <v>21.192765999999999</v>
      </c>
      <c r="I262"/>
      <c r="N262"/>
      <c r="O262"/>
      <c r="P262" s="1">
        <f t="shared" si="38"/>
        <v>78.069841463414633</v>
      </c>
      <c r="Q262" s="1">
        <f t="shared" si="39"/>
        <v>79.952368902439019</v>
      </c>
      <c r="R262" s="1">
        <f t="shared" si="40"/>
        <v>82.072710308962996</v>
      </c>
      <c r="S262" s="1">
        <f t="shared" si="41"/>
        <v>63.256704173486085</v>
      </c>
    </row>
    <row r="263" spans="1:19" x14ac:dyDescent="0.3">
      <c r="A263">
        <v>6468.6</v>
      </c>
      <c r="B263">
        <v>75.956591000000003</v>
      </c>
      <c r="C263">
        <v>77.841353999999995</v>
      </c>
      <c r="D263">
        <v>79.658327</v>
      </c>
      <c r="E263">
        <v>60.947766999999999</v>
      </c>
      <c r="F263">
        <v>35.377209000000001</v>
      </c>
      <c r="G263">
        <v>19.926758</v>
      </c>
      <c r="H263">
        <v>21.192765999999999</v>
      </c>
      <c r="I263"/>
      <c r="N263"/>
      <c r="O263"/>
      <c r="P263" s="1">
        <f t="shared" si="38"/>
        <v>78.069841463414633</v>
      </c>
      <c r="Q263" s="1">
        <f t="shared" si="39"/>
        <v>79.952368902439019</v>
      </c>
      <c r="R263" s="1">
        <f t="shared" si="40"/>
        <v>82.072710308962996</v>
      </c>
      <c r="S263" s="1">
        <f t="shared" si="41"/>
        <v>63.256704173486085</v>
      </c>
    </row>
    <row r="264" spans="1:19" x14ac:dyDescent="0.3">
      <c r="A264">
        <v>6468.8</v>
      </c>
      <c r="B264">
        <v>75.985749999999996</v>
      </c>
      <c r="C264">
        <v>77.858604999999997</v>
      </c>
      <c r="D264">
        <v>79.661997999999997</v>
      </c>
      <c r="E264">
        <v>60.924486000000002</v>
      </c>
      <c r="F264">
        <v>35.733406000000002</v>
      </c>
      <c r="G264">
        <v>19.942204</v>
      </c>
      <c r="H264">
        <v>21.186865000000001</v>
      </c>
      <c r="I264"/>
      <c r="N264"/>
      <c r="O264"/>
      <c r="P264" s="1">
        <f t="shared" si="38"/>
        <v>78.09731199186993</v>
      </c>
      <c r="Q264" s="1">
        <f t="shared" si="39"/>
        <v>79.962910569105688</v>
      </c>
      <c r="R264" s="1">
        <f t="shared" si="40"/>
        <v>82.08185479759355</v>
      </c>
      <c r="S264" s="1">
        <f t="shared" si="41"/>
        <v>63.289758592471358</v>
      </c>
    </row>
    <row r="265" spans="1:19" x14ac:dyDescent="0.3">
      <c r="A265">
        <v>6469</v>
      </c>
      <c r="B265">
        <v>75.985749999999996</v>
      </c>
      <c r="C265">
        <v>77.858604999999997</v>
      </c>
      <c r="D265">
        <v>79.661997999999997</v>
      </c>
      <c r="E265">
        <v>60.924486000000002</v>
      </c>
      <c r="F265">
        <v>35.733406000000002</v>
      </c>
      <c r="G265">
        <v>19.942204</v>
      </c>
      <c r="H265">
        <v>21.186865000000001</v>
      </c>
      <c r="I265" t="s">
        <v>56</v>
      </c>
      <c r="N265"/>
      <c r="O265"/>
      <c r="P265" s="1">
        <f t="shared" si="38"/>
        <v>78.09731199186993</v>
      </c>
      <c r="Q265" s="1">
        <f t="shared" si="39"/>
        <v>79.962910569105688</v>
      </c>
      <c r="R265" s="1">
        <f t="shared" si="40"/>
        <v>82.08185479759355</v>
      </c>
      <c r="S265" s="1">
        <f t="shared" si="41"/>
        <v>63.289758592471358</v>
      </c>
    </row>
    <row r="266" spans="1:19" x14ac:dyDescent="0.3">
      <c r="A266">
        <v>6469.2</v>
      </c>
      <c r="B266">
        <v>75.976230000000001</v>
      </c>
      <c r="C266">
        <v>77.826688000000004</v>
      </c>
      <c r="D266">
        <v>79.653631000000004</v>
      </c>
      <c r="E266">
        <v>60.912982999999997</v>
      </c>
      <c r="F266">
        <v>35.826210000000003</v>
      </c>
      <c r="G266">
        <v>19.92793</v>
      </c>
      <c r="H266">
        <v>21.210052000000001</v>
      </c>
      <c r="I266"/>
      <c r="N266"/>
      <c r="O266"/>
      <c r="P266" s="1">
        <f t="shared" si="38"/>
        <v>78.084888211382122</v>
      </c>
      <c r="Q266" s="1">
        <f t="shared" si="39"/>
        <v>79.992947154471551</v>
      </c>
      <c r="R266" s="1">
        <f t="shared" si="40"/>
        <v>82.054299989803198</v>
      </c>
      <c r="S266" s="1">
        <f t="shared" si="41"/>
        <v>63.202184942716855</v>
      </c>
    </row>
    <row r="267" spans="1:19" x14ac:dyDescent="0.3">
      <c r="A267">
        <v>6469.4</v>
      </c>
      <c r="B267">
        <v>75.976230000000001</v>
      </c>
      <c r="C267">
        <v>77.826688000000004</v>
      </c>
      <c r="D267">
        <v>79.653631000000004</v>
      </c>
      <c r="E267">
        <v>60.912982999999997</v>
      </c>
      <c r="F267">
        <v>35.826210000000003</v>
      </c>
      <c r="G267">
        <v>19.92793</v>
      </c>
      <c r="H267">
        <v>21.210052000000001</v>
      </c>
      <c r="I267"/>
      <c r="N267"/>
      <c r="O267"/>
      <c r="P267" s="1">
        <f t="shared" si="38"/>
        <v>78.084888211382122</v>
      </c>
      <c r="Q267" s="1">
        <f t="shared" si="39"/>
        <v>79.992947154471551</v>
      </c>
      <c r="R267" s="1">
        <f t="shared" si="40"/>
        <v>82.054299989803198</v>
      </c>
      <c r="S267" s="1">
        <f t="shared" si="41"/>
        <v>63.202184942716855</v>
      </c>
    </row>
    <row r="268" spans="1:19" x14ac:dyDescent="0.3">
      <c r="A268">
        <v>6469.6</v>
      </c>
      <c r="B268">
        <v>75.997724000000005</v>
      </c>
      <c r="C268">
        <v>77.853206</v>
      </c>
      <c r="D268">
        <v>79.655280000000005</v>
      </c>
      <c r="E268">
        <v>60.777189</v>
      </c>
      <c r="F268">
        <v>35.698104999999998</v>
      </c>
      <c r="G268">
        <v>19.921113999999999</v>
      </c>
      <c r="H268">
        <v>21.202058000000001</v>
      </c>
      <c r="I268"/>
      <c r="N268"/>
      <c r="O268"/>
      <c r="P268" s="1">
        <f t="shared" si="38"/>
        <v>78.075825203252037</v>
      </c>
      <c r="Q268" s="1">
        <f t="shared" si="39"/>
        <v>79.963650406504073</v>
      </c>
      <c r="R268" s="1">
        <f t="shared" si="40"/>
        <v>82.092677679208734</v>
      </c>
      <c r="S268" s="1">
        <f t="shared" si="41"/>
        <v>63.178626227495904</v>
      </c>
    </row>
    <row r="269" spans="1:19" x14ac:dyDescent="0.3">
      <c r="A269">
        <v>6469.8</v>
      </c>
      <c r="B269">
        <v>75.997724000000005</v>
      </c>
      <c r="C269">
        <v>77.853206</v>
      </c>
      <c r="D269">
        <v>79.655280000000005</v>
      </c>
      <c r="E269">
        <v>60.777189</v>
      </c>
      <c r="F269">
        <v>35.698104999999998</v>
      </c>
      <c r="G269">
        <v>19.921113999999999</v>
      </c>
      <c r="H269">
        <v>21.202058000000001</v>
      </c>
      <c r="I269"/>
      <c r="N269"/>
      <c r="O269"/>
      <c r="P269" s="1">
        <f t="shared" si="38"/>
        <v>78.075825203252037</v>
      </c>
      <c r="Q269" s="1">
        <f t="shared" si="39"/>
        <v>79.963650406504073</v>
      </c>
      <c r="R269" s="1">
        <f t="shared" si="40"/>
        <v>82.092677679208734</v>
      </c>
      <c r="S269" s="1">
        <f t="shared" si="41"/>
        <v>63.178626227495904</v>
      </c>
    </row>
    <row r="270" spans="1:19" x14ac:dyDescent="0.3">
      <c r="A270">
        <v>6470</v>
      </c>
      <c r="B270">
        <v>75.983418999999998</v>
      </c>
      <c r="C270">
        <v>77.867795000000001</v>
      </c>
      <c r="D270">
        <v>79.658551000000003</v>
      </c>
      <c r="E270">
        <v>60.702976</v>
      </c>
      <c r="F270">
        <v>35.572825000000002</v>
      </c>
      <c r="G270">
        <v>19.917120000000001</v>
      </c>
      <c r="H270">
        <v>21.183375000000002</v>
      </c>
      <c r="I270" t="s">
        <v>56</v>
      </c>
      <c r="N270"/>
      <c r="O270"/>
      <c r="P270" s="1">
        <f t="shared" si="38"/>
        <v>78.066125000000014</v>
      </c>
      <c r="Q270" s="1">
        <f t="shared" si="39"/>
        <v>79.952318089430904</v>
      </c>
      <c r="R270" s="1">
        <f t="shared" si="40"/>
        <v>82.07380544509023</v>
      </c>
      <c r="S270" s="1">
        <f t="shared" si="41"/>
        <v>62.822913256955808</v>
      </c>
    </row>
    <row r="271" spans="1:19" x14ac:dyDescent="0.3">
      <c r="A271">
        <v>6470.2</v>
      </c>
      <c r="B271">
        <v>75.983418999999998</v>
      </c>
      <c r="C271">
        <v>77.867795000000001</v>
      </c>
      <c r="D271">
        <v>79.658551000000003</v>
      </c>
      <c r="E271">
        <v>60.702976</v>
      </c>
      <c r="F271">
        <v>35.572825000000002</v>
      </c>
      <c r="G271">
        <v>19.917120000000001</v>
      </c>
      <c r="H271">
        <v>21.183375000000002</v>
      </c>
      <c r="I271"/>
      <c r="N271"/>
      <c r="O271"/>
      <c r="P271" s="1">
        <f t="shared" si="38"/>
        <v>78.066125000000014</v>
      </c>
      <c r="Q271" s="1">
        <f t="shared" si="39"/>
        <v>79.952318089430904</v>
      </c>
      <c r="R271" s="1">
        <f t="shared" si="40"/>
        <v>82.07380544509023</v>
      </c>
      <c r="S271" s="1">
        <f t="shared" si="41"/>
        <v>62.822913256955808</v>
      </c>
    </row>
    <row r="272" spans="1:19" x14ac:dyDescent="0.3">
      <c r="A272">
        <v>6470.4</v>
      </c>
      <c r="B272">
        <v>75.982956000000001</v>
      </c>
      <c r="C272">
        <v>77.855126999999996</v>
      </c>
      <c r="D272">
        <v>79.651346000000004</v>
      </c>
      <c r="E272">
        <v>60.682526000000003</v>
      </c>
      <c r="F272">
        <v>36.031160999999997</v>
      </c>
      <c r="G272">
        <v>19.926465</v>
      </c>
      <c r="H272">
        <v>21.205507000000001</v>
      </c>
      <c r="I272"/>
      <c r="N272"/>
      <c r="O272"/>
      <c r="P272" s="1">
        <f t="shared" si="38"/>
        <v>78.066990853658538</v>
      </c>
      <c r="Q272" s="1">
        <f t="shared" si="39"/>
        <v>79.952726626016272</v>
      </c>
      <c r="R272" s="1">
        <f t="shared" si="40"/>
        <v>82.077880085653092</v>
      </c>
      <c r="S272" s="1">
        <f t="shared" si="41"/>
        <v>62.784722790507367</v>
      </c>
    </row>
    <row r="273" spans="1:19" x14ac:dyDescent="0.3">
      <c r="A273">
        <v>6470.6</v>
      </c>
      <c r="B273">
        <v>75.982956000000001</v>
      </c>
      <c r="C273">
        <v>77.855126999999996</v>
      </c>
      <c r="D273">
        <v>79.651346000000004</v>
      </c>
      <c r="E273">
        <v>60.682526000000003</v>
      </c>
      <c r="F273">
        <v>36.031160999999997</v>
      </c>
      <c r="G273">
        <v>19.926465</v>
      </c>
      <c r="H273">
        <v>21.205507000000001</v>
      </c>
      <c r="I273"/>
      <c r="N273"/>
      <c r="O273"/>
      <c r="P273" s="1">
        <f t="shared" si="38"/>
        <v>78.066990853658538</v>
      </c>
      <c r="Q273" s="1">
        <f t="shared" si="39"/>
        <v>79.952726626016272</v>
      </c>
      <c r="R273" s="1">
        <f t="shared" si="40"/>
        <v>82.077880085653092</v>
      </c>
      <c r="S273" s="1">
        <f t="shared" si="41"/>
        <v>62.784722790507367</v>
      </c>
    </row>
    <row r="274" spans="1:19" x14ac:dyDescent="0.3">
      <c r="A274">
        <v>6470.8</v>
      </c>
      <c r="B274">
        <v>75.969817000000006</v>
      </c>
      <c r="C274">
        <v>77.832012000000006</v>
      </c>
      <c r="D274">
        <v>79.658925999999994</v>
      </c>
      <c r="E274">
        <v>60.815866999999997</v>
      </c>
      <c r="F274">
        <v>36.291832999999997</v>
      </c>
      <c r="G274">
        <v>19.937508000000001</v>
      </c>
      <c r="H274">
        <v>21.187387999999999</v>
      </c>
      <c r="I274"/>
      <c r="N274"/>
      <c r="O274"/>
      <c r="P274" s="1">
        <f t="shared" si="38"/>
        <v>78.048813008130082</v>
      </c>
      <c r="Q274" s="1">
        <f t="shared" si="39"/>
        <v>79.923940040650407</v>
      </c>
      <c r="R274" s="1">
        <f t="shared" si="40"/>
        <v>82.073907413072291</v>
      </c>
      <c r="S274" s="1">
        <f t="shared" si="41"/>
        <v>62.864140752864159</v>
      </c>
    </row>
    <row r="275" spans="1:19" x14ac:dyDescent="0.3">
      <c r="A275">
        <v>9264</v>
      </c>
      <c r="B275">
        <v>84.257889000000006</v>
      </c>
      <c r="C275">
        <v>86.505197999999993</v>
      </c>
      <c r="D275">
        <v>88.677998000000002</v>
      </c>
      <c r="E275">
        <v>65.916906999999995</v>
      </c>
      <c r="F275">
        <v>39.747897999999999</v>
      </c>
      <c r="G275">
        <v>19.957436000000001</v>
      </c>
      <c r="H275">
        <v>21.436917999999999</v>
      </c>
      <c r="I275" t="s">
        <v>56</v>
      </c>
      <c r="N275"/>
      <c r="O275"/>
      <c r="P275" s="1">
        <f t="shared" si="38"/>
        <v>78.048813008130082</v>
      </c>
      <c r="Q275" s="1">
        <f t="shared" si="39"/>
        <v>79.923940040650407</v>
      </c>
      <c r="R275" s="1">
        <f t="shared" si="40"/>
        <v>82.073907413072291</v>
      </c>
      <c r="S275" s="1">
        <f t="shared" si="41"/>
        <v>62.864140752864159</v>
      </c>
    </row>
    <row r="276" spans="1:19" x14ac:dyDescent="0.3">
      <c r="A276">
        <v>9264.2000000000007</v>
      </c>
      <c r="B276">
        <v>84.257889000000006</v>
      </c>
      <c r="C276">
        <v>86.505197999999993</v>
      </c>
      <c r="D276">
        <v>88.677998000000002</v>
      </c>
      <c r="E276">
        <v>65.916906999999995</v>
      </c>
      <c r="F276">
        <v>39.747897999999999</v>
      </c>
      <c r="G276">
        <v>19.957436000000001</v>
      </c>
      <c r="H276">
        <v>21.436917999999999</v>
      </c>
      <c r="I276"/>
      <c r="N276"/>
      <c r="O276"/>
      <c r="P276" s="1">
        <f t="shared" si="38"/>
        <v>78.016328252032523</v>
      </c>
      <c r="Q276" s="1">
        <f t="shared" si="39"/>
        <v>79.920775406504063</v>
      </c>
      <c r="R276" s="1">
        <f t="shared" si="40"/>
        <v>82.044163352707258</v>
      </c>
      <c r="S276" s="1">
        <f t="shared" si="41"/>
        <v>62.783088175122749</v>
      </c>
    </row>
    <row r="277" spans="1:19" x14ac:dyDescent="0.3">
      <c r="A277">
        <v>9264.4</v>
      </c>
      <c r="B277">
        <v>84.270629</v>
      </c>
      <c r="C277">
        <v>86.498056000000005</v>
      </c>
      <c r="D277">
        <v>88.694315000000003</v>
      </c>
      <c r="E277">
        <v>65.751081999999997</v>
      </c>
      <c r="F277">
        <v>39.747712</v>
      </c>
      <c r="G277">
        <v>19.940169000000001</v>
      </c>
      <c r="H277">
        <v>21.447396000000001</v>
      </c>
      <c r="I277"/>
      <c r="N277"/>
      <c r="O277"/>
      <c r="P277" s="1">
        <f t="shared" si="38"/>
        <v>78.016328252032523</v>
      </c>
      <c r="Q277" s="1">
        <f t="shared" si="39"/>
        <v>79.920775406504063</v>
      </c>
      <c r="R277" s="1">
        <f t="shared" si="40"/>
        <v>82.044163352707258</v>
      </c>
      <c r="S277" s="1">
        <f t="shared" si="41"/>
        <v>62.783088175122749</v>
      </c>
    </row>
    <row r="278" spans="1:19" x14ac:dyDescent="0.3">
      <c r="A278">
        <v>9264.6</v>
      </c>
      <c r="B278">
        <v>84.270629</v>
      </c>
      <c r="C278">
        <v>86.498056000000005</v>
      </c>
      <c r="D278">
        <v>88.694315000000003</v>
      </c>
      <c r="E278">
        <v>65.751081999999997</v>
      </c>
      <c r="F278">
        <v>39.747712</v>
      </c>
      <c r="G278">
        <v>19.940169000000001</v>
      </c>
      <c r="H278">
        <v>21.447396000000001</v>
      </c>
      <c r="I278"/>
      <c r="N278"/>
      <c r="O278"/>
      <c r="P278" s="1">
        <f t="shared" si="38"/>
        <v>78.022972560975617</v>
      </c>
      <c r="Q278" s="1">
        <f t="shared" si="39"/>
        <v>79.897116869918705</v>
      </c>
      <c r="R278" s="1">
        <f t="shared" si="40"/>
        <v>82.048517385540933</v>
      </c>
      <c r="S278" s="1">
        <f t="shared" si="41"/>
        <v>63.031903641571191</v>
      </c>
    </row>
    <row r="279" spans="1:19" x14ac:dyDescent="0.3">
      <c r="A279">
        <v>9264.7999999999993</v>
      </c>
      <c r="B279">
        <v>84.284246999999993</v>
      </c>
      <c r="C279">
        <v>86.508995999999996</v>
      </c>
      <c r="D279">
        <v>88.699346000000006</v>
      </c>
      <c r="E279">
        <v>65.644199999999998</v>
      </c>
      <c r="F279">
        <v>39.513661999999997</v>
      </c>
      <c r="G279">
        <v>19.952044999999998</v>
      </c>
      <c r="H279">
        <v>21.416843</v>
      </c>
      <c r="I279"/>
      <c r="N279"/>
      <c r="O279"/>
      <c r="P279" s="1">
        <f t="shared" si="38"/>
        <v>78.022972560975617</v>
      </c>
      <c r="Q279" s="1">
        <f t="shared" si="39"/>
        <v>79.897116869918705</v>
      </c>
      <c r="R279" s="1">
        <f t="shared" si="40"/>
        <v>82.048517385540933</v>
      </c>
      <c r="S279" s="1">
        <f t="shared" si="41"/>
        <v>63.031903641571191</v>
      </c>
    </row>
    <row r="280" spans="1:19" x14ac:dyDescent="0.3">
      <c r="A280">
        <v>9265</v>
      </c>
      <c r="B280">
        <v>84.284246999999993</v>
      </c>
      <c r="C280">
        <v>86.508995999999996</v>
      </c>
      <c r="D280">
        <v>88.699346000000006</v>
      </c>
      <c r="E280">
        <v>65.644199999999998</v>
      </c>
      <c r="F280">
        <v>39.513661999999997</v>
      </c>
      <c r="G280">
        <v>19.952044999999998</v>
      </c>
      <c r="H280">
        <v>21.416843</v>
      </c>
      <c r="I280" t="s">
        <v>56</v>
      </c>
      <c r="N280"/>
      <c r="O280"/>
      <c r="P280" s="1">
        <f t="shared" si="38"/>
        <v>77.990946138211385</v>
      </c>
      <c r="Q280" s="1">
        <f t="shared" si="39"/>
        <v>79.906355691056916</v>
      </c>
      <c r="R280" s="1">
        <f t="shared" si="40"/>
        <v>82.052235138166608</v>
      </c>
      <c r="S280" s="1">
        <f t="shared" si="41"/>
        <v>63.289246112929618</v>
      </c>
    </row>
    <row r="281" spans="1:19" x14ac:dyDescent="0.3">
      <c r="A281">
        <v>9265.2000000000007</v>
      </c>
      <c r="B281">
        <v>84.308672000000001</v>
      </c>
      <c r="C281">
        <v>86.483468999999999</v>
      </c>
      <c r="D281">
        <v>88.691287000000003</v>
      </c>
      <c r="E281">
        <v>65.802105999999995</v>
      </c>
      <c r="F281">
        <v>39.553561000000002</v>
      </c>
      <c r="G281">
        <v>19.949131999999999</v>
      </c>
      <c r="H281">
        <v>21.423886</v>
      </c>
      <c r="I281"/>
      <c r="N281"/>
      <c r="O281"/>
      <c r="P281" s="1">
        <f t="shared" si="38"/>
        <v>77.990946138211385</v>
      </c>
      <c r="Q281" s="1">
        <f t="shared" si="39"/>
        <v>79.906355691056916</v>
      </c>
      <c r="R281" s="1">
        <f t="shared" si="40"/>
        <v>82.052235138166608</v>
      </c>
      <c r="S281" s="1">
        <f t="shared" si="41"/>
        <v>63.289246112929618</v>
      </c>
    </row>
    <row r="282" spans="1:19" x14ac:dyDescent="0.3">
      <c r="A282">
        <v>9265.4</v>
      </c>
      <c r="B282">
        <v>84.308672000000001</v>
      </c>
      <c r="C282">
        <v>86.483468999999999</v>
      </c>
      <c r="D282">
        <v>88.691287000000003</v>
      </c>
      <c r="E282">
        <v>65.802105999999995</v>
      </c>
      <c r="F282">
        <v>39.553561000000002</v>
      </c>
      <c r="G282">
        <v>19.949131999999999</v>
      </c>
      <c r="H282">
        <v>21.423886</v>
      </c>
      <c r="I282"/>
      <c r="N282"/>
      <c r="O282"/>
      <c r="P282" s="1">
        <f t="shared" si="38"/>
        <v>78.020579268292678</v>
      </c>
      <c r="Q282" s="1">
        <f t="shared" si="39"/>
        <v>79.923887195121949</v>
      </c>
      <c r="R282" s="1">
        <f t="shared" si="40"/>
        <v>82.055978382787799</v>
      </c>
      <c r="S282" s="1">
        <f t="shared" si="41"/>
        <v>63.265431669394438</v>
      </c>
    </row>
    <row r="283" spans="1:19" x14ac:dyDescent="0.3">
      <c r="A283">
        <v>9265.6</v>
      </c>
      <c r="B283">
        <v>84.267244000000005</v>
      </c>
      <c r="C283">
        <v>86.496924000000007</v>
      </c>
      <c r="D283">
        <v>88.680576000000002</v>
      </c>
      <c r="E283">
        <v>65.948397</v>
      </c>
      <c r="F283">
        <v>39.833677000000002</v>
      </c>
      <c r="G283">
        <v>19.967082999999999</v>
      </c>
      <c r="H283">
        <v>21.430678</v>
      </c>
      <c r="I283"/>
      <c r="N283"/>
      <c r="O283"/>
      <c r="P283" s="1">
        <f t="shared" si="38"/>
        <v>78.020579268292678</v>
      </c>
      <c r="Q283" s="1">
        <f t="shared" si="39"/>
        <v>79.923887195121949</v>
      </c>
      <c r="R283" s="1">
        <f t="shared" si="40"/>
        <v>82.055978382787799</v>
      </c>
      <c r="S283" s="1">
        <f t="shared" si="41"/>
        <v>63.265431669394438</v>
      </c>
    </row>
    <row r="284" spans="1:19" x14ac:dyDescent="0.3">
      <c r="A284">
        <v>9265.7999999999993</v>
      </c>
      <c r="B284">
        <v>84.267244000000005</v>
      </c>
      <c r="C284">
        <v>86.496924000000007</v>
      </c>
      <c r="D284">
        <v>88.680576000000002</v>
      </c>
      <c r="E284">
        <v>65.948397</v>
      </c>
      <c r="F284">
        <v>39.833677000000002</v>
      </c>
      <c r="G284">
        <v>19.967082999999999</v>
      </c>
      <c r="H284">
        <v>21.430678</v>
      </c>
      <c r="I284"/>
      <c r="N284"/>
      <c r="O284"/>
      <c r="P284" s="1">
        <f t="shared" si="38"/>
        <v>78.01090447154472</v>
      </c>
      <c r="Q284" s="1">
        <f t="shared" si="39"/>
        <v>79.891451219512206</v>
      </c>
      <c r="R284" s="1">
        <f t="shared" si="40"/>
        <v>82.047446721729372</v>
      </c>
      <c r="S284" s="1">
        <f t="shared" si="41"/>
        <v>63.253665098199669</v>
      </c>
    </row>
    <row r="285" spans="1:19" x14ac:dyDescent="0.3">
      <c r="A285">
        <v>9266</v>
      </c>
      <c r="B285">
        <v>84.310502999999997</v>
      </c>
      <c r="C285">
        <v>86.515861999999998</v>
      </c>
      <c r="D285">
        <v>88.705727999999993</v>
      </c>
      <c r="E285">
        <v>65.951013000000003</v>
      </c>
      <c r="F285">
        <v>39.992508999999998</v>
      </c>
      <c r="G285">
        <v>19.961362999999999</v>
      </c>
      <c r="H285">
        <v>21.418804999999999</v>
      </c>
      <c r="I285" t="s">
        <v>56</v>
      </c>
      <c r="N285"/>
      <c r="O285"/>
      <c r="P285" s="1">
        <f t="shared" si="38"/>
        <v>78.01090447154472</v>
      </c>
      <c r="Q285" s="1">
        <f t="shared" si="39"/>
        <v>79.891451219512206</v>
      </c>
      <c r="R285" s="1">
        <f t="shared" si="40"/>
        <v>82.047446721729372</v>
      </c>
      <c r="S285" s="1">
        <f t="shared" si="41"/>
        <v>63.253665098199669</v>
      </c>
    </row>
    <row r="286" spans="1:19" x14ac:dyDescent="0.3">
      <c r="A286">
        <v>9266.2000000000007</v>
      </c>
      <c r="B286">
        <v>84.310502999999997</v>
      </c>
      <c r="C286">
        <v>86.515861999999998</v>
      </c>
      <c r="D286">
        <v>88.705727999999993</v>
      </c>
      <c r="E286">
        <v>65.951013000000003</v>
      </c>
      <c r="F286">
        <v>39.992508999999998</v>
      </c>
      <c r="G286">
        <v>19.961362999999999</v>
      </c>
      <c r="H286">
        <v>21.418804999999999</v>
      </c>
      <c r="I286"/>
      <c r="N286"/>
      <c r="O286"/>
      <c r="P286" s="1">
        <f t="shared" si="38"/>
        <v>78.032747967479679</v>
      </c>
      <c r="Q286" s="1">
        <f t="shared" si="39"/>
        <v>79.918400406504077</v>
      </c>
      <c r="R286" s="1">
        <f t="shared" si="40"/>
        <v>82.049128173753445</v>
      </c>
      <c r="S286" s="1">
        <f t="shared" si="41"/>
        <v>63.114759615384614</v>
      </c>
    </row>
    <row r="287" spans="1:19" x14ac:dyDescent="0.3">
      <c r="A287">
        <v>9266.4</v>
      </c>
      <c r="B287">
        <v>84.303681999999995</v>
      </c>
      <c r="C287">
        <v>86.505853000000002</v>
      </c>
      <c r="D287">
        <v>88.712885</v>
      </c>
      <c r="E287">
        <v>66.078316000000001</v>
      </c>
      <c r="F287">
        <v>39.642446999999997</v>
      </c>
      <c r="G287">
        <v>19.961863999999998</v>
      </c>
      <c r="H287">
        <v>21.440866</v>
      </c>
      <c r="I287"/>
      <c r="N287"/>
      <c r="O287"/>
      <c r="P287" s="1">
        <f t="shared" si="38"/>
        <v>78.032747967479679</v>
      </c>
      <c r="Q287" s="1">
        <f t="shared" si="39"/>
        <v>79.918400406504077</v>
      </c>
      <c r="R287" s="1">
        <f t="shared" si="40"/>
        <v>82.049128173753445</v>
      </c>
      <c r="S287" s="1">
        <f t="shared" si="41"/>
        <v>63.114759615384614</v>
      </c>
    </row>
    <row r="288" spans="1:19" x14ac:dyDescent="0.3">
      <c r="A288">
        <v>9266.6</v>
      </c>
      <c r="B288">
        <v>84.303681999999995</v>
      </c>
      <c r="C288">
        <v>86.505853000000002</v>
      </c>
      <c r="D288">
        <v>88.712885</v>
      </c>
      <c r="E288">
        <v>66.078316000000001</v>
      </c>
      <c r="F288">
        <v>39.642446999999997</v>
      </c>
      <c r="G288">
        <v>19.961863999999998</v>
      </c>
      <c r="H288">
        <v>21.440866</v>
      </c>
      <c r="I288"/>
      <c r="N288"/>
      <c r="O288"/>
      <c r="P288" s="1">
        <f t="shared" si="38"/>
        <v>78.018210365853662</v>
      </c>
      <c r="Q288" s="1">
        <f t="shared" si="39"/>
        <v>79.933226626016264</v>
      </c>
      <c r="R288" s="1">
        <f t="shared" si="40"/>
        <v>82.052463546446418</v>
      </c>
      <c r="S288" s="1">
        <f t="shared" si="41"/>
        <v>63.038846153846151</v>
      </c>
    </row>
    <row r="289" spans="1:19" x14ac:dyDescent="0.3">
      <c r="A289">
        <v>9266.7999999999993</v>
      </c>
      <c r="B289">
        <v>84.320609000000005</v>
      </c>
      <c r="C289">
        <v>86.548406</v>
      </c>
      <c r="D289">
        <v>88.719192000000007</v>
      </c>
      <c r="E289">
        <v>65.871365999999995</v>
      </c>
      <c r="F289">
        <v>39.970578000000003</v>
      </c>
      <c r="G289">
        <v>19.932603</v>
      </c>
      <c r="H289">
        <v>21.426333</v>
      </c>
      <c r="I289"/>
      <c r="N289"/>
      <c r="O289"/>
      <c r="P289" s="1">
        <f t="shared" si="38"/>
        <v>78.018210365853662</v>
      </c>
      <c r="Q289" s="1">
        <f t="shared" si="39"/>
        <v>79.933226626016264</v>
      </c>
      <c r="R289" s="1">
        <f t="shared" si="40"/>
        <v>82.052463546446418</v>
      </c>
      <c r="S289" s="1">
        <f t="shared" si="41"/>
        <v>63.038846153846151</v>
      </c>
    </row>
    <row r="290" spans="1:19" x14ac:dyDescent="0.3">
      <c r="A290">
        <v>9267</v>
      </c>
      <c r="B290">
        <v>84.320609000000005</v>
      </c>
      <c r="C290">
        <v>86.548406</v>
      </c>
      <c r="D290">
        <v>88.719192000000007</v>
      </c>
      <c r="E290">
        <v>65.871365999999995</v>
      </c>
      <c r="F290">
        <v>39.970578000000003</v>
      </c>
      <c r="G290">
        <v>19.932603</v>
      </c>
      <c r="H290">
        <v>21.426333</v>
      </c>
      <c r="I290" t="s">
        <v>56</v>
      </c>
      <c r="N290"/>
      <c r="O290"/>
      <c r="P290" s="1">
        <f t="shared" si="38"/>
        <v>78.017739837398381</v>
      </c>
      <c r="Q290" s="1">
        <f t="shared" si="39"/>
        <v>79.920352642276427</v>
      </c>
      <c r="R290" s="1">
        <f t="shared" si="40"/>
        <v>82.045116753339457</v>
      </c>
      <c r="S290" s="1">
        <f t="shared" si="41"/>
        <v>63.017927577741411</v>
      </c>
    </row>
    <row r="291" spans="1:19" x14ac:dyDescent="0.3">
      <c r="A291">
        <v>9267.2000000000007</v>
      </c>
      <c r="B291">
        <v>84.324522000000002</v>
      </c>
      <c r="C291">
        <v>86.521772999999996</v>
      </c>
      <c r="D291">
        <v>88.728502000000006</v>
      </c>
      <c r="E291">
        <v>65.732197999999997</v>
      </c>
      <c r="F291">
        <v>40.498510000000003</v>
      </c>
      <c r="G291">
        <v>19.948868000000001</v>
      </c>
      <c r="H291">
        <v>21.427886999999998</v>
      </c>
      <c r="I291"/>
      <c r="N291"/>
      <c r="O291"/>
      <c r="P291" s="1">
        <f t="shared" si="38"/>
        <v>78.017739837398381</v>
      </c>
      <c r="Q291" s="1">
        <f t="shared" si="39"/>
        <v>79.920352642276427</v>
      </c>
      <c r="R291" s="1">
        <f t="shared" si="40"/>
        <v>82.045116753339457</v>
      </c>
      <c r="S291" s="1">
        <f t="shared" si="41"/>
        <v>63.017927577741411</v>
      </c>
    </row>
    <row r="292" spans="1:19" x14ac:dyDescent="0.3">
      <c r="A292">
        <v>9267.4</v>
      </c>
      <c r="B292">
        <v>84.324522000000002</v>
      </c>
      <c r="C292">
        <v>86.521772999999996</v>
      </c>
      <c r="D292">
        <v>88.728502000000006</v>
      </c>
      <c r="E292">
        <v>65.732197999999997</v>
      </c>
      <c r="F292">
        <v>40.498510000000003</v>
      </c>
      <c r="G292">
        <v>19.948868000000001</v>
      </c>
      <c r="H292">
        <v>21.427886999999998</v>
      </c>
      <c r="I292"/>
      <c r="N292"/>
      <c r="O292"/>
      <c r="P292" s="1">
        <f t="shared" si="38"/>
        <v>78.004387195121964</v>
      </c>
      <c r="Q292" s="1">
        <f t="shared" si="39"/>
        <v>79.896861788617898</v>
      </c>
      <c r="R292" s="1">
        <f t="shared" si="40"/>
        <v>82.052845926379106</v>
      </c>
      <c r="S292" s="1">
        <f t="shared" si="41"/>
        <v>63.15432385433715</v>
      </c>
    </row>
    <row r="293" spans="1:19" x14ac:dyDescent="0.3">
      <c r="A293">
        <v>9267.6</v>
      </c>
      <c r="B293">
        <v>84.311982999999998</v>
      </c>
      <c r="C293">
        <v>86.531153000000003</v>
      </c>
      <c r="D293">
        <v>88.725673</v>
      </c>
      <c r="E293">
        <v>65.713014000000001</v>
      </c>
      <c r="F293">
        <v>40.488039000000001</v>
      </c>
      <c r="G293">
        <v>19.951226999999999</v>
      </c>
      <c r="H293">
        <v>21.457255</v>
      </c>
      <c r="I293"/>
      <c r="N293"/>
      <c r="O293"/>
      <c r="P293" s="1">
        <f t="shared" si="38"/>
        <v>86.42722459349595</v>
      </c>
      <c r="Q293" s="1">
        <f t="shared" si="39"/>
        <v>88.711075203252037</v>
      </c>
      <c r="R293" s="1">
        <f t="shared" si="40"/>
        <v>91.249411644743546</v>
      </c>
      <c r="S293" s="1">
        <f t="shared" si="41"/>
        <v>68.372245294599011</v>
      </c>
    </row>
    <row r="294" spans="1:19" x14ac:dyDescent="0.3">
      <c r="A294">
        <v>9267.7999999999993</v>
      </c>
      <c r="B294">
        <v>84.311982999999998</v>
      </c>
      <c r="C294">
        <v>86.531153000000003</v>
      </c>
      <c r="D294">
        <v>88.725673</v>
      </c>
      <c r="E294">
        <v>65.713014000000001</v>
      </c>
      <c r="F294">
        <v>40.488039000000001</v>
      </c>
      <c r="G294">
        <v>19.951226999999999</v>
      </c>
      <c r="H294">
        <v>21.457255</v>
      </c>
      <c r="I294"/>
      <c r="N294"/>
      <c r="O294"/>
      <c r="P294" s="1">
        <f t="shared" si="38"/>
        <v>86.42722459349595</v>
      </c>
      <c r="Q294" s="1">
        <f t="shared" si="39"/>
        <v>88.711075203252037</v>
      </c>
      <c r="R294" s="1">
        <f t="shared" si="40"/>
        <v>91.249411644743546</v>
      </c>
      <c r="S294" s="1">
        <f t="shared" si="41"/>
        <v>68.372245294599011</v>
      </c>
    </row>
    <row r="295" spans="1:19" x14ac:dyDescent="0.3">
      <c r="A295">
        <v>9268</v>
      </c>
      <c r="B295">
        <v>84.307255999999995</v>
      </c>
      <c r="C295">
        <v>86.533428999999998</v>
      </c>
      <c r="D295">
        <v>88.715325000000007</v>
      </c>
      <c r="E295">
        <v>65.867740999999995</v>
      </c>
      <c r="F295">
        <v>41.167157000000003</v>
      </c>
      <c r="G295">
        <v>19.932694999999999</v>
      </c>
      <c r="H295">
        <v>21.432112</v>
      </c>
      <c r="I295" t="s">
        <v>56</v>
      </c>
      <c r="N295"/>
      <c r="O295"/>
      <c r="P295" s="1">
        <f t="shared" si="38"/>
        <v>86.440171747967483</v>
      </c>
      <c r="Q295" s="1">
        <f t="shared" si="39"/>
        <v>88.70381707317074</v>
      </c>
      <c r="R295" s="1">
        <f t="shared" si="40"/>
        <v>91.266049760375239</v>
      </c>
      <c r="S295" s="1">
        <f t="shared" si="41"/>
        <v>68.20262070376431</v>
      </c>
    </row>
    <row r="296" spans="1:19" x14ac:dyDescent="0.3">
      <c r="A296">
        <v>9268.2000000000007</v>
      </c>
      <c r="B296">
        <v>84.307255999999995</v>
      </c>
      <c r="C296">
        <v>86.533428999999998</v>
      </c>
      <c r="D296">
        <v>88.715325000000007</v>
      </c>
      <c r="E296">
        <v>65.867740999999995</v>
      </c>
      <c r="F296">
        <v>41.167157000000003</v>
      </c>
      <c r="G296">
        <v>19.932694999999999</v>
      </c>
      <c r="H296">
        <v>21.432112</v>
      </c>
      <c r="I296"/>
      <c r="N296"/>
      <c r="O296"/>
      <c r="P296" s="1">
        <f t="shared" si="38"/>
        <v>86.440171747967483</v>
      </c>
      <c r="Q296" s="1">
        <f t="shared" si="39"/>
        <v>88.70381707317074</v>
      </c>
      <c r="R296" s="1">
        <f t="shared" si="40"/>
        <v>91.266049760375239</v>
      </c>
      <c r="S296" s="1">
        <f t="shared" si="41"/>
        <v>68.20262070376431</v>
      </c>
    </row>
    <row r="297" spans="1:19" x14ac:dyDescent="0.3">
      <c r="A297">
        <v>9268.4</v>
      </c>
      <c r="B297">
        <v>84.299030000000002</v>
      </c>
      <c r="C297">
        <v>86.536951000000002</v>
      </c>
      <c r="D297">
        <v>88.702387000000002</v>
      </c>
      <c r="E297">
        <v>65.787369999999996</v>
      </c>
      <c r="F297">
        <v>41.370888999999998</v>
      </c>
      <c r="G297">
        <v>19.953968</v>
      </c>
      <c r="H297">
        <v>21.420659000000001</v>
      </c>
      <c r="I297"/>
      <c r="N297"/>
      <c r="O297"/>
      <c r="P297" s="1">
        <f t="shared" si="38"/>
        <v>86.454011178861791</v>
      </c>
      <c r="Q297" s="1">
        <f t="shared" si="39"/>
        <v>88.714934959349591</v>
      </c>
      <c r="R297" s="1">
        <f t="shared" si="40"/>
        <v>91.271179769552361</v>
      </c>
      <c r="S297" s="1">
        <f t="shared" si="41"/>
        <v>68.093289689034364</v>
      </c>
    </row>
    <row r="298" spans="1:19" x14ac:dyDescent="0.3">
      <c r="A298">
        <v>9268.6</v>
      </c>
      <c r="B298">
        <v>84.299030000000002</v>
      </c>
      <c r="C298">
        <v>86.536951000000002</v>
      </c>
      <c r="D298">
        <v>88.702387000000002</v>
      </c>
      <c r="E298">
        <v>65.787369999999996</v>
      </c>
      <c r="F298">
        <v>41.370888999999998</v>
      </c>
      <c r="G298">
        <v>19.953968</v>
      </c>
      <c r="H298">
        <v>21.420659000000001</v>
      </c>
      <c r="I298"/>
      <c r="N298"/>
      <c r="O298"/>
      <c r="P298" s="1">
        <f t="shared" si="38"/>
        <v>86.454011178861791</v>
      </c>
      <c r="Q298" s="1">
        <f t="shared" si="39"/>
        <v>88.714934959349591</v>
      </c>
      <c r="R298" s="1">
        <f t="shared" si="40"/>
        <v>91.271179769552361</v>
      </c>
      <c r="S298" s="1">
        <f t="shared" si="41"/>
        <v>68.093289689034364</v>
      </c>
    </row>
    <row r="299" spans="1:19" x14ac:dyDescent="0.3">
      <c r="A299">
        <v>9268.7999999999993</v>
      </c>
      <c r="B299">
        <v>84.299593999999999</v>
      </c>
      <c r="C299">
        <v>86.540458999999998</v>
      </c>
      <c r="D299">
        <v>88.717140000000001</v>
      </c>
      <c r="E299">
        <v>65.740171000000004</v>
      </c>
      <c r="F299">
        <v>41.803815999999998</v>
      </c>
      <c r="G299">
        <v>19.952071</v>
      </c>
      <c r="H299">
        <v>21.441984999999999</v>
      </c>
      <c r="I299"/>
      <c r="N299"/>
      <c r="O299"/>
      <c r="P299" s="1">
        <f t="shared" si="38"/>
        <v>86.478833333333341</v>
      </c>
      <c r="Q299" s="1">
        <f t="shared" si="39"/>
        <v>88.688992886178866</v>
      </c>
      <c r="R299" s="1">
        <f t="shared" si="40"/>
        <v>91.262962169878662</v>
      </c>
      <c r="S299" s="1">
        <f t="shared" si="41"/>
        <v>68.254813829787224</v>
      </c>
    </row>
    <row r="300" spans="1:19" x14ac:dyDescent="0.3">
      <c r="A300">
        <v>9269</v>
      </c>
      <c r="B300">
        <v>84.299593999999999</v>
      </c>
      <c r="C300">
        <v>86.540458999999998</v>
      </c>
      <c r="D300">
        <v>88.717140000000001</v>
      </c>
      <c r="E300">
        <v>65.740171000000004</v>
      </c>
      <c r="F300">
        <v>41.803815999999998</v>
      </c>
      <c r="G300">
        <v>19.952071</v>
      </c>
      <c r="H300">
        <v>21.441984999999999</v>
      </c>
      <c r="I300" t="s">
        <v>56</v>
      </c>
      <c r="N300"/>
      <c r="O300"/>
      <c r="P300" s="1">
        <f t="shared" ref="P300:P363" si="42">(B282+Q$36)/P$36</f>
        <v>86.478833333333341</v>
      </c>
      <c r="Q300" s="1">
        <f t="shared" ref="Q300:Q363" si="43">(C282+Q$36)/P$36</f>
        <v>88.688992886178866</v>
      </c>
      <c r="R300" s="1">
        <f t="shared" ref="R300:R363" si="44">(D282+Q$38)/P$38</f>
        <v>91.262962169878662</v>
      </c>
      <c r="S300" s="1">
        <f t="shared" ref="S300:S363" si="45">(E282+Q$39)/P$39</f>
        <v>68.254813829787224</v>
      </c>
    </row>
    <row r="301" spans="1:19" x14ac:dyDescent="0.3">
      <c r="A301">
        <v>9269.2000000000007</v>
      </c>
      <c r="B301">
        <v>84.294816999999995</v>
      </c>
      <c r="C301">
        <v>86.521407999999994</v>
      </c>
      <c r="D301">
        <v>88.702686999999997</v>
      </c>
      <c r="E301">
        <v>65.751569000000003</v>
      </c>
      <c r="F301">
        <v>40.833691999999999</v>
      </c>
      <c r="G301">
        <v>19.958673999999998</v>
      </c>
      <c r="H301">
        <v>21.44313</v>
      </c>
      <c r="I301"/>
      <c r="N301"/>
      <c r="O301"/>
      <c r="P301" s="1">
        <f t="shared" si="42"/>
        <v>86.43673170731708</v>
      </c>
      <c r="Q301" s="1">
        <f t="shared" si="43"/>
        <v>88.702666666666673</v>
      </c>
      <c r="R301" s="1">
        <f t="shared" si="44"/>
        <v>91.252040379320889</v>
      </c>
      <c r="S301" s="1">
        <f t="shared" si="45"/>
        <v>68.40445683306055</v>
      </c>
    </row>
    <row r="302" spans="1:19" x14ac:dyDescent="0.3">
      <c r="A302">
        <v>9269.4</v>
      </c>
      <c r="B302">
        <v>84.294816999999995</v>
      </c>
      <c r="C302">
        <v>86.521407999999994</v>
      </c>
      <c r="D302">
        <v>88.702686999999997</v>
      </c>
      <c r="E302">
        <v>65.751569000000003</v>
      </c>
      <c r="F302">
        <v>40.833691999999999</v>
      </c>
      <c r="G302">
        <v>19.958673999999998</v>
      </c>
      <c r="H302">
        <v>21.44313</v>
      </c>
      <c r="I302"/>
      <c r="N302"/>
      <c r="O302"/>
      <c r="P302" s="1">
        <f t="shared" si="42"/>
        <v>86.43673170731708</v>
      </c>
      <c r="Q302" s="1">
        <f t="shared" si="43"/>
        <v>88.702666666666673</v>
      </c>
      <c r="R302" s="1">
        <f t="shared" si="44"/>
        <v>91.252040379320889</v>
      </c>
      <c r="S302" s="1">
        <f t="shared" si="45"/>
        <v>68.40445683306055</v>
      </c>
    </row>
    <row r="303" spans="1:19" x14ac:dyDescent="0.3">
      <c r="A303">
        <v>9269.6</v>
      </c>
      <c r="B303">
        <v>84.280597999999998</v>
      </c>
      <c r="C303">
        <v>86.501489000000007</v>
      </c>
      <c r="D303">
        <v>88.722283000000004</v>
      </c>
      <c r="E303">
        <v>65.767041000000006</v>
      </c>
      <c r="F303">
        <v>39.569803</v>
      </c>
      <c r="G303">
        <v>19.957501000000001</v>
      </c>
      <c r="H303">
        <v>21.456412</v>
      </c>
      <c r="I303"/>
      <c r="N303"/>
      <c r="O303"/>
      <c r="P303" s="1">
        <f t="shared" si="42"/>
        <v>86.480694105691057</v>
      </c>
      <c r="Q303" s="1">
        <f t="shared" si="43"/>
        <v>88.721912601626016</v>
      </c>
      <c r="R303" s="1">
        <f t="shared" si="44"/>
        <v>91.277687366167015</v>
      </c>
      <c r="S303" s="1">
        <f t="shared" si="45"/>
        <v>68.407132774140749</v>
      </c>
    </row>
    <row r="304" spans="1:19" x14ac:dyDescent="0.3">
      <c r="A304">
        <v>9269.7999999999993</v>
      </c>
      <c r="B304">
        <v>84.280597999999998</v>
      </c>
      <c r="C304">
        <v>86.501489000000007</v>
      </c>
      <c r="D304">
        <v>88.722283000000004</v>
      </c>
      <c r="E304">
        <v>65.767041000000006</v>
      </c>
      <c r="F304">
        <v>39.569803</v>
      </c>
      <c r="G304">
        <v>19.957501000000001</v>
      </c>
      <c r="H304">
        <v>21.456412</v>
      </c>
      <c r="I304"/>
      <c r="N304"/>
      <c r="O304"/>
      <c r="P304" s="1">
        <f t="shared" si="42"/>
        <v>86.480694105691057</v>
      </c>
      <c r="Q304" s="1">
        <f t="shared" si="43"/>
        <v>88.721912601626016</v>
      </c>
      <c r="R304" s="1">
        <f t="shared" si="44"/>
        <v>91.277687366167015</v>
      </c>
      <c r="S304" s="1">
        <f t="shared" si="45"/>
        <v>68.407132774140749</v>
      </c>
    </row>
    <row r="305" spans="1:19" x14ac:dyDescent="0.3">
      <c r="A305">
        <v>9270</v>
      </c>
      <c r="B305">
        <v>84.280485999999996</v>
      </c>
      <c r="C305">
        <v>86.517899999999997</v>
      </c>
      <c r="D305">
        <v>88.723972000000003</v>
      </c>
      <c r="E305">
        <v>65.692485000000005</v>
      </c>
      <c r="F305">
        <v>38.301215999999997</v>
      </c>
      <c r="G305">
        <v>19.943279</v>
      </c>
      <c r="H305">
        <v>21.477039000000001</v>
      </c>
      <c r="I305" t="s">
        <v>56</v>
      </c>
      <c r="N305"/>
      <c r="O305"/>
      <c r="P305" s="1">
        <f t="shared" si="42"/>
        <v>86.47376219512195</v>
      </c>
      <c r="Q305" s="1">
        <f t="shared" si="43"/>
        <v>88.71174085365854</v>
      </c>
      <c r="R305" s="1">
        <f t="shared" si="44"/>
        <v>91.284985214642603</v>
      </c>
      <c r="S305" s="1">
        <f t="shared" si="45"/>
        <v>68.537352700490999</v>
      </c>
    </row>
    <row r="306" spans="1:19" x14ac:dyDescent="0.3">
      <c r="A306">
        <v>9270.2000000000007</v>
      </c>
      <c r="B306">
        <v>84.280485999999996</v>
      </c>
      <c r="C306">
        <v>86.517899999999997</v>
      </c>
      <c r="D306">
        <v>88.723972000000003</v>
      </c>
      <c r="E306">
        <v>65.692485000000005</v>
      </c>
      <c r="F306">
        <v>38.301215999999997</v>
      </c>
      <c r="G306">
        <v>19.943279</v>
      </c>
      <c r="H306">
        <v>21.477039000000001</v>
      </c>
      <c r="I306"/>
      <c r="N306"/>
      <c r="O306"/>
      <c r="P306" s="1">
        <f t="shared" si="42"/>
        <v>86.47376219512195</v>
      </c>
      <c r="Q306" s="1">
        <f t="shared" si="43"/>
        <v>88.71174085365854</v>
      </c>
      <c r="R306" s="1">
        <f t="shared" si="44"/>
        <v>91.284985214642603</v>
      </c>
      <c r="S306" s="1">
        <f t="shared" si="45"/>
        <v>68.537352700490999</v>
      </c>
    </row>
    <row r="307" spans="1:19" x14ac:dyDescent="0.3">
      <c r="A307">
        <v>9270.4</v>
      </c>
      <c r="B307">
        <v>84.288560000000004</v>
      </c>
      <c r="C307">
        <v>86.512642999999997</v>
      </c>
      <c r="D307">
        <v>88.696894</v>
      </c>
      <c r="E307">
        <v>65.689744000000005</v>
      </c>
      <c r="F307">
        <v>37.493153999999997</v>
      </c>
      <c r="G307">
        <v>19.944939000000002</v>
      </c>
      <c r="H307">
        <v>21.475854000000002</v>
      </c>
      <c r="I307"/>
      <c r="N307"/>
      <c r="O307"/>
      <c r="P307" s="1">
        <f t="shared" si="42"/>
        <v>86.490964430894323</v>
      </c>
      <c r="Q307" s="1">
        <f t="shared" si="43"/>
        <v>88.754985772357728</v>
      </c>
      <c r="R307" s="1">
        <f t="shared" si="44"/>
        <v>91.291416335270725</v>
      </c>
      <c r="S307" s="1">
        <f t="shared" si="45"/>
        <v>68.325660801963991</v>
      </c>
    </row>
    <row r="308" spans="1:19" x14ac:dyDescent="0.3">
      <c r="A308">
        <v>9270.6</v>
      </c>
      <c r="B308">
        <v>84.288560000000004</v>
      </c>
      <c r="C308">
        <v>86.512642999999997</v>
      </c>
      <c r="D308">
        <v>88.696894</v>
      </c>
      <c r="E308">
        <v>65.689744000000005</v>
      </c>
      <c r="F308">
        <v>37.493153999999997</v>
      </c>
      <c r="G308">
        <v>19.944939000000002</v>
      </c>
      <c r="H308">
        <v>21.475854000000002</v>
      </c>
      <c r="I308"/>
      <c r="N308"/>
      <c r="O308"/>
      <c r="P308" s="1">
        <f t="shared" si="42"/>
        <v>86.490964430894323</v>
      </c>
      <c r="Q308" s="1">
        <f t="shared" si="43"/>
        <v>88.754985772357728</v>
      </c>
      <c r="R308" s="1">
        <f t="shared" si="44"/>
        <v>91.291416335270725</v>
      </c>
      <c r="S308" s="1">
        <f t="shared" si="45"/>
        <v>68.325660801963991</v>
      </c>
    </row>
    <row r="309" spans="1:19" x14ac:dyDescent="0.3">
      <c r="A309">
        <v>9270.7999999999993</v>
      </c>
      <c r="B309">
        <v>84.2851</v>
      </c>
      <c r="C309">
        <v>86.503061000000002</v>
      </c>
      <c r="D309">
        <v>88.687584000000001</v>
      </c>
      <c r="E309">
        <v>66.059855999999996</v>
      </c>
      <c r="F309">
        <v>37.557496</v>
      </c>
      <c r="G309">
        <v>19.961072000000001</v>
      </c>
      <c r="H309">
        <v>21.465665999999999</v>
      </c>
      <c r="I309"/>
      <c r="N309"/>
      <c r="O309"/>
      <c r="P309" s="1">
        <f t="shared" si="42"/>
        <v>86.494941056910577</v>
      </c>
      <c r="Q309" s="1">
        <f t="shared" si="43"/>
        <v>88.727919715447158</v>
      </c>
      <c r="R309" s="1">
        <f t="shared" si="44"/>
        <v>91.300909554399922</v>
      </c>
      <c r="S309" s="1">
        <f t="shared" si="45"/>
        <v>68.183304009819963</v>
      </c>
    </row>
    <row r="310" spans="1:19" x14ac:dyDescent="0.3">
      <c r="A310">
        <v>9271</v>
      </c>
      <c r="B310">
        <v>84.2851</v>
      </c>
      <c r="C310">
        <v>86.503061000000002</v>
      </c>
      <c r="D310">
        <v>88.687584000000001</v>
      </c>
      <c r="E310">
        <v>66.059855999999996</v>
      </c>
      <c r="F310">
        <v>37.557496</v>
      </c>
      <c r="G310">
        <v>19.961072000000001</v>
      </c>
      <c r="H310">
        <v>21.465665999999999</v>
      </c>
      <c r="I310" t="s">
        <v>56</v>
      </c>
      <c r="N310"/>
      <c r="O310"/>
      <c r="P310" s="1">
        <f t="shared" si="42"/>
        <v>86.494941056910577</v>
      </c>
      <c r="Q310" s="1">
        <f t="shared" si="43"/>
        <v>88.727919715447158</v>
      </c>
      <c r="R310" s="1">
        <f t="shared" si="44"/>
        <v>91.300909554399922</v>
      </c>
      <c r="S310" s="1">
        <f t="shared" si="45"/>
        <v>68.183304009819963</v>
      </c>
    </row>
    <row r="311" spans="1:19" x14ac:dyDescent="0.3">
      <c r="A311">
        <v>9271.2000000000007</v>
      </c>
      <c r="B311">
        <v>84.298591000000002</v>
      </c>
      <c r="C311">
        <v>86.551222999999993</v>
      </c>
      <c r="D311">
        <v>88.708481000000006</v>
      </c>
      <c r="E311">
        <v>66.231547000000006</v>
      </c>
      <c r="F311">
        <v>37.846578999999998</v>
      </c>
      <c r="G311">
        <v>19.960425999999998</v>
      </c>
      <c r="H311">
        <v>21.467627</v>
      </c>
      <c r="I311"/>
      <c r="N311"/>
      <c r="O311"/>
      <c r="P311" s="1">
        <f t="shared" si="42"/>
        <v>86.482198170731706</v>
      </c>
      <c r="Q311" s="1">
        <f t="shared" si="43"/>
        <v>88.737452235772366</v>
      </c>
      <c r="R311" s="1">
        <f t="shared" si="44"/>
        <v>91.298024880187612</v>
      </c>
      <c r="S311" s="1">
        <f t="shared" si="45"/>
        <v>68.163680441898521</v>
      </c>
    </row>
    <row r="312" spans="1:19" x14ac:dyDescent="0.3">
      <c r="A312">
        <v>9271.4</v>
      </c>
      <c r="B312">
        <v>84.298591000000002</v>
      </c>
      <c r="C312">
        <v>86.551222999999993</v>
      </c>
      <c r="D312">
        <v>88.708481000000006</v>
      </c>
      <c r="E312">
        <v>66.231547000000006</v>
      </c>
      <c r="F312">
        <v>37.846578999999998</v>
      </c>
      <c r="G312">
        <v>19.960425999999998</v>
      </c>
      <c r="H312">
        <v>21.467627</v>
      </c>
      <c r="I312"/>
      <c r="N312"/>
      <c r="O312"/>
      <c r="P312" s="1">
        <f t="shared" si="42"/>
        <v>86.482198170731706</v>
      </c>
      <c r="Q312" s="1">
        <f t="shared" si="43"/>
        <v>88.737452235772366</v>
      </c>
      <c r="R312" s="1">
        <f t="shared" si="44"/>
        <v>91.298024880187612</v>
      </c>
      <c r="S312" s="1">
        <f t="shared" si="45"/>
        <v>68.163680441898521</v>
      </c>
    </row>
    <row r="313" spans="1:19" x14ac:dyDescent="0.3">
      <c r="A313">
        <v>9271.6</v>
      </c>
      <c r="B313">
        <v>84.317852000000002</v>
      </c>
      <c r="C313">
        <v>86.535228000000004</v>
      </c>
      <c r="D313">
        <v>88.724998999999997</v>
      </c>
      <c r="E313">
        <v>65.988134000000002</v>
      </c>
      <c r="F313">
        <v>37.812576999999997</v>
      </c>
      <c r="G313">
        <v>19.953849000000002</v>
      </c>
      <c r="H313">
        <v>21.441628999999999</v>
      </c>
      <c r="I313"/>
      <c r="N313"/>
      <c r="O313"/>
      <c r="P313" s="1">
        <f t="shared" si="42"/>
        <v>86.47739430894309</v>
      </c>
      <c r="Q313" s="1">
        <f t="shared" si="43"/>
        <v>88.73976524390244</v>
      </c>
      <c r="R313" s="1">
        <f t="shared" si="44"/>
        <v>91.287473233404711</v>
      </c>
      <c r="S313" s="1">
        <f t="shared" si="45"/>
        <v>68.321952741407529</v>
      </c>
    </row>
    <row r="314" spans="1:19" x14ac:dyDescent="0.3">
      <c r="A314">
        <v>9271.7999999999993</v>
      </c>
      <c r="B314">
        <v>84.317852000000002</v>
      </c>
      <c r="C314">
        <v>86.535228000000004</v>
      </c>
      <c r="D314">
        <v>88.724998999999997</v>
      </c>
      <c r="E314">
        <v>65.988134000000002</v>
      </c>
      <c r="F314">
        <v>37.812576999999997</v>
      </c>
      <c r="G314">
        <v>19.953849000000002</v>
      </c>
      <c r="H314">
        <v>21.441628999999999</v>
      </c>
      <c r="I314"/>
      <c r="N314"/>
      <c r="O314"/>
      <c r="P314" s="1">
        <f t="shared" si="42"/>
        <v>86.47739430894309</v>
      </c>
      <c r="Q314" s="1">
        <f t="shared" si="43"/>
        <v>88.73976524390244</v>
      </c>
      <c r="R314" s="1">
        <f t="shared" si="44"/>
        <v>91.287473233404711</v>
      </c>
      <c r="S314" s="1">
        <f t="shared" si="45"/>
        <v>68.321952741407529</v>
      </c>
    </row>
    <row r="315" spans="1:19" x14ac:dyDescent="0.3">
      <c r="A315">
        <v>9272</v>
      </c>
      <c r="B315">
        <v>84.343708000000007</v>
      </c>
      <c r="C315">
        <v>86.546218999999994</v>
      </c>
      <c r="D315">
        <v>88.722195999999997</v>
      </c>
      <c r="E315">
        <v>65.924132999999998</v>
      </c>
      <c r="F315">
        <v>38.451419999999999</v>
      </c>
      <c r="G315">
        <v>19.961731</v>
      </c>
      <c r="H315">
        <v>21.434099</v>
      </c>
      <c r="I315" t="s">
        <v>56</v>
      </c>
      <c r="N315"/>
      <c r="O315"/>
      <c r="P315" s="1">
        <f t="shared" si="42"/>
        <v>86.469034552845542</v>
      </c>
      <c r="Q315" s="1">
        <f t="shared" si="43"/>
        <v>88.743344512195122</v>
      </c>
      <c r="R315" s="1">
        <f t="shared" si="44"/>
        <v>91.27428061588661</v>
      </c>
      <c r="S315" s="1">
        <f t="shared" si="45"/>
        <v>68.239740180032726</v>
      </c>
    </row>
    <row r="316" spans="1:19" x14ac:dyDescent="0.3">
      <c r="A316">
        <v>9272.2000000000007</v>
      </c>
      <c r="B316">
        <v>84.343708000000007</v>
      </c>
      <c r="C316">
        <v>86.546218999999994</v>
      </c>
      <c r="D316">
        <v>88.722195999999997</v>
      </c>
      <c r="E316">
        <v>65.924132999999998</v>
      </c>
      <c r="F316">
        <v>38.451419999999999</v>
      </c>
      <c r="G316">
        <v>19.961731</v>
      </c>
      <c r="H316">
        <v>21.434099</v>
      </c>
      <c r="I316"/>
      <c r="N316"/>
      <c r="O316"/>
      <c r="P316" s="1">
        <f t="shared" si="42"/>
        <v>86.469034552845542</v>
      </c>
      <c r="Q316" s="1">
        <f t="shared" si="43"/>
        <v>88.743344512195122</v>
      </c>
      <c r="R316" s="1">
        <f t="shared" si="44"/>
        <v>91.27428061588661</v>
      </c>
      <c r="S316" s="1">
        <f t="shared" si="45"/>
        <v>68.239740180032726</v>
      </c>
    </row>
    <row r="317" spans="1:19" x14ac:dyDescent="0.3">
      <c r="A317">
        <v>9272.4</v>
      </c>
      <c r="B317">
        <v>84.318039999999996</v>
      </c>
      <c r="C317">
        <v>86.553072</v>
      </c>
      <c r="D317">
        <v>88.724509999999995</v>
      </c>
      <c r="E317">
        <v>65.893700999999993</v>
      </c>
      <c r="F317">
        <v>38.993735000000001</v>
      </c>
      <c r="G317">
        <v>19.967925999999999</v>
      </c>
      <c r="H317">
        <v>21.438628000000001</v>
      </c>
      <c r="I317"/>
      <c r="N317"/>
      <c r="O317"/>
      <c r="P317" s="1">
        <f t="shared" si="42"/>
        <v>86.469607723577241</v>
      </c>
      <c r="Q317" s="1">
        <f t="shared" si="43"/>
        <v>88.746909552845537</v>
      </c>
      <c r="R317" s="1">
        <f t="shared" si="44"/>
        <v>91.289323952278977</v>
      </c>
      <c r="S317" s="1">
        <f t="shared" si="45"/>
        <v>68.191459697217681</v>
      </c>
    </row>
    <row r="318" spans="1:19" x14ac:dyDescent="0.3">
      <c r="A318">
        <v>9272.6</v>
      </c>
      <c r="B318">
        <v>84.318039999999996</v>
      </c>
      <c r="C318">
        <v>86.553072</v>
      </c>
      <c r="D318">
        <v>88.724509999999995</v>
      </c>
      <c r="E318">
        <v>65.893700999999993</v>
      </c>
      <c r="F318">
        <v>38.993735000000001</v>
      </c>
      <c r="G318">
        <v>19.967925999999999</v>
      </c>
      <c r="H318">
        <v>21.438628000000001</v>
      </c>
      <c r="I318"/>
      <c r="N318"/>
      <c r="O318"/>
      <c r="P318" s="1">
        <f t="shared" si="42"/>
        <v>86.469607723577241</v>
      </c>
      <c r="Q318" s="1">
        <f t="shared" si="43"/>
        <v>88.746909552845537</v>
      </c>
      <c r="R318" s="1">
        <f t="shared" si="44"/>
        <v>91.289323952278977</v>
      </c>
      <c r="S318" s="1">
        <f t="shared" si="45"/>
        <v>68.191459697217681</v>
      </c>
    </row>
    <row r="319" spans="1:19" x14ac:dyDescent="0.3">
      <c r="A319">
        <v>9272.7999999999993</v>
      </c>
      <c r="B319">
        <v>84.356322000000006</v>
      </c>
      <c r="C319">
        <v>86.562038999999999</v>
      </c>
      <c r="D319">
        <v>88.715187999999998</v>
      </c>
      <c r="E319">
        <v>65.991596999999999</v>
      </c>
      <c r="F319">
        <v>39.896076999999998</v>
      </c>
      <c r="G319">
        <v>19.940128000000001</v>
      </c>
      <c r="H319">
        <v>21.416315000000001</v>
      </c>
      <c r="I319"/>
      <c r="N319"/>
      <c r="O319"/>
      <c r="P319" s="1">
        <f t="shared" si="42"/>
        <v>86.464753048780494</v>
      </c>
      <c r="Q319" s="1">
        <f t="shared" si="43"/>
        <v>88.727548780487808</v>
      </c>
      <c r="R319" s="1">
        <f t="shared" si="44"/>
        <v>91.274586519832766</v>
      </c>
      <c r="S319" s="1">
        <f t="shared" si="45"/>
        <v>68.203118862520455</v>
      </c>
    </row>
    <row r="320" spans="1:19" x14ac:dyDescent="0.3">
      <c r="A320">
        <v>9273</v>
      </c>
      <c r="B320">
        <v>84.356322000000006</v>
      </c>
      <c r="C320">
        <v>86.562038999999999</v>
      </c>
      <c r="D320">
        <v>88.715187999999998</v>
      </c>
      <c r="E320">
        <v>65.991596999999999</v>
      </c>
      <c r="F320">
        <v>39.896076999999998</v>
      </c>
      <c r="G320">
        <v>19.940128000000001</v>
      </c>
      <c r="H320">
        <v>21.416315000000001</v>
      </c>
      <c r="I320" t="s">
        <v>56</v>
      </c>
      <c r="N320"/>
      <c r="O320"/>
      <c r="P320" s="1">
        <f t="shared" si="42"/>
        <v>86.464753048780494</v>
      </c>
      <c r="Q320" s="1">
        <f t="shared" si="43"/>
        <v>88.727548780487808</v>
      </c>
      <c r="R320" s="1">
        <f t="shared" si="44"/>
        <v>91.274586519832766</v>
      </c>
      <c r="S320" s="1">
        <f t="shared" si="45"/>
        <v>68.203118862520455</v>
      </c>
    </row>
    <row r="321" spans="1:19" x14ac:dyDescent="0.3">
      <c r="A321">
        <v>9273.2000000000007</v>
      </c>
      <c r="B321">
        <v>84.332773000000003</v>
      </c>
      <c r="C321">
        <v>86.558115000000001</v>
      </c>
      <c r="D321">
        <v>88.750024999999994</v>
      </c>
      <c r="E321">
        <v>65.967979</v>
      </c>
      <c r="F321">
        <v>40.269956999999998</v>
      </c>
      <c r="G321">
        <v>19.955878999999999</v>
      </c>
      <c r="H321">
        <v>21.433467</v>
      </c>
      <c r="I321"/>
      <c r="N321"/>
      <c r="O321"/>
      <c r="P321" s="1">
        <f t="shared" si="42"/>
        <v>86.450302845528455</v>
      </c>
      <c r="Q321" s="1">
        <f t="shared" si="43"/>
        <v>88.707305894308959</v>
      </c>
      <c r="R321" s="1">
        <f t="shared" si="44"/>
        <v>91.294568165596004</v>
      </c>
      <c r="S321" s="1">
        <f t="shared" si="45"/>
        <v>68.218945376432089</v>
      </c>
    </row>
    <row r="322" spans="1:19" x14ac:dyDescent="0.3">
      <c r="A322">
        <v>9273.4</v>
      </c>
      <c r="B322">
        <v>84.332773000000003</v>
      </c>
      <c r="C322">
        <v>86.558115000000001</v>
      </c>
      <c r="D322">
        <v>88.750024999999994</v>
      </c>
      <c r="E322">
        <v>65.967979</v>
      </c>
      <c r="F322">
        <v>40.269956999999998</v>
      </c>
      <c r="G322">
        <v>19.955878999999999</v>
      </c>
      <c r="H322">
        <v>21.433467</v>
      </c>
      <c r="I322"/>
      <c r="N322"/>
      <c r="O322"/>
      <c r="P322" s="1">
        <f t="shared" si="42"/>
        <v>86.450302845528455</v>
      </c>
      <c r="Q322" s="1">
        <f t="shared" si="43"/>
        <v>88.707305894308959</v>
      </c>
      <c r="R322" s="1">
        <f t="shared" si="44"/>
        <v>91.294568165596004</v>
      </c>
      <c r="S322" s="1">
        <f t="shared" si="45"/>
        <v>68.218945376432089</v>
      </c>
    </row>
    <row r="323" spans="1:19" x14ac:dyDescent="0.3">
      <c r="A323">
        <v>9273.6</v>
      </c>
      <c r="B323">
        <v>84.347443999999996</v>
      </c>
      <c r="C323">
        <v>86.566036999999994</v>
      </c>
      <c r="D323">
        <v>88.738538000000005</v>
      </c>
      <c r="E323">
        <v>65.849143999999995</v>
      </c>
      <c r="F323">
        <v>40.716191000000002</v>
      </c>
      <c r="G323">
        <v>19.971852999999999</v>
      </c>
      <c r="H323">
        <v>21.440180000000002</v>
      </c>
      <c r="I323"/>
      <c r="N323"/>
      <c r="O323"/>
      <c r="P323" s="1">
        <f t="shared" si="42"/>
        <v>86.450189024390241</v>
      </c>
      <c r="Q323" s="1">
        <f t="shared" si="43"/>
        <v>88.723983739837408</v>
      </c>
      <c r="R323" s="1">
        <f t="shared" si="44"/>
        <v>91.296290404812893</v>
      </c>
      <c r="S323" s="1">
        <f t="shared" si="45"/>
        <v>68.142681055646491</v>
      </c>
    </row>
    <row r="324" spans="1:19" x14ac:dyDescent="0.3">
      <c r="A324">
        <v>9273.7999999999993</v>
      </c>
      <c r="B324">
        <v>84.347443999999996</v>
      </c>
      <c r="C324">
        <v>86.566036999999994</v>
      </c>
      <c r="D324">
        <v>88.738538000000005</v>
      </c>
      <c r="E324">
        <v>65.849143999999995</v>
      </c>
      <c r="F324">
        <v>40.716191000000002</v>
      </c>
      <c r="G324">
        <v>19.971852999999999</v>
      </c>
      <c r="H324">
        <v>21.440180000000002</v>
      </c>
      <c r="I324"/>
      <c r="N324"/>
      <c r="O324"/>
      <c r="P324" s="1">
        <f t="shared" si="42"/>
        <v>86.450189024390241</v>
      </c>
      <c r="Q324" s="1">
        <f t="shared" si="43"/>
        <v>88.723983739837408</v>
      </c>
      <c r="R324" s="1">
        <f t="shared" si="44"/>
        <v>91.296290404812893</v>
      </c>
      <c r="S324" s="1">
        <f t="shared" si="45"/>
        <v>68.142681055646491</v>
      </c>
    </row>
    <row r="325" spans="1:19" x14ac:dyDescent="0.3">
      <c r="A325">
        <v>11483</v>
      </c>
      <c r="B325">
        <v>92.146600000000007</v>
      </c>
      <c r="C325">
        <v>94.897744000000003</v>
      </c>
      <c r="D325">
        <v>97.567751999999999</v>
      </c>
      <c r="E325">
        <v>69.529203999999993</v>
      </c>
      <c r="F325">
        <v>42.505752000000001</v>
      </c>
      <c r="G325">
        <v>20.006907999999999</v>
      </c>
      <c r="H325">
        <v>21.780090000000001</v>
      </c>
      <c r="I325" t="s">
        <v>56</v>
      </c>
      <c r="N325"/>
      <c r="O325"/>
      <c r="P325" s="1">
        <f t="shared" si="42"/>
        <v>86.458394308943099</v>
      </c>
      <c r="Q325" s="1">
        <f t="shared" si="43"/>
        <v>88.718641260162599</v>
      </c>
      <c r="R325" s="1">
        <f t="shared" si="44"/>
        <v>91.268679514632396</v>
      </c>
      <c r="S325" s="1">
        <f t="shared" si="45"/>
        <v>68.139877250409171</v>
      </c>
    </row>
    <row r="326" spans="1:19" x14ac:dyDescent="0.3">
      <c r="A326">
        <v>11483.2</v>
      </c>
      <c r="B326">
        <v>92.142275999999995</v>
      </c>
      <c r="C326">
        <v>94.899308000000005</v>
      </c>
      <c r="D326">
        <v>97.535856999999993</v>
      </c>
      <c r="E326">
        <v>69.554051000000001</v>
      </c>
      <c r="F326">
        <v>42.898071000000002</v>
      </c>
      <c r="G326">
        <v>20.001808</v>
      </c>
      <c r="H326">
        <v>21.766707</v>
      </c>
      <c r="I326"/>
      <c r="N326"/>
      <c r="O326"/>
      <c r="P326" s="1">
        <f t="shared" si="42"/>
        <v>86.458394308943099</v>
      </c>
      <c r="Q326" s="1">
        <f t="shared" si="43"/>
        <v>88.718641260162599</v>
      </c>
      <c r="R326" s="1">
        <f t="shared" si="44"/>
        <v>91.268679514632396</v>
      </c>
      <c r="S326" s="1">
        <f t="shared" si="45"/>
        <v>68.139877250409171</v>
      </c>
    </row>
    <row r="327" spans="1:19" x14ac:dyDescent="0.3">
      <c r="A327">
        <v>11483.4</v>
      </c>
      <c r="B327">
        <v>92.142275999999995</v>
      </c>
      <c r="C327">
        <v>94.899308000000005</v>
      </c>
      <c r="D327">
        <v>97.535856999999993</v>
      </c>
      <c r="E327">
        <v>69.554051000000001</v>
      </c>
      <c r="F327">
        <v>42.898071000000002</v>
      </c>
      <c r="G327">
        <v>20.001808</v>
      </c>
      <c r="H327">
        <v>21.766707</v>
      </c>
      <c r="I327"/>
      <c r="N327"/>
      <c r="O327"/>
      <c r="P327" s="1">
        <f t="shared" si="42"/>
        <v>86.454878048780486</v>
      </c>
      <c r="Q327" s="1">
        <f t="shared" si="43"/>
        <v>88.708903455284556</v>
      </c>
      <c r="R327" s="1">
        <f t="shared" si="44"/>
        <v>91.259186295503213</v>
      </c>
      <c r="S327" s="1">
        <f t="shared" si="45"/>
        <v>68.518469721767588</v>
      </c>
    </row>
    <row r="328" spans="1:19" x14ac:dyDescent="0.3">
      <c r="A328">
        <v>11483.6</v>
      </c>
      <c r="B328">
        <v>92.135538999999994</v>
      </c>
      <c r="C328">
        <v>94.894363999999996</v>
      </c>
      <c r="D328">
        <v>97.555345000000003</v>
      </c>
      <c r="E328">
        <v>69.581884000000002</v>
      </c>
      <c r="F328">
        <v>42.527030000000003</v>
      </c>
      <c r="G328">
        <v>19.991408</v>
      </c>
      <c r="H328">
        <v>21.793748999999998</v>
      </c>
      <c r="I328"/>
      <c r="N328"/>
      <c r="O328"/>
      <c r="P328" s="1">
        <f t="shared" si="42"/>
        <v>86.454878048780486</v>
      </c>
      <c r="Q328" s="1">
        <f t="shared" si="43"/>
        <v>88.708903455284556</v>
      </c>
      <c r="R328" s="1">
        <f t="shared" si="44"/>
        <v>91.259186295503213</v>
      </c>
      <c r="S328" s="1">
        <f t="shared" si="45"/>
        <v>68.518469721767588</v>
      </c>
    </row>
    <row r="329" spans="1:19" x14ac:dyDescent="0.3">
      <c r="A329">
        <v>11483.8</v>
      </c>
      <c r="B329">
        <v>92.135538999999994</v>
      </c>
      <c r="C329">
        <v>94.894363999999996</v>
      </c>
      <c r="D329">
        <v>97.555345000000003</v>
      </c>
      <c r="E329">
        <v>69.581884000000002</v>
      </c>
      <c r="F329">
        <v>42.527030000000003</v>
      </c>
      <c r="G329">
        <v>19.991408</v>
      </c>
      <c r="H329">
        <v>21.793748999999998</v>
      </c>
      <c r="I329"/>
      <c r="N329"/>
      <c r="O329"/>
      <c r="P329" s="1">
        <f t="shared" si="42"/>
        <v>86.468588414634155</v>
      </c>
      <c r="Q329" s="1">
        <f t="shared" si="43"/>
        <v>88.757848577235777</v>
      </c>
      <c r="R329" s="1">
        <f t="shared" si="44"/>
        <v>91.280494544712965</v>
      </c>
      <c r="S329" s="1">
        <f t="shared" si="45"/>
        <v>68.694094721767598</v>
      </c>
    </row>
    <row r="330" spans="1:19" x14ac:dyDescent="0.3">
      <c r="A330">
        <v>11484</v>
      </c>
      <c r="B330">
        <v>92.147479000000004</v>
      </c>
      <c r="C330">
        <v>94.882281000000006</v>
      </c>
      <c r="D330">
        <v>97.534273999999996</v>
      </c>
      <c r="E330">
        <v>69.727697000000006</v>
      </c>
      <c r="F330">
        <v>41.930345000000003</v>
      </c>
      <c r="G330">
        <v>20.007804</v>
      </c>
      <c r="H330">
        <v>21.773167999999998</v>
      </c>
      <c r="I330" t="s">
        <v>56</v>
      </c>
      <c r="N330"/>
      <c r="O330"/>
      <c r="P330" s="1">
        <f t="shared" si="42"/>
        <v>86.468588414634155</v>
      </c>
      <c r="Q330" s="1">
        <f t="shared" si="43"/>
        <v>88.757848577235777</v>
      </c>
      <c r="R330" s="1">
        <f t="shared" si="44"/>
        <v>91.280494544712965</v>
      </c>
      <c r="S330" s="1">
        <f t="shared" si="45"/>
        <v>68.694094721767598</v>
      </c>
    </row>
    <row r="331" spans="1:19" x14ac:dyDescent="0.3">
      <c r="A331">
        <v>11484.2</v>
      </c>
      <c r="B331">
        <v>92.147479000000004</v>
      </c>
      <c r="C331">
        <v>94.882281000000006</v>
      </c>
      <c r="D331">
        <v>97.534273999999996</v>
      </c>
      <c r="E331">
        <v>69.727697000000006</v>
      </c>
      <c r="F331">
        <v>41.930345000000003</v>
      </c>
      <c r="G331">
        <v>20.007804</v>
      </c>
      <c r="H331">
        <v>21.773167999999998</v>
      </c>
      <c r="I331"/>
      <c r="N331"/>
      <c r="O331"/>
      <c r="P331" s="1">
        <f t="shared" si="42"/>
        <v>86.48816260162603</v>
      </c>
      <c r="Q331" s="1">
        <f t="shared" si="43"/>
        <v>88.741593495934964</v>
      </c>
      <c r="R331" s="1">
        <f t="shared" si="44"/>
        <v>91.297337615988567</v>
      </c>
      <c r="S331" s="1">
        <f t="shared" si="45"/>
        <v>68.445104337152216</v>
      </c>
    </row>
    <row r="332" spans="1:19" x14ac:dyDescent="0.3">
      <c r="A332">
        <v>11484.4</v>
      </c>
      <c r="B332">
        <v>92.142854</v>
      </c>
      <c r="C332">
        <v>94.898071999999999</v>
      </c>
      <c r="D332">
        <v>97.525358999999995</v>
      </c>
      <c r="E332">
        <v>69.778233999999998</v>
      </c>
      <c r="F332">
        <v>41.355694</v>
      </c>
      <c r="G332">
        <v>19.998339000000001</v>
      </c>
      <c r="H332">
        <v>21.759691</v>
      </c>
      <c r="I332"/>
      <c r="N332"/>
      <c r="O332"/>
      <c r="P332" s="1">
        <f t="shared" si="42"/>
        <v>86.48816260162603</v>
      </c>
      <c r="Q332" s="1">
        <f t="shared" si="43"/>
        <v>88.741593495934964</v>
      </c>
      <c r="R332" s="1">
        <f t="shared" si="44"/>
        <v>91.297337615988567</v>
      </c>
      <c r="S332" s="1">
        <f t="shared" si="45"/>
        <v>68.445104337152216</v>
      </c>
    </row>
    <row r="333" spans="1:19" x14ac:dyDescent="0.3">
      <c r="A333">
        <v>11484.6</v>
      </c>
      <c r="B333">
        <v>92.142854</v>
      </c>
      <c r="C333">
        <v>94.898071999999999</v>
      </c>
      <c r="D333">
        <v>97.525358999999995</v>
      </c>
      <c r="E333">
        <v>69.778233999999998</v>
      </c>
      <c r="F333">
        <v>41.355694</v>
      </c>
      <c r="G333">
        <v>19.998339000000001</v>
      </c>
      <c r="H333">
        <v>21.759691</v>
      </c>
      <c r="I333"/>
      <c r="N333"/>
      <c r="O333"/>
      <c r="P333" s="1">
        <f t="shared" si="42"/>
        <v>86.514439024390256</v>
      </c>
      <c r="Q333" s="1">
        <f t="shared" si="43"/>
        <v>88.752763211382117</v>
      </c>
      <c r="R333" s="1">
        <f t="shared" si="44"/>
        <v>91.294479453451615</v>
      </c>
      <c r="S333" s="1">
        <f t="shared" si="45"/>
        <v>68.379636865793771</v>
      </c>
    </row>
    <row r="334" spans="1:19" x14ac:dyDescent="0.3">
      <c r="A334">
        <v>11484.8</v>
      </c>
      <c r="B334">
        <v>92.166120000000006</v>
      </c>
      <c r="C334">
        <v>94.919600000000003</v>
      </c>
      <c r="D334">
        <v>97.542046999999997</v>
      </c>
      <c r="E334">
        <v>69.667288999999997</v>
      </c>
      <c r="F334">
        <v>41.610362000000002</v>
      </c>
      <c r="G334">
        <v>19.992712999999998</v>
      </c>
      <c r="H334">
        <v>21.784393000000001</v>
      </c>
      <c r="I334"/>
      <c r="N334"/>
      <c r="O334"/>
      <c r="P334" s="1">
        <f t="shared" si="42"/>
        <v>86.514439024390256</v>
      </c>
      <c r="Q334" s="1">
        <f t="shared" si="43"/>
        <v>88.752763211382117</v>
      </c>
      <c r="R334" s="1">
        <f t="shared" si="44"/>
        <v>91.294479453451615</v>
      </c>
      <c r="S334" s="1">
        <f t="shared" si="45"/>
        <v>68.379636865793771</v>
      </c>
    </row>
    <row r="335" spans="1:19" x14ac:dyDescent="0.3">
      <c r="A335">
        <v>11485</v>
      </c>
      <c r="B335">
        <v>92.166120000000006</v>
      </c>
      <c r="C335">
        <v>94.919600000000003</v>
      </c>
      <c r="D335">
        <v>97.542046999999997</v>
      </c>
      <c r="E335">
        <v>69.667288999999997</v>
      </c>
      <c r="F335">
        <v>41.610362000000002</v>
      </c>
      <c r="G335">
        <v>19.992712999999998</v>
      </c>
      <c r="H335">
        <v>21.784393000000001</v>
      </c>
      <c r="I335" t="s">
        <v>56</v>
      </c>
      <c r="N335"/>
      <c r="O335"/>
      <c r="P335" s="1">
        <f t="shared" si="42"/>
        <v>86.488353658536582</v>
      </c>
      <c r="Q335" s="1">
        <f t="shared" si="43"/>
        <v>88.759727642276431</v>
      </c>
      <c r="R335" s="1">
        <f t="shared" si="44"/>
        <v>91.296838992556332</v>
      </c>
      <c r="S335" s="1">
        <f t="shared" si="45"/>
        <v>68.348507569558095</v>
      </c>
    </row>
    <row r="336" spans="1:19" x14ac:dyDescent="0.3">
      <c r="A336">
        <v>11485.2</v>
      </c>
      <c r="B336">
        <v>92.171412000000004</v>
      </c>
      <c r="C336">
        <v>94.897214000000005</v>
      </c>
      <c r="D336">
        <v>97.554567000000006</v>
      </c>
      <c r="E336">
        <v>69.649226999999996</v>
      </c>
      <c r="F336">
        <v>42.023302000000001</v>
      </c>
      <c r="G336">
        <v>19.994413000000002</v>
      </c>
      <c r="H336">
        <v>21.792486</v>
      </c>
      <c r="I336"/>
      <c r="N336"/>
      <c r="O336"/>
      <c r="P336" s="1">
        <f t="shared" si="42"/>
        <v>86.488353658536582</v>
      </c>
      <c r="Q336" s="1">
        <f t="shared" si="43"/>
        <v>88.759727642276431</v>
      </c>
      <c r="R336" s="1">
        <f t="shared" si="44"/>
        <v>91.296838992556332</v>
      </c>
      <c r="S336" s="1">
        <f t="shared" si="45"/>
        <v>68.348507569558095</v>
      </c>
    </row>
    <row r="337" spans="1:19" x14ac:dyDescent="0.3">
      <c r="A337">
        <v>11485.4</v>
      </c>
      <c r="B337">
        <v>92.171412000000004</v>
      </c>
      <c r="C337">
        <v>94.897214000000005</v>
      </c>
      <c r="D337">
        <v>97.554567000000006</v>
      </c>
      <c r="E337">
        <v>69.649226999999996</v>
      </c>
      <c r="F337">
        <v>42.023302000000001</v>
      </c>
      <c r="G337">
        <v>19.994413000000002</v>
      </c>
      <c r="H337">
        <v>21.792486</v>
      </c>
      <c r="I337"/>
      <c r="N337"/>
      <c r="O337"/>
      <c r="P337" s="1">
        <f t="shared" si="42"/>
        <v>86.527258130081307</v>
      </c>
      <c r="Q337" s="1">
        <f t="shared" si="43"/>
        <v>88.768840447154474</v>
      </c>
      <c r="R337" s="1">
        <f t="shared" si="44"/>
        <v>91.287333537269291</v>
      </c>
      <c r="S337" s="1">
        <f t="shared" si="45"/>
        <v>68.448646685761048</v>
      </c>
    </row>
    <row r="338" spans="1:19" x14ac:dyDescent="0.3">
      <c r="A338">
        <v>11485.6</v>
      </c>
      <c r="B338">
        <v>92.158163999999999</v>
      </c>
      <c r="C338">
        <v>94.898904000000002</v>
      </c>
      <c r="D338">
        <v>97.556927000000002</v>
      </c>
      <c r="E338">
        <v>69.537520000000001</v>
      </c>
      <c r="F338">
        <v>41.798783999999998</v>
      </c>
      <c r="G338">
        <v>20.010624</v>
      </c>
      <c r="H338">
        <v>21.782616000000001</v>
      </c>
      <c r="I338"/>
      <c r="N338"/>
      <c r="O338"/>
      <c r="P338" s="1">
        <f t="shared" si="42"/>
        <v>86.527258130081307</v>
      </c>
      <c r="Q338" s="1">
        <f t="shared" si="43"/>
        <v>88.768840447154474</v>
      </c>
      <c r="R338" s="1">
        <f t="shared" si="44"/>
        <v>91.287333537269291</v>
      </c>
      <c r="S338" s="1">
        <f t="shared" si="45"/>
        <v>68.448646685761048</v>
      </c>
    </row>
    <row r="339" spans="1:19" x14ac:dyDescent="0.3">
      <c r="A339">
        <v>11485.8</v>
      </c>
      <c r="B339">
        <v>92.158163999999999</v>
      </c>
      <c r="C339">
        <v>94.898904000000002</v>
      </c>
      <c r="D339">
        <v>97.556927000000002</v>
      </c>
      <c r="E339">
        <v>69.537520000000001</v>
      </c>
      <c r="F339">
        <v>41.798783999999998</v>
      </c>
      <c r="G339">
        <v>20.010624</v>
      </c>
      <c r="H339">
        <v>21.782616000000001</v>
      </c>
      <c r="I339"/>
      <c r="N339"/>
      <c r="O339"/>
      <c r="P339" s="1">
        <f t="shared" si="42"/>
        <v>86.503326219512203</v>
      </c>
      <c r="Q339" s="1">
        <f t="shared" si="43"/>
        <v>88.764852642276423</v>
      </c>
      <c r="R339" s="1">
        <f t="shared" si="44"/>
        <v>91.322856123177317</v>
      </c>
      <c r="S339" s="1">
        <f t="shared" si="45"/>
        <v>68.424487520458257</v>
      </c>
    </row>
    <row r="340" spans="1:19" x14ac:dyDescent="0.3">
      <c r="A340">
        <v>11486</v>
      </c>
      <c r="B340">
        <v>92.173610999999994</v>
      </c>
      <c r="C340">
        <v>94.913495999999995</v>
      </c>
      <c r="D340">
        <v>97.550661000000005</v>
      </c>
      <c r="E340">
        <v>69.505315999999993</v>
      </c>
      <c r="F340">
        <v>41.598779</v>
      </c>
      <c r="G340">
        <v>19.981377999999999</v>
      </c>
      <c r="H340">
        <v>21.801027000000001</v>
      </c>
      <c r="I340" t="s">
        <v>56</v>
      </c>
      <c r="N340"/>
      <c r="O340"/>
      <c r="P340" s="1">
        <f t="shared" si="42"/>
        <v>86.503326219512203</v>
      </c>
      <c r="Q340" s="1">
        <f t="shared" si="43"/>
        <v>88.764852642276423</v>
      </c>
      <c r="R340" s="1">
        <f t="shared" si="44"/>
        <v>91.322856123177317</v>
      </c>
      <c r="S340" s="1">
        <f t="shared" si="45"/>
        <v>68.424487520458257</v>
      </c>
    </row>
    <row r="341" spans="1:19" x14ac:dyDescent="0.3">
      <c r="A341">
        <v>11486.2</v>
      </c>
      <c r="B341">
        <v>92.173610999999994</v>
      </c>
      <c r="C341">
        <v>94.913495999999995</v>
      </c>
      <c r="D341">
        <v>97.550661000000005</v>
      </c>
      <c r="E341">
        <v>69.505315999999993</v>
      </c>
      <c r="F341">
        <v>41.598779</v>
      </c>
      <c r="G341">
        <v>19.981377999999999</v>
      </c>
      <c r="H341">
        <v>21.801027000000001</v>
      </c>
      <c r="I341"/>
      <c r="N341"/>
      <c r="O341"/>
      <c r="P341" s="1">
        <f t="shared" si="42"/>
        <v>86.518235772357727</v>
      </c>
      <c r="Q341" s="1">
        <f t="shared" si="43"/>
        <v>88.772903455284549</v>
      </c>
      <c r="R341" s="1">
        <f t="shared" si="44"/>
        <v>91.311143061078823</v>
      </c>
      <c r="S341" s="1">
        <f t="shared" si="45"/>
        <v>68.30292962356792</v>
      </c>
    </row>
    <row r="342" spans="1:19" x14ac:dyDescent="0.3">
      <c r="A342">
        <v>11486.4</v>
      </c>
      <c r="B342">
        <v>92.152797000000007</v>
      </c>
      <c r="C342">
        <v>94.893973000000003</v>
      </c>
      <c r="D342">
        <v>97.545011000000002</v>
      </c>
      <c r="E342">
        <v>69.611969999999999</v>
      </c>
      <c r="F342">
        <v>41.561297000000003</v>
      </c>
      <c r="G342">
        <v>19.993991999999999</v>
      </c>
      <c r="H342">
        <v>21.796565999999999</v>
      </c>
      <c r="I342"/>
      <c r="N342"/>
      <c r="O342"/>
      <c r="P342" s="1">
        <f t="shared" si="42"/>
        <v>86.518235772357727</v>
      </c>
      <c r="Q342" s="1">
        <f t="shared" si="43"/>
        <v>88.772903455284549</v>
      </c>
      <c r="R342" s="1">
        <f t="shared" si="44"/>
        <v>91.311143061078823</v>
      </c>
      <c r="S342" s="1">
        <f t="shared" si="45"/>
        <v>68.30292962356792</v>
      </c>
    </row>
    <row r="343" spans="1:19" x14ac:dyDescent="0.3">
      <c r="A343">
        <v>11486.6</v>
      </c>
      <c r="B343">
        <v>92.152797000000007</v>
      </c>
      <c r="C343">
        <v>94.893973000000003</v>
      </c>
      <c r="D343">
        <v>97.545011000000002</v>
      </c>
      <c r="E343">
        <v>69.611969999999999</v>
      </c>
      <c r="F343">
        <v>41.561297000000003</v>
      </c>
      <c r="G343">
        <v>19.993991999999999</v>
      </c>
      <c r="H343">
        <v>21.796565999999999</v>
      </c>
      <c r="I343"/>
      <c r="N343"/>
      <c r="O343"/>
      <c r="P343" s="1">
        <f t="shared" si="42"/>
        <v>94.444207317073179</v>
      </c>
      <c r="Q343" s="1">
        <f t="shared" si="43"/>
        <v>97.240085365853673</v>
      </c>
      <c r="R343" s="1">
        <f t="shared" si="44"/>
        <v>100.31411440807585</v>
      </c>
      <c r="S343" s="1">
        <f t="shared" si="45"/>
        <v>72.067311783960704</v>
      </c>
    </row>
    <row r="344" spans="1:19" x14ac:dyDescent="0.3">
      <c r="A344">
        <v>11486.8</v>
      </c>
      <c r="B344">
        <v>92.166257999999999</v>
      </c>
      <c r="C344">
        <v>94.893405000000001</v>
      </c>
      <c r="D344">
        <v>97.531788000000006</v>
      </c>
      <c r="E344">
        <v>69.697449000000006</v>
      </c>
      <c r="F344">
        <v>41.498558000000003</v>
      </c>
      <c r="G344">
        <v>20.006525</v>
      </c>
      <c r="H344">
        <v>21.803158</v>
      </c>
      <c r="I344"/>
      <c r="N344"/>
      <c r="O344"/>
      <c r="P344" s="1">
        <f t="shared" si="42"/>
        <v>94.439813008130088</v>
      </c>
      <c r="Q344" s="1">
        <f t="shared" si="43"/>
        <v>97.241674796747972</v>
      </c>
      <c r="R344" s="1">
        <f t="shared" si="44"/>
        <v>100.28159172019984</v>
      </c>
      <c r="S344" s="1">
        <f t="shared" si="45"/>
        <v>72.092728109656306</v>
      </c>
    </row>
    <row r="345" spans="1:19" x14ac:dyDescent="0.3">
      <c r="A345">
        <v>11487</v>
      </c>
      <c r="B345">
        <v>92.166257999999999</v>
      </c>
      <c r="C345">
        <v>94.893405000000001</v>
      </c>
      <c r="D345">
        <v>97.531788000000006</v>
      </c>
      <c r="E345">
        <v>69.697449000000006</v>
      </c>
      <c r="F345">
        <v>41.498558000000003</v>
      </c>
      <c r="G345">
        <v>20.006525</v>
      </c>
      <c r="H345">
        <v>21.803158</v>
      </c>
      <c r="I345" t="s">
        <v>56</v>
      </c>
      <c r="N345"/>
      <c r="O345"/>
      <c r="P345" s="1">
        <f t="shared" si="42"/>
        <v>94.439813008130088</v>
      </c>
      <c r="Q345" s="1">
        <f t="shared" si="43"/>
        <v>97.241674796747972</v>
      </c>
      <c r="R345" s="1">
        <f t="shared" si="44"/>
        <v>100.28159172019984</v>
      </c>
      <c r="S345" s="1">
        <f t="shared" si="45"/>
        <v>72.092728109656306</v>
      </c>
    </row>
    <row r="346" spans="1:19" x14ac:dyDescent="0.3">
      <c r="A346">
        <v>11487.2</v>
      </c>
      <c r="B346">
        <v>92.155624000000003</v>
      </c>
      <c r="C346">
        <v>94.888638</v>
      </c>
      <c r="D346">
        <v>97.532465999999999</v>
      </c>
      <c r="E346">
        <v>69.606256999999999</v>
      </c>
      <c r="F346">
        <v>41.172722999999998</v>
      </c>
      <c r="G346">
        <v>20.003969999999999</v>
      </c>
      <c r="H346">
        <v>21.810319</v>
      </c>
      <c r="I346"/>
      <c r="N346"/>
      <c r="O346"/>
      <c r="P346" s="1">
        <f t="shared" si="42"/>
        <v>94.43296646341463</v>
      </c>
      <c r="Q346" s="1">
        <f t="shared" si="43"/>
        <v>97.236650406504069</v>
      </c>
      <c r="R346" s="1">
        <f t="shared" si="44"/>
        <v>100.30146324054247</v>
      </c>
      <c r="S346" s="1">
        <f t="shared" si="45"/>
        <v>72.121198854337152</v>
      </c>
    </row>
    <row r="347" spans="1:19" x14ac:dyDescent="0.3">
      <c r="A347">
        <v>11487.4</v>
      </c>
      <c r="B347">
        <v>92.155624000000003</v>
      </c>
      <c r="C347">
        <v>94.888638</v>
      </c>
      <c r="D347">
        <v>97.532465999999999</v>
      </c>
      <c r="E347">
        <v>69.606256999999999</v>
      </c>
      <c r="F347">
        <v>41.172722999999998</v>
      </c>
      <c r="G347">
        <v>20.003969999999999</v>
      </c>
      <c r="H347">
        <v>21.810319</v>
      </c>
      <c r="I347"/>
      <c r="N347"/>
      <c r="O347"/>
      <c r="P347" s="1">
        <f t="shared" si="42"/>
        <v>94.43296646341463</v>
      </c>
      <c r="Q347" s="1">
        <f t="shared" si="43"/>
        <v>97.236650406504069</v>
      </c>
      <c r="R347" s="1">
        <f t="shared" si="44"/>
        <v>100.30146324054247</v>
      </c>
      <c r="S347" s="1">
        <f t="shared" si="45"/>
        <v>72.121198854337152</v>
      </c>
    </row>
    <row r="348" spans="1:19" x14ac:dyDescent="0.3">
      <c r="A348">
        <v>11487.6</v>
      </c>
      <c r="B348">
        <v>92.171499999999995</v>
      </c>
      <c r="C348">
        <v>94.894124000000005</v>
      </c>
      <c r="D348">
        <v>97.543578999999994</v>
      </c>
      <c r="E348">
        <v>69.684267000000006</v>
      </c>
      <c r="F348">
        <v>41.653317999999999</v>
      </c>
      <c r="G348">
        <v>20.030881999999998</v>
      </c>
      <c r="H348">
        <v>21.801659000000001</v>
      </c>
      <c r="I348"/>
      <c r="N348"/>
      <c r="O348"/>
      <c r="P348" s="1">
        <f t="shared" si="42"/>
        <v>94.445100609756111</v>
      </c>
      <c r="Q348" s="1">
        <f t="shared" si="43"/>
        <v>97.224370934959367</v>
      </c>
      <c r="R348" s="1">
        <f t="shared" si="44"/>
        <v>100.27997756704394</v>
      </c>
      <c r="S348" s="1">
        <f t="shared" si="45"/>
        <v>72.270352905073651</v>
      </c>
    </row>
    <row r="349" spans="1:19" x14ac:dyDescent="0.3">
      <c r="A349">
        <v>11487.8</v>
      </c>
      <c r="B349">
        <v>92.171499999999995</v>
      </c>
      <c r="C349">
        <v>94.894124000000005</v>
      </c>
      <c r="D349">
        <v>97.543578999999994</v>
      </c>
      <c r="E349">
        <v>69.684267000000006</v>
      </c>
      <c r="F349">
        <v>41.653317999999999</v>
      </c>
      <c r="G349">
        <v>20.030881999999998</v>
      </c>
      <c r="H349">
        <v>21.801659000000001</v>
      </c>
      <c r="I349"/>
      <c r="N349"/>
      <c r="O349"/>
      <c r="P349" s="1">
        <f t="shared" si="42"/>
        <v>94.445100609756111</v>
      </c>
      <c r="Q349" s="1">
        <f t="shared" si="43"/>
        <v>97.224370934959367</v>
      </c>
      <c r="R349" s="1">
        <f t="shared" si="44"/>
        <v>100.27997756704394</v>
      </c>
      <c r="S349" s="1">
        <f t="shared" si="45"/>
        <v>72.270352905073651</v>
      </c>
    </row>
    <row r="350" spans="1:19" x14ac:dyDescent="0.3">
      <c r="A350">
        <v>11488</v>
      </c>
      <c r="B350">
        <v>92.158314000000004</v>
      </c>
      <c r="C350">
        <v>94.907228000000003</v>
      </c>
      <c r="D350">
        <v>97.534249000000003</v>
      </c>
      <c r="E350">
        <v>69.792199999999994</v>
      </c>
      <c r="F350">
        <v>42.223475999999998</v>
      </c>
      <c r="G350">
        <v>20.008476999999999</v>
      </c>
      <c r="H350">
        <v>21.780709000000002</v>
      </c>
      <c r="I350" t="s">
        <v>56</v>
      </c>
      <c r="N350"/>
      <c r="O350"/>
      <c r="P350" s="1">
        <f t="shared" si="42"/>
        <v>94.440400406504068</v>
      </c>
      <c r="Q350" s="1">
        <f t="shared" si="43"/>
        <v>97.240418699186989</v>
      </c>
      <c r="R350" s="1">
        <f t="shared" si="44"/>
        <v>100.27088712144386</v>
      </c>
      <c r="S350" s="1">
        <f t="shared" si="45"/>
        <v>72.32204787234042</v>
      </c>
    </row>
    <row r="351" spans="1:19" x14ac:dyDescent="0.3">
      <c r="A351">
        <v>11488.2</v>
      </c>
      <c r="B351">
        <v>92.158314000000004</v>
      </c>
      <c r="C351">
        <v>94.907228000000003</v>
      </c>
      <c r="D351">
        <v>97.534249000000003</v>
      </c>
      <c r="E351">
        <v>69.792199999999994</v>
      </c>
      <c r="F351">
        <v>42.223475999999998</v>
      </c>
      <c r="G351">
        <v>20.008476999999999</v>
      </c>
      <c r="H351">
        <v>21.780709000000002</v>
      </c>
      <c r="I351"/>
      <c r="N351"/>
      <c r="O351"/>
      <c r="P351" s="1">
        <f t="shared" si="42"/>
        <v>94.440400406504068</v>
      </c>
      <c r="Q351" s="1">
        <f t="shared" si="43"/>
        <v>97.240418699186989</v>
      </c>
      <c r="R351" s="1">
        <f t="shared" si="44"/>
        <v>100.27088712144386</v>
      </c>
      <c r="S351" s="1">
        <f t="shared" si="45"/>
        <v>72.32204787234042</v>
      </c>
    </row>
    <row r="352" spans="1:19" x14ac:dyDescent="0.3">
      <c r="A352">
        <v>11488.4</v>
      </c>
      <c r="B352">
        <v>92.186582999999999</v>
      </c>
      <c r="C352">
        <v>94.925602999999995</v>
      </c>
      <c r="D352">
        <v>97.559777999999994</v>
      </c>
      <c r="E352">
        <v>69.782105000000001</v>
      </c>
      <c r="F352">
        <v>42.448891000000003</v>
      </c>
      <c r="G352">
        <v>20.011507999999999</v>
      </c>
      <c r="H352">
        <v>21.802921999999999</v>
      </c>
      <c r="I352"/>
      <c r="N352"/>
      <c r="O352"/>
      <c r="P352" s="1">
        <f t="shared" si="42"/>
        <v>94.464044715447173</v>
      </c>
      <c r="Q352" s="1">
        <f t="shared" si="43"/>
        <v>97.262296747967483</v>
      </c>
      <c r="R352" s="1">
        <f t="shared" si="44"/>
        <v>100.28790353828897</v>
      </c>
      <c r="S352" s="1">
        <f t="shared" si="45"/>
        <v>72.208560761047451</v>
      </c>
    </row>
    <row r="353" spans="1:19" x14ac:dyDescent="0.3">
      <c r="A353">
        <v>11488.6</v>
      </c>
      <c r="B353">
        <v>92.186582999999999</v>
      </c>
      <c r="C353">
        <v>94.925602999999995</v>
      </c>
      <c r="D353">
        <v>97.559777999999994</v>
      </c>
      <c r="E353">
        <v>69.782105000000001</v>
      </c>
      <c r="F353">
        <v>42.448891000000003</v>
      </c>
      <c r="G353">
        <v>20.011507999999999</v>
      </c>
      <c r="H353">
        <v>21.802921999999999</v>
      </c>
      <c r="I353"/>
      <c r="N353"/>
      <c r="O353"/>
      <c r="P353" s="1">
        <f t="shared" si="42"/>
        <v>94.464044715447173</v>
      </c>
      <c r="Q353" s="1">
        <f t="shared" si="43"/>
        <v>97.262296747967483</v>
      </c>
      <c r="R353" s="1">
        <f t="shared" si="44"/>
        <v>100.28790353828897</v>
      </c>
      <c r="S353" s="1">
        <f t="shared" si="45"/>
        <v>72.208560761047451</v>
      </c>
    </row>
    <row r="354" spans="1:19" x14ac:dyDescent="0.3">
      <c r="A354">
        <v>11488.8</v>
      </c>
      <c r="B354">
        <v>92.215177999999995</v>
      </c>
      <c r="C354">
        <v>94.910255000000006</v>
      </c>
      <c r="D354">
        <v>97.555797999999996</v>
      </c>
      <c r="E354">
        <v>69.703325000000007</v>
      </c>
      <c r="F354">
        <v>42.640506999999999</v>
      </c>
      <c r="G354">
        <v>19.996442999999999</v>
      </c>
      <c r="H354">
        <v>21.813936000000002</v>
      </c>
      <c r="I354"/>
      <c r="N354"/>
      <c r="O354"/>
      <c r="P354" s="1">
        <f t="shared" si="42"/>
        <v>94.469422764227645</v>
      </c>
      <c r="Q354" s="1">
        <f t="shared" si="43"/>
        <v>97.239546747967495</v>
      </c>
      <c r="R354" s="1">
        <f t="shared" si="44"/>
        <v>100.3006699296421</v>
      </c>
      <c r="S354" s="1">
        <f t="shared" si="45"/>
        <v>72.190084901800319</v>
      </c>
    </row>
    <row r="355" spans="1:19" x14ac:dyDescent="0.3">
      <c r="A355">
        <v>11489</v>
      </c>
      <c r="B355">
        <v>92.215177999999995</v>
      </c>
      <c r="C355">
        <v>94.910255000000006</v>
      </c>
      <c r="D355">
        <v>97.555797999999996</v>
      </c>
      <c r="E355">
        <v>69.703325000000007</v>
      </c>
      <c r="F355">
        <v>42.640506999999999</v>
      </c>
      <c r="G355">
        <v>19.996442999999999</v>
      </c>
      <c r="H355">
        <v>21.813936000000002</v>
      </c>
      <c r="I355" t="s">
        <v>56</v>
      </c>
      <c r="N355"/>
      <c r="O355"/>
      <c r="P355" s="1">
        <f t="shared" si="42"/>
        <v>94.469422764227645</v>
      </c>
      <c r="Q355" s="1">
        <f t="shared" si="43"/>
        <v>97.239546747967495</v>
      </c>
      <c r="R355" s="1">
        <f t="shared" si="44"/>
        <v>100.3006699296421</v>
      </c>
      <c r="S355" s="1">
        <f t="shared" si="45"/>
        <v>72.190084901800319</v>
      </c>
    </row>
    <row r="356" spans="1:19" x14ac:dyDescent="0.3">
      <c r="A356">
        <v>11489.2</v>
      </c>
      <c r="B356">
        <v>92.190692999999996</v>
      </c>
      <c r="C356">
        <v>94.907026000000002</v>
      </c>
      <c r="D356">
        <v>97.557328999999996</v>
      </c>
      <c r="E356">
        <v>69.666081000000005</v>
      </c>
      <c r="F356">
        <v>42.646757000000001</v>
      </c>
      <c r="G356">
        <v>20.009097000000001</v>
      </c>
      <c r="H356">
        <v>21.813306000000001</v>
      </c>
      <c r="I356"/>
      <c r="N356"/>
      <c r="O356"/>
      <c r="P356" s="1">
        <f t="shared" si="42"/>
        <v>94.455959349593499</v>
      </c>
      <c r="Q356" s="1">
        <f t="shared" si="43"/>
        <v>97.24126422764229</v>
      </c>
      <c r="R356" s="1">
        <f t="shared" si="44"/>
        <v>100.30307637401856</v>
      </c>
      <c r="S356" s="1">
        <f t="shared" si="45"/>
        <v>72.075818330605557</v>
      </c>
    </row>
    <row r="357" spans="1:19" x14ac:dyDescent="0.3">
      <c r="A357">
        <v>11489.4</v>
      </c>
      <c r="B357">
        <v>92.190692999999996</v>
      </c>
      <c r="C357">
        <v>94.907026000000002</v>
      </c>
      <c r="D357">
        <v>97.557328999999996</v>
      </c>
      <c r="E357">
        <v>69.666081000000005</v>
      </c>
      <c r="F357">
        <v>42.646757000000001</v>
      </c>
      <c r="G357">
        <v>20.009097000000001</v>
      </c>
      <c r="H357">
        <v>21.813306000000001</v>
      </c>
      <c r="I357"/>
      <c r="N357"/>
      <c r="O357"/>
      <c r="P357" s="1">
        <f t="shared" si="42"/>
        <v>94.455959349593499</v>
      </c>
      <c r="Q357" s="1">
        <f t="shared" si="43"/>
        <v>97.24126422764229</v>
      </c>
      <c r="R357" s="1">
        <f t="shared" si="44"/>
        <v>100.30307637401856</v>
      </c>
      <c r="S357" s="1">
        <f t="shared" si="45"/>
        <v>72.075818330605557</v>
      </c>
    </row>
    <row r="358" spans="1:19" x14ac:dyDescent="0.3">
      <c r="A358">
        <v>11489.6</v>
      </c>
      <c r="B358">
        <v>92.197014999999993</v>
      </c>
      <c r="C358">
        <v>94.931531000000007</v>
      </c>
      <c r="D358">
        <v>97.542625000000001</v>
      </c>
      <c r="E358">
        <v>69.688923000000003</v>
      </c>
      <c r="F358">
        <v>42.418252000000003</v>
      </c>
      <c r="G358">
        <v>19.982776000000001</v>
      </c>
      <c r="H358">
        <v>21.805502000000001</v>
      </c>
      <c r="I358"/>
      <c r="N358"/>
      <c r="O358"/>
      <c r="P358" s="1">
        <f t="shared" si="42"/>
        <v>94.471657520325209</v>
      </c>
      <c r="Q358" s="1">
        <f t="shared" si="43"/>
        <v>97.256093495934962</v>
      </c>
      <c r="R358" s="1">
        <f t="shared" si="44"/>
        <v>100.29668706026308</v>
      </c>
      <c r="S358" s="1">
        <f t="shared" si="45"/>
        <v>72.042876432078558</v>
      </c>
    </row>
    <row r="359" spans="1:19" x14ac:dyDescent="0.3">
      <c r="A359">
        <v>11489.8</v>
      </c>
      <c r="B359">
        <v>92.197014999999993</v>
      </c>
      <c r="C359">
        <v>94.931531000000007</v>
      </c>
      <c r="D359">
        <v>97.542625000000001</v>
      </c>
      <c r="E359">
        <v>69.688923000000003</v>
      </c>
      <c r="F359">
        <v>42.418252000000003</v>
      </c>
      <c r="G359">
        <v>19.982776000000001</v>
      </c>
      <c r="H359">
        <v>21.805502000000001</v>
      </c>
      <c r="I359"/>
      <c r="N359"/>
      <c r="O359"/>
      <c r="P359" s="1">
        <f t="shared" si="42"/>
        <v>94.471657520325209</v>
      </c>
      <c r="Q359" s="1">
        <f t="shared" si="43"/>
        <v>97.256093495934962</v>
      </c>
      <c r="R359" s="1">
        <f t="shared" si="44"/>
        <v>100.29668706026308</v>
      </c>
      <c r="S359" s="1">
        <f t="shared" si="45"/>
        <v>72.042876432078558</v>
      </c>
    </row>
    <row r="360" spans="1:19" x14ac:dyDescent="0.3">
      <c r="A360">
        <v>11490</v>
      </c>
      <c r="B360">
        <v>92.195193000000003</v>
      </c>
      <c r="C360">
        <v>94.916081000000005</v>
      </c>
      <c r="D360">
        <v>97.557078000000004</v>
      </c>
      <c r="E360">
        <v>69.735962000000001</v>
      </c>
      <c r="F360">
        <v>42.517538999999999</v>
      </c>
      <c r="G360">
        <v>20.011337000000001</v>
      </c>
      <c r="H360">
        <v>21.804409</v>
      </c>
      <c r="I360" t="s">
        <v>56</v>
      </c>
      <c r="N360"/>
      <c r="O360"/>
      <c r="P360" s="1">
        <f t="shared" si="42"/>
        <v>94.450505081300818</v>
      </c>
      <c r="Q360" s="1">
        <f t="shared" si="43"/>
        <v>97.236253048780497</v>
      </c>
      <c r="R360" s="1">
        <f t="shared" si="44"/>
        <v>100.29092586927705</v>
      </c>
      <c r="S360" s="1">
        <f t="shared" si="45"/>
        <v>72.15197422258592</v>
      </c>
    </row>
    <row r="361" spans="1:19" x14ac:dyDescent="0.3">
      <c r="A361">
        <v>11490.2</v>
      </c>
      <c r="B361">
        <v>92.195193000000003</v>
      </c>
      <c r="C361">
        <v>94.916081000000005</v>
      </c>
      <c r="D361">
        <v>97.557078000000004</v>
      </c>
      <c r="E361">
        <v>69.735962000000001</v>
      </c>
      <c r="F361">
        <v>42.517538999999999</v>
      </c>
      <c r="G361">
        <v>20.011337000000001</v>
      </c>
      <c r="H361">
        <v>21.804409</v>
      </c>
      <c r="I361"/>
      <c r="N361"/>
      <c r="O361"/>
      <c r="P361" s="1">
        <f t="shared" si="42"/>
        <v>94.450505081300818</v>
      </c>
      <c r="Q361" s="1">
        <f t="shared" si="43"/>
        <v>97.236253048780497</v>
      </c>
      <c r="R361" s="1">
        <f t="shared" si="44"/>
        <v>100.29092586927705</v>
      </c>
      <c r="S361" s="1">
        <f t="shared" si="45"/>
        <v>72.15197422258592</v>
      </c>
    </row>
    <row r="362" spans="1:19" x14ac:dyDescent="0.3">
      <c r="A362">
        <v>11490.4</v>
      </c>
      <c r="B362">
        <v>92.203638999999995</v>
      </c>
      <c r="C362">
        <v>94.932047999999995</v>
      </c>
      <c r="D362">
        <v>97.557604999999995</v>
      </c>
      <c r="E362">
        <v>69.691672999999994</v>
      </c>
      <c r="F362">
        <v>43.037488000000003</v>
      </c>
      <c r="G362">
        <v>20.015740000000001</v>
      </c>
      <c r="H362">
        <v>21.819700999999998</v>
      </c>
      <c r="I362"/>
      <c r="N362"/>
      <c r="O362"/>
      <c r="P362" s="1">
        <f t="shared" si="42"/>
        <v>94.464184959349595</v>
      </c>
      <c r="Q362" s="1">
        <f t="shared" si="43"/>
        <v>97.235675813008143</v>
      </c>
      <c r="R362" s="1">
        <f t="shared" si="44"/>
        <v>100.27744264301009</v>
      </c>
      <c r="S362" s="1">
        <f t="shared" si="45"/>
        <v>72.239411824877251</v>
      </c>
    </row>
    <row r="363" spans="1:19" x14ac:dyDescent="0.3">
      <c r="A363">
        <v>11490.6</v>
      </c>
      <c r="B363">
        <v>92.203638999999995</v>
      </c>
      <c r="C363">
        <v>94.932047999999995</v>
      </c>
      <c r="D363">
        <v>97.557604999999995</v>
      </c>
      <c r="E363">
        <v>69.691672999999994</v>
      </c>
      <c r="F363">
        <v>43.037488000000003</v>
      </c>
      <c r="G363">
        <v>20.015740000000001</v>
      </c>
      <c r="H363">
        <v>21.819700999999998</v>
      </c>
      <c r="I363"/>
      <c r="N363"/>
      <c r="O363"/>
      <c r="P363" s="1">
        <f t="shared" si="42"/>
        <v>94.464184959349595</v>
      </c>
      <c r="Q363" s="1">
        <f t="shared" si="43"/>
        <v>97.235675813008143</v>
      </c>
      <c r="R363" s="1">
        <f t="shared" si="44"/>
        <v>100.27744264301009</v>
      </c>
      <c r="S363" s="1">
        <f t="shared" si="45"/>
        <v>72.239411824877251</v>
      </c>
    </row>
    <row r="364" spans="1:19" x14ac:dyDescent="0.3">
      <c r="A364">
        <v>11490.8</v>
      </c>
      <c r="B364">
        <v>92.207485000000005</v>
      </c>
      <c r="C364">
        <v>94.941128000000006</v>
      </c>
      <c r="D364">
        <v>97.577495999999996</v>
      </c>
      <c r="E364">
        <v>69.649550000000005</v>
      </c>
      <c r="F364">
        <v>43.149757000000001</v>
      </c>
      <c r="G364">
        <v>19.988536</v>
      </c>
      <c r="H364">
        <v>21.800118999999999</v>
      </c>
      <c r="I364"/>
      <c r="N364"/>
      <c r="O364"/>
      <c r="P364" s="1">
        <f t="shared" ref="P364:P427" si="46">(B346+Q$36)/P$36</f>
        <v>94.453378048780493</v>
      </c>
      <c r="Q364" s="1">
        <f t="shared" ref="Q364:Q427" si="47">(C346+Q$36)/P$36</f>
        <v>97.230831300813009</v>
      </c>
      <c r="R364" s="1">
        <f t="shared" ref="R364:R427" si="48">(D346+Q$38)/P$38</f>
        <v>100.27813398592842</v>
      </c>
      <c r="S364" s="1">
        <f t="shared" ref="S364:S427" si="49">(E346+Q$39)/P$39</f>
        <v>72.146130319148938</v>
      </c>
    </row>
    <row r="365" spans="1:19" x14ac:dyDescent="0.3">
      <c r="A365">
        <v>11491</v>
      </c>
      <c r="B365">
        <v>92.207485000000005</v>
      </c>
      <c r="C365">
        <v>94.941128000000006</v>
      </c>
      <c r="D365">
        <v>97.577495999999996</v>
      </c>
      <c r="E365">
        <v>69.649550000000005</v>
      </c>
      <c r="F365">
        <v>43.149757000000001</v>
      </c>
      <c r="G365">
        <v>19.988536</v>
      </c>
      <c r="H365">
        <v>21.800118999999999</v>
      </c>
      <c r="I365" t="s">
        <v>56</v>
      </c>
      <c r="N365"/>
      <c r="O365"/>
      <c r="P365" s="1">
        <f t="shared" si="46"/>
        <v>94.453378048780493</v>
      </c>
      <c r="Q365" s="1">
        <f t="shared" si="47"/>
        <v>97.230831300813009</v>
      </c>
      <c r="R365" s="1">
        <f t="shared" si="48"/>
        <v>100.27813398592842</v>
      </c>
      <c r="S365" s="1">
        <f t="shared" si="49"/>
        <v>72.146130319148938</v>
      </c>
    </row>
    <row r="366" spans="1:19" x14ac:dyDescent="0.3">
      <c r="A366">
        <v>11491.2</v>
      </c>
      <c r="B366">
        <v>92.201075000000003</v>
      </c>
      <c r="C366">
        <v>94.951268999999996</v>
      </c>
      <c r="D366">
        <v>97.570414</v>
      </c>
      <c r="E366">
        <v>69.629982999999996</v>
      </c>
      <c r="F366">
        <v>42.56082</v>
      </c>
      <c r="G366">
        <v>20.019259000000002</v>
      </c>
      <c r="H366">
        <v>21.784132</v>
      </c>
      <c r="I366"/>
      <c r="N366"/>
      <c r="O366"/>
      <c r="P366" s="1">
        <f t="shared" si="46"/>
        <v>94.469512195121951</v>
      </c>
      <c r="Q366" s="1">
        <f t="shared" si="47"/>
        <v>97.236406504065044</v>
      </c>
      <c r="R366" s="1">
        <f t="shared" si="48"/>
        <v>100.28946568777403</v>
      </c>
      <c r="S366" s="1">
        <f t="shared" si="49"/>
        <v>72.225927782324064</v>
      </c>
    </row>
    <row r="367" spans="1:19" x14ac:dyDescent="0.3">
      <c r="A367">
        <v>11491.4</v>
      </c>
      <c r="B367">
        <v>92.201075000000003</v>
      </c>
      <c r="C367">
        <v>94.951268999999996</v>
      </c>
      <c r="D367">
        <v>97.570414</v>
      </c>
      <c r="E367">
        <v>69.629982999999996</v>
      </c>
      <c r="F367">
        <v>42.56082</v>
      </c>
      <c r="G367">
        <v>20.019259000000002</v>
      </c>
      <c r="H367">
        <v>21.784132</v>
      </c>
      <c r="I367"/>
      <c r="N367"/>
      <c r="O367"/>
      <c r="P367" s="1">
        <f t="shared" si="46"/>
        <v>94.469512195121951</v>
      </c>
      <c r="Q367" s="1">
        <f t="shared" si="47"/>
        <v>97.236406504065044</v>
      </c>
      <c r="R367" s="1">
        <f t="shared" si="48"/>
        <v>100.28946568777403</v>
      </c>
      <c r="S367" s="1">
        <f t="shared" si="49"/>
        <v>72.225927782324064</v>
      </c>
    </row>
    <row r="368" spans="1:19" x14ac:dyDescent="0.3">
      <c r="A368">
        <v>11491.6</v>
      </c>
      <c r="B368">
        <v>92.184809999999999</v>
      </c>
      <c r="C368">
        <v>94.945164000000005</v>
      </c>
      <c r="D368">
        <v>97.566371000000004</v>
      </c>
      <c r="E368">
        <v>69.677955999999995</v>
      </c>
      <c r="F368">
        <v>41.714979</v>
      </c>
      <c r="G368">
        <v>20.017043999999999</v>
      </c>
      <c r="H368">
        <v>21.802053999999998</v>
      </c>
      <c r="I368"/>
      <c r="N368"/>
      <c r="O368"/>
      <c r="P368" s="1">
        <f t="shared" si="46"/>
        <v>94.456111788617889</v>
      </c>
      <c r="Q368" s="1">
        <f t="shared" si="47"/>
        <v>97.249723577235784</v>
      </c>
      <c r="R368" s="1">
        <f t="shared" si="48"/>
        <v>100.27995207504843</v>
      </c>
      <c r="S368" s="1">
        <f t="shared" si="49"/>
        <v>72.336333878887061</v>
      </c>
    </row>
    <row r="369" spans="1:19" x14ac:dyDescent="0.3">
      <c r="A369">
        <v>11491.8</v>
      </c>
      <c r="B369">
        <v>92.184809999999999</v>
      </c>
      <c r="C369">
        <v>94.945164000000005</v>
      </c>
      <c r="D369">
        <v>97.566371000000004</v>
      </c>
      <c r="E369">
        <v>69.677955999999995</v>
      </c>
      <c r="F369">
        <v>41.714979</v>
      </c>
      <c r="G369">
        <v>20.017043999999999</v>
      </c>
      <c r="H369">
        <v>21.802053999999998</v>
      </c>
      <c r="I369"/>
      <c r="N369"/>
      <c r="O369"/>
      <c r="P369" s="1">
        <f t="shared" si="46"/>
        <v>94.456111788617889</v>
      </c>
      <c r="Q369" s="1">
        <f t="shared" si="47"/>
        <v>97.249723577235784</v>
      </c>
      <c r="R369" s="1">
        <f t="shared" si="48"/>
        <v>100.27995207504843</v>
      </c>
      <c r="S369" s="1">
        <f t="shared" si="49"/>
        <v>72.336333878887061</v>
      </c>
    </row>
    <row r="370" spans="1:19" x14ac:dyDescent="0.3">
      <c r="A370">
        <v>11492</v>
      </c>
      <c r="B370">
        <v>92.222392999999997</v>
      </c>
      <c r="C370">
        <v>94.909548000000001</v>
      </c>
      <c r="D370">
        <v>97.574533000000002</v>
      </c>
      <c r="E370">
        <v>69.609866999999994</v>
      </c>
      <c r="F370">
        <v>41.232731000000001</v>
      </c>
      <c r="G370">
        <v>20.000319000000001</v>
      </c>
      <c r="H370">
        <v>21.815200000000001</v>
      </c>
      <c r="I370" t="s">
        <v>56</v>
      </c>
      <c r="N370"/>
      <c r="O370"/>
      <c r="P370" s="1">
        <f t="shared" si="46"/>
        <v>94.484840447154482</v>
      </c>
      <c r="Q370" s="1">
        <f t="shared" si="47"/>
        <v>97.268397357723572</v>
      </c>
      <c r="R370" s="1">
        <f t="shared" si="48"/>
        <v>100.3059834811869</v>
      </c>
      <c r="S370" s="1">
        <f t="shared" si="49"/>
        <v>72.326007569558101</v>
      </c>
    </row>
    <row r="371" spans="1:19" x14ac:dyDescent="0.3">
      <c r="A371">
        <v>11492.2</v>
      </c>
      <c r="B371">
        <v>92.222392999999997</v>
      </c>
      <c r="C371">
        <v>94.909548000000001</v>
      </c>
      <c r="D371">
        <v>97.574533000000002</v>
      </c>
      <c r="E371">
        <v>69.609866999999994</v>
      </c>
      <c r="F371">
        <v>41.232731000000001</v>
      </c>
      <c r="G371">
        <v>20.000319000000001</v>
      </c>
      <c r="H371">
        <v>21.815200000000001</v>
      </c>
      <c r="I371"/>
      <c r="N371"/>
      <c r="O371"/>
      <c r="P371" s="1">
        <f t="shared" si="46"/>
        <v>94.484840447154482</v>
      </c>
      <c r="Q371" s="1">
        <f t="shared" si="47"/>
        <v>97.268397357723572</v>
      </c>
      <c r="R371" s="1">
        <f t="shared" si="48"/>
        <v>100.3059834811869</v>
      </c>
      <c r="S371" s="1">
        <f t="shared" si="49"/>
        <v>72.326007569558101</v>
      </c>
    </row>
    <row r="372" spans="1:19" x14ac:dyDescent="0.3">
      <c r="A372">
        <v>11492.4</v>
      </c>
      <c r="B372">
        <v>92.198964000000004</v>
      </c>
      <c r="C372">
        <v>94.930081000000001</v>
      </c>
      <c r="D372">
        <v>97.571016999999998</v>
      </c>
      <c r="E372">
        <v>69.59966</v>
      </c>
      <c r="F372">
        <v>41.225710999999997</v>
      </c>
      <c r="G372">
        <v>19.998764000000001</v>
      </c>
      <c r="H372">
        <v>21.798725000000001</v>
      </c>
      <c r="I372"/>
      <c r="N372"/>
      <c r="O372"/>
      <c r="P372" s="1">
        <f t="shared" si="46"/>
        <v>94.513900406504064</v>
      </c>
      <c r="Q372" s="1">
        <f t="shared" si="47"/>
        <v>97.252799796747979</v>
      </c>
      <c r="R372" s="1">
        <f t="shared" si="48"/>
        <v>100.30192515550117</v>
      </c>
      <c r="S372" s="1">
        <f t="shared" si="49"/>
        <v>72.245422463175132</v>
      </c>
    </row>
    <row r="373" spans="1:19" x14ac:dyDescent="0.3">
      <c r="A373">
        <v>11492.6</v>
      </c>
      <c r="B373">
        <v>92.198964000000004</v>
      </c>
      <c r="C373">
        <v>94.930081000000001</v>
      </c>
      <c r="D373">
        <v>97.571016999999998</v>
      </c>
      <c r="E373">
        <v>69.59966</v>
      </c>
      <c r="F373">
        <v>41.225710999999997</v>
      </c>
      <c r="G373">
        <v>19.998764000000001</v>
      </c>
      <c r="H373">
        <v>21.798725000000001</v>
      </c>
      <c r="I373"/>
      <c r="N373"/>
      <c r="O373"/>
      <c r="P373" s="1">
        <f t="shared" si="46"/>
        <v>94.513900406504064</v>
      </c>
      <c r="Q373" s="1">
        <f t="shared" si="47"/>
        <v>97.252799796747979</v>
      </c>
      <c r="R373" s="1">
        <f t="shared" si="48"/>
        <v>100.30192515550117</v>
      </c>
      <c r="S373" s="1">
        <f t="shared" si="49"/>
        <v>72.245422463175132</v>
      </c>
    </row>
    <row r="374" spans="1:19" x14ac:dyDescent="0.3">
      <c r="A374">
        <v>11492.8</v>
      </c>
      <c r="B374">
        <v>92.199290000000005</v>
      </c>
      <c r="C374">
        <v>94.917242000000002</v>
      </c>
      <c r="D374">
        <v>97.548965999999993</v>
      </c>
      <c r="E374">
        <v>69.661823999999996</v>
      </c>
      <c r="F374">
        <v>41.046201000000003</v>
      </c>
      <c r="G374">
        <v>20.026375000000002</v>
      </c>
      <c r="H374">
        <v>21.796921999999999</v>
      </c>
      <c r="I374"/>
      <c r="N374"/>
      <c r="O374"/>
      <c r="P374" s="1">
        <f t="shared" si="46"/>
        <v>94.489017276422771</v>
      </c>
      <c r="Q374" s="1">
        <f t="shared" si="47"/>
        <v>97.249518292682936</v>
      </c>
      <c r="R374" s="1">
        <f t="shared" si="48"/>
        <v>100.30348628530641</v>
      </c>
      <c r="S374" s="1">
        <f t="shared" si="49"/>
        <v>72.207325081833062</v>
      </c>
    </row>
    <row r="375" spans="1:19" x14ac:dyDescent="0.3">
      <c r="A375">
        <v>12260</v>
      </c>
      <c r="B375">
        <v>98.458213000000001</v>
      </c>
      <c r="C375">
        <v>101.765733</v>
      </c>
      <c r="D375">
        <v>104.953439</v>
      </c>
      <c r="E375">
        <v>71.910746000000003</v>
      </c>
      <c r="F375">
        <v>46.031922000000002</v>
      </c>
      <c r="G375">
        <v>20.032526000000001</v>
      </c>
      <c r="H375">
        <v>22.085377999999999</v>
      </c>
      <c r="I375" t="s">
        <v>56</v>
      </c>
      <c r="N375"/>
      <c r="O375"/>
      <c r="P375" s="1">
        <f t="shared" si="46"/>
        <v>94.489017276422771</v>
      </c>
      <c r="Q375" s="1">
        <f t="shared" si="47"/>
        <v>97.249518292682936</v>
      </c>
      <c r="R375" s="1">
        <f t="shared" si="48"/>
        <v>100.30348628530641</v>
      </c>
      <c r="S375" s="1">
        <f t="shared" si="49"/>
        <v>72.207325081833062</v>
      </c>
    </row>
    <row r="376" spans="1:19" x14ac:dyDescent="0.3">
      <c r="A376">
        <v>12260.2</v>
      </c>
      <c r="B376">
        <v>98.458213000000001</v>
      </c>
      <c r="C376">
        <v>101.765733</v>
      </c>
      <c r="D376">
        <v>104.953439</v>
      </c>
      <c r="E376">
        <v>71.910746000000003</v>
      </c>
      <c r="F376">
        <v>46.031922000000002</v>
      </c>
      <c r="G376">
        <v>20.032526000000001</v>
      </c>
      <c r="H376">
        <v>22.085377999999999</v>
      </c>
      <c r="I376"/>
      <c r="N376"/>
      <c r="O376"/>
      <c r="P376" s="1">
        <f t="shared" si="46"/>
        <v>94.495442073170736</v>
      </c>
      <c r="Q376" s="1">
        <f t="shared" si="47"/>
        <v>97.274421747967494</v>
      </c>
      <c r="R376" s="1">
        <f t="shared" si="48"/>
        <v>100.28849291322524</v>
      </c>
      <c r="S376" s="1">
        <f t="shared" si="49"/>
        <v>72.230690466448451</v>
      </c>
    </row>
    <row r="377" spans="1:19" x14ac:dyDescent="0.3">
      <c r="A377">
        <v>12260.4</v>
      </c>
      <c r="B377">
        <v>98.471446</v>
      </c>
      <c r="C377">
        <v>101.78402800000001</v>
      </c>
      <c r="D377">
        <v>104.97642999999999</v>
      </c>
      <c r="E377">
        <v>71.943749999999994</v>
      </c>
      <c r="F377">
        <v>44.707363999999998</v>
      </c>
      <c r="G377">
        <v>20.022984999999998</v>
      </c>
      <c r="H377">
        <v>22.09243</v>
      </c>
      <c r="I377"/>
      <c r="N377"/>
      <c r="O377"/>
      <c r="P377" s="1">
        <f t="shared" si="46"/>
        <v>94.495442073170736</v>
      </c>
      <c r="Q377" s="1">
        <f t="shared" si="47"/>
        <v>97.274421747967494</v>
      </c>
      <c r="R377" s="1">
        <f t="shared" si="48"/>
        <v>100.28849291322524</v>
      </c>
      <c r="S377" s="1">
        <f t="shared" si="49"/>
        <v>72.230690466448451</v>
      </c>
    </row>
    <row r="378" spans="1:19" x14ac:dyDescent="0.3">
      <c r="A378">
        <v>12260.6</v>
      </c>
      <c r="B378">
        <v>98.471446</v>
      </c>
      <c r="C378">
        <v>101.78402800000001</v>
      </c>
      <c r="D378">
        <v>104.97642999999999</v>
      </c>
      <c r="E378">
        <v>71.943749999999994</v>
      </c>
      <c r="F378">
        <v>44.707363999999998</v>
      </c>
      <c r="G378">
        <v>20.022984999999998</v>
      </c>
      <c r="H378">
        <v>22.09243</v>
      </c>
      <c r="I378"/>
      <c r="N378"/>
      <c r="O378"/>
      <c r="P378" s="1">
        <f t="shared" si="46"/>
        <v>94.493590447154475</v>
      </c>
      <c r="Q378" s="1">
        <f t="shared" si="47"/>
        <v>97.258720528455299</v>
      </c>
      <c r="R378" s="1">
        <f t="shared" si="48"/>
        <v>100.30323034567147</v>
      </c>
      <c r="S378" s="1">
        <f t="shared" si="49"/>
        <v>72.278807283142385</v>
      </c>
    </row>
    <row r="379" spans="1:19" x14ac:dyDescent="0.3">
      <c r="A379">
        <v>12260.8</v>
      </c>
      <c r="B379">
        <v>98.486091000000002</v>
      </c>
      <c r="C379">
        <v>101.778006</v>
      </c>
      <c r="D379">
        <v>104.980413</v>
      </c>
      <c r="E379">
        <v>72.006820000000005</v>
      </c>
      <c r="F379">
        <v>45.089955000000003</v>
      </c>
      <c r="G379">
        <v>20.002649999999999</v>
      </c>
      <c r="H379">
        <v>22.084209000000001</v>
      </c>
      <c r="I379"/>
      <c r="N379"/>
      <c r="O379"/>
      <c r="P379" s="1">
        <f t="shared" si="46"/>
        <v>94.493590447154475</v>
      </c>
      <c r="Q379" s="1">
        <f t="shared" si="47"/>
        <v>97.258720528455299</v>
      </c>
      <c r="R379" s="1">
        <f t="shared" si="48"/>
        <v>100.30323034567147</v>
      </c>
      <c r="S379" s="1">
        <f t="shared" si="49"/>
        <v>72.278807283142385</v>
      </c>
    </row>
    <row r="380" spans="1:19" x14ac:dyDescent="0.3">
      <c r="A380">
        <v>12261</v>
      </c>
      <c r="B380">
        <v>98.486091000000002</v>
      </c>
      <c r="C380">
        <v>101.778006</v>
      </c>
      <c r="D380">
        <v>104.980413</v>
      </c>
      <c r="E380">
        <v>72.006820000000005</v>
      </c>
      <c r="F380">
        <v>45.089955000000003</v>
      </c>
      <c r="G380">
        <v>20.002649999999999</v>
      </c>
      <c r="H380">
        <v>22.084209000000001</v>
      </c>
      <c r="I380" t="s">
        <v>56</v>
      </c>
      <c r="N380"/>
      <c r="O380"/>
      <c r="P380" s="1">
        <f t="shared" si="46"/>
        <v>94.502173780487809</v>
      </c>
      <c r="Q380" s="1">
        <f t="shared" si="47"/>
        <v>97.274947154471548</v>
      </c>
      <c r="R380" s="1">
        <f t="shared" si="48"/>
        <v>100.30376771693687</v>
      </c>
      <c r="S380" s="1">
        <f t="shared" si="49"/>
        <v>72.23350347790506</v>
      </c>
    </row>
    <row r="381" spans="1:19" x14ac:dyDescent="0.3">
      <c r="A381">
        <v>12261.2</v>
      </c>
      <c r="B381">
        <v>98.494005000000001</v>
      </c>
      <c r="C381">
        <v>101.782763</v>
      </c>
      <c r="D381">
        <v>104.950439</v>
      </c>
      <c r="E381">
        <v>71.991562999999999</v>
      </c>
      <c r="F381">
        <v>45.038245000000003</v>
      </c>
      <c r="G381">
        <v>20.018227</v>
      </c>
      <c r="H381">
        <v>22.080338999999999</v>
      </c>
      <c r="I381"/>
      <c r="N381"/>
      <c r="O381"/>
      <c r="P381" s="1">
        <f t="shared" si="46"/>
        <v>94.502173780487809</v>
      </c>
      <c r="Q381" s="1">
        <f t="shared" si="47"/>
        <v>97.274947154471548</v>
      </c>
      <c r="R381" s="1">
        <f t="shared" si="48"/>
        <v>100.30376771693687</v>
      </c>
      <c r="S381" s="1">
        <f t="shared" si="49"/>
        <v>72.23350347790506</v>
      </c>
    </row>
    <row r="382" spans="1:19" x14ac:dyDescent="0.3">
      <c r="A382">
        <v>12261.4</v>
      </c>
      <c r="B382">
        <v>98.494005000000001</v>
      </c>
      <c r="C382">
        <v>101.782763</v>
      </c>
      <c r="D382">
        <v>104.950439</v>
      </c>
      <c r="E382">
        <v>71.991562999999999</v>
      </c>
      <c r="F382">
        <v>45.038245000000003</v>
      </c>
      <c r="G382">
        <v>20.018227</v>
      </c>
      <c r="H382">
        <v>22.080338999999999</v>
      </c>
      <c r="I382"/>
      <c r="N382"/>
      <c r="O382"/>
      <c r="P382" s="1">
        <f t="shared" si="46"/>
        <v>94.506082317073179</v>
      </c>
      <c r="Q382" s="1">
        <f t="shared" si="47"/>
        <v>97.284174796747976</v>
      </c>
      <c r="R382" s="1">
        <f t="shared" si="48"/>
        <v>100.32405016824717</v>
      </c>
      <c r="S382" s="1">
        <f t="shared" si="49"/>
        <v>72.190415302782327</v>
      </c>
    </row>
    <row r="383" spans="1:19" x14ac:dyDescent="0.3">
      <c r="A383">
        <v>12261.6</v>
      </c>
      <c r="B383">
        <v>98.506507999999997</v>
      </c>
      <c r="C383">
        <v>101.788026</v>
      </c>
      <c r="D383">
        <v>104.965665</v>
      </c>
      <c r="E383">
        <v>71.862782999999993</v>
      </c>
      <c r="F383">
        <v>45.329265999999997</v>
      </c>
      <c r="G383">
        <v>20.010859</v>
      </c>
      <c r="H383">
        <v>22.090271999999999</v>
      </c>
      <c r="I383"/>
      <c r="N383"/>
      <c r="O383"/>
      <c r="P383" s="1">
        <f t="shared" si="46"/>
        <v>94.506082317073179</v>
      </c>
      <c r="Q383" s="1">
        <f t="shared" si="47"/>
        <v>97.284174796747976</v>
      </c>
      <c r="R383" s="1">
        <f t="shared" si="48"/>
        <v>100.32405016824717</v>
      </c>
      <c r="S383" s="1">
        <f t="shared" si="49"/>
        <v>72.190415302782327</v>
      </c>
    </row>
    <row r="384" spans="1:19" x14ac:dyDescent="0.3">
      <c r="A384">
        <v>12261.8</v>
      </c>
      <c r="B384">
        <v>98.506507999999997</v>
      </c>
      <c r="C384">
        <v>101.788026</v>
      </c>
      <c r="D384">
        <v>104.965665</v>
      </c>
      <c r="E384">
        <v>71.862782999999993</v>
      </c>
      <c r="F384">
        <v>45.329265999999997</v>
      </c>
      <c r="G384">
        <v>20.010859</v>
      </c>
      <c r="H384">
        <v>22.090271999999999</v>
      </c>
      <c r="I384"/>
      <c r="N384"/>
      <c r="O384"/>
      <c r="P384" s="1">
        <f t="shared" si="46"/>
        <v>94.499568089430909</v>
      </c>
      <c r="Q384" s="1">
        <f t="shared" si="47"/>
        <v>97.294480691056918</v>
      </c>
      <c r="R384" s="1">
        <f t="shared" si="48"/>
        <v>100.31682879575813</v>
      </c>
      <c r="S384" s="1">
        <f t="shared" si="49"/>
        <v>72.170399959083468</v>
      </c>
    </row>
    <row r="385" spans="1:19" x14ac:dyDescent="0.3">
      <c r="A385">
        <v>12262</v>
      </c>
      <c r="B385">
        <v>98.514549000000002</v>
      </c>
      <c r="C385">
        <v>101.78744399999999</v>
      </c>
      <c r="D385">
        <v>104.96690099999999</v>
      </c>
      <c r="E385">
        <v>71.769919000000002</v>
      </c>
      <c r="F385">
        <v>45.783701000000001</v>
      </c>
      <c r="G385">
        <v>20.01455</v>
      </c>
      <c r="H385">
        <v>22.097508000000001</v>
      </c>
      <c r="I385" t="s">
        <v>56</v>
      </c>
      <c r="N385"/>
      <c r="O385"/>
      <c r="P385" s="1">
        <f t="shared" si="46"/>
        <v>94.499568089430909</v>
      </c>
      <c r="Q385" s="1">
        <f t="shared" si="47"/>
        <v>97.294480691056918</v>
      </c>
      <c r="R385" s="1">
        <f t="shared" si="48"/>
        <v>100.31682879575813</v>
      </c>
      <c r="S385" s="1">
        <f t="shared" si="49"/>
        <v>72.170399959083468</v>
      </c>
    </row>
    <row r="386" spans="1:19" x14ac:dyDescent="0.3">
      <c r="A386">
        <v>12262.2</v>
      </c>
      <c r="B386">
        <v>98.514549000000002</v>
      </c>
      <c r="C386">
        <v>101.78744399999999</v>
      </c>
      <c r="D386">
        <v>104.96690099999999</v>
      </c>
      <c r="E386">
        <v>71.769919000000002</v>
      </c>
      <c r="F386">
        <v>45.783701000000001</v>
      </c>
      <c r="G386">
        <v>20.01455</v>
      </c>
      <c r="H386">
        <v>22.097508000000001</v>
      </c>
      <c r="I386"/>
      <c r="N386"/>
      <c r="O386"/>
      <c r="P386" s="1">
        <f t="shared" si="46"/>
        <v>94.48303861788618</v>
      </c>
      <c r="Q386" s="1">
        <f t="shared" si="47"/>
        <v>97.288276422764241</v>
      </c>
      <c r="R386" s="1">
        <f t="shared" si="48"/>
        <v>100.31270623024371</v>
      </c>
      <c r="S386" s="1">
        <f t="shared" si="49"/>
        <v>72.21947217675941</v>
      </c>
    </row>
    <row r="387" spans="1:19" x14ac:dyDescent="0.3">
      <c r="A387">
        <v>12262.4</v>
      </c>
      <c r="B387">
        <v>98.491208</v>
      </c>
      <c r="C387">
        <v>101.79020199999999</v>
      </c>
      <c r="D387">
        <v>104.99301699999999</v>
      </c>
      <c r="E387">
        <v>71.778232000000003</v>
      </c>
      <c r="F387">
        <v>46.122701999999997</v>
      </c>
      <c r="G387">
        <v>20.013929999999998</v>
      </c>
      <c r="H387">
        <v>22.089549000000002</v>
      </c>
      <c r="I387"/>
      <c r="N387"/>
      <c r="O387"/>
      <c r="P387" s="1">
        <f t="shared" si="46"/>
        <v>94.48303861788618</v>
      </c>
      <c r="Q387" s="1">
        <f t="shared" si="47"/>
        <v>97.288276422764241</v>
      </c>
      <c r="R387" s="1">
        <f t="shared" si="48"/>
        <v>100.31270623024371</v>
      </c>
      <c r="S387" s="1">
        <f t="shared" si="49"/>
        <v>72.21947217675941</v>
      </c>
    </row>
    <row r="388" spans="1:19" x14ac:dyDescent="0.3">
      <c r="A388">
        <v>12262.6</v>
      </c>
      <c r="B388">
        <v>98.491208</v>
      </c>
      <c r="C388">
        <v>101.79020199999999</v>
      </c>
      <c r="D388">
        <v>104.99301699999999</v>
      </c>
      <c r="E388">
        <v>71.778232000000003</v>
      </c>
      <c r="F388">
        <v>46.122701999999997</v>
      </c>
      <c r="G388">
        <v>20.013929999999998</v>
      </c>
      <c r="H388">
        <v>22.089549000000002</v>
      </c>
      <c r="I388"/>
      <c r="N388"/>
      <c r="O388"/>
      <c r="P388" s="1">
        <f t="shared" si="46"/>
        <v>94.521232723577242</v>
      </c>
      <c r="Q388" s="1">
        <f t="shared" si="47"/>
        <v>97.252081300813018</v>
      </c>
      <c r="R388" s="1">
        <f t="shared" si="48"/>
        <v>100.32102885693892</v>
      </c>
      <c r="S388" s="1">
        <f t="shared" si="49"/>
        <v>72.149823036006538</v>
      </c>
    </row>
    <row r="389" spans="1:19" x14ac:dyDescent="0.3">
      <c r="A389">
        <v>12262.8</v>
      </c>
      <c r="B389">
        <v>98.504188999999997</v>
      </c>
      <c r="C389">
        <v>101.768846</v>
      </c>
      <c r="D389">
        <v>104.973783</v>
      </c>
      <c r="E389">
        <v>71.916048000000004</v>
      </c>
      <c r="F389">
        <v>46.585450999999999</v>
      </c>
      <c r="G389">
        <v>20.000843</v>
      </c>
      <c r="H389">
        <v>22.080984999999998</v>
      </c>
      <c r="I389"/>
      <c r="N389"/>
      <c r="O389"/>
      <c r="P389" s="1">
        <f t="shared" si="46"/>
        <v>94.521232723577242</v>
      </c>
      <c r="Q389" s="1">
        <f t="shared" si="47"/>
        <v>97.252081300813018</v>
      </c>
      <c r="R389" s="1">
        <f t="shared" si="48"/>
        <v>100.32102885693892</v>
      </c>
      <c r="S389" s="1">
        <f t="shared" si="49"/>
        <v>72.149823036006538</v>
      </c>
    </row>
    <row r="390" spans="1:19" x14ac:dyDescent="0.3">
      <c r="A390">
        <v>12263</v>
      </c>
      <c r="B390">
        <v>98.504188999999997</v>
      </c>
      <c r="C390">
        <v>101.768846</v>
      </c>
      <c r="D390">
        <v>104.973783</v>
      </c>
      <c r="E390">
        <v>71.916048000000004</v>
      </c>
      <c r="F390">
        <v>46.585450999999999</v>
      </c>
      <c r="G390">
        <v>20.000843</v>
      </c>
      <c r="H390">
        <v>22.080984999999998</v>
      </c>
      <c r="I390" t="s">
        <v>56</v>
      </c>
      <c r="N390"/>
      <c r="O390"/>
      <c r="P390" s="1">
        <f t="shared" si="46"/>
        <v>94.49742276422765</v>
      </c>
      <c r="Q390" s="1">
        <f t="shared" si="47"/>
        <v>97.272948170731709</v>
      </c>
      <c r="R390" s="1">
        <f t="shared" si="48"/>
        <v>100.31744366268991</v>
      </c>
      <c r="S390" s="1">
        <f t="shared" si="49"/>
        <v>72.139382160392799</v>
      </c>
    </row>
    <row r="391" spans="1:19" x14ac:dyDescent="0.3">
      <c r="A391">
        <v>12263.2</v>
      </c>
      <c r="B391">
        <v>98.504037999999994</v>
      </c>
      <c r="C391">
        <v>101.79898300000001</v>
      </c>
      <c r="D391">
        <v>104.98497500000001</v>
      </c>
      <c r="E391">
        <v>72.004604999999998</v>
      </c>
      <c r="F391">
        <v>47.081859999999999</v>
      </c>
      <c r="G391">
        <v>20.017173</v>
      </c>
      <c r="H391">
        <v>22.089471</v>
      </c>
      <c r="I391"/>
      <c r="N391"/>
      <c r="O391"/>
      <c r="P391" s="1">
        <f t="shared" si="46"/>
        <v>94.49742276422765</v>
      </c>
      <c r="Q391" s="1">
        <f t="shared" si="47"/>
        <v>97.272948170731709</v>
      </c>
      <c r="R391" s="1">
        <f t="shared" si="48"/>
        <v>100.31744366268991</v>
      </c>
      <c r="S391" s="1">
        <f t="shared" si="49"/>
        <v>72.139382160392799</v>
      </c>
    </row>
    <row r="392" spans="1:19" x14ac:dyDescent="0.3">
      <c r="A392">
        <v>12263.4</v>
      </c>
      <c r="B392">
        <v>98.504037999999994</v>
      </c>
      <c r="C392">
        <v>101.79898300000001</v>
      </c>
      <c r="D392">
        <v>104.98497500000001</v>
      </c>
      <c r="E392">
        <v>72.004604999999998</v>
      </c>
      <c r="F392">
        <v>47.081859999999999</v>
      </c>
      <c r="G392">
        <v>20.017173</v>
      </c>
      <c r="H392">
        <v>22.089471</v>
      </c>
      <c r="I392"/>
      <c r="N392"/>
      <c r="O392"/>
      <c r="P392" s="1">
        <f t="shared" si="46"/>
        <v>94.497754065040667</v>
      </c>
      <c r="Q392" s="1">
        <f t="shared" si="47"/>
        <v>97.259900406504073</v>
      </c>
      <c r="R392" s="1">
        <f t="shared" si="48"/>
        <v>100.29495870296726</v>
      </c>
      <c r="S392" s="1">
        <f t="shared" si="49"/>
        <v>72.202970540098192</v>
      </c>
    </row>
    <row r="393" spans="1:19" x14ac:dyDescent="0.3">
      <c r="A393">
        <v>12263.6</v>
      </c>
      <c r="B393">
        <v>98.492266000000001</v>
      </c>
      <c r="C393">
        <v>101.797642</v>
      </c>
      <c r="D393">
        <v>104.969573</v>
      </c>
      <c r="E393">
        <v>71.874482</v>
      </c>
      <c r="F393">
        <v>46.836652999999998</v>
      </c>
      <c r="G393">
        <v>20.008671</v>
      </c>
      <c r="H393">
        <v>22.107980000000001</v>
      </c>
      <c r="I393"/>
      <c r="N393"/>
      <c r="O393"/>
      <c r="P393" s="1">
        <f t="shared" si="46"/>
        <v>100.85844817073172</v>
      </c>
      <c r="Q393" s="1">
        <f t="shared" si="47"/>
        <v>104.21974898373983</v>
      </c>
      <c r="R393" s="1">
        <f t="shared" si="48"/>
        <v>107.84515040277353</v>
      </c>
      <c r="S393" s="1">
        <f t="shared" si="49"/>
        <v>74.503422667757775</v>
      </c>
    </row>
    <row r="394" spans="1:19" x14ac:dyDescent="0.3">
      <c r="A394">
        <v>12263.8</v>
      </c>
      <c r="B394">
        <v>98.492266000000001</v>
      </c>
      <c r="C394">
        <v>101.797642</v>
      </c>
      <c r="D394">
        <v>104.969573</v>
      </c>
      <c r="E394">
        <v>71.874482</v>
      </c>
      <c r="F394">
        <v>46.836652999999998</v>
      </c>
      <c r="G394">
        <v>20.008671</v>
      </c>
      <c r="H394">
        <v>22.107980000000001</v>
      </c>
      <c r="I394"/>
      <c r="N394"/>
      <c r="O394"/>
      <c r="P394" s="1">
        <f t="shared" si="46"/>
        <v>100.85844817073172</v>
      </c>
      <c r="Q394" s="1">
        <f t="shared" si="47"/>
        <v>104.21974898373983</v>
      </c>
      <c r="R394" s="1">
        <f t="shared" si="48"/>
        <v>107.84515040277353</v>
      </c>
      <c r="S394" s="1">
        <f t="shared" si="49"/>
        <v>74.503422667757775</v>
      </c>
    </row>
    <row r="395" spans="1:19" x14ac:dyDescent="0.3">
      <c r="A395">
        <v>12264</v>
      </c>
      <c r="B395">
        <v>98.503685000000004</v>
      </c>
      <c r="C395">
        <v>101.777677</v>
      </c>
      <c r="D395">
        <v>104.95195200000001</v>
      </c>
      <c r="E395">
        <v>71.789433000000002</v>
      </c>
      <c r="F395">
        <v>46.887372999999997</v>
      </c>
      <c r="G395">
        <v>20.014233999999998</v>
      </c>
      <c r="H395">
        <v>22.096482999999999</v>
      </c>
      <c r="I395" t="s">
        <v>56</v>
      </c>
      <c r="N395"/>
      <c r="O395"/>
      <c r="P395" s="1">
        <f t="shared" si="46"/>
        <v>100.87189634146343</v>
      </c>
      <c r="Q395" s="1">
        <f t="shared" si="47"/>
        <v>104.23834146341464</v>
      </c>
      <c r="R395" s="1">
        <f t="shared" si="48"/>
        <v>107.86859386152747</v>
      </c>
      <c r="S395" s="1">
        <f t="shared" si="49"/>
        <v>74.537182896890343</v>
      </c>
    </row>
    <row r="396" spans="1:19" x14ac:dyDescent="0.3">
      <c r="A396">
        <v>12264.2</v>
      </c>
      <c r="B396">
        <v>98.503685000000004</v>
      </c>
      <c r="C396">
        <v>101.777677</v>
      </c>
      <c r="D396">
        <v>104.95195200000001</v>
      </c>
      <c r="E396">
        <v>71.789433000000002</v>
      </c>
      <c r="F396">
        <v>46.887372999999997</v>
      </c>
      <c r="G396">
        <v>20.014233999999998</v>
      </c>
      <c r="H396">
        <v>22.096482999999999</v>
      </c>
      <c r="I396"/>
      <c r="N396"/>
      <c r="O396"/>
      <c r="P396" s="1">
        <f t="shared" si="46"/>
        <v>100.87189634146343</v>
      </c>
      <c r="Q396" s="1">
        <f t="shared" si="47"/>
        <v>104.23834146341464</v>
      </c>
      <c r="R396" s="1">
        <f t="shared" si="48"/>
        <v>107.86859386152747</v>
      </c>
      <c r="S396" s="1">
        <f t="shared" si="49"/>
        <v>74.537182896890343</v>
      </c>
    </row>
    <row r="397" spans="1:19" x14ac:dyDescent="0.3">
      <c r="A397">
        <v>12264.4</v>
      </c>
      <c r="B397">
        <v>98.489795999999998</v>
      </c>
      <c r="C397">
        <v>101.795162</v>
      </c>
      <c r="D397">
        <v>104.958028</v>
      </c>
      <c r="E397">
        <v>71.741444999999999</v>
      </c>
      <c r="F397">
        <v>46.429431999999998</v>
      </c>
      <c r="G397">
        <v>20.006419000000001</v>
      </c>
      <c r="H397">
        <v>22.099575000000002</v>
      </c>
      <c r="I397"/>
      <c r="N397"/>
      <c r="O397"/>
      <c r="P397" s="1">
        <f t="shared" si="46"/>
        <v>100.88677947154473</v>
      </c>
      <c r="Q397" s="1">
        <f t="shared" si="47"/>
        <v>104.23222154471546</v>
      </c>
      <c r="R397" s="1">
        <f t="shared" si="48"/>
        <v>107.87265524625268</v>
      </c>
      <c r="S397" s="1">
        <f t="shared" si="49"/>
        <v>74.601698036006553</v>
      </c>
    </row>
    <row r="398" spans="1:19" x14ac:dyDescent="0.3">
      <c r="A398">
        <v>12264.6</v>
      </c>
      <c r="B398">
        <v>98.489795999999998</v>
      </c>
      <c r="C398">
        <v>101.795162</v>
      </c>
      <c r="D398">
        <v>104.958028</v>
      </c>
      <c r="E398">
        <v>71.741444999999999</v>
      </c>
      <c r="F398">
        <v>46.429431999999998</v>
      </c>
      <c r="G398">
        <v>20.006419000000001</v>
      </c>
      <c r="H398">
        <v>22.099575000000002</v>
      </c>
      <c r="I398"/>
      <c r="N398"/>
      <c r="O398"/>
      <c r="P398" s="1">
        <f t="shared" si="46"/>
        <v>100.88677947154473</v>
      </c>
      <c r="Q398" s="1">
        <f t="shared" si="47"/>
        <v>104.23222154471546</v>
      </c>
      <c r="R398" s="1">
        <f t="shared" si="48"/>
        <v>107.87265524625268</v>
      </c>
      <c r="S398" s="1">
        <f t="shared" si="49"/>
        <v>74.601698036006553</v>
      </c>
    </row>
    <row r="399" spans="1:19" x14ac:dyDescent="0.3">
      <c r="A399">
        <v>12264.8</v>
      </c>
      <c r="B399">
        <v>98.501593</v>
      </c>
      <c r="C399">
        <v>101.77967599999999</v>
      </c>
      <c r="D399">
        <v>104.951221</v>
      </c>
      <c r="E399">
        <v>71.713443999999996</v>
      </c>
      <c r="F399">
        <v>46.525731999999998</v>
      </c>
      <c r="G399">
        <v>20.019715999999999</v>
      </c>
      <c r="H399">
        <v>22.107164999999998</v>
      </c>
      <c r="I399"/>
      <c r="N399"/>
      <c r="O399"/>
      <c r="P399" s="1">
        <f t="shared" si="46"/>
        <v>100.89482215447156</v>
      </c>
      <c r="Q399" s="1">
        <f t="shared" si="47"/>
        <v>104.23705589430895</v>
      </c>
      <c r="R399" s="1">
        <f t="shared" si="48"/>
        <v>107.84209136331192</v>
      </c>
      <c r="S399" s="1">
        <f t="shared" si="49"/>
        <v>74.586091448445174</v>
      </c>
    </row>
    <row r="400" spans="1:19" x14ac:dyDescent="0.3">
      <c r="A400">
        <v>12265</v>
      </c>
      <c r="B400">
        <v>98.501593</v>
      </c>
      <c r="C400">
        <v>101.77967599999999</v>
      </c>
      <c r="D400">
        <v>104.951221</v>
      </c>
      <c r="E400">
        <v>71.713443999999996</v>
      </c>
      <c r="F400">
        <v>46.525731999999998</v>
      </c>
      <c r="G400">
        <v>20.019715999999999</v>
      </c>
      <c r="H400">
        <v>22.107164999999998</v>
      </c>
      <c r="I400" t="s">
        <v>56</v>
      </c>
      <c r="N400"/>
      <c r="O400"/>
      <c r="P400" s="1">
        <f t="shared" si="46"/>
        <v>100.89482215447156</v>
      </c>
      <c r="Q400" s="1">
        <f t="shared" si="47"/>
        <v>104.23705589430895</v>
      </c>
      <c r="R400" s="1">
        <f t="shared" si="48"/>
        <v>107.84209136331192</v>
      </c>
      <c r="S400" s="1">
        <f t="shared" si="49"/>
        <v>74.586091448445174</v>
      </c>
    </row>
    <row r="401" spans="1:19" x14ac:dyDescent="0.3">
      <c r="A401">
        <v>12265.2</v>
      </c>
      <c r="B401">
        <v>98.474092999999996</v>
      </c>
      <c r="C401">
        <v>101.766189</v>
      </c>
      <c r="D401">
        <v>104.981345</v>
      </c>
      <c r="E401">
        <v>71.853623999999996</v>
      </c>
      <c r="F401">
        <v>46.232618000000002</v>
      </c>
      <c r="G401">
        <v>20.010490999999998</v>
      </c>
      <c r="H401">
        <v>22.088484000000001</v>
      </c>
      <c r="I401"/>
      <c r="N401"/>
      <c r="O401"/>
      <c r="P401" s="1">
        <f t="shared" si="46"/>
        <v>100.90752845528455</v>
      </c>
      <c r="Q401" s="1">
        <f t="shared" si="47"/>
        <v>104.24240447154472</v>
      </c>
      <c r="R401" s="1">
        <f t="shared" si="48"/>
        <v>107.85761700825941</v>
      </c>
      <c r="S401" s="1">
        <f t="shared" si="49"/>
        <v>74.454360679214389</v>
      </c>
    </row>
    <row r="402" spans="1:19" x14ac:dyDescent="0.3">
      <c r="A402">
        <v>12265.4</v>
      </c>
      <c r="B402">
        <v>98.474092999999996</v>
      </c>
      <c r="C402">
        <v>101.766189</v>
      </c>
      <c r="D402">
        <v>104.981345</v>
      </c>
      <c r="E402">
        <v>71.853623999999996</v>
      </c>
      <c r="F402">
        <v>46.232618000000002</v>
      </c>
      <c r="G402">
        <v>20.010490999999998</v>
      </c>
      <c r="H402">
        <v>22.088484000000001</v>
      </c>
      <c r="I402"/>
      <c r="N402"/>
      <c r="O402"/>
      <c r="P402" s="1">
        <f t="shared" si="46"/>
        <v>100.90752845528455</v>
      </c>
      <c r="Q402" s="1">
        <f t="shared" si="47"/>
        <v>104.24240447154472</v>
      </c>
      <c r="R402" s="1">
        <f t="shared" si="48"/>
        <v>107.85761700825941</v>
      </c>
      <c r="S402" s="1">
        <f t="shared" si="49"/>
        <v>74.454360679214389</v>
      </c>
    </row>
    <row r="403" spans="1:19" x14ac:dyDescent="0.3">
      <c r="A403">
        <v>12265.6</v>
      </c>
      <c r="B403">
        <v>98.478025000000002</v>
      </c>
      <c r="C403">
        <v>101.792455</v>
      </c>
      <c r="D403">
        <v>104.974842</v>
      </c>
      <c r="E403">
        <v>71.744606000000005</v>
      </c>
      <c r="F403">
        <v>45.755639000000002</v>
      </c>
      <c r="G403">
        <v>20.015605000000001</v>
      </c>
      <c r="H403">
        <v>22.073459</v>
      </c>
      <c r="I403"/>
      <c r="N403"/>
      <c r="O403"/>
      <c r="P403" s="1">
        <f t="shared" si="46"/>
        <v>100.91570020325204</v>
      </c>
      <c r="Q403" s="1">
        <f t="shared" si="47"/>
        <v>104.24181300813008</v>
      </c>
      <c r="R403" s="1">
        <f t="shared" si="48"/>
        <v>107.85887733251758</v>
      </c>
      <c r="S403" s="1">
        <f t="shared" si="49"/>
        <v>74.359368862520455</v>
      </c>
    </row>
    <row r="404" spans="1:19" x14ac:dyDescent="0.3">
      <c r="A404">
        <v>12265.8</v>
      </c>
      <c r="B404">
        <v>98.478025000000002</v>
      </c>
      <c r="C404">
        <v>101.792455</v>
      </c>
      <c r="D404">
        <v>104.974842</v>
      </c>
      <c r="E404">
        <v>71.744606000000005</v>
      </c>
      <c r="F404">
        <v>45.755639000000002</v>
      </c>
      <c r="G404">
        <v>20.015605000000001</v>
      </c>
      <c r="H404">
        <v>22.073459</v>
      </c>
      <c r="I404"/>
      <c r="N404"/>
      <c r="O404"/>
      <c r="P404" s="1">
        <f t="shared" si="46"/>
        <v>100.91570020325204</v>
      </c>
      <c r="Q404" s="1">
        <f t="shared" si="47"/>
        <v>104.24181300813008</v>
      </c>
      <c r="R404" s="1">
        <f t="shared" si="48"/>
        <v>107.85887733251758</v>
      </c>
      <c r="S404" s="1">
        <f t="shared" si="49"/>
        <v>74.359368862520455</v>
      </c>
    </row>
    <row r="405" spans="1:19" x14ac:dyDescent="0.3">
      <c r="A405">
        <v>12266</v>
      </c>
      <c r="B405">
        <v>98.491737000000001</v>
      </c>
      <c r="C405">
        <v>101.76386100000001</v>
      </c>
      <c r="D405">
        <v>104.95679199999999</v>
      </c>
      <c r="E405">
        <v>71.660477999999998</v>
      </c>
      <c r="F405">
        <v>46.100195999999997</v>
      </c>
      <c r="G405">
        <v>20.013904</v>
      </c>
      <c r="H405">
        <v>22.087629</v>
      </c>
      <c r="I405" t="s">
        <v>56</v>
      </c>
      <c r="N405"/>
      <c r="O405"/>
      <c r="P405" s="1">
        <f t="shared" si="46"/>
        <v>100.89197967479676</v>
      </c>
      <c r="Q405" s="1">
        <f t="shared" si="47"/>
        <v>104.24461585365853</v>
      </c>
      <c r="R405" s="1">
        <f t="shared" si="48"/>
        <v>107.88550729071071</v>
      </c>
      <c r="S405" s="1">
        <f t="shared" si="49"/>
        <v>74.367872340425535</v>
      </c>
    </row>
    <row r="406" spans="1:19" x14ac:dyDescent="0.3">
      <c r="A406">
        <v>12266.2</v>
      </c>
      <c r="B406">
        <v>98.491737000000001</v>
      </c>
      <c r="C406">
        <v>101.76386100000001</v>
      </c>
      <c r="D406">
        <v>104.95679199999999</v>
      </c>
      <c r="E406">
        <v>71.660477999999998</v>
      </c>
      <c r="F406">
        <v>46.100195999999997</v>
      </c>
      <c r="G406">
        <v>20.013904</v>
      </c>
      <c r="H406">
        <v>22.087629</v>
      </c>
      <c r="I406"/>
      <c r="N406"/>
      <c r="O406"/>
      <c r="P406" s="1">
        <f t="shared" si="46"/>
        <v>100.89197967479676</v>
      </c>
      <c r="Q406" s="1">
        <f t="shared" si="47"/>
        <v>104.24461585365853</v>
      </c>
      <c r="R406" s="1">
        <f t="shared" si="48"/>
        <v>107.88550729071071</v>
      </c>
      <c r="S406" s="1">
        <f t="shared" si="49"/>
        <v>74.367872340425535</v>
      </c>
    </row>
    <row r="407" spans="1:19" x14ac:dyDescent="0.3">
      <c r="A407">
        <v>12266.4</v>
      </c>
      <c r="B407">
        <v>98.490401000000006</v>
      </c>
      <c r="C407">
        <v>101.754777</v>
      </c>
      <c r="D407">
        <v>104.97042999999999</v>
      </c>
      <c r="E407">
        <v>71.666326999999995</v>
      </c>
      <c r="F407">
        <v>46.518935999999997</v>
      </c>
      <c r="G407">
        <v>19.998667000000001</v>
      </c>
      <c r="H407">
        <v>22.075734000000001</v>
      </c>
      <c r="I407"/>
      <c r="N407"/>
      <c r="O407"/>
      <c r="P407" s="1">
        <f t="shared" si="46"/>
        <v>100.90517174796749</v>
      </c>
      <c r="Q407" s="1">
        <f t="shared" si="47"/>
        <v>104.22291260162602</v>
      </c>
      <c r="R407" s="1">
        <f t="shared" si="48"/>
        <v>107.86589476904251</v>
      </c>
      <c r="S407" s="1">
        <f t="shared" si="49"/>
        <v>74.50884615384615</v>
      </c>
    </row>
    <row r="408" spans="1:19" x14ac:dyDescent="0.3">
      <c r="A408">
        <v>12266.6</v>
      </c>
      <c r="B408">
        <v>98.490401000000006</v>
      </c>
      <c r="C408">
        <v>101.754777</v>
      </c>
      <c r="D408">
        <v>104.97042999999999</v>
      </c>
      <c r="E408">
        <v>71.666326999999995</v>
      </c>
      <c r="F408">
        <v>46.518935999999997</v>
      </c>
      <c r="G408">
        <v>19.998667000000001</v>
      </c>
      <c r="H408">
        <v>22.075734000000001</v>
      </c>
      <c r="I408"/>
      <c r="N408"/>
      <c r="O408"/>
      <c r="P408" s="1">
        <f t="shared" si="46"/>
        <v>100.90517174796749</v>
      </c>
      <c r="Q408" s="1">
        <f t="shared" si="47"/>
        <v>104.22291260162602</v>
      </c>
      <c r="R408" s="1">
        <f t="shared" si="48"/>
        <v>107.86589476904251</v>
      </c>
      <c r="S408" s="1">
        <f t="shared" si="49"/>
        <v>74.50884615384615</v>
      </c>
    </row>
    <row r="409" spans="1:19" x14ac:dyDescent="0.3">
      <c r="A409">
        <v>12266.8</v>
      </c>
      <c r="B409">
        <v>98.465145000000007</v>
      </c>
      <c r="C409">
        <v>101.77087</v>
      </c>
      <c r="D409">
        <v>104.97148900000001</v>
      </c>
      <c r="E409">
        <v>71.849267999999995</v>
      </c>
      <c r="F409">
        <v>46.520501000000003</v>
      </c>
      <c r="G409">
        <v>20.005455999999999</v>
      </c>
      <c r="H409">
        <v>22.091982999999999</v>
      </c>
      <c r="I409"/>
      <c r="N409"/>
      <c r="O409"/>
      <c r="P409" s="1">
        <f t="shared" si="46"/>
        <v>100.90501829268293</v>
      </c>
      <c r="Q409" s="1">
        <f t="shared" si="47"/>
        <v>104.25353963414635</v>
      </c>
      <c r="R409" s="1">
        <f t="shared" si="48"/>
        <v>107.87730702559396</v>
      </c>
      <c r="S409" s="1">
        <f t="shared" si="49"/>
        <v>74.599432283142391</v>
      </c>
    </row>
    <row r="410" spans="1:19" x14ac:dyDescent="0.3">
      <c r="A410">
        <v>12267</v>
      </c>
      <c r="B410">
        <v>98.465145000000007</v>
      </c>
      <c r="C410">
        <v>101.77087</v>
      </c>
      <c r="D410">
        <v>104.97148900000001</v>
      </c>
      <c r="E410">
        <v>71.849267999999995</v>
      </c>
      <c r="F410">
        <v>46.520501000000003</v>
      </c>
      <c r="G410">
        <v>20.005455999999999</v>
      </c>
      <c r="H410">
        <v>22.091982999999999</v>
      </c>
      <c r="I410" t="s">
        <v>56</v>
      </c>
      <c r="N410"/>
      <c r="O410"/>
      <c r="P410" s="1">
        <f t="shared" si="46"/>
        <v>100.90501829268293</v>
      </c>
      <c r="Q410" s="1">
        <f t="shared" si="47"/>
        <v>104.25353963414635</v>
      </c>
      <c r="R410" s="1">
        <f t="shared" si="48"/>
        <v>107.87730702559396</v>
      </c>
      <c r="S410" s="1">
        <f t="shared" si="49"/>
        <v>74.599432283142391</v>
      </c>
    </row>
    <row r="411" spans="1:19" x14ac:dyDescent="0.3">
      <c r="A411">
        <v>12267.2</v>
      </c>
      <c r="B411">
        <v>98.477936999999997</v>
      </c>
      <c r="C411">
        <v>101.778246</v>
      </c>
      <c r="D411">
        <v>104.94752800000001</v>
      </c>
      <c r="E411">
        <v>71.752135999999993</v>
      </c>
      <c r="F411">
        <v>46.837994999999999</v>
      </c>
      <c r="G411">
        <v>20.009779000000002</v>
      </c>
      <c r="H411">
        <v>22.067644000000001</v>
      </c>
      <c r="I411"/>
      <c r="N411"/>
      <c r="O411"/>
      <c r="P411" s="1">
        <f t="shared" si="46"/>
        <v>100.89305487804879</v>
      </c>
      <c r="Q411" s="1">
        <f t="shared" si="47"/>
        <v>104.25217682926829</v>
      </c>
      <c r="R411" s="1">
        <f t="shared" si="48"/>
        <v>107.86160191699805</v>
      </c>
      <c r="S411" s="1">
        <f t="shared" si="49"/>
        <v>74.466327741407525</v>
      </c>
    </row>
    <row r="412" spans="1:19" x14ac:dyDescent="0.3">
      <c r="A412">
        <v>12267.4</v>
      </c>
      <c r="B412">
        <v>98.477936999999997</v>
      </c>
      <c r="C412">
        <v>101.778246</v>
      </c>
      <c r="D412">
        <v>104.94752800000001</v>
      </c>
      <c r="E412">
        <v>71.752135999999993</v>
      </c>
      <c r="F412">
        <v>46.837994999999999</v>
      </c>
      <c r="G412">
        <v>20.009779000000002</v>
      </c>
      <c r="H412">
        <v>22.067644000000001</v>
      </c>
      <c r="I412"/>
      <c r="N412"/>
      <c r="O412"/>
      <c r="P412" s="1">
        <f t="shared" si="46"/>
        <v>100.89305487804879</v>
      </c>
      <c r="Q412" s="1">
        <f t="shared" si="47"/>
        <v>104.25217682926829</v>
      </c>
      <c r="R412" s="1">
        <f t="shared" si="48"/>
        <v>107.86160191699805</v>
      </c>
      <c r="S412" s="1">
        <f t="shared" si="49"/>
        <v>74.466327741407525</v>
      </c>
    </row>
    <row r="413" spans="1:19" x14ac:dyDescent="0.3">
      <c r="A413">
        <v>12267.6</v>
      </c>
      <c r="B413">
        <v>98.481855999999993</v>
      </c>
      <c r="C413">
        <v>101.77489300000001</v>
      </c>
      <c r="D413">
        <v>104.944188</v>
      </c>
      <c r="E413">
        <v>71.81156</v>
      </c>
      <c r="F413">
        <v>47.190043000000003</v>
      </c>
      <c r="G413">
        <v>20.026306999999999</v>
      </c>
      <c r="H413">
        <v>22.058567</v>
      </c>
      <c r="I413"/>
      <c r="N413"/>
      <c r="O413"/>
      <c r="P413" s="1">
        <f t="shared" si="46"/>
        <v>100.90465955284554</v>
      </c>
      <c r="Q413" s="1">
        <f t="shared" si="47"/>
        <v>104.23188719512196</v>
      </c>
      <c r="R413" s="1">
        <f t="shared" si="48"/>
        <v>107.84363413888039</v>
      </c>
      <c r="S413" s="1">
        <f t="shared" si="49"/>
        <v>74.379329991816689</v>
      </c>
    </row>
    <row r="414" spans="1:19" x14ac:dyDescent="0.3">
      <c r="A414">
        <v>12267.8</v>
      </c>
      <c r="B414">
        <v>98.481855999999993</v>
      </c>
      <c r="C414">
        <v>101.77489300000001</v>
      </c>
      <c r="D414">
        <v>104.944188</v>
      </c>
      <c r="E414">
        <v>71.81156</v>
      </c>
      <c r="F414">
        <v>47.190043000000003</v>
      </c>
      <c r="G414">
        <v>20.026306999999999</v>
      </c>
      <c r="H414">
        <v>22.058567</v>
      </c>
      <c r="I414"/>
      <c r="N414"/>
      <c r="O414"/>
      <c r="P414" s="1">
        <f t="shared" si="46"/>
        <v>100.90465955284554</v>
      </c>
      <c r="Q414" s="1">
        <f t="shared" si="47"/>
        <v>104.23188719512196</v>
      </c>
      <c r="R414" s="1">
        <f t="shared" si="48"/>
        <v>107.84363413888039</v>
      </c>
      <c r="S414" s="1">
        <f t="shared" si="49"/>
        <v>74.379329991816689</v>
      </c>
    </row>
    <row r="415" spans="1:19" x14ac:dyDescent="0.3">
      <c r="A415">
        <v>12268</v>
      </c>
      <c r="B415">
        <v>98.489858999999996</v>
      </c>
      <c r="C415">
        <v>101.76971899999999</v>
      </c>
      <c r="D415">
        <v>104.965124</v>
      </c>
      <c r="E415">
        <v>71.770629</v>
      </c>
      <c r="F415">
        <v>47.256760999999997</v>
      </c>
      <c r="G415">
        <v>20.009740000000001</v>
      </c>
      <c r="H415">
        <v>22.068552</v>
      </c>
      <c r="I415" t="s">
        <v>56</v>
      </c>
      <c r="N415"/>
      <c r="O415"/>
      <c r="P415" s="1">
        <f t="shared" si="46"/>
        <v>100.89054471544716</v>
      </c>
      <c r="Q415" s="1">
        <f t="shared" si="47"/>
        <v>104.24965650406504</v>
      </c>
      <c r="R415" s="1">
        <f t="shared" si="48"/>
        <v>107.84982971346996</v>
      </c>
      <c r="S415" s="1">
        <f t="shared" si="49"/>
        <v>74.330242430441899</v>
      </c>
    </row>
    <row r="416" spans="1:19" x14ac:dyDescent="0.3">
      <c r="A416">
        <v>12268.2</v>
      </c>
      <c r="B416">
        <v>98.489858999999996</v>
      </c>
      <c r="C416">
        <v>101.76971899999999</v>
      </c>
      <c r="D416">
        <v>104.965124</v>
      </c>
      <c r="E416">
        <v>71.770629</v>
      </c>
      <c r="F416">
        <v>47.256760999999997</v>
      </c>
      <c r="G416">
        <v>20.009740000000001</v>
      </c>
      <c r="H416">
        <v>22.068552</v>
      </c>
      <c r="I416"/>
      <c r="N416"/>
      <c r="O416"/>
      <c r="P416" s="1">
        <f t="shared" si="46"/>
        <v>100.89054471544716</v>
      </c>
      <c r="Q416" s="1">
        <f t="shared" si="47"/>
        <v>104.24965650406504</v>
      </c>
      <c r="R416" s="1">
        <f t="shared" si="48"/>
        <v>107.84982971346996</v>
      </c>
      <c r="S416" s="1">
        <f t="shared" si="49"/>
        <v>74.330242430441899</v>
      </c>
    </row>
    <row r="417" spans="1:19" x14ac:dyDescent="0.3">
      <c r="A417">
        <v>12268.4</v>
      </c>
      <c r="B417">
        <v>98.474168000000006</v>
      </c>
      <c r="C417">
        <v>101.770364</v>
      </c>
      <c r="D417">
        <v>104.95896</v>
      </c>
      <c r="E417">
        <v>71.747069999999994</v>
      </c>
      <c r="F417">
        <v>46.737748000000003</v>
      </c>
      <c r="G417">
        <v>19.999381</v>
      </c>
      <c r="H417">
        <v>22.102495999999999</v>
      </c>
      <c r="I417"/>
      <c r="N417"/>
      <c r="O417"/>
      <c r="P417" s="1">
        <f t="shared" si="46"/>
        <v>100.90253353658537</v>
      </c>
      <c r="Q417" s="1">
        <f t="shared" si="47"/>
        <v>104.23391869918699</v>
      </c>
      <c r="R417" s="1">
        <f t="shared" si="48"/>
        <v>107.84288875293159</v>
      </c>
      <c r="S417" s="1">
        <f t="shared" si="49"/>
        <v>74.301599836333878</v>
      </c>
    </row>
    <row r="418" spans="1:19" x14ac:dyDescent="0.3">
      <c r="A418">
        <v>12268.6</v>
      </c>
      <c r="B418">
        <v>98.474168000000006</v>
      </c>
      <c r="C418">
        <v>101.770364</v>
      </c>
      <c r="D418">
        <v>104.95896</v>
      </c>
      <c r="E418">
        <v>71.747069999999994</v>
      </c>
      <c r="F418">
        <v>46.737748000000003</v>
      </c>
      <c r="G418">
        <v>19.999381</v>
      </c>
      <c r="H418">
        <v>22.102495999999999</v>
      </c>
      <c r="I418"/>
      <c r="N418"/>
      <c r="O418"/>
      <c r="P418" s="1">
        <f t="shared" si="46"/>
        <v>100.90253353658537</v>
      </c>
      <c r="Q418" s="1">
        <f t="shared" si="47"/>
        <v>104.23391869918699</v>
      </c>
      <c r="R418" s="1">
        <f t="shared" si="48"/>
        <v>107.84288875293159</v>
      </c>
      <c r="S418" s="1">
        <f t="shared" si="49"/>
        <v>74.301599836333878</v>
      </c>
    </row>
    <row r="419" spans="1:19" x14ac:dyDescent="0.3">
      <c r="A419">
        <v>12268.8</v>
      </c>
      <c r="B419">
        <v>98.463556999999994</v>
      </c>
      <c r="C419">
        <v>101.77793</v>
      </c>
      <c r="D419">
        <v>104.966044</v>
      </c>
      <c r="E419">
        <v>71.666700000000006</v>
      </c>
      <c r="F419">
        <v>45.953876999999999</v>
      </c>
      <c r="G419">
        <v>20.005298</v>
      </c>
      <c r="H419">
        <v>22.106271</v>
      </c>
      <c r="I419"/>
      <c r="N419"/>
      <c r="O419"/>
      <c r="P419" s="1">
        <f t="shared" si="46"/>
        <v>100.87458638211382</v>
      </c>
      <c r="Q419" s="1">
        <f t="shared" si="47"/>
        <v>104.22021239837399</v>
      </c>
      <c r="R419" s="1">
        <f t="shared" si="48"/>
        <v>107.87360558784542</v>
      </c>
      <c r="S419" s="1">
        <f t="shared" si="49"/>
        <v>74.444991816693943</v>
      </c>
    </row>
    <row r="420" spans="1:19" x14ac:dyDescent="0.3">
      <c r="A420">
        <v>12269</v>
      </c>
      <c r="B420">
        <v>98.463556999999994</v>
      </c>
      <c r="C420">
        <v>101.77793</v>
      </c>
      <c r="D420">
        <v>104.966044</v>
      </c>
      <c r="E420">
        <v>71.666700000000006</v>
      </c>
      <c r="F420">
        <v>45.953876999999999</v>
      </c>
      <c r="G420">
        <v>20.005298</v>
      </c>
      <c r="H420">
        <v>22.106271</v>
      </c>
      <c r="I420" t="s">
        <v>56</v>
      </c>
      <c r="N420"/>
      <c r="O420"/>
      <c r="P420" s="1">
        <f t="shared" si="46"/>
        <v>100.87458638211382</v>
      </c>
      <c r="Q420" s="1">
        <f t="shared" si="47"/>
        <v>104.22021239837399</v>
      </c>
      <c r="R420" s="1">
        <f t="shared" si="48"/>
        <v>107.87360558784542</v>
      </c>
      <c r="S420" s="1">
        <f t="shared" si="49"/>
        <v>74.444991816693943</v>
      </c>
    </row>
    <row r="421" spans="1:19" x14ac:dyDescent="0.3">
      <c r="A421">
        <v>12269.2</v>
      </c>
      <c r="B421">
        <v>98.474003999999994</v>
      </c>
      <c r="C421">
        <v>101.767922</v>
      </c>
      <c r="D421">
        <v>104.971047</v>
      </c>
      <c r="E421">
        <v>71.590100000000007</v>
      </c>
      <c r="F421">
        <v>46.022824999999997</v>
      </c>
      <c r="G421">
        <v>20.013918</v>
      </c>
      <c r="H421">
        <v>22.103745</v>
      </c>
      <c r="I421"/>
      <c r="N421"/>
      <c r="O421"/>
      <c r="P421" s="1">
        <f t="shared" si="46"/>
        <v>100.87858231707318</v>
      </c>
      <c r="Q421" s="1">
        <f t="shared" si="47"/>
        <v>104.24690548780488</v>
      </c>
      <c r="R421" s="1">
        <f t="shared" si="48"/>
        <v>107.86697460997246</v>
      </c>
      <c r="S421" s="1">
        <f t="shared" si="49"/>
        <v>74.333475859247145</v>
      </c>
    </row>
    <row r="422" spans="1:19" x14ac:dyDescent="0.3">
      <c r="A422">
        <v>12269.4</v>
      </c>
      <c r="B422">
        <v>98.474003999999994</v>
      </c>
      <c r="C422">
        <v>101.767922</v>
      </c>
      <c r="D422">
        <v>104.971047</v>
      </c>
      <c r="E422">
        <v>71.590100000000007</v>
      </c>
      <c r="F422">
        <v>46.022824999999997</v>
      </c>
      <c r="G422">
        <v>20.013918</v>
      </c>
      <c r="H422">
        <v>22.103745</v>
      </c>
      <c r="I422"/>
      <c r="N422"/>
      <c r="O422"/>
      <c r="P422" s="1">
        <f t="shared" si="46"/>
        <v>100.87858231707318</v>
      </c>
      <c r="Q422" s="1">
        <f t="shared" si="47"/>
        <v>104.24690548780488</v>
      </c>
      <c r="R422" s="1">
        <f t="shared" si="48"/>
        <v>107.86697460997246</v>
      </c>
      <c r="S422" s="1">
        <f t="shared" si="49"/>
        <v>74.333475859247145</v>
      </c>
    </row>
    <row r="423" spans="1:19" x14ac:dyDescent="0.3">
      <c r="A423">
        <v>12269.6</v>
      </c>
      <c r="B423">
        <v>98.465384</v>
      </c>
      <c r="C423">
        <v>101.76017899999999</v>
      </c>
      <c r="D423">
        <v>104.96900599999999</v>
      </c>
      <c r="E423">
        <v>71.671193000000002</v>
      </c>
      <c r="F423">
        <v>46.037903999999997</v>
      </c>
      <c r="G423">
        <v>20.022866</v>
      </c>
      <c r="H423">
        <v>22.097284999999999</v>
      </c>
      <c r="I423"/>
      <c r="N423"/>
      <c r="O423"/>
      <c r="P423" s="1">
        <f t="shared" si="46"/>
        <v>100.89251727642277</v>
      </c>
      <c r="Q423" s="1">
        <f t="shared" si="47"/>
        <v>104.21784654471546</v>
      </c>
      <c r="R423" s="1">
        <f t="shared" si="48"/>
        <v>107.84856938921178</v>
      </c>
      <c r="S423" s="1">
        <f t="shared" si="49"/>
        <v>74.247420212765959</v>
      </c>
    </row>
    <row r="424" spans="1:19" x14ac:dyDescent="0.3">
      <c r="A424">
        <v>12269.8</v>
      </c>
      <c r="B424">
        <v>98.465384</v>
      </c>
      <c r="C424">
        <v>101.76017899999999</v>
      </c>
      <c r="D424">
        <v>104.96900599999999</v>
      </c>
      <c r="E424">
        <v>71.671193000000002</v>
      </c>
      <c r="F424">
        <v>46.037903999999997</v>
      </c>
      <c r="G424">
        <v>20.022866</v>
      </c>
      <c r="H424">
        <v>22.097284999999999</v>
      </c>
      <c r="I424"/>
      <c r="N424"/>
      <c r="O424"/>
      <c r="P424" s="1">
        <f t="shared" si="46"/>
        <v>100.89251727642277</v>
      </c>
      <c r="Q424" s="1">
        <f t="shared" si="47"/>
        <v>104.21784654471546</v>
      </c>
      <c r="R424" s="1">
        <f t="shared" si="48"/>
        <v>107.84856938921178</v>
      </c>
      <c r="S424" s="1">
        <f t="shared" si="49"/>
        <v>74.247420212765959</v>
      </c>
    </row>
    <row r="425" spans="1:19" x14ac:dyDescent="0.3">
      <c r="A425">
        <v>13190</v>
      </c>
      <c r="B425">
        <v>105.24038299999999</v>
      </c>
      <c r="C425">
        <v>109.144295</v>
      </c>
      <c r="D425">
        <v>112.878674</v>
      </c>
      <c r="E425">
        <v>74.264397000000002</v>
      </c>
      <c r="F425">
        <v>48.091754999999999</v>
      </c>
      <c r="G425">
        <v>20.015792000000001</v>
      </c>
      <c r="H425">
        <v>22.395430999999999</v>
      </c>
      <c r="I425" t="s">
        <v>56</v>
      </c>
      <c r="N425"/>
      <c r="O425"/>
      <c r="P425" s="1">
        <f t="shared" si="46"/>
        <v>100.89115955284554</v>
      </c>
      <c r="Q425" s="1">
        <f t="shared" si="47"/>
        <v>104.20861483739839</v>
      </c>
      <c r="R425" s="1">
        <f t="shared" si="48"/>
        <v>107.86247578260425</v>
      </c>
      <c r="S425" s="1">
        <f t="shared" si="49"/>
        <v>74.253403232405887</v>
      </c>
    </row>
    <row r="426" spans="1:19" x14ac:dyDescent="0.3">
      <c r="A426">
        <v>13190.2</v>
      </c>
      <c r="B426">
        <v>105.24038299999999</v>
      </c>
      <c r="C426">
        <v>109.144295</v>
      </c>
      <c r="D426">
        <v>112.878674</v>
      </c>
      <c r="E426">
        <v>74.264397000000002</v>
      </c>
      <c r="F426">
        <v>48.091754999999999</v>
      </c>
      <c r="G426">
        <v>20.015792000000001</v>
      </c>
      <c r="H426">
        <v>22.395430999999999</v>
      </c>
      <c r="I426"/>
      <c r="N426"/>
      <c r="O426"/>
      <c r="P426" s="1">
        <f t="shared" si="46"/>
        <v>100.89115955284554</v>
      </c>
      <c r="Q426" s="1">
        <f t="shared" si="47"/>
        <v>104.20861483739839</v>
      </c>
      <c r="R426" s="1">
        <f t="shared" si="48"/>
        <v>107.86247578260425</v>
      </c>
      <c r="S426" s="1">
        <f t="shared" si="49"/>
        <v>74.253403232405887</v>
      </c>
    </row>
    <row r="427" spans="1:19" x14ac:dyDescent="0.3">
      <c r="A427">
        <v>13190.4</v>
      </c>
      <c r="B427">
        <v>105.233251</v>
      </c>
      <c r="C427">
        <v>109.142618</v>
      </c>
      <c r="D427">
        <v>112.880421</v>
      </c>
      <c r="E427">
        <v>74.130825999999999</v>
      </c>
      <c r="F427">
        <v>48.140250999999999</v>
      </c>
      <c r="G427">
        <v>20.007068</v>
      </c>
      <c r="H427">
        <v>22.384121</v>
      </c>
      <c r="I427"/>
      <c r="N427"/>
      <c r="O427"/>
      <c r="P427" s="1">
        <f t="shared" si="46"/>
        <v>100.86549288617887</v>
      </c>
      <c r="Q427" s="1">
        <f t="shared" si="47"/>
        <v>104.22496951219513</v>
      </c>
      <c r="R427" s="1">
        <f t="shared" si="48"/>
        <v>107.86355562353421</v>
      </c>
      <c r="S427" s="1">
        <f t="shared" si="49"/>
        <v>74.440536006546637</v>
      </c>
    </row>
    <row r="428" spans="1:19" x14ac:dyDescent="0.3">
      <c r="A428">
        <v>13190.6</v>
      </c>
      <c r="B428">
        <v>105.233251</v>
      </c>
      <c r="C428">
        <v>109.142618</v>
      </c>
      <c r="D428">
        <v>112.880421</v>
      </c>
      <c r="E428">
        <v>74.130825999999999</v>
      </c>
      <c r="F428">
        <v>48.140250999999999</v>
      </c>
      <c r="G428">
        <v>20.007068</v>
      </c>
      <c r="H428">
        <v>22.384121</v>
      </c>
      <c r="I428"/>
      <c r="N428"/>
      <c r="O428"/>
      <c r="P428" s="1">
        <f t="shared" ref="P428:P491" si="50">(B410+Q$36)/P$36</f>
        <v>100.86549288617887</v>
      </c>
      <c r="Q428" s="1">
        <f t="shared" ref="Q428:Q491" si="51">(C410+Q$36)/P$36</f>
        <v>104.22496951219513</v>
      </c>
      <c r="R428" s="1">
        <f t="shared" ref="R428:R491" si="52">(D410+Q$38)/P$38</f>
        <v>107.86355562353421</v>
      </c>
      <c r="S428" s="1">
        <f t="shared" ref="S428:S491" si="53">(E410+Q$39)/P$39</f>
        <v>74.440536006546637</v>
      </c>
    </row>
    <row r="429" spans="1:19" x14ac:dyDescent="0.3">
      <c r="A429">
        <v>13190.8</v>
      </c>
      <c r="B429">
        <v>105.2764</v>
      </c>
      <c r="C429">
        <v>109.14525999999999</v>
      </c>
      <c r="D429">
        <v>112.866874</v>
      </c>
      <c r="E429">
        <v>74.107208</v>
      </c>
      <c r="F429">
        <v>47.874496999999998</v>
      </c>
      <c r="G429">
        <v>19.998633000000002</v>
      </c>
      <c r="H429">
        <v>22.401744999999998</v>
      </c>
      <c r="I429"/>
      <c r="N429"/>
      <c r="O429"/>
      <c r="P429" s="1">
        <f t="shared" si="50"/>
        <v>100.87849288617886</v>
      </c>
      <c r="Q429" s="1">
        <f t="shared" si="51"/>
        <v>104.23246544715447</v>
      </c>
      <c r="R429" s="1">
        <f t="shared" si="52"/>
        <v>107.83912307535434</v>
      </c>
      <c r="S429" s="1">
        <f t="shared" si="53"/>
        <v>74.34117839607201</v>
      </c>
    </row>
    <row r="430" spans="1:19" x14ac:dyDescent="0.3">
      <c r="A430">
        <v>13191</v>
      </c>
      <c r="B430">
        <v>105.2764</v>
      </c>
      <c r="C430">
        <v>109.14525999999999</v>
      </c>
      <c r="D430">
        <v>112.866874</v>
      </c>
      <c r="E430">
        <v>74.107208</v>
      </c>
      <c r="F430">
        <v>47.874496999999998</v>
      </c>
      <c r="G430">
        <v>19.998633000000002</v>
      </c>
      <c r="H430">
        <v>22.401744999999998</v>
      </c>
      <c r="I430" t="s">
        <v>56</v>
      </c>
      <c r="N430"/>
      <c r="O430"/>
      <c r="P430" s="1">
        <f t="shared" si="50"/>
        <v>100.87849288617886</v>
      </c>
      <c r="Q430" s="1">
        <f t="shared" si="51"/>
        <v>104.23246544715447</v>
      </c>
      <c r="R430" s="1">
        <f t="shared" si="52"/>
        <v>107.83912307535434</v>
      </c>
      <c r="S430" s="1">
        <f t="shared" si="53"/>
        <v>74.34117839607201</v>
      </c>
    </row>
    <row r="431" spans="1:19" x14ac:dyDescent="0.3">
      <c r="A431">
        <v>13191.2</v>
      </c>
      <c r="B431">
        <v>105.22756</v>
      </c>
      <c r="C431">
        <v>109.150621</v>
      </c>
      <c r="D431">
        <v>112.88155999999999</v>
      </c>
      <c r="E431">
        <v>74.099019999999996</v>
      </c>
      <c r="F431">
        <v>47.601337999999998</v>
      </c>
      <c r="G431">
        <v>20.032160000000001</v>
      </c>
      <c r="H431">
        <v>22.364179</v>
      </c>
      <c r="I431"/>
      <c r="N431"/>
      <c r="O431"/>
      <c r="P431" s="1">
        <f t="shared" si="50"/>
        <v>100.8824756097561</v>
      </c>
      <c r="Q431" s="1">
        <f t="shared" si="51"/>
        <v>104.22905792682928</v>
      </c>
      <c r="R431" s="1">
        <f t="shared" si="52"/>
        <v>107.83571734475375</v>
      </c>
      <c r="S431" s="1">
        <f t="shared" si="53"/>
        <v>74.40196399345335</v>
      </c>
    </row>
    <row r="432" spans="1:19" x14ac:dyDescent="0.3">
      <c r="A432">
        <v>13191.4</v>
      </c>
      <c r="B432">
        <v>105.22756</v>
      </c>
      <c r="C432">
        <v>109.150621</v>
      </c>
      <c r="D432">
        <v>112.88155999999999</v>
      </c>
      <c r="E432">
        <v>74.099019999999996</v>
      </c>
      <c r="F432">
        <v>47.601337999999998</v>
      </c>
      <c r="G432">
        <v>20.032160000000001</v>
      </c>
      <c r="H432">
        <v>22.364179</v>
      </c>
      <c r="I432"/>
      <c r="N432"/>
      <c r="O432"/>
      <c r="P432" s="1">
        <f t="shared" si="50"/>
        <v>100.8824756097561</v>
      </c>
      <c r="Q432" s="1">
        <f t="shared" si="51"/>
        <v>104.22905792682928</v>
      </c>
      <c r="R432" s="1">
        <f t="shared" si="52"/>
        <v>107.83571734475375</v>
      </c>
      <c r="S432" s="1">
        <f t="shared" si="53"/>
        <v>74.40196399345335</v>
      </c>
    </row>
    <row r="433" spans="1:19" x14ac:dyDescent="0.3">
      <c r="A433">
        <v>13191.6</v>
      </c>
      <c r="B433">
        <v>105.233504</v>
      </c>
      <c r="C433">
        <v>109.136242</v>
      </c>
      <c r="D433">
        <v>112.86836700000001</v>
      </c>
      <c r="E433">
        <v>74.169376999999997</v>
      </c>
      <c r="F433">
        <v>48.077497999999999</v>
      </c>
      <c r="G433">
        <v>19.993887000000001</v>
      </c>
      <c r="H433">
        <v>22.378305000000001</v>
      </c>
      <c r="I433"/>
      <c r="N433"/>
      <c r="O433"/>
      <c r="P433" s="1">
        <f t="shared" si="50"/>
        <v>100.8906087398374</v>
      </c>
      <c r="Q433" s="1">
        <f t="shared" si="51"/>
        <v>104.22379979674797</v>
      </c>
      <c r="R433" s="1">
        <f t="shared" si="52"/>
        <v>107.8570653614765</v>
      </c>
      <c r="S433" s="1">
        <f t="shared" si="53"/>
        <v>74.360095130932891</v>
      </c>
    </row>
    <row r="434" spans="1:19" x14ac:dyDescent="0.3">
      <c r="A434">
        <v>13191.8</v>
      </c>
      <c r="B434">
        <v>105.233504</v>
      </c>
      <c r="C434">
        <v>109.136242</v>
      </c>
      <c r="D434">
        <v>112.86836700000001</v>
      </c>
      <c r="E434">
        <v>74.169376999999997</v>
      </c>
      <c r="F434">
        <v>48.077497999999999</v>
      </c>
      <c r="G434">
        <v>19.993887000000001</v>
      </c>
      <c r="H434">
        <v>22.378305000000001</v>
      </c>
      <c r="I434"/>
      <c r="N434"/>
      <c r="O434"/>
      <c r="P434" s="1">
        <f t="shared" si="50"/>
        <v>100.8906087398374</v>
      </c>
      <c r="Q434" s="1">
        <f t="shared" si="51"/>
        <v>104.22379979674797</v>
      </c>
      <c r="R434" s="1">
        <f t="shared" si="52"/>
        <v>107.8570653614765</v>
      </c>
      <c r="S434" s="1">
        <f t="shared" si="53"/>
        <v>74.360095130932891</v>
      </c>
    </row>
    <row r="435" spans="1:19" x14ac:dyDescent="0.3">
      <c r="A435">
        <v>13192</v>
      </c>
      <c r="B435">
        <v>105.231594</v>
      </c>
      <c r="C435">
        <v>109.13661</v>
      </c>
      <c r="D435">
        <v>112.861214</v>
      </c>
      <c r="E435">
        <v>74.172649000000007</v>
      </c>
      <c r="F435">
        <v>46.824055000000001</v>
      </c>
      <c r="G435">
        <v>20.004100999999999</v>
      </c>
      <c r="H435">
        <v>22.364587</v>
      </c>
      <c r="I435" t="s">
        <v>56</v>
      </c>
      <c r="N435"/>
      <c r="O435"/>
      <c r="P435" s="1">
        <f t="shared" si="50"/>
        <v>100.87466260162603</v>
      </c>
      <c r="Q435" s="1">
        <f t="shared" si="51"/>
        <v>104.22445528455285</v>
      </c>
      <c r="R435" s="1">
        <f t="shared" si="52"/>
        <v>107.85078005506271</v>
      </c>
      <c r="S435" s="1">
        <f t="shared" si="53"/>
        <v>74.335996317512269</v>
      </c>
    </row>
    <row r="436" spans="1:19" x14ac:dyDescent="0.3">
      <c r="A436">
        <v>13192.2</v>
      </c>
      <c r="B436">
        <v>105.231594</v>
      </c>
      <c r="C436">
        <v>109.13661</v>
      </c>
      <c r="D436">
        <v>112.861214</v>
      </c>
      <c r="E436">
        <v>74.172649000000007</v>
      </c>
      <c r="F436">
        <v>46.824055000000001</v>
      </c>
      <c r="G436">
        <v>20.004100999999999</v>
      </c>
      <c r="H436">
        <v>22.364587</v>
      </c>
      <c r="I436"/>
      <c r="N436"/>
      <c r="O436"/>
      <c r="P436" s="1">
        <f t="shared" si="50"/>
        <v>100.87466260162603</v>
      </c>
      <c r="Q436" s="1">
        <f t="shared" si="51"/>
        <v>104.22445528455285</v>
      </c>
      <c r="R436" s="1">
        <f t="shared" si="52"/>
        <v>107.85078005506271</v>
      </c>
      <c r="S436" s="1">
        <f t="shared" si="53"/>
        <v>74.335996317512269</v>
      </c>
    </row>
    <row r="437" spans="1:19" x14ac:dyDescent="0.3">
      <c r="A437">
        <v>13192.4</v>
      </c>
      <c r="B437">
        <v>105.227181</v>
      </c>
      <c r="C437">
        <v>109.132406</v>
      </c>
      <c r="D437">
        <v>112.866595</v>
      </c>
      <c r="E437">
        <v>74.145684000000003</v>
      </c>
      <c r="F437">
        <v>45.718268000000002</v>
      </c>
      <c r="G437">
        <v>20.002586000000001</v>
      </c>
      <c r="H437">
        <v>22.362838</v>
      </c>
      <c r="I437"/>
      <c r="N437"/>
      <c r="O437"/>
      <c r="P437" s="1">
        <f t="shared" si="50"/>
        <v>100.86387906504065</v>
      </c>
      <c r="Q437" s="1">
        <f t="shared" si="51"/>
        <v>104.23214430894309</v>
      </c>
      <c r="R437" s="1">
        <f t="shared" si="52"/>
        <v>107.85800346691138</v>
      </c>
      <c r="S437" s="1">
        <f t="shared" si="53"/>
        <v>74.253784779050747</v>
      </c>
    </row>
    <row r="438" spans="1:19" x14ac:dyDescent="0.3">
      <c r="A438">
        <v>13192.6</v>
      </c>
      <c r="B438">
        <v>105.227181</v>
      </c>
      <c r="C438">
        <v>109.132406</v>
      </c>
      <c r="D438">
        <v>112.866595</v>
      </c>
      <c r="E438">
        <v>74.145684000000003</v>
      </c>
      <c r="F438">
        <v>45.718268000000002</v>
      </c>
      <c r="G438">
        <v>20.002586000000001</v>
      </c>
      <c r="H438">
        <v>22.362838</v>
      </c>
      <c r="I438"/>
      <c r="N438"/>
      <c r="O438"/>
      <c r="P438" s="1">
        <f t="shared" si="50"/>
        <v>100.86387906504065</v>
      </c>
      <c r="Q438" s="1">
        <f t="shared" si="51"/>
        <v>104.23214430894309</v>
      </c>
      <c r="R438" s="1">
        <f t="shared" si="52"/>
        <v>107.85800346691138</v>
      </c>
      <c r="S438" s="1">
        <f t="shared" si="53"/>
        <v>74.253784779050747</v>
      </c>
    </row>
    <row r="439" spans="1:19" x14ac:dyDescent="0.3">
      <c r="A439">
        <v>13192.8</v>
      </c>
      <c r="B439">
        <v>105.22465099999999</v>
      </c>
      <c r="C439">
        <v>109.11180299999999</v>
      </c>
      <c r="D439">
        <v>112.857682</v>
      </c>
      <c r="E439">
        <v>74.155289999999994</v>
      </c>
      <c r="F439">
        <v>46.351095999999998</v>
      </c>
      <c r="G439">
        <v>19.993821000000001</v>
      </c>
      <c r="H439">
        <v>22.369479999999999</v>
      </c>
      <c r="I439"/>
      <c r="N439"/>
      <c r="O439"/>
      <c r="P439" s="1">
        <f t="shared" si="50"/>
        <v>100.87449593495934</v>
      </c>
      <c r="Q439" s="1">
        <f t="shared" si="51"/>
        <v>104.22197357723577</v>
      </c>
      <c r="R439" s="1">
        <f t="shared" si="52"/>
        <v>107.86310492505353</v>
      </c>
      <c r="S439" s="1">
        <f t="shared" si="53"/>
        <v>74.175429623567922</v>
      </c>
    </row>
    <row r="440" spans="1:19" x14ac:dyDescent="0.3">
      <c r="A440">
        <v>13193</v>
      </c>
      <c r="B440">
        <v>105.22465099999999</v>
      </c>
      <c r="C440">
        <v>109.11180299999999</v>
      </c>
      <c r="D440">
        <v>112.857682</v>
      </c>
      <c r="E440">
        <v>74.155289999999994</v>
      </c>
      <c r="F440">
        <v>46.351095999999998</v>
      </c>
      <c r="G440">
        <v>19.993821000000001</v>
      </c>
      <c r="H440">
        <v>22.369479999999999</v>
      </c>
      <c r="I440" t="s">
        <v>56</v>
      </c>
      <c r="N440"/>
      <c r="O440"/>
      <c r="P440" s="1">
        <f t="shared" si="50"/>
        <v>100.87449593495934</v>
      </c>
      <c r="Q440" s="1">
        <f t="shared" si="51"/>
        <v>104.22197357723577</v>
      </c>
      <c r="R440" s="1">
        <f t="shared" si="52"/>
        <v>107.86310492505353</v>
      </c>
      <c r="S440" s="1">
        <f t="shared" si="53"/>
        <v>74.175429623567922</v>
      </c>
    </row>
    <row r="441" spans="1:19" x14ac:dyDescent="0.3">
      <c r="A441">
        <v>13193.2</v>
      </c>
      <c r="B441">
        <v>105.226687</v>
      </c>
      <c r="C441">
        <v>109.152945</v>
      </c>
      <c r="D441">
        <v>112.873166</v>
      </c>
      <c r="E441">
        <v>74.131310999999997</v>
      </c>
      <c r="F441">
        <v>46.646299999999997</v>
      </c>
      <c r="G441">
        <v>20.009675000000001</v>
      </c>
      <c r="H441">
        <v>22.360679999999999</v>
      </c>
      <c r="I441"/>
      <c r="N441"/>
      <c r="O441"/>
      <c r="P441" s="1">
        <f t="shared" si="50"/>
        <v>100.86573577235772</v>
      </c>
      <c r="Q441" s="1">
        <f t="shared" si="51"/>
        <v>104.21410467479674</v>
      </c>
      <c r="R441" s="1">
        <f t="shared" si="52"/>
        <v>107.8610237585398</v>
      </c>
      <c r="S441" s="1">
        <f t="shared" si="53"/>
        <v>74.258380728314236</v>
      </c>
    </row>
    <row r="442" spans="1:19" x14ac:dyDescent="0.3">
      <c r="A442">
        <v>13193.4</v>
      </c>
      <c r="B442">
        <v>105.226687</v>
      </c>
      <c r="C442">
        <v>109.152945</v>
      </c>
      <c r="D442">
        <v>112.873166</v>
      </c>
      <c r="E442">
        <v>74.131310999999997</v>
      </c>
      <c r="F442">
        <v>46.646299999999997</v>
      </c>
      <c r="G442">
        <v>20.009675000000001</v>
      </c>
      <c r="H442">
        <v>22.360679999999999</v>
      </c>
      <c r="I442"/>
      <c r="N442"/>
      <c r="O442"/>
      <c r="P442" s="1">
        <f t="shared" si="50"/>
        <v>100.86573577235772</v>
      </c>
      <c r="Q442" s="1">
        <f t="shared" si="51"/>
        <v>104.21410467479674</v>
      </c>
      <c r="R442" s="1">
        <f t="shared" si="52"/>
        <v>107.8610237585398</v>
      </c>
      <c r="S442" s="1">
        <f t="shared" si="53"/>
        <v>74.258380728314236</v>
      </c>
    </row>
    <row r="443" spans="1:19" x14ac:dyDescent="0.3">
      <c r="A443">
        <v>13193.6</v>
      </c>
      <c r="B443">
        <v>105.230949</v>
      </c>
      <c r="C443">
        <v>109.11241200000001</v>
      </c>
      <c r="D443">
        <v>112.852136</v>
      </c>
      <c r="E443">
        <v>74.158799000000002</v>
      </c>
      <c r="F443">
        <v>47.374678000000003</v>
      </c>
      <c r="G443">
        <v>19.986901</v>
      </c>
      <c r="H443">
        <v>22.398796999999998</v>
      </c>
      <c r="I443"/>
      <c r="N443"/>
      <c r="O443"/>
      <c r="P443" s="1">
        <f t="shared" si="50"/>
        <v>107.75089735772357</v>
      </c>
      <c r="Q443" s="1">
        <f t="shared" si="51"/>
        <v>111.71828760162602</v>
      </c>
      <c r="R443" s="1">
        <f t="shared" si="52"/>
        <v>115.92635260528193</v>
      </c>
      <c r="S443" s="1">
        <f t="shared" si="53"/>
        <v>76.911003477905069</v>
      </c>
    </row>
    <row r="444" spans="1:19" x14ac:dyDescent="0.3">
      <c r="A444">
        <v>13193.8</v>
      </c>
      <c r="B444">
        <v>105.230949</v>
      </c>
      <c r="C444">
        <v>109.11241200000001</v>
      </c>
      <c r="D444">
        <v>112.852136</v>
      </c>
      <c r="E444">
        <v>74.158799000000002</v>
      </c>
      <c r="F444">
        <v>47.374678000000003</v>
      </c>
      <c r="G444">
        <v>19.986901</v>
      </c>
      <c r="H444">
        <v>22.398796999999998</v>
      </c>
      <c r="I444"/>
      <c r="N444"/>
      <c r="O444"/>
      <c r="P444" s="1">
        <f t="shared" si="50"/>
        <v>107.75089735772357</v>
      </c>
      <c r="Q444" s="1">
        <f t="shared" si="51"/>
        <v>111.71828760162602</v>
      </c>
      <c r="R444" s="1">
        <f t="shared" si="52"/>
        <v>115.92635260528193</v>
      </c>
      <c r="S444" s="1">
        <f t="shared" si="53"/>
        <v>76.911003477905069</v>
      </c>
    </row>
    <row r="445" spans="1:19" x14ac:dyDescent="0.3">
      <c r="A445">
        <v>13194</v>
      </c>
      <c r="B445">
        <v>105.23191</v>
      </c>
      <c r="C445">
        <v>109.141729</v>
      </c>
      <c r="D445">
        <v>112.879307</v>
      </c>
      <c r="E445">
        <v>74.205438000000001</v>
      </c>
      <c r="F445">
        <v>47.764803999999998</v>
      </c>
      <c r="G445">
        <v>19.995284999999999</v>
      </c>
      <c r="H445">
        <v>22.366916</v>
      </c>
      <c r="I445" t="s">
        <v>56</v>
      </c>
      <c r="N445"/>
      <c r="O445"/>
      <c r="P445" s="1">
        <f t="shared" si="50"/>
        <v>107.7436493902439</v>
      </c>
      <c r="Q445" s="1">
        <f t="shared" si="51"/>
        <v>111.71658333333333</v>
      </c>
      <c r="R445" s="1">
        <f t="shared" si="52"/>
        <v>115.92813398592841</v>
      </c>
      <c r="S445" s="1">
        <f t="shared" si="53"/>
        <v>76.77437193126022</v>
      </c>
    </row>
    <row r="446" spans="1:19" x14ac:dyDescent="0.3">
      <c r="A446">
        <v>13194.2</v>
      </c>
      <c r="B446">
        <v>105.23191</v>
      </c>
      <c r="C446">
        <v>109.141729</v>
      </c>
      <c r="D446">
        <v>112.879307</v>
      </c>
      <c r="E446">
        <v>74.205438000000001</v>
      </c>
      <c r="F446">
        <v>47.764803999999998</v>
      </c>
      <c r="G446">
        <v>19.995284999999999</v>
      </c>
      <c r="H446">
        <v>22.366916</v>
      </c>
      <c r="I446"/>
      <c r="N446"/>
      <c r="O446"/>
      <c r="P446" s="1">
        <f t="shared" si="50"/>
        <v>107.7436493902439</v>
      </c>
      <c r="Q446" s="1">
        <f t="shared" si="51"/>
        <v>111.71658333333333</v>
      </c>
      <c r="R446" s="1">
        <f t="shared" si="52"/>
        <v>115.92813398592841</v>
      </c>
      <c r="S446" s="1">
        <f t="shared" si="53"/>
        <v>76.77437193126022</v>
      </c>
    </row>
    <row r="447" spans="1:19" x14ac:dyDescent="0.3">
      <c r="A447">
        <v>13194.4</v>
      </c>
      <c r="B447">
        <v>105.244658</v>
      </c>
      <c r="C447">
        <v>109.137156</v>
      </c>
      <c r="D447">
        <v>112.867228</v>
      </c>
      <c r="E447">
        <v>74.150114000000002</v>
      </c>
      <c r="F447">
        <v>48.056229999999999</v>
      </c>
      <c r="G447">
        <v>20.001003999999998</v>
      </c>
      <c r="H447">
        <v>22.367177999999999</v>
      </c>
      <c r="I447"/>
      <c r="N447"/>
      <c r="O447"/>
      <c r="P447" s="1">
        <f t="shared" si="50"/>
        <v>107.78749999999999</v>
      </c>
      <c r="Q447" s="1">
        <f t="shared" si="51"/>
        <v>111.71926829268293</v>
      </c>
      <c r="R447" s="1">
        <f t="shared" si="52"/>
        <v>115.9143203833996</v>
      </c>
      <c r="S447" s="1">
        <f t="shared" si="53"/>
        <v>76.750212765957443</v>
      </c>
    </row>
    <row r="448" spans="1:19" x14ac:dyDescent="0.3">
      <c r="A448">
        <v>13194.6</v>
      </c>
      <c r="B448">
        <v>105.244658</v>
      </c>
      <c r="C448">
        <v>109.137156</v>
      </c>
      <c r="D448">
        <v>112.867228</v>
      </c>
      <c r="E448">
        <v>74.150114000000002</v>
      </c>
      <c r="F448">
        <v>48.056229999999999</v>
      </c>
      <c r="G448">
        <v>20.001003999999998</v>
      </c>
      <c r="H448">
        <v>22.367177999999999</v>
      </c>
      <c r="I448"/>
      <c r="N448"/>
      <c r="O448"/>
      <c r="P448" s="1">
        <f t="shared" si="50"/>
        <v>107.78749999999999</v>
      </c>
      <c r="Q448" s="1">
        <f t="shared" si="51"/>
        <v>111.71926829268293</v>
      </c>
      <c r="R448" s="1">
        <f t="shared" si="52"/>
        <v>115.9143203833996</v>
      </c>
      <c r="S448" s="1">
        <f t="shared" si="53"/>
        <v>76.750212765957443</v>
      </c>
    </row>
    <row r="449" spans="1:19" x14ac:dyDescent="0.3">
      <c r="A449">
        <v>13194.8</v>
      </c>
      <c r="B449">
        <v>105.23014000000001</v>
      </c>
      <c r="C449">
        <v>109.120059</v>
      </c>
      <c r="D449">
        <v>112.867279</v>
      </c>
      <c r="E449">
        <v>74.284779</v>
      </c>
      <c r="F449">
        <v>47.612381999999997</v>
      </c>
      <c r="G449">
        <v>19.999119</v>
      </c>
      <c r="H449">
        <v>22.379265</v>
      </c>
      <c r="I449"/>
      <c r="N449"/>
      <c r="O449"/>
      <c r="P449" s="1">
        <f t="shared" si="50"/>
        <v>107.73786585365853</v>
      </c>
      <c r="Q449" s="1">
        <f t="shared" si="51"/>
        <v>111.72471646341464</v>
      </c>
      <c r="R449" s="1">
        <f t="shared" si="52"/>
        <v>115.929295401244</v>
      </c>
      <c r="S449" s="1">
        <f t="shared" si="53"/>
        <v>76.741837152209484</v>
      </c>
    </row>
    <row r="450" spans="1:19" x14ac:dyDescent="0.3">
      <c r="A450">
        <v>13195</v>
      </c>
      <c r="B450">
        <v>105.23014000000001</v>
      </c>
      <c r="C450">
        <v>109.120059</v>
      </c>
      <c r="D450">
        <v>112.867279</v>
      </c>
      <c r="E450">
        <v>74.284779</v>
      </c>
      <c r="F450">
        <v>47.612381999999997</v>
      </c>
      <c r="G450">
        <v>19.999119</v>
      </c>
      <c r="H450">
        <v>22.379265</v>
      </c>
      <c r="I450" t="s">
        <v>56</v>
      </c>
      <c r="N450"/>
      <c r="O450"/>
      <c r="P450" s="1">
        <f t="shared" si="50"/>
        <v>107.73786585365853</v>
      </c>
      <c r="Q450" s="1">
        <f t="shared" si="51"/>
        <v>111.72471646341464</v>
      </c>
      <c r="R450" s="1">
        <f t="shared" si="52"/>
        <v>115.929295401244</v>
      </c>
      <c r="S450" s="1">
        <f t="shared" si="53"/>
        <v>76.741837152209484</v>
      </c>
    </row>
    <row r="451" spans="1:19" x14ac:dyDescent="0.3">
      <c r="A451">
        <v>13195.2</v>
      </c>
      <c r="B451">
        <v>105.23084799999999</v>
      </c>
      <c r="C451">
        <v>109.117341</v>
      </c>
      <c r="D451">
        <v>112.873457</v>
      </c>
      <c r="E451">
        <v>74.260390000000001</v>
      </c>
      <c r="F451">
        <v>48.059170000000002</v>
      </c>
      <c r="G451">
        <v>20.012733000000001</v>
      </c>
      <c r="H451">
        <v>22.379356999999999</v>
      </c>
      <c r="I451"/>
      <c r="N451"/>
      <c r="O451"/>
      <c r="P451" s="1">
        <f t="shared" si="50"/>
        <v>107.74390650406504</v>
      </c>
      <c r="Q451" s="1">
        <f t="shared" si="51"/>
        <v>111.71010365853658</v>
      </c>
      <c r="R451" s="1">
        <f t="shared" si="52"/>
        <v>115.91584276537168</v>
      </c>
      <c r="S451" s="1">
        <f t="shared" si="53"/>
        <v>76.813806260229128</v>
      </c>
    </row>
    <row r="452" spans="1:19" x14ac:dyDescent="0.3">
      <c r="A452">
        <v>13195.4</v>
      </c>
      <c r="B452">
        <v>105.23084799999999</v>
      </c>
      <c r="C452">
        <v>109.117341</v>
      </c>
      <c r="D452">
        <v>112.873457</v>
      </c>
      <c r="E452">
        <v>74.260390000000001</v>
      </c>
      <c r="F452">
        <v>48.059170000000002</v>
      </c>
      <c r="G452">
        <v>20.012733000000001</v>
      </c>
      <c r="H452">
        <v>22.379356999999999</v>
      </c>
      <c r="I452"/>
      <c r="N452"/>
      <c r="O452"/>
      <c r="P452" s="1">
        <f t="shared" si="50"/>
        <v>107.74390650406504</v>
      </c>
      <c r="Q452" s="1">
        <f t="shared" si="51"/>
        <v>111.71010365853658</v>
      </c>
      <c r="R452" s="1">
        <f t="shared" si="52"/>
        <v>115.91584276537168</v>
      </c>
      <c r="S452" s="1">
        <f t="shared" si="53"/>
        <v>76.813806260229128</v>
      </c>
    </row>
    <row r="453" spans="1:19" x14ac:dyDescent="0.3">
      <c r="A453">
        <v>13195.6</v>
      </c>
      <c r="B453">
        <v>105.23003799999999</v>
      </c>
      <c r="C453">
        <v>109.134362</v>
      </c>
      <c r="D453">
        <v>112.88039499999999</v>
      </c>
      <c r="E453">
        <v>74.187693999999993</v>
      </c>
      <c r="F453">
        <v>47.681837999999999</v>
      </c>
      <c r="G453">
        <v>20.005247000000001</v>
      </c>
      <c r="H453">
        <v>22.371649999999999</v>
      </c>
      <c r="I453"/>
      <c r="N453"/>
      <c r="O453"/>
      <c r="P453" s="1">
        <f t="shared" si="50"/>
        <v>107.74196544715448</v>
      </c>
      <c r="Q453" s="1">
        <f t="shared" si="51"/>
        <v>111.71047764227643</v>
      </c>
      <c r="R453" s="1">
        <f t="shared" si="52"/>
        <v>115.90854899561538</v>
      </c>
      <c r="S453" s="1">
        <f t="shared" si="53"/>
        <v>76.8171532324059</v>
      </c>
    </row>
    <row r="454" spans="1:19" x14ac:dyDescent="0.3">
      <c r="A454">
        <v>13195.8</v>
      </c>
      <c r="B454">
        <v>105.23003799999999</v>
      </c>
      <c r="C454">
        <v>109.134362</v>
      </c>
      <c r="D454">
        <v>112.88039499999999</v>
      </c>
      <c r="E454">
        <v>74.187693999999993</v>
      </c>
      <c r="F454">
        <v>47.681837999999999</v>
      </c>
      <c r="G454">
        <v>20.005247000000001</v>
      </c>
      <c r="H454">
        <v>22.371649999999999</v>
      </c>
      <c r="I454"/>
      <c r="N454"/>
      <c r="O454"/>
      <c r="P454" s="1">
        <f t="shared" si="50"/>
        <v>107.74196544715448</v>
      </c>
      <c r="Q454" s="1">
        <f t="shared" si="51"/>
        <v>111.71047764227643</v>
      </c>
      <c r="R454" s="1">
        <f t="shared" si="52"/>
        <v>115.90854899561538</v>
      </c>
      <c r="S454" s="1">
        <f t="shared" si="53"/>
        <v>76.8171532324059</v>
      </c>
    </row>
    <row r="455" spans="1:19" x14ac:dyDescent="0.3">
      <c r="A455">
        <v>13196</v>
      </c>
      <c r="B455">
        <v>105.23583000000001</v>
      </c>
      <c r="C455">
        <v>109.12646100000001</v>
      </c>
      <c r="D455">
        <v>112.841982</v>
      </c>
      <c r="E455">
        <v>74.197648999999998</v>
      </c>
      <c r="F455">
        <v>47.652355999999997</v>
      </c>
      <c r="G455">
        <v>19.994399999999999</v>
      </c>
      <c r="H455">
        <v>22.36769</v>
      </c>
      <c r="I455" t="s">
        <v>56</v>
      </c>
      <c r="N455"/>
      <c r="O455"/>
      <c r="P455" s="1">
        <f t="shared" si="50"/>
        <v>107.73748069105692</v>
      </c>
      <c r="Q455" s="1">
        <f t="shared" si="51"/>
        <v>111.70620528455285</v>
      </c>
      <c r="R455" s="1">
        <f t="shared" si="52"/>
        <v>115.91403589272969</v>
      </c>
      <c r="S455" s="1">
        <f t="shared" si="53"/>
        <v>76.789570376432081</v>
      </c>
    </row>
    <row r="456" spans="1:19" x14ac:dyDescent="0.3">
      <c r="A456">
        <v>13196.2</v>
      </c>
      <c r="B456">
        <v>105.23583000000001</v>
      </c>
      <c r="C456">
        <v>109.12646100000001</v>
      </c>
      <c r="D456">
        <v>112.841982</v>
      </c>
      <c r="E456">
        <v>74.197648999999998</v>
      </c>
      <c r="F456">
        <v>47.652355999999997</v>
      </c>
      <c r="G456">
        <v>19.994399999999999</v>
      </c>
      <c r="H456">
        <v>22.36769</v>
      </c>
      <c r="I456"/>
      <c r="N456"/>
      <c r="O456"/>
      <c r="P456" s="1">
        <f t="shared" si="50"/>
        <v>107.73748069105692</v>
      </c>
      <c r="Q456" s="1">
        <f t="shared" si="51"/>
        <v>111.70620528455285</v>
      </c>
      <c r="R456" s="1">
        <f t="shared" si="52"/>
        <v>115.91403589272969</v>
      </c>
      <c r="S456" s="1">
        <f t="shared" si="53"/>
        <v>76.789570376432081</v>
      </c>
    </row>
    <row r="457" spans="1:19" x14ac:dyDescent="0.3">
      <c r="A457">
        <v>13196.4</v>
      </c>
      <c r="B457">
        <v>105.243557</v>
      </c>
      <c r="C457">
        <v>109.131478</v>
      </c>
      <c r="D457">
        <v>112.870912</v>
      </c>
      <c r="E457">
        <v>74.237954000000002</v>
      </c>
      <c r="F457">
        <v>46.934767000000001</v>
      </c>
      <c r="G457">
        <v>19.990366999999999</v>
      </c>
      <c r="H457">
        <v>22.360351000000001</v>
      </c>
      <c r="I457"/>
      <c r="N457"/>
      <c r="O457"/>
      <c r="P457" s="1">
        <f t="shared" si="50"/>
        <v>107.73490955284552</v>
      </c>
      <c r="Q457" s="1">
        <f t="shared" si="51"/>
        <v>111.68526727642276</v>
      </c>
      <c r="R457" s="1">
        <f t="shared" si="52"/>
        <v>115.90494748648923</v>
      </c>
      <c r="S457" s="1">
        <f t="shared" si="53"/>
        <v>76.799396481178391</v>
      </c>
    </row>
    <row r="458" spans="1:19" x14ac:dyDescent="0.3">
      <c r="A458">
        <v>13196.6</v>
      </c>
      <c r="B458">
        <v>105.243557</v>
      </c>
      <c r="C458">
        <v>109.131478</v>
      </c>
      <c r="D458">
        <v>112.870912</v>
      </c>
      <c r="E458">
        <v>74.237954000000002</v>
      </c>
      <c r="F458">
        <v>46.934767000000001</v>
      </c>
      <c r="G458">
        <v>19.990366999999999</v>
      </c>
      <c r="H458">
        <v>22.360351000000001</v>
      </c>
      <c r="I458"/>
      <c r="N458"/>
      <c r="O458"/>
      <c r="P458" s="1">
        <f t="shared" si="50"/>
        <v>107.73490955284552</v>
      </c>
      <c r="Q458" s="1">
        <f t="shared" si="51"/>
        <v>111.68526727642276</v>
      </c>
      <c r="R458" s="1">
        <f t="shared" si="52"/>
        <v>115.90494748648923</v>
      </c>
      <c r="S458" s="1">
        <f t="shared" si="53"/>
        <v>76.799396481178391</v>
      </c>
    </row>
    <row r="459" spans="1:19" x14ac:dyDescent="0.3">
      <c r="A459">
        <v>13196.8</v>
      </c>
      <c r="B459">
        <v>105.25032299999999</v>
      </c>
      <c r="C459">
        <v>109.104664</v>
      </c>
      <c r="D459">
        <v>112.866519</v>
      </c>
      <c r="E459">
        <v>74.213252999999995</v>
      </c>
      <c r="F459">
        <v>47.196874999999999</v>
      </c>
      <c r="G459">
        <v>19.998051</v>
      </c>
      <c r="H459">
        <v>22.366125</v>
      </c>
      <c r="I459"/>
      <c r="N459"/>
      <c r="O459"/>
      <c r="P459" s="1">
        <f t="shared" si="50"/>
        <v>107.73697865853659</v>
      </c>
      <c r="Q459" s="1">
        <f t="shared" si="51"/>
        <v>111.72707825203253</v>
      </c>
      <c r="R459" s="1">
        <f t="shared" si="52"/>
        <v>115.92073620883042</v>
      </c>
      <c r="S459" s="1">
        <f t="shared" si="53"/>
        <v>76.774868044189844</v>
      </c>
    </row>
    <row r="460" spans="1:19" x14ac:dyDescent="0.3">
      <c r="A460">
        <v>13197</v>
      </c>
      <c r="B460">
        <v>105.25032299999999</v>
      </c>
      <c r="C460">
        <v>109.104664</v>
      </c>
      <c r="D460">
        <v>112.866519</v>
      </c>
      <c r="E460">
        <v>74.213252999999995</v>
      </c>
      <c r="F460">
        <v>47.196874999999999</v>
      </c>
      <c r="G460">
        <v>19.998051</v>
      </c>
      <c r="H460">
        <v>22.366125</v>
      </c>
      <c r="I460" t="s">
        <v>56</v>
      </c>
      <c r="N460"/>
      <c r="O460"/>
      <c r="P460" s="1">
        <f t="shared" si="50"/>
        <v>107.73697865853659</v>
      </c>
      <c r="Q460" s="1">
        <f t="shared" si="51"/>
        <v>111.72707825203253</v>
      </c>
      <c r="R460" s="1">
        <f t="shared" si="52"/>
        <v>115.92073620883042</v>
      </c>
      <c r="S460" s="1">
        <f t="shared" si="53"/>
        <v>76.774868044189844</v>
      </c>
    </row>
    <row r="461" spans="1:19" x14ac:dyDescent="0.3">
      <c r="A461">
        <v>13197.2</v>
      </c>
      <c r="B461">
        <v>105.256697</v>
      </c>
      <c r="C461">
        <v>109.150621</v>
      </c>
      <c r="D461">
        <v>112.878142</v>
      </c>
      <c r="E461">
        <v>74.156807999999998</v>
      </c>
      <c r="F461">
        <v>47.324238999999999</v>
      </c>
      <c r="G461">
        <v>19.997260000000001</v>
      </c>
      <c r="H461">
        <v>22.365808999999999</v>
      </c>
      <c r="I461"/>
      <c r="N461"/>
      <c r="O461"/>
      <c r="P461" s="1">
        <f t="shared" si="50"/>
        <v>107.74130995934959</v>
      </c>
      <c r="Q461" s="1">
        <f t="shared" si="51"/>
        <v>111.68588617886181</v>
      </c>
      <c r="R461" s="1">
        <f t="shared" si="52"/>
        <v>115.89929234220455</v>
      </c>
      <c r="S461" s="1">
        <f t="shared" si="53"/>
        <v>76.802985883797049</v>
      </c>
    </row>
    <row r="462" spans="1:19" x14ac:dyDescent="0.3">
      <c r="A462">
        <v>13197.4</v>
      </c>
      <c r="B462">
        <v>105.256697</v>
      </c>
      <c r="C462">
        <v>109.150621</v>
      </c>
      <c r="D462">
        <v>112.878142</v>
      </c>
      <c r="E462">
        <v>74.156807999999998</v>
      </c>
      <c r="F462">
        <v>47.324238999999999</v>
      </c>
      <c r="G462">
        <v>19.997260000000001</v>
      </c>
      <c r="H462">
        <v>22.365808999999999</v>
      </c>
      <c r="I462"/>
      <c r="N462"/>
      <c r="O462"/>
      <c r="P462" s="1">
        <f t="shared" si="50"/>
        <v>107.74130995934959</v>
      </c>
      <c r="Q462" s="1">
        <f t="shared" si="51"/>
        <v>111.68588617886181</v>
      </c>
      <c r="R462" s="1">
        <f t="shared" si="52"/>
        <v>115.89929234220455</v>
      </c>
      <c r="S462" s="1">
        <f t="shared" si="53"/>
        <v>76.802985883797049</v>
      </c>
    </row>
    <row r="463" spans="1:19" x14ac:dyDescent="0.3">
      <c r="A463">
        <v>13197.6</v>
      </c>
      <c r="B463">
        <v>105.248983</v>
      </c>
      <c r="C463">
        <v>109.134184</v>
      </c>
      <c r="D463">
        <v>112.89480399999999</v>
      </c>
      <c r="E463">
        <v>74.145858000000004</v>
      </c>
      <c r="F463">
        <v>46.913598999999998</v>
      </c>
      <c r="G463">
        <v>19.984316</v>
      </c>
      <c r="H463">
        <v>22.349104000000001</v>
      </c>
      <c r="I463"/>
      <c r="N463"/>
      <c r="O463"/>
      <c r="P463" s="1">
        <f t="shared" si="50"/>
        <v>107.74228658536586</v>
      </c>
      <c r="Q463" s="1">
        <f t="shared" si="51"/>
        <v>111.71567987804879</v>
      </c>
      <c r="R463" s="1">
        <f t="shared" si="52"/>
        <v>115.92699806260833</v>
      </c>
      <c r="S463" s="1">
        <f t="shared" si="53"/>
        <v>76.850693535188213</v>
      </c>
    </row>
    <row r="464" spans="1:19" x14ac:dyDescent="0.3">
      <c r="A464">
        <v>13197.8</v>
      </c>
      <c r="B464">
        <v>105.248983</v>
      </c>
      <c r="C464">
        <v>109.134184</v>
      </c>
      <c r="D464">
        <v>112.89480399999999</v>
      </c>
      <c r="E464">
        <v>74.145858000000004</v>
      </c>
      <c r="F464">
        <v>46.913598999999998</v>
      </c>
      <c r="G464">
        <v>19.984316</v>
      </c>
      <c r="H464">
        <v>22.349104000000001</v>
      </c>
      <c r="I464"/>
      <c r="N464"/>
      <c r="P464" s="1">
        <f t="shared" si="50"/>
        <v>107.74228658536586</v>
      </c>
      <c r="Q464" s="1">
        <f t="shared" si="51"/>
        <v>111.71567987804879</v>
      </c>
      <c r="R464" s="1">
        <f t="shared" si="52"/>
        <v>115.92699806260833</v>
      </c>
      <c r="S464" s="1">
        <f t="shared" si="53"/>
        <v>76.850693535188213</v>
      </c>
    </row>
    <row r="465" spans="1:19" x14ac:dyDescent="0.3">
      <c r="A465">
        <v>13198</v>
      </c>
      <c r="B465">
        <v>105.245644</v>
      </c>
      <c r="C465">
        <v>109.13951900000001</v>
      </c>
      <c r="D465">
        <v>112.87186199999999</v>
      </c>
      <c r="E465">
        <v>74.158923999999999</v>
      </c>
      <c r="F465">
        <v>47.249063</v>
      </c>
      <c r="G465">
        <v>20.019335000000002</v>
      </c>
      <c r="H465">
        <v>22.352799999999998</v>
      </c>
      <c r="I465" t="s">
        <v>56</v>
      </c>
      <c r="N465"/>
      <c r="O465" s="26"/>
      <c r="P465" s="1">
        <f t="shared" si="50"/>
        <v>107.75524186991871</v>
      </c>
      <c r="Q465" s="1">
        <f t="shared" si="51"/>
        <v>111.71103252032522</v>
      </c>
      <c r="R465" s="1">
        <f t="shared" si="52"/>
        <v>115.91468135005607</v>
      </c>
      <c r="S465" s="1">
        <f t="shared" si="53"/>
        <v>76.79410188216039</v>
      </c>
    </row>
    <row r="466" spans="1:19" x14ac:dyDescent="0.3">
      <c r="A466">
        <v>13198.2</v>
      </c>
      <c r="B466">
        <v>105.245644</v>
      </c>
      <c r="C466">
        <v>109.13951900000001</v>
      </c>
      <c r="D466">
        <v>112.87186199999999</v>
      </c>
      <c r="E466">
        <v>74.158923999999999</v>
      </c>
      <c r="F466">
        <v>47.249063</v>
      </c>
      <c r="G466">
        <v>20.019335000000002</v>
      </c>
      <c r="H466">
        <v>22.352799999999998</v>
      </c>
      <c r="I466"/>
      <c r="N466"/>
      <c r="O466" s="26"/>
      <c r="P466" s="1">
        <f t="shared" si="50"/>
        <v>107.75524186991871</v>
      </c>
      <c r="Q466" s="1">
        <f t="shared" si="51"/>
        <v>111.71103252032522</v>
      </c>
      <c r="R466" s="1">
        <f t="shared" si="52"/>
        <v>115.91468135005607</v>
      </c>
      <c r="S466" s="1">
        <f t="shared" si="53"/>
        <v>76.79410188216039</v>
      </c>
    </row>
    <row r="467" spans="1:19" x14ac:dyDescent="0.3">
      <c r="A467">
        <v>13198.4</v>
      </c>
      <c r="B467">
        <v>105.241496</v>
      </c>
      <c r="C467">
        <v>109.13992500000001</v>
      </c>
      <c r="D467">
        <v>112.86292299999999</v>
      </c>
      <c r="E467">
        <v>74.195607999999993</v>
      </c>
      <c r="F467">
        <v>47.610084000000001</v>
      </c>
      <c r="G467">
        <v>20.012706999999999</v>
      </c>
      <c r="H467">
        <v>22.351866999999999</v>
      </c>
      <c r="I467"/>
      <c r="N467"/>
      <c r="O467" s="26"/>
      <c r="P467" s="1">
        <f t="shared" si="50"/>
        <v>107.74048780487806</v>
      </c>
      <c r="Q467" s="1">
        <f t="shared" si="51"/>
        <v>111.6936575203252</v>
      </c>
      <c r="R467" s="1">
        <f t="shared" si="52"/>
        <v>115.91473335372692</v>
      </c>
      <c r="S467" s="1">
        <f t="shared" si="53"/>
        <v>76.931852495908345</v>
      </c>
    </row>
    <row r="468" spans="1:19" x14ac:dyDescent="0.3">
      <c r="A468">
        <v>13198.6</v>
      </c>
      <c r="B468">
        <v>105.241496</v>
      </c>
      <c r="C468">
        <v>109.13992500000001</v>
      </c>
      <c r="D468">
        <v>112.86292299999999</v>
      </c>
      <c r="E468">
        <v>74.195607999999993</v>
      </c>
      <c r="F468">
        <v>47.610084000000001</v>
      </c>
      <c r="G468">
        <v>20.012706999999999</v>
      </c>
      <c r="H468">
        <v>22.351866999999999</v>
      </c>
      <c r="I468"/>
      <c r="N468"/>
      <c r="O468" s="26"/>
      <c r="P468" s="1">
        <f t="shared" si="50"/>
        <v>107.74048780487806</v>
      </c>
      <c r="Q468" s="1">
        <f t="shared" si="51"/>
        <v>111.6936575203252</v>
      </c>
      <c r="R468" s="1">
        <f t="shared" si="52"/>
        <v>115.91473335372692</v>
      </c>
      <c r="S468" s="1">
        <f t="shared" si="53"/>
        <v>76.931852495908345</v>
      </c>
    </row>
    <row r="469" spans="1:19" x14ac:dyDescent="0.3">
      <c r="A469">
        <v>13198.8</v>
      </c>
      <c r="B469">
        <v>105.237146</v>
      </c>
      <c r="C469">
        <v>109.13601300000001</v>
      </c>
      <c r="D469">
        <v>112.876116</v>
      </c>
      <c r="E469">
        <v>74.242620000000002</v>
      </c>
      <c r="F469">
        <v>47.773992999999997</v>
      </c>
      <c r="G469">
        <v>19.99146</v>
      </c>
      <c r="H469">
        <v>22.367597</v>
      </c>
      <c r="I469"/>
      <c r="N469"/>
      <c r="O469"/>
      <c r="P469" s="1">
        <f t="shared" si="50"/>
        <v>107.74120731707318</v>
      </c>
      <c r="Q469" s="1">
        <f t="shared" si="51"/>
        <v>111.69089532520326</v>
      </c>
      <c r="R469" s="1">
        <f t="shared" si="52"/>
        <v>115.9210329356582</v>
      </c>
      <c r="S469" s="1">
        <f t="shared" si="53"/>
        <v>76.906904664484458</v>
      </c>
    </row>
    <row r="470" spans="1:19" x14ac:dyDescent="0.3">
      <c r="A470">
        <v>13199</v>
      </c>
      <c r="B470">
        <v>105.237146</v>
      </c>
      <c r="C470">
        <v>109.13601300000001</v>
      </c>
      <c r="D470">
        <v>112.876116</v>
      </c>
      <c r="E470">
        <v>74.242620000000002</v>
      </c>
      <c r="F470">
        <v>47.773992999999997</v>
      </c>
      <c r="G470">
        <v>19.99146</v>
      </c>
      <c r="H470">
        <v>22.367597</v>
      </c>
      <c r="I470" t="s">
        <v>56</v>
      </c>
      <c r="N470"/>
      <c r="O470"/>
      <c r="P470" s="1">
        <f t="shared" si="50"/>
        <v>107.74120731707318</v>
      </c>
      <c r="Q470" s="1">
        <f t="shared" si="51"/>
        <v>111.69089532520326</v>
      </c>
      <c r="R470" s="1">
        <f t="shared" si="52"/>
        <v>115.9210329356582</v>
      </c>
      <c r="S470" s="1">
        <f t="shared" si="53"/>
        <v>76.906904664484458</v>
      </c>
    </row>
    <row r="471" spans="1:19" x14ac:dyDescent="0.3">
      <c r="A471">
        <v>13199.2</v>
      </c>
      <c r="B471">
        <v>105.232112</v>
      </c>
      <c r="C471">
        <v>109.116553</v>
      </c>
      <c r="D471">
        <v>112.886346</v>
      </c>
      <c r="E471">
        <v>74.277089000000004</v>
      </c>
      <c r="F471">
        <v>47.696874000000001</v>
      </c>
      <c r="G471">
        <v>19.985700999999999</v>
      </c>
      <c r="H471">
        <v>22.352854000000001</v>
      </c>
      <c r="I471"/>
      <c r="N471"/>
      <c r="O471"/>
      <c r="P471" s="1">
        <f t="shared" si="50"/>
        <v>107.74038414634146</v>
      </c>
      <c r="Q471" s="1">
        <f t="shared" si="51"/>
        <v>111.70819308943089</v>
      </c>
      <c r="R471" s="1">
        <f t="shared" si="52"/>
        <v>115.92810747425307</v>
      </c>
      <c r="S471" s="1">
        <f t="shared" si="53"/>
        <v>76.832542962356783</v>
      </c>
    </row>
    <row r="472" spans="1:19" x14ac:dyDescent="0.3">
      <c r="A472">
        <v>13199.4</v>
      </c>
      <c r="B472">
        <v>105.232112</v>
      </c>
      <c r="C472">
        <v>109.116553</v>
      </c>
      <c r="D472">
        <v>112.886346</v>
      </c>
      <c r="E472">
        <v>74.277089000000004</v>
      </c>
      <c r="F472">
        <v>47.696874000000001</v>
      </c>
      <c r="G472">
        <v>19.985700999999999</v>
      </c>
      <c r="H472">
        <v>22.352854000000001</v>
      </c>
      <c r="I472"/>
      <c r="N472"/>
      <c r="O472"/>
      <c r="P472" s="1">
        <f t="shared" si="50"/>
        <v>107.74038414634146</v>
      </c>
      <c r="Q472" s="1">
        <f t="shared" si="51"/>
        <v>111.70819308943089</v>
      </c>
      <c r="R472" s="1">
        <f t="shared" si="52"/>
        <v>115.92810747425307</v>
      </c>
      <c r="S472" s="1">
        <f t="shared" si="53"/>
        <v>76.832542962356783</v>
      </c>
    </row>
    <row r="473" spans="1:19" x14ac:dyDescent="0.3">
      <c r="A473">
        <v>13199.6</v>
      </c>
      <c r="B473">
        <v>105.256317</v>
      </c>
      <c r="C473">
        <v>109.13332</v>
      </c>
      <c r="D473">
        <v>112.878901</v>
      </c>
      <c r="E473">
        <v>74.170770000000005</v>
      </c>
      <c r="F473">
        <v>47.791390999999997</v>
      </c>
      <c r="G473">
        <v>20.008922999999999</v>
      </c>
      <c r="H473">
        <v>22.350932</v>
      </c>
      <c r="I473"/>
      <c r="N473"/>
      <c r="O473"/>
      <c r="P473" s="1">
        <f t="shared" si="50"/>
        <v>107.74627032520327</v>
      </c>
      <c r="Q473" s="1">
        <f t="shared" si="51"/>
        <v>111.70016361788619</v>
      </c>
      <c r="R473" s="1">
        <f t="shared" si="52"/>
        <v>115.88893851330683</v>
      </c>
      <c r="S473" s="1">
        <f t="shared" si="53"/>
        <v>76.842726063829787</v>
      </c>
    </row>
    <row r="474" spans="1:19" x14ac:dyDescent="0.3">
      <c r="A474">
        <v>13199.8</v>
      </c>
      <c r="B474">
        <v>105.256317</v>
      </c>
      <c r="C474">
        <v>109.13332</v>
      </c>
      <c r="D474">
        <v>112.878901</v>
      </c>
      <c r="E474">
        <v>74.170770000000005</v>
      </c>
      <c r="F474">
        <v>47.791390999999997</v>
      </c>
      <c r="G474">
        <v>20.008922999999999</v>
      </c>
      <c r="H474">
        <v>22.350932</v>
      </c>
      <c r="I474"/>
      <c r="N474"/>
      <c r="O474"/>
      <c r="P474" s="1">
        <f t="shared" si="50"/>
        <v>107.74627032520327</v>
      </c>
      <c r="Q474" s="1">
        <f t="shared" si="51"/>
        <v>111.70016361788619</v>
      </c>
      <c r="R474" s="1">
        <f t="shared" si="52"/>
        <v>115.88893851330683</v>
      </c>
      <c r="S474" s="1">
        <f t="shared" si="53"/>
        <v>76.842726063829787</v>
      </c>
    </row>
    <row r="475" spans="1:19" x14ac:dyDescent="0.3">
      <c r="A475">
        <v>14230</v>
      </c>
      <c r="B475">
        <v>113.694394</v>
      </c>
      <c r="C475">
        <v>118.30314</v>
      </c>
      <c r="D475">
        <v>122.688058</v>
      </c>
      <c r="E475">
        <v>77.414192</v>
      </c>
      <c r="F475">
        <v>49.306520999999996</v>
      </c>
      <c r="G475">
        <v>19.977792000000001</v>
      </c>
      <c r="H475">
        <v>22.735541999999999</v>
      </c>
      <c r="I475" t="s">
        <v>56</v>
      </c>
      <c r="N475"/>
      <c r="O475"/>
      <c r="P475" s="1">
        <f t="shared" si="50"/>
        <v>107.75412296747967</v>
      </c>
      <c r="Q475" s="1">
        <f t="shared" si="51"/>
        <v>111.70526219512196</v>
      </c>
      <c r="R475" s="1">
        <f t="shared" si="52"/>
        <v>115.91843785051493</v>
      </c>
      <c r="S475" s="1">
        <f t="shared" si="53"/>
        <v>76.883954582651384</v>
      </c>
    </row>
    <row r="476" spans="1:19" x14ac:dyDescent="0.3">
      <c r="A476">
        <v>14230.2</v>
      </c>
      <c r="B476">
        <v>113.694394</v>
      </c>
      <c r="C476">
        <v>118.30314</v>
      </c>
      <c r="D476">
        <v>122.688058</v>
      </c>
      <c r="E476">
        <v>77.414192</v>
      </c>
      <c r="F476">
        <v>49.306520999999996</v>
      </c>
      <c r="G476">
        <v>19.977792000000001</v>
      </c>
      <c r="H476">
        <v>22.735541999999999</v>
      </c>
      <c r="I476"/>
      <c r="N476"/>
      <c r="O476"/>
      <c r="P476" s="1">
        <f t="shared" si="50"/>
        <v>107.75412296747967</v>
      </c>
      <c r="Q476" s="1">
        <f t="shared" si="51"/>
        <v>111.70526219512196</v>
      </c>
      <c r="R476" s="1">
        <f t="shared" si="52"/>
        <v>115.91843785051493</v>
      </c>
      <c r="S476" s="1">
        <f t="shared" si="53"/>
        <v>76.883954582651384</v>
      </c>
    </row>
    <row r="477" spans="1:19" x14ac:dyDescent="0.3">
      <c r="A477">
        <v>14230.4</v>
      </c>
      <c r="B477">
        <v>113.689527</v>
      </c>
      <c r="C477">
        <v>118.32629300000001</v>
      </c>
      <c r="D477">
        <v>122.666906</v>
      </c>
      <c r="E477">
        <v>77.286669000000003</v>
      </c>
      <c r="F477">
        <v>49.140593000000003</v>
      </c>
      <c r="G477">
        <v>20.007987</v>
      </c>
      <c r="H477">
        <v>22.738685</v>
      </c>
      <c r="I477"/>
      <c r="N477"/>
      <c r="O477"/>
      <c r="P477" s="1">
        <f t="shared" si="50"/>
        <v>107.76099898373984</v>
      </c>
      <c r="Q477" s="1">
        <f t="shared" si="51"/>
        <v>111.67801219512195</v>
      </c>
      <c r="R477" s="1">
        <f t="shared" si="52"/>
        <v>115.91395839706331</v>
      </c>
      <c r="S477" s="1">
        <f t="shared" si="53"/>
        <v>76.858687602291312</v>
      </c>
    </row>
    <row r="478" spans="1:19" x14ac:dyDescent="0.3">
      <c r="A478">
        <v>14230.6</v>
      </c>
      <c r="B478">
        <v>113.689527</v>
      </c>
      <c r="C478">
        <v>118.32629300000001</v>
      </c>
      <c r="D478">
        <v>122.666906</v>
      </c>
      <c r="E478">
        <v>77.286669000000003</v>
      </c>
      <c r="F478">
        <v>49.140593000000003</v>
      </c>
      <c r="G478">
        <v>20.007987</v>
      </c>
      <c r="H478">
        <v>22.738685</v>
      </c>
      <c r="I478"/>
      <c r="N478"/>
      <c r="O478"/>
      <c r="P478" s="1">
        <f t="shared" si="50"/>
        <v>107.76099898373984</v>
      </c>
      <c r="Q478" s="1">
        <f t="shared" si="51"/>
        <v>111.67801219512195</v>
      </c>
      <c r="R478" s="1">
        <f t="shared" si="52"/>
        <v>115.91395839706331</v>
      </c>
      <c r="S478" s="1">
        <f t="shared" si="53"/>
        <v>76.858687602291312</v>
      </c>
    </row>
    <row r="479" spans="1:19" x14ac:dyDescent="0.3">
      <c r="A479">
        <v>14230.8</v>
      </c>
      <c r="B479">
        <v>113.707139</v>
      </c>
      <c r="C479">
        <v>118.309743</v>
      </c>
      <c r="D479">
        <v>122.68845399999999</v>
      </c>
      <c r="E479">
        <v>77.244331000000003</v>
      </c>
      <c r="F479">
        <v>48.921115999999998</v>
      </c>
      <c r="G479">
        <v>19.988441999999999</v>
      </c>
      <c r="H479">
        <v>22.731729000000001</v>
      </c>
      <c r="I479"/>
      <c r="N479"/>
      <c r="O479"/>
      <c r="P479" s="1">
        <f t="shared" si="50"/>
        <v>107.76747662601626</v>
      </c>
      <c r="Q479" s="1">
        <f t="shared" si="51"/>
        <v>111.72471646341464</v>
      </c>
      <c r="R479" s="1">
        <f t="shared" si="52"/>
        <v>115.92581013561741</v>
      </c>
      <c r="S479" s="1">
        <f t="shared" si="53"/>
        <v>76.800949263502446</v>
      </c>
    </row>
    <row r="480" spans="1:19" x14ac:dyDescent="0.3">
      <c r="A480">
        <v>14231</v>
      </c>
      <c r="B480">
        <v>113.707139</v>
      </c>
      <c r="C480">
        <v>118.309743</v>
      </c>
      <c r="D480">
        <v>122.68845399999999</v>
      </c>
      <c r="E480">
        <v>77.244331000000003</v>
      </c>
      <c r="F480">
        <v>48.921115999999998</v>
      </c>
      <c r="G480">
        <v>19.988441999999999</v>
      </c>
      <c r="H480">
        <v>22.731729000000001</v>
      </c>
      <c r="I480" t="s">
        <v>56</v>
      </c>
      <c r="N480"/>
      <c r="O480"/>
      <c r="P480" s="1">
        <f t="shared" si="50"/>
        <v>107.76747662601626</v>
      </c>
      <c r="Q480" s="1">
        <f t="shared" si="51"/>
        <v>111.72471646341464</v>
      </c>
      <c r="R480" s="1">
        <f t="shared" si="52"/>
        <v>115.92581013561741</v>
      </c>
      <c r="S480" s="1">
        <f t="shared" si="53"/>
        <v>76.800949263502446</v>
      </c>
    </row>
    <row r="481" spans="1:19" x14ac:dyDescent="0.3">
      <c r="A481">
        <v>14231.2</v>
      </c>
      <c r="B481">
        <v>113.697495</v>
      </c>
      <c r="C481">
        <v>118.30510700000001</v>
      </c>
      <c r="D481">
        <v>122.71271400000001</v>
      </c>
      <c r="E481">
        <v>77.232645000000005</v>
      </c>
      <c r="F481">
        <v>48.491289000000002</v>
      </c>
      <c r="G481">
        <v>19.991354000000001</v>
      </c>
      <c r="H481">
        <v>22.750019000000002</v>
      </c>
      <c r="I481"/>
      <c r="N481"/>
      <c r="O481"/>
      <c r="P481" s="1">
        <f t="shared" si="50"/>
        <v>107.75963719512195</v>
      </c>
      <c r="Q481" s="1">
        <f t="shared" si="51"/>
        <v>111.70801219512197</v>
      </c>
      <c r="R481" s="1">
        <f t="shared" si="52"/>
        <v>115.94280004078718</v>
      </c>
      <c r="S481" s="1">
        <f t="shared" si="53"/>
        <v>76.789748363338788</v>
      </c>
    </row>
    <row r="482" spans="1:19" x14ac:dyDescent="0.3">
      <c r="A482">
        <v>14231.4</v>
      </c>
      <c r="B482">
        <v>113.697495</v>
      </c>
      <c r="C482">
        <v>118.30510700000001</v>
      </c>
      <c r="D482">
        <v>122.71271400000001</v>
      </c>
      <c r="E482">
        <v>77.232645000000005</v>
      </c>
      <c r="F482">
        <v>48.491289000000002</v>
      </c>
      <c r="G482">
        <v>19.991354000000001</v>
      </c>
      <c r="H482">
        <v>22.750019000000002</v>
      </c>
      <c r="I482"/>
      <c r="N482"/>
      <c r="O482"/>
      <c r="P482" s="1">
        <f t="shared" si="50"/>
        <v>107.75963719512195</v>
      </c>
      <c r="Q482" s="1">
        <f t="shared" si="51"/>
        <v>111.70801219512197</v>
      </c>
      <c r="R482" s="1">
        <f t="shared" si="52"/>
        <v>115.94280004078718</v>
      </c>
      <c r="S482" s="1">
        <f t="shared" si="53"/>
        <v>76.789748363338788</v>
      </c>
    </row>
    <row r="483" spans="1:19" x14ac:dyDescent="0.3">
      <c r="A483">
        <v>14231.6</v>
      </c>
      <c r="B483">
        <v>113.715107</v>
      </c>
      <c r="C483">
        <v>118.28533899999999</v>
      </c>
      <c r="D483">
        <v>122.689103</v>
      </c>
      <c r="E483">
        <v>77.255718000000002</v>
      </c>
      <c r="F483">
        <v>48.394624999999998</v>
      </c>
      <c r="G483">
        <v>19.973521999999999</v>
      </c>
      <c r="H483">
        <v>22.741933</v>
      </c>
      <c r="I483"/>
      <c r="N483"/>
      <c r="O483"/>
      <c r="P483" s="1">
        <f t="shared" si="50"/>
        <v>107.75624390243902</v>
      </c>
      <c r="Q483" s="1">
        <f t="shared" si="51"/>
        <v>111.71343394308944</v>
      </c>
      <c r="R483" s="1">
        <f t="shared" si="52"/>
        <v>115.91940654634443</v>
      </c>
      <c r="S483" s="1">
        <f t="shared" si="53"/>
        <v>76.803113747954171</v>
      </c>
    </row>
    <row r="484" spans="1:19" x14ac:dyDescent="0.3">
      <c r="A484">
        <v>14231.8</v>
      </c>
      <c r="B484">
        <v>113.715107</v>
      </c>
      <c r="C484">
        <v>118.28533899999999</v>
      </c>
      <c r="D484">
        <v>122.689103</v>
      </c>
      <c r="E484">
        <v>77.255718000000002</v>
      </c>
      <c r="F484">
        <v>48.394624999999998</v>
      </c>
      <c r="G484">
        <v>19.973521999999999</v>
      </c>
      <c r="H484">
        <v>22.741933</v>
      </c>
      <c r="I484"/>
      <c r="N484"/>
      <c r="O484"/>
      <c r="P484" s="1">
        <f t="shared" si="50"/>
        <v>107.75624390243902</v>
      </c>
      <c r="Q484" s="1">
        <f t="shared" si="51"/>
        <v>111.71343394308944</v>
      </c>
      <c r="R484" s="1">
        <f t="shared" si="52"/>
        <v>115.91940654634443</v>
      </c>
      <c r="S484" s="1">
        <f t="shared" si="53"/>
        <v>76.803113747954171</v>
      </c>
    </row>
    <row r="485" spans="1:19" x14ac:dyDescent="0.3">
      <c r="A485">
        <v>14232</v>
      </c>
      <c r="B485">
        <v>113.70044300000001</v>
      </c>
      <c r="C485">
        <v>118.314966</v>
      </c>
      <c r="D485">
        <v>122.695038</v>
      </c>
      <c r="E485">
        <v>77.362098000000003</v>
      </c>
      <c r="F485">
        <v>48.916012000000002</v>
      </c>
      <c r="G485">
        <v>19.984738</v>
      </c>
      <c r="H485">
        <v>22.730874</v>
      </c>
      <c r="I485" t="s">
        <v>56</v>
      </c>
      <c r="N485"/>
      <c r="O485"/>
      <c r="P485" s="1">
        <f t="shared" si="50"/>
        <v>107.75202845528456</v>
      </c>
      <c r="Q485" s="1">
        <f t="shared" si="51"/>
        <v>111.71384654471545</v>
      </c>
      <c r="R485" s="1">
        <f t="shared" si="52"/>
        <v>115.91029162842867</v>
      </c>
      <c r="S485" s="1">
        <f t="shared" si="53"/>
        <v>76.840638297872331</v>
      </c>
    </row>
    <row r="486" spans="1:19" x14ac:dyDescent="0.3">
      <c r="A486">
        <v>14232.2</v>
      </c>
      <c r="B486">
        <v>113.70044300000001</v>
      </c>
      <c r="C486">
        <v>118.314966</v>
      </c>
      <c r="D486">
        <v>122.695038</v>
      </c>
      <c r="E486">
        <v>77.362098000000003</v>
      </c>
      <c r="F486">
        <v>48.916012000000002</v>
      </c>
      <c r="G486">
        <v>19.984738</v>
      </c>
      <c r="H486">
        <v>22.730874</v>
      </c>
      <c r="I486"/>
      <c r="N486"/>
      <c r="O486"/>
      <c r="P486" s="1">
        <f t="shared" si="50"/>
        <v>107.75202845528456</v>
      </c>
      <c r="Q486" s="1">
        <f t="shared" si="51"/>
        <v>111.71384654471545</v>
      </c>
      <c r="R486" s="1">
        <f t="shared" si="52"/>
        <v>115.91029162842867</v>
      </c>
      <c r="S486" s="1">
        <f t="shared" si="53"/>
        <v>76.840638297872331</v>
      </c>
    </row>
    <row r="487" spans="1:19" x14ac:dyDescent="0.3">
      <c r="A487">
        <v>14232.4</v>
      </c>
      <c r="B487">
        <v>113.69359300000001</v>
      </c>
      <c r="C487">
        <v>118.309692</v>
      </c>
      <c r="D487">
        <v>122.694363</v>
      </c>
      <c r="E487">
        <v>77.257946000000004</v>
      </c>
      <c r="F487">
        <v>48.680793000000001</v>
      </c>
      <c r="G487">
        <v>19.980257000000002</v>
      </c>
      <c r="H487">
        <v>22.743207999999999</v>
      </c>
      <c r="I487"/>
      <c r="N487"/>
      <c r="O487"/>
      <c r="P487" s="1">
        <f t="shared" si="50"/>
        <v>107.74760772357723</v>
      </c>
      <c r="Q487" s="1">
        <f t="shared" si="51"/>
        <v>111.70987093495935</v>
      </c>
      <c r="R487" s="1">
        <f t="shared" si="52"/>
        <v>115.92374426430101</v>
      </c>
      <c r="S487" s="1">
        <f t="shared" si="53"/>
        <v>76.888727495908341</v>
      </c>
    </row>
    <row r="488" spans="1:19" x14ac:dyDescent="0.3">
      <c r="A488">
        <v>14232.6</v>
      </c>
      <c r="B488">
        <v>113.69359300000001</v>
      </c>
      <c r="C488">
        <v>118.309692</v>
      </c>
      <c r="D488">
        <v>122.694363</v>
      </c>
      <c r="E488">
        <v>77.257946000000004</v>
      </c>
      <c r="F488">
        <v>48.680793000000001</v>
      </c>
      <c r="G488">
        <v>19.980257000000002</v>
      </c>
      <c r="H488">
        <v>22.743207999999999</v>
      </c>
      <c r="I488"/>
      <c r="N488"/>
      <c r="O488"/>
      <c r="P488" s="1">
        <f t="shared" si="50"/>
        <v>107.74760772357723</v>
      </c>
      <c r="Q488" s="1">
        <f t="shared" si="51"/>
        <v>111.70987093495935</v>
      </c>
      <c r="R488" s="1">
        <f t="shared" si="52"/>
        <v>115.92374426430101</v>
      </c>
      <c r="S488" s="1">
        <f t="shared" si="53"/>
        <v>76.888727495908341</v>
      </c>
    </row>
    <row r="489" spans="1:19" x14ac:dyDescent="0.3">
      <c r="A489">
        <v>14232.8</v>
      </c>
      <c r="B489">
        <v>113.708347</v>
      </c>
      <c r="C489">
        <v>118.302682</v>
      </c>
      <c r="D489">
        <v>122.69699900000001</v>
      </c>
      <c r="E489">
        <v>77.239018000000002</v>
      </c>
      <c r="F489">
        <v>48.530478000000002</v>
      </c>
      <c r="G489">
        <v>20.012205000000002</v>
      </c>
      <c r="H489">
        <v>22.737449000000002</v>
      </c>
      <c r="I489"/>
      <c r="N489"/>
      <c r="O489"/>
      <c r="P489" s="1">
        <f t="shared" si="50"/>
        <v>107.74249186991871</v>
      </c>
      <c r="Q489" s="1">
        <f t="shared" si="51"/>
        <v>111.69009451219512</v>
      </c>
      <c r="R489" s="1">
        <f t="shared" si="52"/>
        <v>115.9341755888651</v>
      </c>
      <c r="S489" s="1">
        <f t="shared" si="53"/>
        <v>76.923986292962354</v>
      </c>
    </row>
    <row r="490" spans="1:19" x14ac:dyDescent="0.3">
      <c r="A490">
        <v>14233</v>
      </c>
      <c r="B490">
        <v>113.708347</v>
      </c>
      <c r="C490">
        <v>118.302682</v>
      </c>
      <c r="D490">
        <v>122.69699900000001</v>
      </c>
      <c r="E490">
        <v>77.239018000000002</v>
      </c>
      <c r="F490">
        <v>48.530478000000002</v>
      </c>
      <c r="G490">
        <v>20.012205000000002</v>
      </c>
      <c r="H490">
        <v>22.737449000000002</v>
      </c>
      <c r="I490" t="s">
        <v>56</v>
      </c>
      <c r="N490"/>
      <c r="O490"/>
      <c r="P490" s="1">
        <f t="shared" si="50"/>
        <v>107.74249186991871</v>
      </c>
      <c r="Q490" s="1">
        <f t="shared" si="51"/>
        <v>111.69009451219512</v>
      </c>
      <c r="R490" s="1">
        <f t="shared" si="52"/>
        <v>115.9341755888651</v>
      </c>
      <c r="S490" s="1">
        <f t="shared" si="53"/>
        <v>76.923986292962354</v>
      </c>
    </row>
    <row r="491" spans="1:19" x14ac:dyDescent="0.3">
      <c r="A491">
        <v>14233.2</v>
      </c>
      <c r="B491">
        <v>113.691281</v>
      </c>
      <c r="C491">
        <v>118.29679400000001</v>
      </c>
      <c r="D491">
        <v>122.68448100000001</v>
      </c>
      <c r="E491">
        <v>77.251873000000003</v>
      </c>
      <c r="F491">
        <v>48.052092999999999</v>
      </c>
      <c r="G491">
        <v>19.985937</v>
      </c>
      <c r="H491">
        <v>22.730177999999999</v>
      </c>
      <c r="I491"/>
      <c r="N491"/>
      <c r="O491"/>
      <c r="P491" s="1">
        <f t="shared" si="50"/>
        <v>107.76709044715447</v>
      </c>
      <c r="Q491" s="1">
        <f t="shared" si="51"/>
        <v>111.70713414634146</v>
      </c>
      <c r="R491" s="1">
        <f t="shared" si="52"/>
        <v>115.9265840726012</v>
      </c>
      <c r="S491" s="1">
        <f t="shared" si="53"/>
        <v>76.815231178396076</v>
      </c>
    </row>
    <row r="492" spans="1:19" x14ac:dyDescent="0.3">
      <c r="A492">
        <v>14233.4</v>
      </c>
      <c r="B492">
        <v>113.691281</v>
      </c>
      <c r="C492">
        <v>118.29679400000001</v>
      </c>
      <c r="D492">
        <v>122.68448100000001</v>
      </c>
      <c r="E492">
        <v>77.251873000000003</v>
      </c>
      <c r="F492">
        <v>48.052092999999999</v>
      </c>
      <c r="G492">
        <v>19.985937</v>
      </c>
      <c r="H492">
        <v>22.730177999999999</v>
      </c>
      <c r="I492"/>
      <c r="N492"/>
      <c r="O492"/>
      <c r="P492" s="1">
        <f t="shared" ref="P492:P555" si="54">(B474+Q$36)/P$36</f>
        <v>107.76709044715447</v>
      </c>
      <c r="Q492" s="1">
        <f t="shared" ref="Q492:Q555" si="55">(C474+Q$36)/P$36</f>
        <v>111.70713414634146</v>
      </c>
      <c r="R492" s="1">
        <f t="shared" ref="R492:R555" si="56">(D474+Q$38)/P$38</f>
        <v>115.9265840726012</v>
      </c>
      <c r="S492" s="1">
        <f t="shared" ref="S492:S555" si="57">(E474+Q$39)/P$39</f>
        <v>76.815231178396076</v>
      </c>
    </row>
    <row r="493" spans="1:19" x14ac:dyDescent="0.3">
      <c r="A493">
        <v>14233.6</v>
      </c>
      <c r="B493">
        <v>113.697039</v>
      </c>
      <c r="C493">
        <v>118.309016</v>
      </c>
      <c r="D493">
        <v>122.68956300000001</v>
      </c>
      <c r="E493">
        <v>77.271624000000003</v>
      </c>
      <c r="F493">
        <v>49.05406</v>
      </c>
      <c r="G493">
        <v>20.002188</v>
      </c>
      <c r="H493">
        <v>22.722958999999999</v>
      </c>
      <c r="I493"/>
      <c r="N493"/>
      <c r="O493"/>
      <c r="P493" s="1">
        <f t="shared" si="54"/>
        <v>116.34237195121952</v>
      </c>
      <c r="Q493" s="1">
        <f t="shared" si="55"/>
        <v>121.02605691056911</v>
      </c>
      <c r="R493" s="1">
        <f t="shared" si="56"/>
        <v>125.9287835219741</v>
      </c>
      <c r="S493" s="1">
        <f t="shared" si="57"/>
        <v>80.132970540098199</v>
      </c>
    </row>
    <row r="494" spans="1:19" x14ac:dyDescent="0.3">
      <c r="A494">
        <v>14233.8</v>
      </c>
      <c r="B494">
        <v>113.697039</v>
      </c>
      <c r="C494">
        <v>118.309016</v>
      </c>
      <c r="D494">
        <v>122.68956300000001</v>
      </c>
      <c r="E494">
        <v>77.271624000000003</v>
      </c>
      <c r="F494">
        <v>49.05406</v>
      </c>
      <c r="G494">
        <v>20.002188</v>
      </c>
      <c r="H494">
        <v>22.722958999999999</v>
      </c>
      <c r="I494"/>
      <c r="N494"/>
      <c r="O494"/>
      <c r="P494" s="1">
        <f t="shared" si="54"/>
        <v>116.34237195121952</v>
      </c>
      <c r="Q494" s="1">
        <f t="shared" si="55"/>
        <v>121.02605691056911</v>
      </c>
      <c r="R494" s="1">
        <f t="shared" si="56"/>
        <v>125.9287835219741</v>
      </c>
      <c r="S494" s="1">
        <f t="shared" si="57"/>
        <v>80.132970540098199</v>
      </c>
    </row>
    <row r="495" spans="1:19" x14ac:dyDescent="0.3">
      <c r="A495">
        <v>14234</v>
      </c>
      <c r="B495">
        <v>113.705107</v>
      </c>
      <c r="C495">
        <v>118.289311</v>
      </c>
      <c r="D495">
        <v>122.67312099999999</v>
      </c>
      <c r="E495">
        <v>77.276613999999995</v>
      </c>
      <c r="F495">
        <v>49.737738</v>
      </c>
      <c r="G495">
        <v>19.981259000000001</v>
      </c>
      <c r="H495">
        <v>22.704445</v>
      </c>
      <c r="I495" t="s">
        <v>56</v>
      </c>
      <c r="N495"/>
      <c r="O495"/>
      <c r="P495" s="1">
        <f t="shared" si="54"/>
        <v>116.33742581300814</v>
      </c>
      <c r="Q495" s="1">
        <f t="shared" si="55"/>
        <v>121.04958638211383</v>
      </c>
      <c r="R495" s="1">
        <f t="shared" si="56"/>
        <v>125.9072152544101</v>
      </c>
      <c r="S495" s="1">
        <f t="shared" si="57"/>
        <v>80.002525572831431</v>
      </c>
    </row>
    <row r="496" spans="1:19" x14ac:dyDescent="0.3">
      <c r="A496">
        <v>14234.2</v>
      </c>
      <c r="B496">
        <v>113.705107</v>
      </c>
      <c r="C496">
        <v>118.289311</v>
      </c>
      <c r="D496">
        <v>122.67312099999999</v>
      </c>
      <c r="E496">
        <v>77.276613999999995</v>
      </c>
      <c r="F496">
        <v>49.737738</v>
      </c>
      <c r="G496">
        <v>19.981259000000001</v>
      </c>
      <c r="H496">
        <v>22.704445</v>
      </c>
      <c r="I496"/>
      <c r="N496"/>
      <c r="O496"/>
      <c r="P496" s="1">
        <f t="shared" si="54"/>
        <v>116.33742581300814</v>
      </c>
      <c r="Q496" s="1">
        <f t="shared" si="55"/>
        <v>121.04958638211383</v>
      </c>
      <c r="R496" s="1">
        <f t="shared" si="56"/>
        <v>125.9072152544101</v>
      </c>
      <c r="S496" s="1">
        <f t="shared" si="57"/>
        <v>80.002525572831431</v>
      </c>
    </row>
    <row r="497" spans="1:19" x14ac:dyDescent="0.3">
      <c r="A497">
        <v>14234.4</v>
      </c>
      <c r="B497">
        <v>113.69599599999999</v>
      </c>
      <c r="C497">
        <v>118.300843</v>
      </c>
      <c r="D497">
        <v>122.704106</v>
      </c>
      <c r="E497">
        <v>77.218408999999994</v>
      </c>
      <c r="F497">
        <v>50.060842999999998</v>
      </c>
      <c r="G497">
        <v>19.96133</v>
      </c>
      <c r="H497">
        <v>22.705155000000001</v>
      </c>
      <c r="I497"/>
      <c r="N497"/>
      <c r="O497"/>
      <c r="P497" s="1">
        <f t="shared" si="54"/>
        <v>116.35532418699188</v>
      </c>
      <c r="Q497" s="1">
        <f t="shared" si="55"/>
        <v>121.03276727642277</v>
      </c>
      <c r="R497" s="1">
        <f t="shared" si="56"/>
        <v>125.92918731518301</v>
      </c>
      <c r="S497" s="1">
        <f t="shared" si="57"/>
        <v>79.959217471358428</v>
      </c>
    </row>
    <row r="498" spans="1:19" x14ac:dyDescent="0.3">
      <c r="A498">
        <v>14234.6</v>
      </c>
      <c r="B498">
        <v>113.69599599999999</v>
      </c>
      <c r="C498">
        <v>118.300843</v>
      </c>
      <c r="D498">
        <v>122.704106</v>
      </c>
      <c r="E498">
        <v>77.218408999999994</v>
      </c>
      <c r="F498">
        <v>50.060842999999998</v>
      </c>
      <c r="G498">
        <v>19.96133</v>
      </c>
      <c r="H498">
        <v>22.705155000000001</v>
      </c>
      <c r="I498"/>
      <c r="N498"/>
      <c r="O498"/>
      <c r="P498" s="1">
        <f t="shared" si="54"/>
        <v>116.35532418699188</v>
      </c>
      <c r="Q498" s="1">
        <f t="shared" si="55"/>
        <v>121.03276727642277</v>
      </c>
      <c r="R498" s="1">
        <f t="shared" si="56"/>
        <v>125.92918731518301</v>
      </c>
      <c r="S498" s="1">
        <f t="shared" si="57"/>
        <v>79.959217471358428</v>
      </c>
    </row>
    <row r="499" spans="1:19" x14ac:dyDescent="0.3">
      <c r="A499">
        <v>14234.8</v>
      </c>
      <c r="B499">
        <v>113.70306100000001</v>
      </c>
      <c r="C499">
        <v>118.302196</v>
      </c>
      <c r="D499">
        <v>122.69743200000001</v>
      </c>
      <c r="E499">
        <v>77.260497999999998</v>
      </c>
      <c r="F499">
        <v>49.684260000000002</v>
      </c>
      <c r="G499">
        <v>19.981838</v>
      </c>
      <c r="H499">
        <v>22.718040999999999</v>
      </c>
      <c r="I499"/>
      <c r="N499"/>
      <c r="O499"/>
      <c r="P499" s="1">
        <f t="shared" si="54"/>
        <v>116.34552337398375</v>
      </c>
      <c r="Q499" s="1">
        <f t="shared" si="55"/>
        <v>121.02805589430895</v>
      </c>
      <c r="R499" s="1">
        <f t="shared" si="56"/>
        <v>125.95392474762924</v>
      </c>
      <c r="S499" s="1">
        <f t="shared" si="57"/>
        <v>79.947263707037649</v>
      </c>
    </row>
    <row r="500" spans="1:19" x14ac:dyDescent="0.3">
      <c r="A500">
        <v>14235</v>
      </c>
      <c r="B500">
        <v>113.70306100000001</v>
      </c>
      <c r="C500">
        <v>118.302196</v>
      </c>
      <c r="D500">
        <v>122.69743200000001</v>
      </c>
      <c r="E500">
        <v>77.260497999999998</v>
      </c>
      <c r="F500">
        <v>49.684260000000002</v>
      </c>
      <c r="G500">
        <v>19.981838</v>
      </c>
      <c r="H500">
        <v>22.718040999999999</v>
      </c>
      <c r="I500" t="s">
        <v>56</v>
      </c>
      <c r="N500"/>
      <c r="O500"/>
      <c r="P500" s="1">
        <f t="shared" si="54"/>
        <v>116.34552337398375</v>
      </c>
      <c r="Q500" s="1">
        <f t="shared" si="55"/>
        <v>121.02805589430895</v>
      </c>
      <c r="R500" s="1">
        <f t="shared" si="56"/>
        <v>125.95392474762924</v>
      </c>
      <c r="S500" s="1">
        <f t="shared" si="57"/>
        <v>79.947263707037649</v>
      </c>
    </row>
    <row r="501" spans="1:19" x14ac:dyDescent="0.3">
      <c r="A501">
        <v>14235.2</v>
      </c>
      <c r="B501">
        <v>113.695882</v>
      </c>
      <c r="C501">
        <v>118.30348600000001</v>
      </c>
      <c r="D501">
        <v>122.664106</v>
      </c>
      <c r="E501">
        <v>77.193432999999999</v>
      </c>
      <c r="F501">
        <v>49.801335999999999</v>
      </c>
      <c r="G501">
        <v>19.986820999999999</v>
      </c>
      <c r="H501">
        <v>22.721354999999999</v>
      </c>
      <c r="I501"/>
      <c r="N501"/>
      <c r="O501"/>
      <c r="P501" s="1">
        <f t="shared" si="54"/>
        <v>116.36342174796749</v>
      </c>
      <c r="Q501" s="1">
        <f t="shared" si="55"/>
        <v>121.00796646341463</v>
      </c>
      <c r="R501" s="1">
        <f t="shared" si="56"/>
        <v>125.92984908738656</v>
      </c>
      <c r="S501" s="1">
        <f t="shared" si="57"/>
        <v>79.970865384615379</v>
      </c>
    </row>
    <row r="502" spans="1:19" x14ac:dyDescent="0.3">
      <c r="A502">
        <v>14235.4</v>
      </c>
      <c r="B502">
        <v>113.695882</v>
      </c>
      <c r="C502">
        <v>118.30348600000001</v>
      </c>
      <c r="D502">
        <v>122.664106</v>
      </c>
      <c r="E502">
        <v>77.193432999999999</v>
      </c>
      <c r="F502">
        <v>49.801335999999999</v>
      </c>
      <c r="G502">
        <v>19.986820999999999</v>
      </c>
      <c r="H502">
        <v>22.721354999999999</v>
      </c>
      <c r="I502"/>
      <c r="N502"/>
      <c r="O502"/>
      <c r="P502" s="1">
        <f t="shared" si="54"/>
        <v>116.36342174796749</v>
      </c>
      <c r="Q502" s="1">
        <f t="shared" si="55"/>
        <v>121.00796646341463</v>
      </c>
      <c r="R502" s="1">
        <f t="shared" si="56"/>
        <v>125.92984908738656</v>
      </c>
      <c r="S502" s="1">
        <f t="shared" si="57"/>
        <v>79.970865384615379</v>
      </c>
    </row>
    <row r="503" spans="1:19" x14ac:dyDescent="0.3">
      <c r="A503">
        <v>14235.6</v>
      </c>
      <c r="B503">
        <v>113.682286</v>
      </c>
      <c r="C503">
        <v>118.290972</v>
      </c>
      <c r="D503">
        <v>122.672027</v>
      </c>
      <c r="E503">
        <v>77.279128</v>
      </c>
      <c r="F503">
        <v>49.394902000000002</v>
      </c>
      <c r="G503">
        <v>19.973364</v>
      </c>
      <c r="H503">
        <v>22.704378999999999</v>
      </c>
      <c r="I503"/>
      <c r="N503"/>
      <c r="O503"/>
      <c r="P503" s="1">
        <f t="shared" si="54"/>
        <v>116.3485193089431</v>
      </c>
      <c r="Q503" s="1">
        <f t="shared" si="55"/>
        <v>121.03807520325203</v>
      </c>
      <c r="R503" s="1">
        <f t="shared" si="56"/>
        <v>125.93590088712143</v>
      </c>
      <c r="S503" s="1">
        <f t="shared" si="57"/>
        <v>80.079682896890347</v>
      </c>
    </row>
    <row r="504" spans="1:19" x14ac:dyDescent="0.3">
      <c r="A504">
        <v>14235.8</v>
      </c>
      <c r="B504">
        <v>113.682286</v>
      </c>
      <c r="C504">
        <v>118.290972</v>
      </c>
      <c r="D504">
        <v>122.672027</v>
      </c>
      <c r="E504">
        <v>77.279128</v>
      </c>
      <c r="F504">
        <v>49.394902000000002</v>
      </c>
      <c r="G504">
        <v>19.973364</v>
      </c>
      <c r="H504">
        <v>22.704378999999999</v>
      </c>
      <c r="I504"/>
      <c r="N504"/>
      <c r="O504"/>
      <c r="P504" s="1">
        <f t="shared" si="54"/>
        <v>116.3485193089431</v>
      </c>
      <c r="Q504" s="1">
        <f t="shared" si="55"/>
        <v>121.03807520325203</v>
      </c>
      <c r="R504" s="1">
        <f t="shared" si="56"/>
        <v>125.93590088712143</v>
      </c>
      <c r="S504" s="1">
        <f t="shared" si="57"/>
        <v>80.079682896890347</v>
      </c>
    </row>
    <row r="505" spans="1:19" x14ac:dyDescent="0.3">
      <c r="A505">
        <v>14236</v>
      </c>
      <c r="B505">
        <v>113.696251</v>
      </c>
      <c r="C505">
        <v>118.2988</v>
      </c>
      <c r="D505">
        <v>122.678916</v>
      </c>
      <c r="E505">
        <v>77.285189000000003</v>
      </c>
      <c r="F505">
        <v>49.540053999999998</v>
      </c>
      <c r="G505">
        <v>19.974273</v>
      </c>
      <c r="H505">
        <v>22.704103</v>
      </c>
      <c r="I505" t="s">
        <v>56</v>
      </c>
      <c r="N505"/>
      <c r="O505"/>
      <c r="P505" s="1">
        <f t="shared" si="54"/>
        <v>116.34155792682928</v>
      </c>
      <c r="Q505" s="1">
        <f t="shared" si="55"/>
        <v>121.03271544715447</v>
      </c>
      <c r="R505" s="1">
        <f t="shared" si="56"/>
        <v>125.93521260324258</v>
      </c>
      <c r="S505" s="1">
        <f t="shared" si="57"/>
        <v>79.973144435351884</v>
      </c>
    </row>
    <row r="506" spans="1:19" x14ac:dyDescent="0.3">
      <c r="A506">
        <v>14236.2</v>
      </c>
      <c r="B506">
        <v>113.696251</v>
      </c>
      <c r="C506">
        <v>118.2988</v>
      </c>
      <c r="D506">
        <v>122.678916</v>
      </c>
      <c r="E506">
        <v>77.285189000000003</v>
      </c>
      <c r="F506">
        <v>49.540053999999998</v>
      </c>
      <c r="G506">
        <v>19.974273</v>
      </c>
      <c r="H506">
        <v>22.704103</v>
      </c>
      <c r="I506"/>
      <c r="N506"/>
      <c r="O506"/>
      <c r="P506" s="1">
        <f t="shared" si="54"/>
        <v>116.34155792682928</v>
      </c>
      <c r="Q506" s="1">
        <f t="shared" si="55"/>
        <v>121.03271544715447</v>
      </c>
      <c r="R506" s="1">
        <f t="shared" si="56"/>
        <v>125.93521260324258</v>
      </c>
      <c r="S506" s="1">
        <f t="shared" si="57"/>
        <v>79.973144435351884</v>
      </c>
    </row>
    <row r="507" spans="1:19" x14ac:dyDescent="0.3">
      <c r="A507">
        <v>14236.4</v>
      </c>
      <c r="B507">
        <v>113.68454800000001</v>
      </c>
      <c r="C507">
        <v>118.291866</v>
      </c>
      <c r="D507">
        <v>122.665813</v>
      </c>
      <c r="E507">
        <v>77.203613000000004</v>
      </c>
      <c r="F507">
        <v>49.960596000000002</v>
      </c>
      <c r="G507">
        <v>20.009542</v>
      </c>
      <c r="H507">
        <v>22.693137</v>
      </c>
      <c r="I507"/>
      <c r="N507"/>
      <c r="O507"/>
      <c r="P507" s="1">
        <f t="shared" si="54"/>
        <v>116.3565518292683</v>
      </c>
      <c r="Q507" s="1">
        <f t="shared" si="55"/>
        <v>121.02559146341464</v>
      </c>
      <c r="R507" s="1">
        <f t="shared" si="56"/>
        <v>125.93790047924952</v>
      </c>
      <c r="S507" s="1">
        <f t="shared" si="57"/>
        <v>79.953782733224216</v>
      </c>
    </row>
    <row r="508" spans="1:19" x14ac:dyDescent="0.3">
      <c r="A508">
        <v>14236.6</v>
      </c>
      <c r="B508">
        <v>113.68454800000001</v>
      </c>
      <c r="C508">
        <v>118.291866</v>
      </c>
      <c r="D508">
        <v>122.665813</v>
      </c>
      <c r="E508">
        <v>77.203613000000004</v>
      </c>
      <c r="F508">
        <v>49.960596000000002</v>
      </c>
      <c r="G508">
        <v>20.009542</v>
      </c>
      <c r="H508">
        <v>22.693137</v>
      </c>
      <c r="I508"/>
      <c r="N508"/>
      <c r="O508"/>
      <c r="P508" s="1">
        <f t="shared" si="54"/>
        <v>116.3565518292683</v>
      </c>
      <c r="Q508" s="1">
        <f t="shared" si="55"/>
        <v>121.02559146341464</v>
      </c>
      <c r="R508" s="1">
        <f t="shared" si="56"/>
        <v>125.93790047924952</v>
      </c>
      <c r="S508" s="1">
        <f t="shared" si="57"/>
        <v>79.953782733224216</v>
      </c>
    </row>
    <row r="509" spans="1:19" x14ac:dyDescent="0.3">
      <c r="A509">
        <v>14236.8</v>
      </c>
      <c r="B509">
        <v>113.690228</v>
      </c>
      <c r="C509">
        <v>118.306309</v>
      </c>
      <c r="D509">
        <v>122.66119</v>
      </c>
      <c r="E509">
        <v>77.199991999999995</v>
      </c>
      <c r="F509">
        <v>50.029076000000003</v>
      </c>
      <c r="G509">
        <v>19.994636</v>
      </c>
      <c r="H509">
        <v>22.708798000000002</v>
      </c>
      <c r="I509"/>
      <c r="N509"/>
      <c r="O509"/>
      <c r="P509" s="1">
        <f t="shared" si="54"/>
        <v>116.33920833333335</v>
      </c>
      <c r="Q509" s="1">
        <f t="shared" si="55"/>
        <v>121.01960772357725</v>
      </c>
      <c r="R509" s="1">
        <f t="shared" si="56"/>
        <v>125.92513612725604</v>
      </c>
      <c r="S509" s="1">
        <f t="shared" si="57"/>
        <v>79.966932283142384</v>
      </c>
    </row>
    <row r="510" spans="1:19" x14ac:dyDescent="0.3">
      <c r="A510">
        <v>14237</v>
      </c>
      <c r="B510">
        <v>113.690228</v>
      </c>
      <c r="C510">
        <v>118.306309</v>
      </c>
      <c r="D510">
        <v>122.66119</v>
      </c>
      <c r="E510">
        <v>77.199991999999995</v>
      </c>
      <c r="F510">
        <v>50.029076000000003</v>
      </c>
      <c r="G510">
        <v>19.994636</v>
      </c>
      <c r="H510">
        <v>22.708798000000002</v>
      </c>
      <c r="I510" t="s">
        <v>56</v>
      </c>
      <c r="N510"/>
      <c r="O510"/>
      <c r="P510" s="1">
        <f t="shared" si="54"/>
        <v>116.33920833333335</v>
      </c>
      <c r="Q510" s="1">
        <f t="shared" si="55"/>
        <v>121.01960772357725</v>
      </c>
      <c r="R510" s="1">
        <f t="shared" si="56"/>
        <v>125.92513612725604</v>
      </c>
      <c r="S510" s="1">
        <f t="shared" si="57"/>
        <v>79.966932283142384</v>
      </c>
    </row>
    <row r="511" spans="1:19" x14ac:dyDescent="0.3">
      <c r="A511">
        <v>14237.2</v>
      </c>
      <c r="B511">
        <v>113.672336</v>
      </c>
      <c r="C511">
        <v>118.287639</v>
      </c>
      <c r="D511">
        <v>122.68704099999999</v>
      </c>
      <c r="E511">
        <v>77.311048999999997</v>
      </c>
      <c r="F511">
        <v>50.111632999999998</v>
      </c>
      <c r="G511">
        <v>19.986529999999998</v>
      </c>
      <c r="H511">
        <v>22.725798999999999</v>
      </c>
      <c r="I511"/>
      <c r="N511"/>
      <c r="O511"/>
      <c r="P511" s="1">
        <f t="shared" si="54"/>
        <v>116.3450599593496</v>
      </c>
      <c r="Q511" s="1">
        <f t="shared" si="55"/>
        <v>121.03202845528456</v>
      </c>
      <c r="R511" s="1">
        <f t="shared" si="56"/>
        <v>125.93031814010401</v>
      </c>
      <c r="S511" s="1">
        <f t="shared" si="57"/>
        <v>79.987135842880519</v>
      </c>
    </row>
    <row r="512" spans="1:19" x14ac:dyDescent="0.3">
      <c r="A512">
        <v>14237.4</v>
      </c>
      <c r="B512">
        <v>113.672336</v>
      </c>
      <c r="C512">
        <v>118.287639</v>
      </c>
      <c r="D512">
        <v>122.68704099999999</v>
      </c>
      <c r="E512">
        <v>77.311048999999997</v>
      </c>
      <c r="F512">
        <v>50.111632999999998</v>
      </c>
      <c r="G512">
        <v>19.986529999999998</v>
      </c>
      <c r="H512">
        <v>22.725798999999999</v>
      </c>
      <c r="I512"/>
      <c r="N512"/>
      <c r="O512"/>
      <c r="P512" s="1">
        <f t="shared" si="54"/>
        <v>116.3450599593496</v>
      </c>
      <c r="Q512" s="1">
        <f t="shared" si="55"/>
        <v>121.03202845528456</v>
      </c>
      <c r="R512" s="1">
        <f t="shared" si="56"/>
        <v>125.93031814010401</v>
      </c>
      <c r="S512" s="1">
        <f t="shared" si="57"/>
        <v>79.987135842880519</v>
      </c>
    </row>
    <row r="513" spans="1:19" x14ac:dyDescent="0.3">
      <c r="A513">
        <v>14237.6</v>
      </c>
      <c r="B513">
        <v>113.696174</v>
      </c>
      <c r="C513">
        <v>118.298723</v>
      </c>
      <c r="D513">
        <v>122.666003</v>
      </c>
      <c r="E513">
        <v>77.231127999999998</v>
      </c>
      <c r="F513">
        <v>50.156087999999997</v>
      </c>
      <c r="G513">
        <v>19.997772999999999</v>
      </c>
      <c r="H513">
        <v>22.727311</v>
      </c>
      <c r="I513"/>
      <c r="N513"/>
      <c r="O513"/>
      <c r="P513" s="1">
        <f t="shared" si="54"/>
        <v>116.35325914634147</v>
      </c>
      <c r="Q513" s="1">
        <f t="shared" si="55"/>
        <v>121.01200304878049</v>
      </c>
      <c r="R513" s="1">
        <f t="shared" si="56"/>
        <v>125.91355256449474</v>
      </c>
      <c r="S513" s="1">
        <f t="shared" si="57"/>
        <v>79.992240180032724</v>
      </c>
    </row>
    <row r="514" spans="1:19" x14ac:dyDescent="0.3">
      <c r="A514">
        <v>14237.8</v>
      </c>
      <c r="B514">
        <v>113.696174</v>
      </c>
      <c r="C514">
        <v>118.298723</v>
      </c>
      <c r="D514">
        <v>122.666003</v>
      </c>
      <c r="E514">
        <v>77.231127999999998</v>
      </c>
      <c r="F514">
        <v>50.156087999999997</v>
      </c>
      <c r="G514">
        <v>19.997772999999999</v>
      </c>
      <c r="H514">
        <v>22.727311</v>
      </c>
      <c r="I514"/>
      <c r="N514"/>
      <c r="O514"/>
      <c r="P514" s="1">
        <f t="shared" si="54"/>
        <v>116.35325914634147</v>
      </c>
      <c r="Q514" s="1">
        <f t="shared" si="55"/>
        <v>121.01200304878049</v>
      </c>
      <c r="R514" s="1">
        <f t="shared" si="56"/>
        <v>125.91355256449474</v>
      </c>
      <c r="S514" s="1">
        <f t="shared" si="57"/>
        <v>79.992240180032724</v>
      </c>
    </row>
    <row r="515" spans="1:19" x14ac:dyDescent="0.3">
      <c r="A515">
        <v>14238</v>
      </c>
      <c r="B515">
        <v>113.66792700000001</v>
      </c>
      <c r="C515">
        <v>118.281369</v>
      </c>
      <c r="D515">
        <v>122.668639</v>
      </c>
      <c r="E515">
        <v>77.276713999999998</v>
      </c>
      <c r="F515">
        <v>48.578800000000001</v>
      </c>
      <c r="G515">
        <v>20.008541000000001</v>
      </c>
      <c r="H515">
        <v>22.718646</v>
      </c>
      <c r="I515" t="s">
        <v>56</v>
      </c>
      <c r="N515"/>
      <c r="O515"/>
      <c r="P515" s="1">
        <f t="shared" si="54"/>
        <v>116.34399999999999</v>
      </c>
      <c r="Q515" s="1">
        <f t="shared" si="55"/>
        <v>121.02372256097561</v>
      </c>
      <c r="R515" s="1">
        <f t="shared" si="56"/>
        <v>125.94514734373406</v>
      </c>
      <c r="S515" s="1">
        <f t="shared" si="57"/>
        <v>79.93270151391161</v>
      </c>
    </row>
    <row r="516" spans="1:19" x14ac:dyDescent="0.3">
      <c r="A516">
        <v>14238.2</v>
      </c>
      <c r="B516">
        <v>113.66792700000001</v>
      </c>
      <c r="C516">
        <v>118.281369</v>
      </c>
      <c r="D516">
        <v>122.668639</v>
      </c>
      <c r="E516">
        <v>77.276713999999998</v>
      </c>
      <c r="F516">
        <v>48.578800000000001</v>
      </c>
      <c r="G516">
        <v>20.008541000000001</v>
      </c>
      <c r="H516">
        <v>22.718646</v>
      </c>
      <c r="I516"/>
      <c r="N516"/>
      <c r="O516"/>
      <c r="P516" s="1">
        <f t="shared" si="54"/>
        <v>116.34399999999999</v>
      </c>
      <c r="Q516" s="1">
        <f t="shared" si="55"/>
        <v>121.02372256097561</v>
      </c>
      <c r="R516" s="1">
        <f t="shared" si="56"/>
        <v>125.94514734373406</v>
      </c>
      <c r="S516" s="1">
        <f t="shared" si="57"/>
        <v>79.93270151391161</v>
      </c>
    </row>
    <row r="517" spans="1:19" x14ac:dyDescent="0.3">
      <c r="A517">
        <v>14238.4</v>
      </c>
      <c r="B517">
        <v>113.67561499999999</v>
      </c>
      <c r="C517">
        <v>118.277832</v>
      </c>
      <c r="D517">
        <v>122.66282</v>
      </c>
      <c r="E517">
        <v>77.267443</v>
      </c>
      <c r="F517">
        <v>48.702393000000001</v>
      </c>
      <c r="G517">
        <v>19.992224</v>
      </c>
      <c r="H517">
        <v>22.711124999999999</v>
      </c>
      <c r="I517"/>
      <c r="N517"/>
      <c r="O517"/>
      <c r="P517" s="1">
        <f t="shared" si="54"/>
        <v>116.3511798780488</v>
      </c>
      <c r="Q517" s="1">
        <f t="shared" si="55"/>
        <v>121.02509756097561</v>
      </c>
      <c r="R517" s="1">
        <f t="shared" si="56"/>
        <v>125.93834200061181</v>
      </c>
      <c r="S517" s="1">
        <f t="shared" si="57"/>
        <v>79.975754909983635</v>
      </c>
    </row>
    <row r="518" spans="1:19" x14ac:dyDescent="0.3">
      <c r="A518">
        <v>14238.6</v>
      </c>
      <c r="B518">
        <v>113.67561499999999</v>
      </c>
      <c r="C518">
        <v>118.277832</v>
      </c>
      <c r="D518">
        <v>122.66282</v>
      </c>
      <c r="E518">
        <v>77.267443</v>
      </c>
      <c r="F518">
        <v>48.702393000000001</v>
      </c>
      <c r="G518">
        <v>19.992224</v>
      </c>
      <c r="H518">
        <v>22.711124999999999</v>
      </c>
      <c r="I518"/>
      <c r="N518"/>
      <c r="O518"/>
      <c r="P518" s="1">
        <f t="shared" si="54"/>
        <v>116.3511798780488</v>
      </c>
      <c r="Q518" s="1">
        <f t="shared" si="55"/>
        <v>121.02509756097561</v>
      </c>
      <c r="R518" s="1">
        <f t="shared" si="56"/>
        <v>125.93834200061181</v>
      </c>
      <c r="S518" s="1">
        <f t="shared" si="57"/>
        <v>79.975754909983635</v>
      </c>
    </row>
    <row r="519" spans="1:19" x14ac:dyDescent="0.3">
      <c r="A519">
        <v>14238.8</v>
      </c>
      <c r="B519">
        <v>113.691371</v>
      </c>
      <c r="C519">
        <v>118.28792</v>
      </c>
      <c r="D519">
        <v>122.679986</v>
      </c>
      <c r="E519">
        <v>77.279961999999998</v>
      </c>
      <c r="F519">
        <v>49.488247999999999</v>
      </c>
      <c r="G519">
        <v>19.999552000000001</v>
      </c>
      <c r="H519">
        <v>22.722695999999999</v>
      </c>
      <c r="I519"/>
      <c r="N519"/>
      <c r="O519"/>
      <c r="P519" s="1">
        <f t="shared" si="54"/>
        <v>116.34388414634147</v>
      </c>
      <c r="Q519" s="1">
        <f t="shared" si="55"/>
        <v>121.02640853658538</v>
      </c>
      <c r="R519" s="1">
        <f t="shared" si="56"/>
        <v>125.90436015091261</v>
      </c>
      <c r="S519" s="1">
        <f t="shared" si="57"/>
        <v>79.907153232405889</v>
      </c>
    </row>
    <row r="520" spans="1:19" x14ac:dyDescent="0.3">
      <c r="A520">
        <v>14239</v>
      </c>
      <c r="B520">
        <v>113.691371</v>
      </c>
      <c r="C520">
        <v>118.28792</v>
      </c>
      <c r="D520">
        <v>122.679986</v>
      </c>
      <c r="E520">
        <v>77.279961999999998</v>
      </c>
      <c r="F520">
        <v>49.488247999999999</v>
      </c>
      <c r="G520">
        <v>19.999552000000001</v>
      </c>
      <c r="H520">
        <v>22.722695999999999</v>
      </c>
      <c r="I520" t="s">
        <v>56</v>
      </c>
      <c r="N520"/>
      <c r="O520"/>
      <c r="P520" s="1">
        <f t="shared" si="54"/>
        <v>116.34388414634147</v>
      </c>
      <c r="Q520" s="1">
        <f t="shared" si="55"/>
        <v>121.02640853658538</v>
      </c>
      <c r="R520" s="1">
        <f t="shared" si="56"/>
        <v>125.90436015091261</v>
      </c>
      <c r="S520" s="1">
        <f t="shared" si="57"/>
        <v>79.907153232405889</v>
      </c>
    </row>
    <row r="521" spans="1:19" x14ac:dyDescent="0.3">
      <c r="A521">
        <v>14239.2</v>
      </c>
      <c r="B521">
        <v>113.682019</v>
      </c>
      <c r="C521">
        <v>118.285417</v>
      </c>
      <c r="D521">
        <v>122.67015499999999</v>
      </c>
      <c r="E521">
        <v>77.356374000000002</v>
      </c>
      <c r="F521">
        <v>49.382939</v>
      </c>
      <c r="G521">
        <v>19.979136</v>
      </c>
      <c r="H521">
        <v>22.706115</v>
      </c>
      <c r="I521"/>
      <c r="N521"/>
      <c r="O521"/>
      <c r="P521" s="1">
        <f t="shared" si="54"/>
        <v>116.33006707317074</v>
      </c>
      <c r="Q521" s="1">
        <f t="shared" si="55"/>
        <v>121.01369105691057</v>
      </c>
      <c r="R521" s="1">
        <f t="shared" si="56"/>
        <v>125.91243703477107</v>
      </c>
      <c r="S521" s="1">
        <f t="shared" si="57"/>
        <v>79.994811783960714</v>
      </c>
    </row>
    <row r="522" spans="1:19" x14ac:dyDescent="0.3">
      <c r="A522">
        <v>14239.4</v>
      </c>
      <c r="B522">
        <v>113.682019</v>
      </c>
      <c r="C522">
        <v>118.285417</v>
      </c>
      <c r="D522">
        <v>122.67015499999999</v>
      </c>
      <c r="E522">
        <v>77.356374000000002</v>
      </c>
      <c r="F522">
        <v>49.382939</v>
      </c>
      <c r="G522">
        <v>19.979136</v>
      </c>
      <c r="H522">
        <v>22.706115</v>
      </c>
      <c r="I522"/>
      <c r="N522"/>
      <c r="O522"/>
      <c r="P522" s="1">
        <f t="shared" si="54"/>
        <v>116.33006707317074</v>
      </c>
      <c r="Q522" s="1">
        <f t="shared" si="55"/>
        <v>121.01369105691057</v>
      </c>
      <c r="R522" s="1">
        <f t="shared" si="56"/>
        <v>125.91243703477107</v>
      </c>
      <c r="S522" s="1">
        <f t="shared" si="57"/>
        <v>79.994811783960714</v>
      </c>
    </row>
    <row r="523" spans="1:19" x14ac:dyDescent="0.3">
      <c r="A523">
        <v>14239.6</v>
      </c>
      <c r="B523">
        <v>113.686632</v>
      </c>
      <c r="C523">
        <v>118.287295</v>
      </c>
      <c r="D523">
        <v>122.67156900000001</v>
      </c>
      <c r="E523">
        <v>77.290329999999997</v>
      </c>
      <c r="F523">
        <v>48.873657999999999</v>
      </c>
      <c r="G523">
        <v>19.992249999999999</v>
      </c>
      <c r="H523">
        <v>22.696003000000001</v>
      </c>
      <c r="I523"/>
      <c r="N523"/>
      <c r="O523"/>
      <c r="P523" s="1">
        <f t="shared" si="54"/>
        <v>116.34425914634147</v>
      </c>
      <c r="Q523" s="1">
        <f t="shared" si="55"/>
        <v>121.02164634146342</v>
      </c>
      <c r="R523" s="1">
        <f t="shared" si="56"/>
        <v>125.91946160905475</v>
      </c>
      <c r="S523" s="1">
        <f t="shared" si="57"/>
        <v>80.001011661211123</v>
      </c>
    </row>
    <row r="524" spans="1:19" x14ac:dyDescent="0.3">
      <c r="A524">
        <v>14239.8</v>
      </c>
      <c r="B524">
        <v>113.686632</v>
      </c>
      <c r="C524">
        <v>118.287295</v>
      </c>
      <c r="D524">
        <v>122.67156900000001</v>
      </c>
      <c r="E524">
        <v>77.290329999999997</v>
      </c>
      <c r="F524">
        <v>48.873657999999999</v>
      </c>
      <c r="G524">
        <v>19.992249999999999</v>
      </c>
      <c r="H524">
        <v>22.696003000000001</v>
      </c>
      <c r="I524"/>
      <c r="N524"/>
      <c r="O524"/>
      <c r="P524" s="1">
        <f t="shared" si="54"/>
        <v>116.34425914634147</v>
      </c>
      <c r="Q524" s="1">
        <f t="shared" si="55"/>
        <v>121.02164634146342</v>
      </c>
      <c r="R524" s="1">
        <f t="shared" si="56"/>
        <v>125.91946160905475</v>
      </c>
      <c r="S524" s="1">
        <f t="shared" si="57"/>
        <v>80.001011661211123</v>
      </c>
    </row>
    <row r="525" spans="1:19" x14ac:dyDescent="0.3">
      <c r="A525">
        <v>15019</v>
      </c>
      <c r="B525">
        <v>121.34352199999999</v>
      </c>
      <c r="C525">
        <v>126.639796</v>
      </c>
      <c r="D525">
        <v>131.66279499999999</v>
      </c>
      <c r="E525">
        <v>79.920439000000002</v>
      </c>
      <c r="F525">
        <v>50.873190999999998</v>
      </c>
      <c r="G525">
        <v>19.969204999999999</v>
      </c>
      <c r="H525">
        <v>23.009059000000001</v>
      </c>
      <c r="I525" t="s">
        <v>56</v>
      </c>
      <c r="N525"/>
      <c r="O525"/>
      <c r="P525" s="1">
        <f t="shared" si="54"/>
        <v>116.33236585365854</v>
      </c>
      <c r="Q525" s="1">
        <f t="shared" si="55"/>
        <v>121.01459959349594</v>
      </c>
      <c r="R525" s="1">
        <f t="shared" si="56"/>
        <v>125.90610074436627</v>
      </c>
      <c r="S525" s="1">
        <f t="shared" si="57"/>
        <v>79.917566489361704</v>
      </c>
    </row>
    <row r="526" spans="1:19" x14ac:dyDescent="0.3">
      <c r="A526">
        <v>15019.2</v>
      </c>
      <c r="B526">
        <v>121.350314</v>
      </c>
      <c r="C526">
        <v>126.65055</v>
      </c>
      <c r="D526">
        <v>131.66776300000001</v>
      </c>
      <c r="E526">
        <v>79.945884000000007</v>
      </c>
      <c r="F526">
        <v>50.995142999999999</v>
      </c>
      <c r="G526">
        <v>19.979182000000002</v>
      </c>
      <c r="H526">
        <v>23.003630000000001</v>
      </c>
      <c r="I526"/>
      <c r="N526"/>
      <c r="O526"/>
      <c r="P526" s="1">
        <f t="shared" si="54"/>
        <v>116.33236585365854</v>
      </c>
      <c r="Q526" s="1">
        <f t="shared" si="55"/>
        <v>121.01459959349594</v>
      </c>
      <c r="R526" s="1">
        <f t="shared" si="56"/>
        <v>125.90610074436627</v>
      </c>
      <c r="S526" s="1">
        <f t="shared" si="57"/>
        <v>79.917566489361704</v>
      </c>
    </row>
    <row r="527" spans="1:19" x14ac:dyDescent="0.3">
      <c r="A527">
        <v>15019.4</v>
      </c>
      <c r="B527">
        <v>121.350314</v>
      </c>
      <c r="C527">
        <v>126.65055</v>
      </c>
      <c r="D527">
        <v>131.66776300000001</v>
      </c>
      <c r="E527">
        <v>79.945884000000007</v>
      </c>
      <c r="F527">
        <v>50.995142999999999</v>
      </c>
      <c r="G527">
        <v>19.979182000000002</v>
      </c>
      <c r="H527">
        <v>23.003630000000001</v>
      </c>
      <c r="I527"/>
      <c r="N527"/>
      <c r="O527"/>
      <c r="P527" s="1">
        <f t="shared" si="54"/>
        <v>116.33813821138213</v>
      </c>
      <c r="Q527" s="1">
        <f t="shared" si="55"/>
        <v>121.0292774390244</v>
      </c>
      <c r="R527" s="1">
        <f t="shared" si="56"/>
        <v>125.90138676455594</v>
      </c>
      <c r="S527" s="1">
        <f t="shared" si="57"/>
        <v>79.913862520458252</v>
      </c>
    </row>
    <row r="528" spans="1:19" x14ac:dyDescent="0.3">
      <c r="A528">
        <v>15019.6</v>
      </c>
      <c r="B528">
        <v>121.363384</v>
      </c>
      <c r="C528">
        <v>126.65583599999999</v>
      </c>
      <c r="D528">
        <v>131.67073099999999</v>
      </c>
      <c r="E528">
        <v>79.965351999999996</v>
      </c>
      <c r="F528">
        <v>50.752161000000001</v>
      </c>
      <c r="G528">
        <v>19.962774</v>
      </c>
      <c r="H528">
        <v>23.007612999999999</v>
      </c>
      <c r="I528"/>
      <c r="N528"/>
      <c r="O528"/>
      <c r="P528" s="1">
        <f t="shared" si="54"/>
        <v>116.33813821138213</v>
      </c>
      <c r="Q528" s="1">
        <f t="shared" si="55"/>
        <v>121.0292774390244</v>
      </c>
      <c r="R528" s="1">
        <f t="shared" si="56"/>
        <v>125.90138676455594</v>
      </c>
      <c r="S528" s="1">
        <f t="shared" si="57"/>
        <v>79.913862520458252</v>
      </c>
    </row>
    <row r="529" spans="1:19" x14ac:dyDescent="0.3">
      <c r="A529">
        <v>15019.8</v>
      </c>
      <c r="B529">
        <v>121.363384</v>
      </c>
      <c r="C529">
        <v>126.65583599999999</v>
      </c>
      <c r="D529">
        <v>131.67073099999999</v>
      </c>
      <c r="E529">
        <v>79.965351999999996</v>
      </c>
      <c r="F529">
        <v>50.752161000000001</v>
      </c>
      <c r="G529">
        <v>19.962774</v>
      </c>
      <c r="H529">
        <v>23.007612999999999</v>
      </c>
      <c r="I529"/>
      <c r="N529"/>
      <c r="O529"/>
      <c r="P529" s="1">
        <f t="shared" si="54"/>
        <v>116.31995528455285</v>
      </c>
      <c r="Q529" s="1">
        <f t="shared" si="55"/>
        <v>121.01030386178863</v>
      </c>
      <c r="R529" s="1">
        <f t="shared" si="56"/>
        <v>125.92774650759661</v>
      </c>
      <c r="S529" s="1">
        <f t="shared" si="57"/>
        <v>80.027464198036</v>
      </c>
    </row>
    <row r="530" spans="1:19" x14ac:dyDescent="0.3">
      <c r="A530">
        <v>15020</v>
      </c>
      <c r="B530">
        <v>121.354527</v>
      </c>
      <c r="C530">
        <v>126.67649900000001</v>
      </c>
      <c r="D530">
        <v>131.675444</v>
      </c>
      <c r="E530">
        <v>79.952680999999998</v>
      </c>
      <c r="F530">
        <v>50.423865999999997</v>
      </c>
      <c r="G530">
        <v>19.975915000000001</v>
      </c>
      <c r="H530">
        <v>23.007705999999999</v>
      </c>
      <c r="I530" t="s">
        <v>56</v>
      </c>
      <c r="N530"/>
      <c r="O530"/>
      <c r="P530" s="1">
        <f t="shared" si="54"/>
        <v>116.31995528455285</v>
      </c>
      <c r="Q530" s="1">
        <f t="shared" si="55"/>
        <v>121.01030386178863</v>
      </c>
      <c r="R530" s="1">
        <f t="shared" si="56"/>
        <v>125.92774650759661</v>
      </c>
      <c r="S530" s="1">
        <f t="shared" si="57"/>
        <v>80.027464198036</v>
      </c>
    </row>
    <row r="531" spans="1:19" x14ac:dyDescent="0.3">
      <c r="A531">
        <v>15020.2</v>
      </c>
      <c r="B531">
        <v>121.354527</v>
      </c>
      <c r="C531">
        <v>126.67649900000001</v>
      </c>
      <c r="D531">
        <v>131.675444</v>
      </c>
      <c r="E531">
        <v>79.952680999999998</v>
      </c>
      <c r="F531">
        <v>50.423865999999997</v>
      </c>
      <c r="G531">
        <v>19.975915000000001</v>
      </c>
      <c r="H531">
        <v>23.007705999999999</v>
      </c>
      <c r="I531"/>
      <c r="N531"/>
      <c r="O531"/>
      <c r="P531" s="1">
        <f t="shared" si="54"/>
        <v>116.34418089430895</v>
      </c>
      <c r="Q531" s="1">
        <f t="shared" si="55"/>
        <v>121.0215680894309</v>
      </c>
      <c r="R531" s="1">
        <f t="shared" si="56"/>
        <v>125.90629448353216</v>
      </c>
      <c r="S531" s="1">
        <f t="shared" si="57"/>
        <v>79.945711947626833</v>
      </c>
    </row>
    <row r="532" spans="1:19" x14ac:dyDescent="0.3">
      <c r="A532">
        <v>15020.4</v>
      </c>
      <c r="B532">
        <v>121.358434</v>
      </c>
      <c r="C532">
        <v>126.661255</v>
      </c>
      <c r="D532">
        <v>131.68005299999999</v>
      </c>
      <c r="E532">
        <v>79.923105000000007</v>
      </c>
      <c r="F532">
        <v>50.270631999999999</v>
      </c>
      <c r="G532">
        <v>19.981266000000002</v>
      </c>
      <c r="H532">
        <v>23.002631999999998</v>
      </c>
      <c r="I532"/>
      <c r="N532"/>
      <c r="O532"/>
      <c r="P532" s="1">
        <f t="shared" si="54"/>
        <v>116.34418089430895</v>
      </c>
      <c r="Q532" s="1">
        <f t="shared" si="55"/>
        <v>121.0215680894309</v>
      </c>
      <c r="R532" s="1">
        <f t="shared" si="56"/>
        <v>125.90629448353216</v>
      </c>
      <c r="S532" s="1">
        <f t="shared" si="57"/>
        <v>79.945711947626833</v>
      </c>
    </row>
    <row r="533" spans="1:19" x14ac:dyDescent="0.3">
      <c r="A533">
        <v>15020.6</v>
      </c>
      <c r="B533">
        <v>121.358434</v>
      </c>
      <c r="C533">
        <v>126.661255</v>
      </c>
      <c r="D533">
        <v>131.68005299999999</v>
      </c>
      <c r="E533">
        <v>79.923105000000007</v>
      </c>
      <c r="F533">
        <v>50.270631999999999</v>
      </c>
      <c r="G533">
        <v>19.981266000000002</v>
      </c>
      <c r="H533">
        <v>23.002631999999998</v>
      </c>
      <c r="I533"/>
      <c r="N533"/>
      <c r="O533"/>
      <c r="P533" s="1">
        <f t="shared" si="54"/>
        <v>116.31547459349595</v>
      </c>
      <c r="Q533" s="1">
        <f t="shared" si="55"/>
        <v>121.00393191056911</v>
      </c>
      <c r="R533" s="1">
        <f t="shared" si="56"/>
        <v>125.9089823595391</v>
      </c>
      <c r="S533" s="1">
        <f t="shared" si="57"/>
        <v>79.992342471358427</v>
      </c>
    </row>
    <row r="534" spans="1:19" x14ac:dyDescent="0.3">
      <c r="A534">
        <v>15020.8</v>
      </c>
      <c r="B534">
        <v>121.351108</v>
      </c>
      <c r="C534">
        <v>126.65250399999999</v>
      </c>
      <c r="D534">
        <v>131.68054100000001</v>
      </c>
      <c r="E534">
        <v>79.923130999999998</v>
      </c>
      <c r="F534">
        <v>49.881171999999999</v>
      </c>
      <c r="G534">
        <v>19.968375999999999</v>
      </c>
      <c r="H534">
        <v>22.977708</v>
      </c>
      <c r="I534"/>
      <c r="N534"/>
      <c r="O534"/>
      <c r="P534" s="1">
        <f t="shared" si="54"/>
        <v>116.31547459349595</v>
      </c>
      <c r="Q534" s="1">
        <f t="shared" si="55"/>
        <v>121.00393191056911</v>
      </c>
      <c r="R534" s="1">
        <f t="shared" si="56"/>
        <v>125.9089823595391</v>
      </c>
      <c r="S534" s="1">
        <f t="shared" si="57"/>
        <v>79.992342471358427</v>
      </c>
    </row>
    <row r="535" spans="1:19" x14ac:dyDescent="0.3">
      <c r="A535">
        <v>15021</v>
      </c>
      <c r="B535">
        <v>121.351108</v>
      </c>
      <c r="C535">
        <v>126.65250399999999</v>
      </c>
      <c r="D535">
        <v>131.68054100000001</v>
      </c>
      <c r="E535">
        <v>79.923130999999998</v>
      </c>
      <c r="F535">
        <v>49.881171999999999</v>
      </c>
      <c r="G535">
        <v>19.968375999999999</v>
      </c>
      <c r="H535">
        <v>22.977708</v>
      </c>
      <c r="I535" t="s">
        <v>56</v>
      </c>
      <c r="N535"/>
      <c r="O535"/>
      <c r="P535" s="1">
        <f t="shared" si="54"/>
        <v>116.32328760162602</v>
      </c>
      <c r="Q535" s="1">
        <f t="shared" si="55"/>
        <v>121.00033739837399</v>
      </c>
      <c r="R535" s="1">
        <f t="shared" si="56"/>
        <v>125.9030488426634</v>
      </c>
      <c r="S535" s="1">
        <f t="shared" si="57"/>
        <v>79.982859042553187</v>
      </c>
    </row>
    <row r="536" spans="1:19" x14ac:dyDescent="0.3">
      <c r="A536">
        <v>15021.2</v>
      </c>
      <c r="B536">
        <v>121.371864</v>
      </c>
      <c r="C536">
        <v>126.64264799999999</v>
      </c>
      <c r="D536">
        <v>131.670019</v>
      </c>
      <c r="E536">
        <v>79.906848999999994</v>
      </c>
      <c r="F536">
        <v>50.484566000000001</v>
      </c>
      <c r="G536">
        <v>19.950596000000001</v>
      </c>
      <c r="H536">
        <v>22.986003</v>
      </c>
      <c r="I536"/>
      <c r="N536"/>
      <c r="O536"/>
      <c r="P536" s="1">
        <f t="shared" si="54"/>
        <v>116.32328760162602</v>
      </c>
      <c r="Q536" s="1">
        <f t="shared" si="55"/>
        <v>121.00033739837399</v>
      </c>
      <c r="R536" s="1">
        <f t="shared" si="56"/>
        <v>125.9030488426634</v>
      </c>
      <c r="S536" s="1">
        <f t="shared" si="57"/>
        <v>79.982859042553187</v>
      </c>
    </row>
    <row r="537" spans="1:19" x14ac:dyDescent="0.3">
      <c r="A537">
        <v>15021.4</v>
      </c>
      <c r="B537">
        <v>121.371864</v>
      </c>
      <c r="C537">
        <v>126.64264799999999</v>
      </c>
      <c r="D537">
        <v>131.670019</v>
      </c>
      <c r="E537">
        <v>79.906848999999994</v>
      </c>
      <c r="F537">
        <v>50.484566000000001</v>
      </c>
      <c r="G537">
        <v>19.950596000000001</v>
      </c>
      <c r="H537">
        <v>22.986003</v>
      </c>
      <c r="I537"/>
      <c r="N537"/>
      <c r="O537"/>
      <c r="P537" s="1">
        <f t="shared" si="54"/>
        <v>116.33929979674798</v>
      </c>
      <c r="Q537" s="1">
        <f t="shared" si="55"/>
        <v>121.01058943089431</v>
      </c>
      <c r="R537" s="1">
        <f t="shared" si="56"/>
        <v>125.92055266646273</v>
      </c>
      <c r="S537" s="1">
        <f t="shared" si="57"/>
        <v>79.995664893617018</v>
      </c>
    </row>
    <row r="538" spans="1:19" x14ac:dyDescent="0.3">
      <c r="A538">
        <v>15021.6</v>
      </c>
      <c r="B538">
        <v>121.367268</v>
      </c>
      <c r="C538">
        <v>126.66713300000001</v>
      </c>
      <c r="D538">
        <v>131.69306</v>
      </c>
      <c r="E538">
        <v>79.918723999999997</v>
      </c>
      <c r="F538">
        <v>50.548160000000003</v>
      </c>
      <c r="G538">
        <v>19.965674</v>
      </c>
      <c r="H538">
        <v>22.987791000000001</v>
      </c>
      <c r="I538"/>
      <c r="N538"/>
      <c r="O538"/>
      <c r="P538" s="1">
        <f t="shared" si="54"/>
        <v>116.33929979674798</v>
      </c>
      <c r="Q538" s="1">
        <f t="shared" si="55"/>
        <v>121.01058943089431</v>
      </c>
      <c r="R538" s="1">
        <f t="shared" si="56"/>
        <v>125.92055266646273</v>
      </c>
      <c r="S538" s="1">
        <f t="shared" si="57"/>
        <v>79.995664893617018</v>
      </c>
    </row>
    <row r="539" spans="1:19" x14ac:dyDescent="0.3">
      <c r="A539">
        <v>15021.8</v>
      </c>
      <c r="B539">
        <v>121.367268</v>
      </c>
      <c r="C539">
        <v>126.66713300000001</v>
      </c>
      <c r="D539">
        <v>131.69306</v>
      </c>
      <c r="E539">
        <v>79.918723999999997</v>
      </c>
      <c r="F539">
        <v>50.548160000000003</v>
      </c>
      <c r="G539">
        <v>19.965674</v>
      </c>
      <c r="H539">
        <v>22.987791000000001</v>
      </c>
      <c r="I539"/>
      <c r="N539"/>
      <c r="O539"/>
      <c r="P539" s="1">
        <f t="shared" si="54"/>
        <v>116.32979573170732</v>
      </c>
      <c r="Q539" s="1">
        <f t="shared" si="55"/>
        <v>121.00804573170731</v>
      </c>
      <c r="R539" s="1">
        <f t="shared" si="56"/>
        <v>125.91052819414703</v>
      </c>
      <c r="S539" s="1">
        <f t="shared" si="57"/>
        <v>80.073827741407527</v>
      </c>
    </row>
    <row r="540" spans="1:19" x14ac:dyDescent="0.3">
      <c r="A540">
        <v>15022</v>
      </c>
      <c r="B540">
        <v>121.371482</v>
      </c>
      <c r="C540">
        <v>126.65612400000001</v>
      </c>
      <c r="D540">
        <v>131.690834</v>
      </c>
      <c r="E540">
        <v>79.926417999999998</v>
      </c>
      <c r="F540">
        <v>50.652208999999999</v>
      </c>
      <c r="G540">
        <v>19.992259000000001</v>
      </c>
      <c r="H540">
        <v>23.003422</v>
      </c>
      <c r="I540" t="s">
        <v>56</v>
      </c>
      <c r="N540"/>
      <c r="O540"/>
      <c r="P540" s="1">
        <f t="shared" si="54"/>
        <v>116.32979573170732</v>
      </c>
      <c r="Q540" s="1">
        <f t="shared" si="55"/>
        <v>121.00804573170731</v>
      </c>
      <c r="R540" s="1">
        <f t="shared" si="56"/>
        <v>125.91052819414703</v>
      </c>
      <c r="S540" s="1">
        <f t="shared" si="57"/>
        <v>80.073827741407527</v>
      </c>
    </row>
    <row r="541" spans="1:19" x14ac:dyDescent="0.3">
      <c r="A541">
        <v>15022.2</v>
      </c>
      <c r="B541">
        <v>121.371482</v>
      </c>
      <c r="C541">
        <v>126.65612400000001</v>
      </c>
      <c r="D541">
        <v>131.690834</v>
      </c>
      <c r="E541">
        <v>79.926417999999998</v>
      </c>
      <c r="F541">
        <v>50.652208999999999</v>
      </c>
      <c r="G541">
        <v>19.992259000000001</v>
      </c>
      <c r="H541">
        <v>23.003422</v>
      </c>
      <c r="I541"/>
      <c r="N541"/>
      <c r="O541"/>
      <c r="P541" s="1">
        <f t="shared" si="54"/>
        <v>116.33448373983741</v>
      </c>
      <c r="Q541" s="1">
        <f t="shared" si="55"/>
        <v>121.00995426829269</v>
      </c>
      <c r="R541" s="1">
        <f t="shared" si="56"/>
        <v>125.91197002141328</v>
      </c>
      <c r="S541" s="1">
        <f t="shared" si="57"/>
        <v>80.006270458265135</v>
      </c>
    </row>
    <row r="542" spans="1:19" x14ac:dyDescent="0.3">
      <c r="A542">
        <v>15022.4</v>
      </c>
      <c r="B542">
        <v>121.360799</v>
      </c>
      <c r="C542">
        <v>126.665943</v>
      </c>
      <c r="D542">
        <v>131.67528200000001</v>
      </c>
      <c r="E542">
        <v>79.909951000000007</v>
      </c>
      <c r="F542">
        <v>49.912813</v>
      </c>
      <c r="G542">
        <v>19.987843999999999</v>
      </c>
      <c r="H542">
        <v>22.999018</v>
      </c>
      <c r="I542"/>
      <c r="N542"/>
      <c r="O542"/>
      <c r="P542" s="1">
        <f t="shared" si="54"/>
        <v>116.33448373983741</v>
      </c>
      <c r="Q542" s="1">
        <f t="shared" si="55"/>
        <v>121.00995426829269</v>
      </c>
      <c r="R542" s="1">
        <f t="shared" si="56"/>
        <v>125.91197002141328</v>
      </c>
      <c r="S542" s="1">
        <f t="shared" si="57"/>
        <v>80.006270458265135</v>
      </c>
    </row>
    <row r="543" spans="1:19" x14ac:dyDescent="0.3">
      <c r="A543">
        <v>15022.6</v>
      </c>
      <c r="B543">
        <v>121.360799</v>
      </c>
      <c r="C543">
        <v>126.665943</v>
      </c>
      <c r="D543">
        <v>131.67528200000001</v>
      </c>
      <c r="E543">
        <v>79.909951000000007</v>
      </c>
      <c r="F543">
        <v>49.912813</v>
      </c>
      <c r="G543">
        <v>19.987843999999999</v>
      </c>
      <c r="H543">
        <v>22.999018</v>
      </c>
      <c r="I543"/>
      <c r="N543"/>
      <c r="O543"/>
      <c r="P543" s="1">
        <f t="shared" si="54"/>
        <v>124.11587601626016</v>
      </c>
      <c r="Q543" s="1">
        <f t="shared" si="55"/>
        <v>129.49826829268292</v>
      </c>
      <c r="R543" s="1">
        <f t="shared" si="56"/>
        <v>135.08014173549506</v>
      </c>
      <c r="S543" s="1">
        <f t="shared" si="57"/>
        <v>82.696643821603928</v>
      </c>
    </row>
    <row r="544" spans="1:19" x14ac:dyDescent="0.3">
      <c r="A544">
        <v>15022.8</v>
      </c>
      <c r="B544">
        <v>121.369809</v>
      </c>
      <c r="C544">
        <v>126.67061200000001</v>
      </c>
      <c r="D544">
        <v>131.69468699999999</v>
      </c>
      <c r="E544">
        <v>79.844121999999999</v>
      </c>
      <c r="F544">
        <v>49.275205999999997</v>
      </c>
      <c r="G544">
        <v>19.940394999999999</v>
      </c>
      <c r="H544">
        <v>23.003041</v>
      </c>
      <c r="I544"/>
      <c r="N544"/>
      <c r="O544"/>
      <c r="P544" s="1">
        <f t="shared" si="54"/>
        <v>124.12277845528456</v>
      </c>
      <c r="Q544" s="1">
        <f t="shared" si="55"/>
        <v>129.50919715447154</v>
      </c>
      <c r="R544" s="1">
        <f t="shared" si="56"/>
        <v>135.08520750484351</v>
      </c>
      <c r="S544" s="1">
        <f t="shared" si="57"/>
        <v>82.722671849427172</v>
      </c>
    </row>
    <row r="545" spans="1:19" x14ac:dyDescent="0.3">
      <c r="A545">
        <v>15023</v>
      </c>
      <c r="B545">
        <v>121.369809</v>
      </c>
      <c r="C545">
        <v>126.67061200000001</v>
      </c>
      <c r="D545">
        <v>131.69468699999999</v>
      </c>
      <c r="E545">
        <v>79.844121999999999</v>
      </c>
      <c r="F545">
        <v>49.275205999999997</v>
      </c>
      <c r="G545">
        <v>19.940394999999999</v>
      </c>
      <c r="H545">
        <v>23.003041</v>
      </c>
      <c r="I545" t="s">
        <v>56</v>
      </c>
      <c r="N545"/>
      <c r="O545"/>
      <c r="P545" s="1">
        <f t="shared" si="54"/>
        <v>124.12277845528456</v>
      </c>
      <c r="Q545" s="1">
        <f t="shared" si="55"/>
        <v>129.50919715447154</v>
      </c>
      <c r="R545" s="1">
        <f t="shared" si="56"/>
        <v>135.08520750484351</v>
      </c>
      <c r="S545" s="1">
        <f t="shared" si="57"/>
        <v>82.722671849427172</v>
      </c>
    </row>
    <row r="546" spans="1:19" x14ac:dyDescent="0.3">
      <c r="A546">
        <v>15023.2</v>
      </c>
      <c r="B546">
        <v>121.374484</v>
      </c>
      <c r="C546">
        <v>126.658449</v>
      </c>
      <c r="D546">
        <v>131.68624</v>
      </c>
      <c r="E546">
        <v>79.868847000000002</v>
      </c>
      <c r="F546">
        <v>49.946196</v>
      </c>
      <c r="G546">
        <v>19.970869</v>
      </c>
      <c r="H546">
        <v>23.00291</v>
      </c>
      <c r="I546"/>
      <c r="N546"/>
      <c r="O546"/>
      <c r="P546" s="1">
        <f t="shared" si="54"/>
        <v>124.13606097560975</v>
      </c>
      <c r="Q546" s="1">
        <f t="shared" si="55"/>
        <v>129.51456910569107</v>
      </c>
      <c r="R546" s="1">
        <f t="shared" si="56"/>
        <v>135.08823391455084</v>
      </c>
      <c r="S546" s="1">
        <f t="shared" si="57"/>
        <v>82.74258592471358</v>
      </c>
    </row>
    <row r="547" spans="1:19" x14ac:dyDescent="0.3">
      <c r="A547">
        <v>15023.4</v>
      </c>
      <c r="B547">
        <v>121.374484</v>
      </c>
      <c r="C547">
        <v>126.658449</v>
      </c>
      <c r="D547">
        <v>131.68624</v>
      </c>
      <c r="E547">
        <v>79.868847000000002</v>
      </c>
      <c r="F547">
        <v>49.946196</v>
      </c>
      <c r="G547">
        <v>19.970869</v>
      </c>
      <c r="H547">
        <v>23.00291</v>
      </c>
      <c r="I547"/>
      <c r="N547"/>
      <c r="O547"/>
      <c r="P547" s="1">
        <f t="shared" si="54"/>
        <v>124.13606097560975</v>
      </c>
      <c r="Q547" s="1">
        <f t="shared" si="55"/>
        <v>129.51456910569107</v>
      </c>
      <c r="R547" s="1">
        <f t="shared" si="56"/>
        <v>135.08823391455084</v>
      </c>
      <c r="S547" s="1">
        <f t="shared" si="57"/>
        <v>82.74258592471358</v>
      </c>
    </row>
    <row r="548" spans="1:19" x14ac:dyDescent="0.3">
      <c r="A548">
        <v>15023.6</v>
      </c>
      <c r="B548">
        <v>121.374675</v>
      </c>
      <c r="C548">
        <v>126.666726</v>
      </c>
      <c r="D548">
        <v>131.679981</v>
      </c>
      <c r="E548">
        <v>79.876428000000004</v>
      </c>
      <c r="F548">
        <v>50.033293</v>
      </c>
      <c r="G548">
        <v>19.966137</v>
      </c>
      <c r="H548">
        <v>23.002686000000001</v>
      </c>
      <c r="I548"/>
      <c r="N548"/>
      <c r="O548"/>
      <c r="P548" s="1">
        <f t="shared" si="54"/>
        <v>124.12705995934961</v>
      </c>
      <c r="Q548" s="1">
        <f t="shared" si="55"/>
        <v>129.53556808943091</v>
      </c>
      <c r="R548" s="1">
        <f t="shared" si="56"/>
        <v>135.09303966554504</v>
      </c>
      <c r="S548" s="1">
        <f t="shared" si="57"/>
        <v>82.729624590834689</v>
      </c>
    </row>
    <row r="549" spans="1:19" x14ac:dyDescent="0.3">
      <c r="A549">
        <v>15023.8</v>
      </c>
      <c r="B549">
        <v>121.374675</v>
      </c>
      <c r="C549">
        <v>126.666726</v>
      </c>
      <c r="D549">
        <v>131.679981</v>
      </c>
      <c r="E549">
        <v>79.876428000000004</v>
      </c>
      <c r="F549">
        <v>50.033293</v>
      </c>
      <c r="G549">
        <v>19.966137</v>
      </c>
      <c r="H549">
        <v>23.002686000000001</v>
      </c>
      <c r="I549"/>
      <c r="N549"/>
      <c r="O549"/>
      <c r="P549" s="1">
        <f t="shared" si="54"/>
        <v>124.12705995934961</v>
      </c>
      <c r="Q549" s="1">
        <f t="shared" si="55"/>
        <v>129.53556808943091</v>
      </c>
      <c r="R549" s="1">
        <f t="shared" si="56"/>
        <v>135.09303966554504</v>
      </c>
      <c r="S549" s="1">
        <f t="shared" si="57"/>
        <v>82.729624590834689</v>
      </c>
    </row>
    <row r="550" spans="1:19" x14ac:dyDescent="0.3">
      <c r="A550">
        <v>15024</v>
      </c>
      <c r="B550">
        <v>121.352796</v>
      </c>
      <c r="C550">
        <v>126.666212</v>
      </c>
      <c r="D550">
        <v>131.68615</v>
      </c>
      <c r="E550">
        <v>79.857107999999997</v>
      </c>
      <c r="F550">
        <v>49.885173000000002</v>
      </c>
      <c r="G550">
        <v>19.973821000000001</v>
      </c>
      <c r="H550">
        <v>23.012006</v>
      </c>
      <c r="I550" t="s">
        <v>56</v>
      </c>
      <c r="N550"/>
      <c r="O550"/>
      <c r="P550" s="1">
        <f t="shared" si="54"/>
        <v>124.13103048780489</v>
      </c>
      <c r="Q550" s="1">
        <f t="shared" si="55"/>
        <v>129.52007621951219</v>
      </c>
      <c r="R550" s="1">
        <f t="shared" si="56"/>
        <v>135.09773936983785</v>
      </c>
      <c r="S550" s="1">
        <f t="shared" si="57"/>
        <v>82.699370908346978</v>
      </c>
    </row>
    <row r="551" spans="1:19" x14ac:dyDescent="0.3">
      <c r="A551">
        <v>15024.2</v>
      </c>
      <c r="B551">
        <v>121.352796</v>
      </c>
      <c r="C551">
        <v>126.666212</v>
      </c>
      <c r="D551">
        <v>131.68615</v>
      </c>
      <c r="E551">
        <v>79.857107999999997</v>
      </c>
      <c r="F551">
        <v>49.885173000000002</v>
      </c>
      <c r="G551">
        <v>19.973821000000001</v>
      </c>
      <c r="H551">
        <v>23.012006</v>
      </c>
      <c r="I551"/>
      <c r="N551"/>
      <c r="O551"/>
      <c r="P551" s="1">
        <f t="shared" si="54"/>
        <v>124.13103048780489</v>
      </c>
      <c r="Q551" s="1">
        <f t="shared" si="55"/>
        <v>129.52007621951219</v>
      </c>
      <c r="R551" s="1">
        <f t="shared" si="56"/>
        <v>135.09773936983785</v>
      </c>
      <c r="S551" s="1">
        <f t="shared" si="57"/>
        <v>82.699370908346978</v>
      </c>
    </row>
    <row r="552" spans="1:19" x14ac:dyDescent="0.3">
      <c r="A552">
        <v>15024.4</v>
      </c>
      <c r="B552">
        <v>121.362512</v>
      </c>
      <c r="C552">
        <v>126.671823</v>
      </c>
      <c r="D552">
        <v>131.67677</v>
      </c>
      <c r="E552">
        <v>79.833646000000002</v>
      </c>
      <c r="F552">
        <v>49.870423000000002</v>
      </c>
      <c r="G552">
        <v>19.957096</v>
      </c>
      <c r="H552">
        <v>22.986806999999999</v>
      </c>
      <c r="I552"/>
      <c r="N552"/>
      <c r="O552"/>
      <c r="P552" s="1">
        <f t="shared" si="54"/>
        <v>124.12358536585366</v>
      </c>
      <c r="Q552" s="1">
        <f t="shared" si="55"/>
        <v>129.51118292682926</v>
      </c>
      <c r="R552" s="1">
        <f t="shared" si="56"/>
        <v>135.0982369735903</v>
      </c>
      <c r="S552" s="1">
        <f t="shared" si="57"/>
        <v>82.69939750409165</v>
      </c>
    </row>
    <row r="553" spans="1:19" x14ac:dyDescent="0.3">
      <c r="A553">
        <v>15024.6</v>
      </c>
      <c r="B553">
        <v>121.362512</v>
      </c>
      <c r="C553">
        <v>126.671823</v>
      </c>
      <c r="D553">
        <v>131.67677</v>
      </c>
      <c r="E553">
        <v>79.833646000000002</v>
      </c>
      <c r="F553">
        <v>49.870423000000002</v>
      </c>
      <c r="G553">
        <v>19.957096</v>
      </c>
      <c r="H553">
        <v>22.986806999999999</v>
      </c>
      <c r="I553"/>
      <c r="N553"/>
      <c r="O553"/>
      <c r="P553" s="1">
        <f t="shared" si="54"/>
        <v>124.12358536585366</v>
      </c>
      <c r="Q553" s="1">
        <f t="shared" si="55"/>
        <v>129.51118292682926</v>
      </c>
      <c r="R553" s="1">
        <f t="shared" si="56"/>
        <v>135.0982369735903</v>
      </c>
      <c r="S553" s="1">
        <f t="shared" si="57"/>
        <v>82.69939750409165</v>
      </c>
    </row>
    <row r="554" spans="1:19" x14ac:dyDescent="0.3">
      <c r="A554">
        <v>15024.8</v>
      </c>
      <c r="B554">
        <v>121.364504</v>
      </c>
      <c r="C554">
        <v>126.66689599999999</v>
      </c>
      <c r="D554">
        <v>131.694897</v>
      </c>
      <c r="E554">
        <v>79.866957999999997</v>
      </c>
      <c r="F554">
        <v>49.532967999999997</v>
      </c>
      <c r="G554">
        <v>19.981624</v>
      </c>
      <c r="H554">
        <v>22.987134999999999</v>
      </c>
      <c r="I554"/>
      <c r="N554"/>
      <c r="O554"/>
      <c r="P554" s="1">
        <f t="shared" si="54"/>
        <v>124.14467886178862</v>
      </c>
      <c r="Q554" s="1">
        <f t="shared" si="55"/>
        <v>129.50116666666668</v>
      </c>
      <c r="R554" s="1">
        <f t="shared" si="56"/>
        <v>135.08750790251861</v>
      </c>
      <c r="S554" s="1">
        <f t="shared" si="57"/>
        <v>82.682742430441891</v>
      </c>
    </row>
    <row r="555" spans="1:19" x14ac:dyDescent="0.3">
      <c r="A555">
        <v>15025</v>
      </c>
      <c r="B555">
        <v>121.364504</v>
      </c>
      <c r="C555">
        <v>126.66689599999999</v>
      </c>
      <c r="D555">
        <v>131.694897</v>
      </c>
      <c r="E555">
        <v>79.866957999999997</v>
      </c>
      <c r="F555">
        <v>49.532967999999997</v>
      </c>
      <c r="G555">
        <v>19.981624</v>
      </c>
      <c r="H555">
        <v>22.987134999999999</v>
      </c>
      <c r="I555" t="s">
        <v>56</v>
      </c>
      <c r="N555"/>
      <c r="O555"/>
      <c r="P555" s="1">
        <f t="shared" si="54"/>
        <v>124.14467886178862</v>
      </c>
      <c r="Q555" s="1">
        <f t="shared" si="55"/>
        <v>129.50116666666668</v>
      </c>
      <c r="R555" s="1">
        <f t="shared" si="56"/>
        <v>135.08750790251861</v>
      </c>
      <c r="S555" s="1">
        <f t="shared" si="57"/>
        <v>82.682742430441891</v>
      </c>
    </row>
    <row r="556" spans="1:19" x14ac:dyDescent="0.3">
      <c r="A556">
        <v>15025.2</v>
      </c>
      <c r="B556">
        <v>121.344553</v>
      </c>
      <c r="C556">
        <v>126.66716599999999</v>
      </c>
      <c r="D556">
        <v>131.67535000000001</v>
      </c>
      <c r="E556">
        <v>79.860498000000007</v>
      </c>
      <c r="F556">
        <v>49.860548999999999</v>
      </c>
      <c r="G556">
        <v>19.984893</v>
      </c>
      <c r="H556">
        <v>22.988502</v>
      </c>
      <c r="I556"/>
      <c r="N556"/>
      <c r="O556"/>
      <c r="P556" s="1">
        <f t="shared" ref="P556:P619" si="58">(B538+Q$36)/P$36</f>
        <v>124.1400081300813</v>
      </c>
      <c r="Q556" s="1">
        <f t="shared" ref="Q556:Q619" si="59">(C538+Q$36)/P$36</f>
        <v>129.52604979674797</v>
      </c>
      <c r="R556" s="1">
        <f t="shared" ref="R556:R619" si="60">(D538+Q$38)/P$38</f>
        <v>135.11100234526361</v>
      </c>
      <c r="S556" s="1">
        <f t="shared" ref="S556:S619" si="61">(E538+Q$39)/P$39</f>
        <v>82.694889525368239</v>
      </c>
    </row>
    <row r="557" spans="1:19" x14ac:dyDescent="0.3">
      <c r="A557">
        <v>15025.4</v>
      </c>
      <c r="B557">
        <v>121.344553</v>
      </c>
      <c r="C557">
        <v>126.66716599999999</v>
      </c>
      <c r="D557">
        <v>131.67535000000001</v>
      </c>
      <c r="E557">
        <v>79.860498000000007</v>
      </c>
      <c r="F557">
        <v>49.860548999999999</v>
      </c>
      <c r="G557">
        <v>19.984893</v>
      </c>
      <c r="H557">
        <v>22.988502</v>
      </c>
      <c r="I557"/>
      <c r="N557"/>
      <c r="O557"/>
      <c r="P557" s="1">
        <f t="shared" si="58"/>
        <v>124.1400081300813</v>
      </c>
      <c r="Q557" s="1">
        <f t="shared" si="59"/>
        <v>129.52604979674797</v>
      </c>
      <c r="R557" s="1">
        <f t="shared" si="60"/>
        <v>135.11100234526361</v>
      </c>
      <c r="S557" s="1">
        <f t="shared" si="61"/>
        <v>82.694889525368239</v>
      </c>
    </row>
    <row r="558" spans="1:19" x14ac:dyDescent="0.3">
      <c r="A558">
        <v>15025.6</v>
      </c>
      <c r="B558">
        <v>121.365386</v>
      </c>
      <c r="C558">
        <v>126.658542</v>
      </c>
      <c r="D558">
        <v>131.65637899999999</v>
      </c>
      <c r="E558">
        <v>79.938847999999993</v>
      </c>
      <c r="F558">
        <v>49.586582</v>
      </c>
      <c r="G558">
        <v>19.970026000000001</v>
      </c>
      <c r="H558">
        <v>23.0139</v>
      </c>
      <c r="I558"/>
      <c r="N558"/>
      <c r="O558"/>
      <c r="P558" s="1">
        <f t="shared" si="58"/>
        <v>124.1442906504065</v>
      </c>
      <c r="Q558" s="1">
        <f t="shared" si="59"/>
        <v>129.51486178861791</v>
      </c>
      <c r="R558" s="1">
        <f t="shared" si="60"/>
        <v>135.10873253798309</v>
      </c>
      <c r="S558" s="1">
        <f t="shared" si="61"/>
        <v>82.70275981996727</v>
      </c>
    </row>
    <row r="559" spans="1:19" x14ac:dyDescent="0.3">
      <c r="A559">
        <v>15025.8</v>
      </c>
      <c r="B559">
        <v>121.365386</v>
      </c>
      <c r="C559">
        <v>126.658542</v>
      </c>
      <c r="D559">
        <v>131.65637899999999</v>
      </c>
      <c r="E559">
        <v>79.938847999999993</v>
      </c>
      <c r="F559">
        <v>49.586582</v>
      </c>
      <c r="G559">
        <v>19.970026000000001</v>
      </c>
      <c r="H559">
        <v>23.0139</v>
      </c>
      <c r="I559"/>
      <c r="N559"/>
      <c r="O559"/>
      <c r="P559" s="1">
        <f t="shared" si="58"/>
        <v>124.1442906504065</v>
      </c>
      <c r="Q559" s="1">
        <f t="shared" si="59"/>
        <v>129.51486178861791</v>
      </c>
      <c r="R559" s="1">
        <f t="shared" si="60"/>
        <v>135.10873253798309</v>
      </c>
      <c r="S559" s="1">
        <f t="shared" si="61"/>
        <v>82.70275981996727</v>
      </c>
    </row>
    <row r="560" spans="1:19" x14ac:dyDescent="0.3">
      <c r="A560">
        <v>15026</v>
      </c>
      <c r="B560">
        <v>121.347617</v>
      </c>
      <c r="C560">
        <v>126.665395</v>
      </c>
      <c r="D560">
        <v>131.690404</v>
      </c>
      <c r="E560">
        <v>79.981571000000002</v>
      </c>
      <c r="F560">
        <v>49.817749999999997</v>
      </c>
      <c r="G560">
        <v>19.960377999999999</v>
      </c>
      <c r="H560">
        <v>23.017527999999999</v>
      </c>
      <c r="I560" t="s">
        <v>56</v>
      </c>
      <c r="N560"/>
      <c r="O560"/>
      <c r="P560" s="1">
        <f t="shared" si="58"/>
        <v>124.13343394308944</v>
      </c>
      <c r="Q560" s="1">
        <f t="shared" si="59"/>
        <v>129.52484044715447</v>
      </c>
      <c r="R560" s="1">
        <f t="shared" si="60"/>
        <v>135.09287447741411</v>
      </c>
      <c r="S560" s="1">
        <f t="shared" si="61"/>
        <v>82.685915507364982</v>
      </c>
    </row>
    <row r="561" spans="1:19" x14ac:dyDescent="0.3">
      <c r="A561">
        <v>15026.2</v>
      </c>
      <c r="B561">
        <v>121.347617</v>
      </c>
      <c r="C561">
        <v>126.665395</v>
      </c>
      <c r="D561">
        <v>131.690404</v>
      </c>
      <c r="E561">
        <v>79.981571000000002</v>
      </c>
      <c r="F561">
        <v>49.817749999999997</v>
      </c>
      <c r="G561">
        <v>19.960377999999999</v>
      </c>
      <c r="H561">
        <v>23.017527999999999</v>
      </c>
      <c r="I561"/>
      <c r="N561"/>
      <c r="O561"/>
      <c r="P561" s="1">
        <f t="shared" si="58"/>
        <v>124.13343394308944</v>
      </c>
      <c r="Q561" s="1">
        <f t="shared" si="59"/>
        <v>129.52484044715447</v>
      </c>
      <c r="R561" s="1">
        <f t="shared" si="60"/>
        <v>135.09287447741411</v>
      </c>
      <c r="S561" s="1">
        <f t="shared" si="61"/>
        <v>82.685915507364982</v>
      </c>
    </row>
    <row r="562" spans="1:19" x14ac:dyDescent="0.3">
      <c r="A562">
        <v>15026.4</v>
      </c>
      <c r="B562">
        <v>121.36756800000001</v>
      </c>
      <c r="C562">
        <v>126.68707000000001</v>
      </c>
      <c r="D562">
        <v>131.694974</v>
      </c>
      <c r="E562">
        <v>79.820650999999998</v>
      </c>
      <c r="F562">
        <v>50.611584000000001</v>
      </c>
      <c r="G562">
        <v>19.980820999999999</v>
      </c>
      <c r="H562">
        <v>23.012836</v>
      </c>
      <c r="I562"/>
      <c r="N562"/>
      <c r="O562"/>
      <c r="P562" s="1">
        <f t="shared" si="58"/>
        <v>124.14259044715448</v>
      </c>
      <c r="Q562" s="1">
        <f t="shared" si="59"/>
        <v>129.52958536585368</v>
      </c>
      <c r="R562" s="1">
        <f t="shared" si="60"/>
        <v>135.11266136433159</v>
      </c>
      <c r="S562" s="1">
        <f t="shared" si="61"/>
        <v>82.61857815057283</v>
      </c>
    </row>
    <row r="563" spans="1:19" x14ac:dyDescent="0.3">
      <c r="A563">
        <v>15026.6</v>
      </c>
      <c r="B563">
        <v>121.36756800000001</v>
      </c>
      <c r="C563">
        <v>126.68707000000001</v>
      </c>
      <c r="D563">
        <v>131.694974</v>
      </c>
      <c r="E563">
        <v>79.820650999999998</v>
      </c>
      <c r="F563">
        <v>50.611584000000001</v>
      </c>
      <c r="G563">
        <v>19.980820999999999</v>
      </c>
      <c r="H563">
        <v>23.012836</v>
      </c>
      <c r="I563"/>
      <c r="N563"/>
      <c r="O563"/>
      <c r="P563" s="1">
        <f t="shared" si="58"/>
        <v>124.14259044715448</v>
      </c>
      <c r="Q563" s="1">
        <f t="shared" si="59"/>
        <v>129.52958536585368</v>
      </c>
      <c r="R563" s="1">
        <f t="shared" si="60"/>
        <v>135.11266136433159</v>
      </c>
      <c r="S563" s="1">
        <f t="shared" si="61"/>
        <v>82.61857815057283</v>
      </c>
    </row>
    <row r="564" spans="1:19" x14ac:dyDescent="0.3">
      <c r="A564">
        <v>15026.8</v>
      </c>
      <c r="B564">
        <v>121.345448</v>
      </c>
      <c r="C564">
        <v>126.638267</v>
      </c>
      <c r="D564">
        <v>131.683851</v>
      </c>
      <c r="E564">
        <v>79.866523999999998</v>
      </c>
      <c r="F564">
        <v>50.281463000000002</v>
      </c>
      <c r="G564">
        <v>19.963213</v>
      </c>
      <c r="H564">
        <v>23.012784</v>
      </c>
      <c r="I564"/>
      <c r="N564"/>
      <c r="O564"/>
      <c r="P564" s="1">
        <f t="shared" si="58"/>
        <v>124.14734146341463</v>
      </c>
      <c r="Q564" s="1">
        <f t="shared" si="59"/>
        <v>129.51722459349594</v>
      </c>
      <c r="R564" s="1">
        <f t="shared" si="60"/>
        <v>135.10404812888754</v>
      </c>
      <c r="S564" s="1">
        <f t="shared" si="61"/>
        <v>82.643869680851068</v>
      </c>
    </row>
    <row r="565" spans="1:19" x14ac:dyDescent="0.3">
      <c r="A565">
        <v>15027</v>
      </c>
      <c r="B565">
        <v>121.345448</v>
      </c>
      <c r="C565">
        <v>126.638267</v>
      </c>
      <c r="D565">
        <v>131.683851</v>
      </c>
      <c r="E565">
        <v>79.866523999999998</v>
      </c>
      <c r="F565">
        <v>50.281463000000002</v>
      </c>
      <c r="G565">
        <v>19.963213</v>
      </c>
      <c r="H565">
        <v>23.012784</v>
      </c>
      <c r="I565" t="s">
        <v>56</v>
      </c>
      <c r="N565"/>
      <c r="O565"/>
      <c r="P565" s="1">
        <f t="shared" si="58"/>
        <v>124.14734146341463</v>
      </c>
      <c r="Q565" s="1">
        <f t="shared" si="59"/>
        <v>129.51722459349594</v>
      </c>
      <c r="R565" s="1">
        <f t="shared" si="60"/>
        <v>135.10404812888754</v>
      </c>
      <c r="S565" s="1">
        <f t="shared" si="61"/>
        <v>82.643869680851068</v>
      </c>
    </row>
    <row r="566" spans="1:19" x14ac:dyDescent="0.3">
      <c r="A566">
        <v>15027.2</v>
      </c>
      <c r="B566">
        <v>121.348347</v>
      </c>
      <c r="C566">
        <v>126.66890100000001</v>
      </c>
      <c r="D566">
        <v>131.68168900000001</v>
      </c>
      <c r="E566">
        <v>79.840894000000006</v>
      </c>
      <c r="F566">
        <v>49.851528999999999</v>
      </c>
      <c r="G566">
        <v>19.961829000000002</v>
      </c>
      <c r="H566">
        <v>22.995312999999999</v>
      </c>
      <c r="I566"/>
      <c r="N566"/>
      <c r="O566"/>
      <c r="P566" s="1">
        <f t="shared" si="58"/>
        <v>124.1475355691057</v>
      </c>
      <c r="Q566" s="1">
        <f t="shared" si="59"/>
        <v>129.52563617886179</v>
      </c>
      <c r="R566" s="1">
        <f t="shared" si="60"/>
        <v>135.09766595289079</v>
      </c>
      <c r="S566" s="1">
        <f t="shared" si="61"/>
        <v>82.651624386252053</v>
      </c>
    </row>
    <row r="567" spans="1:19" x14ac:dyDescent="0.3">
      <c r="A567">
        <v>15027.4</v>
      </c>
      <c r="B567">
        <v>121.348347</v>
      </c>
      <c r="C567">
        <v>126.66890100000001</v>
      </c>
      <c r="D567">
        <v>131.68168900000001</v>
      </c>
      <c r="E567">
        <v>79.840894000000006</v>
      </c>
      <c r="F567">
        <v>49.851528999999999</v>
      </c>
      <c r="G567">
        <v>19.961829000000002</v>
      </c>
      <c r="H567">
        <v>22.995312999999999</v>
      </c>
      <c r="I567"/>
      <c r="N567"/>
      <c r="O567"/>
      <c r="P567" s="1">
        <f t="shared" si="58"/>
        <v>124.1475355691057</v>
      </c>
      <c r="Q567" s="1">
        <f t="shared" si="59"/>
        <v>129.52563617886179</v>
      </c>
      <c r="R567" s="1">
        <f t="shared" si="60"/>
        <v>135.09766595289079</v>
      </c>
      <c r="S567" s="1">
        <f t="shared" si="61"/>
        <v>82.651624386252053</v>
      </c>
    </row>
    <row r="568" spans="1:19" x14ac:dyDescent="0.3">
      <c r="A568">
        <v>15027.6</v>
      </c>
      <c r="B568">
        <v>121.348806</v>
      </c>
      <c r="C568">
        <v>126.667283</v>
      </c>
      <c r="D568">
        <v>131.679384</v>
      </c>
      <c r="E568">
        <v>79.795856000000001</v>
      </c>
      <c r="F568">
        <v>50.588555999999997</v>
      </c>
      <c r="G568">
        <v>19.974034</v>
      </c>
      <c r="H568">
        <v>22.988793000000001</v>
      </c>
      <c r="I568"/>
      <c r="N568"/>
      <c r="O568"/>
      <c r="P568" s="1">
        <f t="shared" si="58"/>
        <v>124.12530081300814</v>
      </c>
      <c r="Q568" s="1">
        <f t="shared" si="59"/>
        <v>129.52511382113821</v>
      </c>
      <c r="R568" s="1">
        <f t="shared" si="60"/>
        <v>135.10395635770368</v>
      </c>
      <c r="S568" s="1">
        <f t="shared" si="61"/>
        <v>82.631861702127651</v>
      </c>
    </row>
    <row r="569" spans="1:19" x14ac:dyDescent="0.3">
      <c r="A569">
        <v>15027.8</v>
      </c>
      <c r="B569">
        <v>121.348806</v>
      </c>
      <c r="C569">
        <v>126.667283</v>
      </c>
      <c r="D569">
        <v>131.679384</v>
      </c>
      <c r="E569">
        <v>79.795856000000001</v>
      </c>
      <c r="F569">
        <v>50.588555999999997</v>
      </c>
      <c r="G569">
        <v>19.974034</v>
      </c>
      <c r="H569">
        <v>22.988793000000001</v>
      </c>
      <c r="I569"/>
      <c r="N569"/>
      <c r="O569"/>
      <c r="P569" s="1">
        <f t="shared" si="58"/>
        <v>124.12530081300814</v>
      </c>
      <c r="Q569" s="1">
        <f t="shared" si="59"/>
        <v>129.52511382113821</v>
      </c>
      <c r="R569" s="1">
        <f t="shared" si="60"/>
        <v>135.10395635770368</v>
      </c>
      <c r="S569" s="1">
        <f t="shared" si="61"/>
        <v>82.631861702127651</v>
      </c>
    </row>
    <row r="570" spans="1:19" x14ac:dyDescent="0.3">
      <c r="A570">
        <v>15028</v>
      </c>
      <c r="B570">
        <v>121.32673699999999</v>
      </c>
      <c r="C570">
        <v>126.65826199999999</v>
      </c>
      <c r="D570">
        <v>131.68098499999999</v>
      </c>
      <c r="E570">
        <v>79.730417000000003</v>
      </c>
      <c r="F570">
        <v>50.290861999999997</v>
      </c>
      <c r="G570">
        <v>19.97551</v>
      </c>
      <c r="H570">
        <v>22.993577999999999</v>
      </c>
      <c r="I570" t="s">
        <v>56</v>
      </c>
      <c r="N570"/>
      <c r="O570"/>
      <c r="P570" s="1">
        <f t="shared" si="58"/>
        <v>124.13517479674798</v>
      </c>
      <c r="Q570" s="1">
        <f t="shared" si="59"/>
        <v>129.53081605691057</v>
      </c>
      <c r="R570" s="1">
        <f t="shared" si="60"/>
        <v>135.09439176098707</v>
      </c>
      <c r="S570" s="1">
        <f t="shared" si="61"/>
        <v>82.60786211129296</v>
      </c>
    </row>
    <row r="571" spans="1:19" x14ac:dyDescent="0.3">
      <c r="A571">
        <v>15028.2</v>
      </c>
      <c r="B571">
        <v>121.32673699999999</v>
      </c>
      <c r="C571">
        <v>126.65826199999999</v>
      </c>
      <c r="D571">
        <v>131.68098499999999</v>
      </c>
      <c r="E571">
        <v>79.730417000000003</v>
      </c>
      <c r="F571">
        <v>50.290861999999997</v>
      </c>
      <c r="G571">
        <v>19.97551</v>
      </c>
      <c r="H571">
        <v>22.993577999999999</v>
      </c>
      <c r="I571"/>
      <c r="N571"/>
      <c r="O571"/>
      <c r="P571" s="1">
        <f t="shared" si="58"/>
        <v>124.13517479674798</v>
      </c>
      <c r="Q571" s="1">
        <f t="shared" si="59"/>
        <v>129.53081605691057</v>
      </c>
      <c r="R571" s="1">
        <f t="shared" si="60"/>
        <v>135.09439176098707</v>
      </c>
      <c r="S571" s="1">
        <f t="shared" si="61"/>
        <v>82.60786211129296</v>
      </c>
    </row>
    <row r="572" spans="1:19" x14ac:dyDescent="0.3">
      <c r="A572">
        <v>15028.4</v>
      </c>
      <c r="B572">
        <v>121.36676900000001</v>
      </c>
      <c r="C572">
        <v>126.64976900000001</v>
      </c>
      <c r="D572">
        <v>131.66698299999999</v>
      </c>
      <c r="E572">
        <v>79.734279000000001</v>
      </c>
      <c r="F572">
        <v>50.244576000000002</v>
      </c>
      <c r="G572">
        <v>19.965032999999998</v>
      </c>
      <c r="H572">
        <v>23.002531000000001</v>
      </c>
      <c r="I572"/>
      <c r="N572"/>
      <c r="O572"/>
      <c r="P572" s="1">
        <f t="shared" si="58"/>
        <v>124.13719918699188</v>
      </c>
      <c r="Q572" s="1">
        <f t="shared" si="59"/>
        <v>129.52580894308943</v>
      </c>
      <c r="R572" s="1">
        <f t="shared" si="60"/>
        <v>135.11287549709391</v>
      </c>
      <c r="S572" s="1">
        <f t="shared" si="61"/>
        <v>82.641937397708674</v>
      </c>
    </row>
    <row r="573" spans="1:19" x14ac:dyDescent="0.3">
      <c r="A573">
        <v>15028.6</v>
      </c>
      <c r="B573">
        <v>121.36676900000001</v>
      </c>
      <c r="C573">
        <v>126.64976900000001</v>
      </c>
      <c r="D573">
        <v>131.66698299999999</v>
      </c>
      <c r="E573">
        <v>79.734279000000001</v>
      </c>
      <c r="F573">
        <v>50.244576000000002</v>
      </c>
      <c r="G573">
        <v>19.965032999999998</v>
      </c>
      <c r="H573">
        <v>23.002531000000001</v>
      </c>
      <c r="I573"/>
      <c r="N573"/>
      <c r="O573"/>
      <c r="P573" s="1">
        <f t="shared" si="58"/>
        <v>124.13719918699188</v>
      </c>
      <c r="Q573" s="1">
        <f t="shared" si="59"/>
        <v>129.52580894308943</v>
      </c>
      <c r="R573" s="1">
        <f t="shared" si="60"/>
        <v>135.11287549709391</v>
      </c>
      <c r="S573" s="1">
        <f t="shared" si="61"/>
        <v>82.641937397708674</v>
      </c>
    </row>
    <row r="574" spans="1:19" x14ac:dyDescent="0.3">
      <c r="A574">
        <v>15028.8</v>
      </c>
      <c r="B574">
        <v>121.33226500000001</v>
      </c>
      <c r="C574">
        <v>126.668902</v>
      </c>
      <c r="D574">
        <v>131.680308</v>
      </c>
      <c r="E574">
        <v>79.733568000000005</v>
      </c>
      <c r="F574">
        <v>50.251784999999998</v>
      </c>
      <c r="G574">
        <v>19.982482999999998</v>
      </c>
      <c r="H574">
        <v>22.991305000000001</v>
      </c>
      <c r="I574"/>
      <c r="N574"/>
      <c r="O574"/>
      <c r="P574" s="1">
        <f t="shared" si="58"/>
        <v>124.11692378048781</v>
      </c>
      <c r="Q574" s="1">
        <f t="shared" si="59"/>
        <v>129.52608333333333</v>
      </c>
      <c r="R574" s="1">
        <f t="shared" si="60"/>
        <v>135.09294381564192</v>
      </c>
      <c r="S574" s="1">
        <f t="shared" si="61"/>
        <v>82.635329378068747</v>
      </c>
    </row>
    <row r="575" spans="1:19" x14ac:dyDescent="0.3">
      <c r="A575">
        <v>15655</v>
      </c>
      <c r="B575">
        <v>129.89080899999999</v>
      </c>
      <c r="C575">
        <v>135.90889000000001</v>
      </c>
      <c r="D575">
        <v>141.60634999999999</v>
      </c>
      <c r="E575">
        <v>82.552046000000004</v>
      </c>
      <c r="F575">
        <v>51.873137</v>
      </c>
      <c r="G575">
        <v>20.004975000000002</v>
      </c>
      <c r="H575">
        <v>23.426793</v>
      </c>
      <c r="I575" t="s">
        <v>56</v>
      </c>
      <c r="N575"/>
      <c r="O575"/>
      <c r="P575" s="1">
        <f t="shared" si="58"/>
        <v>124.11692378048781</v>
      </c>
      <c r="Q575" s="1">
        <f t="shared" si="59"/>
        <v>129.52608333333333</v>
      </c>
      <c r="R575" s="1">
        <f t="shared" si="60"/>
        <v>135.09294381564192</v>
      </c>
      <c r="S575" s="1">
        <f t="shared" si="61"/>
        <v>82.635329378068747</v>
      </c>
    </row>
    <row r="576" spans="1:19" x14ac:dyDescent="0.3">
      <c r="A576">
        <v>15655.2</v>
      </c>
      <c r="B576">
        <v>129.89663300000001</v>
      </c>
      <c r="C576">
        <v>135.910336</v>
      </c>
      <c r="D576">
        <v>141.60663299999999</v>
      </c>
      <c r="E576">
        <v>82.519591000000005</v>
      </c>
      <c r="F576">
        <v>51.694819000000003</v>
      </c>
      <c r="G576">
        <v>20.019579</v>
      </c>
      <c r="H576">
        <v>23.417228000000001</v>
      </c>
      <c r="I576"/>
      <c r="N576"/>
      <c r="O576"/>
      <c r="P576" s="1">
        <f t="shared" si="58"/>
        <v>124.1380955284553</v>
      </c>
      <c r="Q576" s="1">
        <f t="shared" si="59"/>
        <v>129.51731910569106</v>
      </c>
      <c r="R576" s="1">
        <f t="shared" si="60"/>
        <v>135.07359946976649</v>
      </c>
      <c r="S576" s="1">
        <f t="shared" si="61"/>
        <v>82.715474631751221</v>
      </c>
    </row>
    <row r="577" spans="1:19" x14ac:dyDescent="0.3">
      <c r="A577">
        <v>15655.4</v>
      </c>
      <c r="B577">
        <v>129.89663300000001</v>
      </c>
      <c r="C577">
        <v>135.910336</v>
      </c>
      <c r="D577">
        <v>141.60663299999999</v>
      </c>
      <c r="E577">
        <v>82.519591000000005</v>
      </c>
      <c r="F577">
        <v>51.694819000000003</v>
      </c>
      <c r="G577">
        <v>20.019579</v>
      </c>
      <c r="H577">
        <v>23.417228000000001</v>
      </c>
      <c r="I577"/>
      <c r="N577"/>
      <c r="O577"/>
      <c r="P577" s="1">
        <f t="shared" si="58"/>
        <v>124.1380955284553</v>
      </c>
      <c r="Q577" s="1">
        <f t="shared" si="59"/>
        <v>129.51731910569106</v>
      </c>
      <c r="R577" s="1">
        <f t="shared" si="60"/>
        <v>135.07359946976649</v>
      </c>
      <c r="S577" s="1">
        <f t="shared" si="61"/>
        <v>82.715474631751221</v>
      </c>
    </row>
    <row r="578" spans="1:19" x14ac:dyDescent="0.3">
      <c r="A578">
        <v>15655.6</v>
      </c>
      <c r="B578">
        <v>129.88014799999999</v>
      </c>
      <c r="C578">
        <v>135.92371199999999</v>
      </c>
      <c r="D578">
        <v>141.581065</v>
      </c>
      <c r="E578">
        <v>82.501794000000004</v>
      </c>
      <c r="F578">
        <v>51.377512000000003</v>
      </c>
      <c r="G578">
        <v>20.022701000000001</v>
      </c>
      <c r="H578">
        <v>23.419157999999999</v>
      </c>
      <c r="I578"/>
      <c r="N578"/>
      <c r="O578"/>
      <c r="P578" s="1">
        <f t="shared" si="58"/>
        <v>124.12003760162602</v>
      </c>
      <c r="Q578" s="1">
        <f t="shared" si="59"/>
        <v>129.52428353658539</v>
      </c>
      <c r="R578" s="1">
        <f t="shared" si="60"/>
        <v>135.10829407566024</v>
      </c>
      <c r="S578" s="1">
        <f t="shared" si="61"/>
        <v>82.759176554828144</v>
      </c>
    </row>
    <row r="579" spans="1:19" x14ac:dyDescent="0.3">
      <c r="A579">
        <v>15655.8</v>
      </c>
      <c r="B579">
        <v>129.88014799999999</v>
      </c>
      <c r="C579">
        <v>135.92371199999999</v>
      </c>
      <c r="D579">
        <v>141.581065</v>
      </c>
      <c r="E579">
        <v>82.501794000000004</v>
      </c>
      <c r="F579">
        <v>51.377512000000003</v>
      </c>
      <c r="G579">
        <v>20.022701000000001</v>
      </c>
      <c r="H579">
        <v>23.419157999999999</v>
      </c>
      <c r="I579"/>
      <c r="N579"/>
      <c r="O579"/>
      <c r="P579" s="1">
        <f t="shared" si="58"/>
        <v>124.12003760162602</v>
      </c>
      <c r="Q579" s="1">
        <f t="shared" si="59"/>
        <v>129.52428353658539</v>
      </c>
      <c r="R579" s="1">
        <f t="shared" si="60"/>
        <v>135.10829407566024</v>
      </c>
      <c r="S579" s="1">
        <f t="shared" si="61"/>
        <v>82.759176554828144</v>
      </c>
    </row>
    <row r="580" spans="1:19" x14ac:dyDescent="0.3">
      <c r="A580">
        <v>15656</v>
      </c>
      <c r="B580">
        <v>129.88975600000001</v>
      </c>
      <c r="C580">
        <v>135.8939</v>
      </c>
      <c r="D580">
        <v>141.60691499999999</v>
      </c>
      <c r="E580">
        <v>82.535556</v>
      </c>
      <c r="F580">
        <v>50.916460000000001</v>
      </c>
      <c r="G580">
        <v>20.016760000000001</v>
      </c>
      <c r="H580">
        <v>23.403535999999999</v>
      </c>
      <c r="I580" t="s">
        <v>56</v>
      </c>
      <c r="N580"/>
      <c r="O580"/>
      <c r="P580" s="1">
        <f t="shared" si="58"/>
        <v>124.14031300813009</v>
      </c>
      <c r="Q580" s="1">
        <f t="shared" si="59"/>
        <v>129.54631097560977</v>
      </c>
      <c r="R580" s="1">
        <f t="shared" si="60"/>
        <v>135.1129540124401</v>
      </c>
      <c r="S580" s="1">
        <f t="shared" si="61"/>
        <v>82.594569353518821</v>
      </c>
    </row>
    <row r="581" spans="1:19" x14ac:dyDescent="0.3">
      <c r="A581">
        <v>15656.2</v>
      </c>
      <c r="B581">
        <v>129.88975600000001</v>
      </c>
      <c r="C581">
        <v>135.8939</v>
      </c>
      <c r="D581">
        <v>141.60691499999999</v>
      </c>
      <c r="E581">
        <v>82.535556</v>
      </c>
      <c r="F581">
        <v>50.916460000000001</v>
      </c>
      <c r="G581">
        <v>20.016760000000001</v>
      </c>
      <c r="H581">
        <v>23.403535999999999</v>
      </c>
      <c r="I581"/>
      <c r="N581"/>
      <c r="O581"/>
      <c r="P581" s="1">
        <f t="shared" si="58"/>
        <v>124.14031300813009</v>
      </c>
      <c r="Q581" s="1">
        <f t="shared" si="59"/>
        <v>129.54631097560977</v>
      </c>
      <c r="R581" s="1">
        <f t="shared" si="60"/>
        <v>135.1129540124401</v>
      </c>
      <c r="S581" s="1">
        <f t="shared" si="61"/>
        <v>82.594569353518821</v>
      </c>
    </row>
    <row r="582" spans="1:19" x14ac:dyDescent="0.3">
      <c r="A582">
        <v>15656.4</v>
      </c>
      <c r="B582">
        <v>129.87433999999999</v>
      </c>
      <c r="C582">
        <v>135.912531</v>
      </c>
      <c r="D582">
        <v>141.587515</v>
      </c>
      <c r="E582">
        <v>82.562734000000006</v>
      </c>
      <c r="F582">
        <v>50.854989000000003</v>
      </c>
      <c r="G582">
        <v>20.001429999999999</v>
      </c>
      <c r="H582">
        <v>23.394874999999999</v>
      </c>
      <c r="I582"/>
      <c r="N582"/>
      <c r="O582"/>
      <c r="P582" s="1">
        <f t="shared" si="58"/>
        <v>124.11783333333334</v>
      </c>
      <c r="Q582" s="1">
        <f t="shared" si="59"/>
        <v>129.49671443089431</v>
      </c>
      <c r="R582" s="1">
        <f t="shared" si="60"/>
        <v>135.10161211379628</v>
      </c>
      <c r="S582" s="1">
        <f t="shared" si="61"/>
        <v>82.641493453355153</v>
      </c>
    </row>
    <row r="583" spans="1:19" x14ac:dyDescent="0.3">
      <c r="A583">
        <v>15656.6</v>
      </c>
      <c r="B583">
        <v>129.87433999999999</v>
      </c>
      <c r="C583">
        <v>135.912531</v>
      </c>
      <c r="D583">
        <v>141.587515</v>
      </c>
      <c r="E583">
        <v>82.562734000000006</v>
      </c>
      <c r="F583">
        <v>50.854989000000003</v>
      </c>
      <c r="G583">
        <v>20.001429999999999</v>
      </c>
      <c r="H583">
        <v>23.394874999999999</v>
      </c>
      <c r="I583"/>
      <c r="N583"/>
      <c r="O583"/>
      <c r="P583" s="1">
        <f t="shared" si="58"/>
        <v>124.11783333333334</v>
      </c>
      <c r="Q583" s="1">
        <f t="shared" si="59"/>
        <v>129.49671443089431</v>
      </c>
      <c r="R583" s="1">
        <f t="shared" si="60"/>
        <v>135.10161211379628</v>
      </c>
      <c r="S583" s="1">
        <f t="shared" si="61"/>
        <v>82.641493453355153</v>
      </c>
    </row>
    <row r="584" spans="1:19" x14ac:dyDescent="0.3">
      <c r="A584">
        <v>15656.8</v>
      </c>
      <c r="B584">
        <v>129.86094800000001</v>
      </c>
      <c r="C584">
        <v>135.91903199999999</v>
      </c>
      <c r="D584">
        <v>141.60349600000001</v>
      </c>
      <c r="E584">
        <v>82.532246999999998</v>
      </c>
      <c r="F584">
        <v>50.890357000000002</v>
      </c>
      <c r="G584">
        <v>20.009008999999999</v>
      </c>
      <c r="H584">
        <v>23.401485999999998</v>
      </c>
      <c r="I584"/>
      <c r="N584"/>
      <c r="O584"/>
      <c r="P584" s="1">
        <f t="shared" si="58"/>
        <v>124.12077947154472</v>
      </c>
      <c r="Q584" s="1">
        <f t="shared" si="59"/>
        <v>129.52784654471546</v>
      </c>
      <c r="R584" s="1">
        <f t="shared" si="60"/>
        <v>135.0994075660243</v>
      </c>
      <c r="S584" s="1">
        <f t="shared" si="61"/>
        <v>82.615276186579379</v>
      </c>
    </row>
    <row r="585" spans="1:19" x14ac:dyDescent="0.3">
      <c r="A585">
        <v>15657</v>
      </c>
      <c r="B585">
        <v>129.86094800000001</v>
      </c>
      <c r="C585">
        <v>135.91903199999999</v>
      </c>
      <c r="D585">
        <v>141.60349600000001</v>
      </c>
      <c r="E585">
        <v>82.532246999999998</v>
      </c>
      <c r="F585">
        <v>50.890357000000002</v>
      </c>
      <c r="G585">
        <v>20.009008999999999</v>
      </c>
      <c r="H585">
        <v>23.401485999999998</v>
      </c>
      <c r="I585" t="s">
        <v>56</v>
      </c>
      <c r="N585"/>
      <c r="O585"/>
      <c r="P585" s="1">
        <f t="shared" si="58"/>
        <v>124.12077947154472</v>
      </c>
      <c r="Q585" s="1">
        <f t="shared" si="59"/>
        <v>129.52784654471546</v>
      </c>
      <c r="R585" s="1">
        <f t="shared" si="60"/>
        <v>135.0994075660243</v>
      </c>
      <c r="S585" s="1">
        <f t="shared" si="61"/>
        <v>82.615276186579379</v>
      </c>
    </row>
    <row r="586" spans="1:19" x14ac:dyDescent="0.3">
      <c r="A586">
        <v>15657.2</v>
      </c>
      <c r="B586">
        <v>129.89062000000001</v>
      </c>
      <c r="C586">
        <v>135.914041</v>
      </c>
      <c r="D586">
        <v>141.589021</v>
      </c>
      <c r="E586">
        <v>82.541326999999995</v>
      </c>
      <c r="F586">
        <v>50.834260999999998</v>
      </c>
      <c r="G586">
        <v>20.001459000000001</v>
      </c>
      <c r="H586">
        <v>23.406020999999999</v>
      </c>
      <c r="I586"/>
      <c r="N586"/>
      <c r="O586"/>
      <c r="P586" s="1">
        <f t="shared" si="58"/>
        <v>124.12124593495935</v>
      </c>
      <c r="Q586" s="1">
        <f t="shared" si="59"/>
        <v>129.52620223577236</v>
      </c>
      <c r="R586" s="1">
        <f t="shared" si="60"/>
        <v>135.09705720403795</v>
      </c>
      <c r="S586" s="1">
        <f t="shared" si="61"/>
        <v>82.569206219312605</v>
      </c>
    </row>
    <row r="587" spans="1:19" x14ac:dyDescent="0.3">
      <c r="A587">
        <v>15657.4</v>
      </c>
      <c r="B587">
        <v>129.89062000000001</v>
      </c>
      <c r="C587">
        <v>135.914041</v>
      </c>
      <c r="D587">
        <v>141.589021</v>
      </c>
      <c r="E587">
        <v>82.541326999999995</v>
      </c>
      <c r="F587">
        <v>50.834260999999998</v>
      </c>
      <c r="G587">
        <v>20.001459000000001</v>
      </c>
      <c r="H587">
        <v>23.406020999999999</v>
      </c>
      <c r="I587"/>
      <c r="N587"/>
      <c r="O587"/>
      <c r="P587" s="1">
        <f t="shared" si="58"/>
        <v>124.12124593495935</v>
      </c>
      <c r="Q587" s="1">
        <f t="shared" si="59"/>
        <v>129.52620223577236</v>
      </c>
      <c r="R587" s="1">
        <f t="shared" si="60"/>
        <v>135.09705720403795</v>
      </c>
      <c r="S587" s="1">
        <f t="shared" si="61"/>
        <v>82.569206219312605</v>
      </c>
    </row>
    <row r="588" spans="1:19" x14ac:dyDescent="0.3">
      <c r="A588">
        <v>15657.6</v>
      </c>
      <c r="B588">
        <v>129.88333299999999</v>
      </c>
      <c r="C588">
        <v>135.91344699999999</v>
      </c>
      <c r="D588">
        <v>141.593987</v>
      </c>
      <c r="E588">
        <v>82.638716000000002</v>
      </c>
      <c r="F588">
        <v>51.370271000000002</v>
      </c>
      <c r="G588">
        <v>19.995963</v>
      </c>
      <c r="H588">
        <v>23.384219999999999</v>
      </c>
      <c r="I588"/>
      <c r="N588"/>
      <c r="O588"/>
      <c r="P588" s="1">
        <f t="shared" si="58"/>
        <v>124.09881808943089</v>
      </c>
      <c r="Q588" s="1">
        <f t="shared" si="59"/>
        <v>129.51703455284553</v>
      </c>
      <c r="R588" s="1">
        <f t="shared" si="60"/>
        <v>135.09868971143061</v>
      </c>
      <c r="S588" s="1">
        <f t="shared" si="61"/>
        <v>82.502267798690667</v>
      </c>
    </row>
    <row r="589" spans="1:19" x14ac:dyDescent="0.3">
      <c r="A589">
        <v>15657.8</v>
      </c>
      <c r="B589">
        <v>129.88333299999999</v>
      </c>
      <c r="C589">
        <v>135.91344699999999</v>
      </c>
      <c r="D589">
        <v>141.593987</v>
      </c>
      <c r="E589">
        <v>82.638716000000002</v>
      </c>
      <c r="F589">
        <v>51.370271000000002</v>
      </c>
      <c r="G589">
        <v>19.995963</v>
      </c>
      <c r="H589">
        <v>23.384219999999999</v>
      </c>
      <c r="I589"/>
      <c r="N589"/>
      <c r="O589"/>
      <c r="P589" s="1">
        <f t="shared" si="58"/>
        <v>124.09881808943089</v>
      </c>
      <c r="Q589" s="1">
        <f t="shared" si="59"/>
        <v>129.51703455284553</v>
      </c>
      <c r="R589" s="1">
        <f t="shared" si="60"/>
        <v>135.09868971143061</v>
      </c>
      <c r="S589" s="1">
        <f t="shared" si="61"/>
        <v>82.502267798690667</v>
      </c>
    </row>
    <row r="590" spans="1:19" x14ac:dyDescent="0.3">
      <c r="A590">
        <v>15658</v>
      </c>
      <c r="B590">
        <v>129.86434800000001</v>
      </c>
      <c r="C590">
        <v>135.903413</v>
      </c>
      <c r="D590">
        <v>141.607371</v>
      </c>
      <c r="E590">
        <v>82.706816000000003</v>
      </c>
      <c r="F590">
        <v>51.619354999999999</v>
      </c>
      <c r="G590">
        <v>20.002473999999999</v>
      </c>
      <c r="H590">
        <v>23.383852000000001</v>
      </c>
      <c r="I590" t="s">
        <v>56</v>
      </c>
      <c r="N590"/>
      <c r="O590"/>
      <c r="P590" s="1">
        <f t="shared" si="58"/>
        <v>124.13950101626017</v>
      </c>
      <c r="Q590" s="1">
        <f t="shared" si="59"/>
        <v>129.50840345528457</v>
      </c>
      <c r="R590" s="1">
        <f t="shared" si="60"/>
        <v>135.08441215458345</v>
      </c>
      <c r="S590" s="1">
        <f t="shared" si="61"/>
        <v>82.506218289689031</v>
      </c>
    </row>
    <row r="591" spans="1:19" x14ac:dyDescent="0.3">
      <c r="A591">
        <v>15658.2</v>
      </c>
      <c r="B591">
        <v>129.86434800000001</v>
      </c>
      <c r="C591">
        <v>135.903413</v>
      </c>
      <c r="D591">
        <v>141.607371</v>
      </c>
      <c r="E591">
        <v>82.706816000000003</v>
      </c>
      <c r="F591">
        <v>51.619354999999999</v>
      </c>
      <c r="G591">
        <v>20.002473999999999</v>
      </c>
      <c r="H591">
        <v>23.383852000000001</v>
      </c>
      <c r="I591"/>
      <c r="N591"/>
      <c r="O591"/>
      <c r="P591" s="1">
        <f t="shared" si="58"/>
        <v>124.13950101626017</v>
      </c>
      <c r="Q591" s="1">
        <f t="shared" si="59"/>
        <v>129.50840345528457</v>
      </c>
      <c r="R591" s="1">
        <f t="shared" si="60"/>
        <v>135.08441215458345</v>
      </c>
      <c r="S591" s="1">
        <f t="shared" si="61"/>
        <v>82.506218289689031</v>
      </c>
    </row>
    <row r="592" spans="1:19" x14ac:dyDescent="0.3">
      <c r="A592">
        <v>15658.4</v>
      </c>
      <c r="B592">
        <v>129.881077</v>
      </c>
      <c r="C592">
        <v>135.897944</v>
      </c>
      <c r="D592">
        <v>141.591725</v>
      </c>
      <c r="E592">
        <v>82.712073000000004</v>
      </c>
      <c r="F592">
        <v>51.223390999999999</v>
      </c>
      <c r="G592">
        <v>20.004767000000001</v>
      </c>
      <c r="H592">
        <v>23.383064000000001</v>
      </c>
      <c r="I592"/>
      <c r="N592"/>
      <c r="O592"/>
      <c r="P592" s="1">
        <f t="shared" si="58"/>
        <v>124.10443597560977</v>
      </c>
      <c r="Q592" s="1">
        <f t="shared" si="59"/>
        <v>129.52784756097563</v>
      </c>
      <c r="R592" s="1">
        <f t="shared" si="60"/>
        <v>135.09799938819211</v>
      </c>
      <c r="S592" s="1">
        <f t="shared" si="61"/>
        <v>82.505490998363342</v>
      </c>
    </row>
    <row r="593" spans="1:19" x14ac:dyDescent="0.3">
      <c r="A593">
        <v>15658.6</v>
      </c>
      <c r="B593">
        <v>129.881077</v>
      </c>
      <c r="C593">
        <v>135.897944</v>
      </c>
      <c r="D593">
        <v>141.591725</v>
      </c>
      <c r="E593">
        <v>82.712073000000004</v>
      </c>
      <c r="F593">
        <v>51.223390999999999</v>
      </c>
      <c r="G593">
        <v>20.004767000000001</v>
      </c>
      <c r="H593">
        <v>23.383064000000001</v>
      </c>
      <c r="I593"/>
      <c r="N593"/>
      <c r="O593"/>
      <c r="P593" s="1">
        <f t="shared" si="58"/>
        <v>132.8021432926829</v>
      </c>
      <c r="Q593" s="1">
        <f t="shared" si="59"/>
        <v>138.9180792682927</v>
      </c>
      <c r="R593" s="1">
        <f t="shared" si="60"/>
        <v>145.2193841133884</v>
      </c>
      <c r="S593" s="1">
        <f t="shared" si="61"/>
        <v>85.388549509001635</v>
      </c>
    </row>
    <row r="594" spans="1:19" x14ac:dyDescent="0.3">
      <c r="A594">
        <v>15658.8</v>
      </c>
      <c r="B594">
        <v>129.89558400000001</v>
      </c>
      <c r="C594">
        <v>135.89929599999999</v>
      </c>
      <c r="D594">
        <v>141.59886399999999</v>
      </c>
      <c r="E594">
        <v>82.747005000000001</v>
      </c>
      <c r="F594">
        <v>51.328260999999998</v>
      </c>
      <c r="G594">
        <v>20.005887999999999</v>
      </c>
      <c r="H594">
        <v>23.414221000000001</v>
      </c>
      <c r="I594"/>
      <c r="N594"/>
      <c r="O594"/>
      <c r="P594" s="1">
        <f t="shared" si="58"/>
        <v>132.80806199186992</v>
      </c>
      <c r="Q594" s="1">
        <f t="shared" si="59"/>
        <v>138.91954878048779</v>
      </c>
      <c r="R594" s="1">
        <f t="shared" si="60"/>
        <v>145.2196726827776</v>
      </c>
      <c r="S594" s="1">
        <f t="shared" si="61"/>
        <v>85.355350859247139</v>
      </c>
    </row>
    <row r="595" spans="1:19" x14ac:dyDescent="0.3">
      <c r="A595">
        <v>15659</v>
      </c>
      <c r="B595">
        <v>129.89558400000001</v>
      </c>
      <c r="C595">
        <v>135.89929599999999</v>
      </c>
      <c r="D595">
        <v>141.59886399999999</v>
      </c>
      <c r="E595">
        <v>82.747005000000001</v>
      </c>
      <c r="F595">
        <v>51.328260999999998</v>
      </c>
      <c r="G595">
        <v>20.005887999999999</v>
      </c>
      <c r="H595">
        <v>23.414221000000001</v>
      </c>
      <c r="I595" t="s">
        <v>56</v>
      </c>
      <c r="N595"/>
      <c r="O595"/>
      <c r="P595" s="1">
        <f t="shared" si="58"/>
        <v>132.80806199186992</v>
      </c>
      <c r="Q595" s="1">
        <f t="shared" si="59"/>
        <v>138.91954878048779</v>
      </c>
      <c r="R595" s="1">
        <f t="shared" si="60"/>
        <v>145.2196726827776</v>
      </c>
      <c r="S595" s="1">
        <f t="shared" si="61"/>
        <v>85.355350859247139</v>
      </c>
    </row>
    <row r="596" spans="1:19" x14ac:dyDescent="0.3">
      <c r="A596">
        <v>15659.2</v>
      </c>
      <c r="B596">
        <v>129.887092</v>
      </c>
      <c r="C596">
        <v>135.91211899999999</v>
      </c>
      <c r="D596">
        <v>141.602158</v>
      </c>
      <c r="E596">
        <v>82.734277000000006</v>
      </c>
      <c r="F596">
        <v>51.910227999999996</v>
      </c>
      <c r="G596">
        <v>20.020716</v>
      </c>
      <c r="H596">
        <v>23.3843</v>
      </c>
      <c r="I596"/>
      <c r="N596"/>
      <c r="O596"/>
      <c r="P596" s="1">
        <f t="shared" si="58"/>
        <v>132.7913089430894</v>
      </c>
      <c r="Q596" s="1">
        <f t="shared" si="59"/>
        <v>138.93314227642276</v>
      </c>
      <c r="R596" s="1">
        <f t="shared" si="60"/>
        <v>145.19360150912615</v>
      </c>
      <c r="S596" s="1">
        <f t="shared" si="61"/>
        <v>85.337146072013098</v>
      </c>
    </row>
    <row r="597" spans="1:19" x14ac:dyDescent="0.3">
      <c r="A597">
        <v>15659.4</v>
      </c>
      <c r="B597">
        <v>129.887092</v>
      </c>
      <c r="C597">
        <v>135.91211899999999</v>
      </c>
      <c r="D597">
        <v>141.602158</v>
      </c>
      <c r="E597">
        <v>82.734277000000006</v>
      </c>
      <c r="F597">
        <v>51.910227999999996</v>
      </c>
      <c r="G597">
        <v>20.020716</v>
      </c>
      <c r="H597">
        <v>23.3843</v>
      </c>
      <c r="I597"/>
      <c r="N597"/>
      <c r="O597"/>
      <c r="P597" s="1">
        <f t="shared" si="58"/>
        <v>132.7913089430894</v>
      </c>
      <c r="Q597" s="1">
        <f t="shared" si="59"/>
        <v>138.93314227642276</v>
      </c>
      <c r="R597" s="1">
        <f t="shared" si="60"/>
        <v>145.19360150912615</v>
      </c>
      <c r="S597" s="1">
        <f t="shared" si="61"/>
        <v>85.337146072013098</v>
      </c>
    </row>
    <row r="598" spans="1:19" x14ac:dyDescent="0.3">
      <c r="A598">
        <v>15659.6</v>
      </c>
      <c r="B598">
        <v>129.91047499999999</v>
      </c>
      <c r="C598">
        <v>135.91868099999999</v>
      </c>
      <c r="D598">
        <v>141.60638800000001</v>
      </c>
      <c r="E598">
        <v>82.742631000000003</v>
      </c>
      <c r="F598">
        <v>52.143700000000003</v>
      </c>
      <c r="G598">
        <v>19.986447999999999</v>
      </c>
      <c r="H598">
        <v>23.385850000000001</v>
      </c>
      <c r="I598"/>
      <c r="N598"/>
      <c r="O598"/>
      <c r="P598" s="1">
        <f t="shared" si="58"/>
        <v>132.80107317073171</v>
      </c>
      <c r="Q598" s="1">
        <f t="shared" si="59"/>
        <v>138.90284552845529</v>
      </c>
      <c r="R598" s="1">
        <f t="shared" si="60"/>
        <v>145.21996023248698</v>
      </c>
      <c r="S598" s="1">
        <f t="shared" si="61"/>
        <v>85.371681669394434</v>
      </c>
    </row>
    <row r="599" spans="1:19" x14ac:dyDescent="0.3">
      <c r="A599">
        <v>15659.8</v>
      </c>
      <c r="B599">
        <v>129.91047499999999</v>
      </c>
      <c r="C599">
        <v>135.91868099999999</v>
      </c>
      <c r="D599">
        <v>141.60638800000001</v>
      </c>
      <c r="E599">
        <v>82.742631000000003</v>
      </c>
      <c r="F599">
        <v>52.143700000000003</v>
      </c>
      <c r="G599">
        <v>19.986447999999999</v>
      </c>
      <c r="H599">
        <v>23.385850000000001</v>
      </c>
      <c r="I599"/>
      <c r="N599"/>
      <c r="O599"/>
      <c r="P599" s="1">
        <f t="shared" si="58"/>
        <v>132.80107317073171</v>
      </c>
      <c r="Q599" s="1">
        <f t="shared" si="59"/>
        <v>138.90284552845529</v>
      </c>
      <c r="R599" s="1">
        <f t="shared" si="60"/>
        <v>145.21996023248698</v>
      </c>
      <c r="S599" s="1">
        <f t="shared" si="61"/>
        <v>85.371681669394434</v>
      </c>
    </row>
    <row r="600" spans="1:19" x14ac:dyDescent="0.3">
      <c r="A600">
        <v>15660</v>
      </c>
      <c r="B600">
        <v>129.919059</v>
      </c>
      <c r="C600">
        <v>135.89364599999999</v>
      </c>
      <c r="D600">
        <v>141.59809100000001</v>
      </c>
      <c r="E600">
        <v>82.757465999999994</v>
      </c>
      <c r="F600">
        <v>52.132688000000002</v>
      </c>
      <c r="G600">
        <v>19.999324999999999</v>
      </c>
      <c r="H600">
        <v>23.383551000000001</v>
      </c>
      <c r="I600" t="s">
        <v>56</v>
      </c>
      <c r="N600"/>
      <c r="O600"/>
      <c r="P600" s="1">
        <f t="shared" si="58"/>
        <v>132.78540650406501</v>
      </c>
      <c r="Q600" s="1">
        <f t="shared" si="59"/>
        <v>138.92177947154471</v>
      </c>
      <c r="R600" s="1">
        <f t="shared" si="60"/>
        <v>145.20017844396861</v>
      </c>
      <c r="S600" s="1">
        <f t="shared" si="61"/>
        <v>85.399482405891987</v>
      </c>
    </row>
    <row r="601" spans="1:19" x14ac:dyDescent="0.3">
      <c r="A601">
        <v>15660.2</v>
      </c>
      <c r="B601">
        <v>129.919059</v>
      </c>
      <c r="C601">
        <v>135.89364599999999</v>
      </c>
      <c r="D601">
        <v>141.59809100000001</v>
      </c>
      <c r="E601">
        <v>82.757465999999994</v>
      </c>
      <c r="F601">
        <v>52.132688000000002</v>
      </c>
      <c r="G601">
        <v>19.999324999999999</v>
      </c>
      <c r="H601">
        <v>23.383551000000001</v>
      </c>
      <c r="I601"/>
      <c r="N601"/>
      <c r="O601"/>
      <c r="P601" s="1">
        <f t="shared" si="58"/>
        <v>132.78540650406501</v>
      </c>
      <c r="Q601" s="1">
        <f t="shared" si="59"/>
        <v>138.92177947154471</v>
      </c>
      <c r="R601" s="1">
        <f t="shared" si="60"/>
        <v>145.20017844396861</v>
      </c>
      <c r="S601" s="1">
        <f t="shared" si="61"/>
        <v>85.399482405891987</v>
      </c>
    </row>
    <row r="602" spans="1:19" x14ac:dyDescent="0.3">
      <c r="A602">
        <v>15660.4</v>
      </c>
      <c r="B602">
        <v>129.90685199999999</v>
      </c>
      <c r="C602">
        <v>135.91155599999999</v>
      </c>
      <c r="D602">
        <v>141.60530299999999</v>
      </c>
      <c r="E602">
        <v>82.718714000000006</v>
      </c>
      <c r="F602">
        <v>52.124766000000001</v>
      </c>
      <c r="G602">
        <v>19.991350000000001</v>
      </c>
      <c r="H602">
        <v>23.406113000000001</v>
      </c>
      <c r="I602"/>
      <c r="N602"/>
      <c r="O602"/>
      <c r="P602" s="1">
        <f t="shared" si="58"/>
        <v>132.77179674796747</v>
      </c>
      <c r="Q602" s="1">
        <f t="shared" si="59"/>
        <v>138.92838617886176</v>
      </c>
      <c r="R602" s="1">
        <f t="shared" si="60"/>
        <v>145.21647394718059</v>
      </c>
      <c r="S602" s="1">
        <f t="shared" si="61"/>
        <v>85.368296849427168</v>
      </c>
    </row>
    <row r="603" spans="1:19" x14ac:dyDescent="0.3">
      <c r="A603">
        <v>15660.6</v>
      </c>
      <c r="B603">
        <v>129.90685199999999</v>
      </c>
      <c r="C603">
        <v>135.91155599999999</v>
      </c>
      <c r="D603">
        <v>141.60530299999999</v>
      </c>
      <c r="E603">
        <v>82.718714000000006</v>
      </c>
      <c r="F603">
        <v>52.124766000000001</v>
      </c>
      <c r="G603">
        <v>19.991350000000001</v>
      </c>
      <c r="H603">
        <v>23.406113000000001</v>
      </c>
      <c r="I603"/>
      <c r="N603"/>
      <c r="O603"/>
      <c r="P603" s="1">
        <f t="shared" si="58"/>
        <v>132.77179674796747</v>
      </c>
      <c r="Q603" s="1">
        <f t="shared" si="59"/>
        <v>138.92838617886176</v>
      </c>
      <c r="R603" s="1">
        <f t="shared" si="60"/>
        <v>145.21647394718059</v>
      </c>
      <c r="S603" s="1">
        <f t="shared" si="61"/>
        <v>85.368296849427168</v>
      </c>
    </row>
    <row r="604" spans="1:19" x14ac:dyDescent="0.3">
      <c r="A604">
        <v>15660.8</v>
      </c>
      <c r="B604">
        <v>129.93172100000001</v>
      </c>
      <c r="C604">
        <v>135.93029300000001</v>
      </c>
      <c r="D604">
        <v>141.609633</v>
      </c>
      <c r="E604">
        <v>82.689278999999999</v>
      </c>
      <c r="F604">
        <v>51.166809000000001</v>
      </c>
      <c r="G604">
        <v>20.010950000000001</v>
      </c>
      <c r="H604">
        <v>23.392776000000001</v>
      </c>
      <c r="I604"/>
      <c r="N604"/>
      <c r="O604"/>
      <c r="P604" s="1">
        <f t="shared" si="58"/>
        <v>132.8019512195122</v>
      </c>
      <c r="Q604" s="1">
        <f t="shared" si="59"/>
        <v>138.92331402439024</v>
      </c>
      <c r="R604" s="1">
        <f t="shared" si="60"/>
        <v>145.20171408177833</v>
      </c>
      <c r="S604" s="1">
        <f t="shared" si="61"/>
        <v>85.377584901800319</v>
      </c>
    </row>
    <row r="605" spans="1:19" x14ac:dyDescent="0.3">
      <c r="A605">
        <v>15661</v>
      </c>
      <c r="B605">
        <v>129.93172100000001</v>
      </c>
      <c r="C605">
        <v>135.93029300000001</v>
      </c>
      <c r="D605">
        <v>141.609633</v>
      </c>
      <c r="E605">
        <v>82.689278999999999</v>
      </c>
      <c r="F605">
        <v>51.166809000000001</v>
      </c>
      <c r="G605">
        <v>20.010950000000001</v>
      </c>
      <c r="H605">
        <v>23.392776000000001</v>
      </c>
      <c r="I605" t="s">
        <v>56</v>
      </c>
      <c r="N605"/>
      <c r="O605"/>
      <c r="P605" s="1">
        <f t="shared" si="58"/>
        <v>132.8019512195122</v>
      </c>
      <c r="Q605" s="1">
        <f t="shared" si="59"/>
        <v>138.92331402439024</v>
      </c>
      <c r="R605" s="1">
        <f t="shared" si="60"/>
        <v>145.20171408177833</v>
      </c>
      <c r="S605" s="1">
        <f t="shared" si="61"/>
        <v>85.377584901800319</v>
      </c>
    </row>
    <row r="606" spans="1:19" x14ac:dyDescent="0.3">
      <c r="A606">
        <v>15661.2</v>
      </c>
      <c r="B606">
        <v>129.941484</v>
      </c>
      <c r="C606">
        <v>135.93035800000001</v>
      </c>
      <c r="D606">
        <v>141.61456200000001</v>
      </c>
      <c r="E606">
        <v>82.709293000000002</v>
      </c>
      <c r="F606">
        <v>50.536065999999998</v>
      </c>
      <c r="G606">
        <v>20.025158000000001</v>
      </c>
      <c r="H606">
        <v>23.387784</v>
      </c>
      <c r="I606"/>
      <c r="N606"/>
      <c r="O606"/>
      <c r="P606" s="1">
        <f t="shared" si="58"/>
        <v>132.7945457317073</v>
      </c>
      <c r="Q606" s="1">
        <f t="shared" si="59"/>
        <v>138.92271036585365</v>
      </c>
      <c r="R606" s="1">
        <f t="shared" si="60"/>
        <v>145.20677781176713</v>
      </c>
      <c r="S606" s="1">
        <f t="shared" si="61"/>
        <v>85.477205400982001</v>
      </c>
    </row>
    <row r="607" spans="1:19" x14ac:dyDescent="0.3">
      <c r="A607">
        <v>15661.4</v>
      </c>
      <c r="B607">
        <v>129.941484</v>
      </c>
      <c r="C607">
        <v>135.93035800000001</v>
      </c>
      <c r="D607">
        <v>141.61456200000001</v>
      </c>
      <c r="E607">
        <v>82.709293000000002</v>
      </c>
      <c r="F607">
        <v>50.536065999999998</v>
      </c>
      <c r="G607">
        <v>20.025158000000001</v>
      </c>
      <c r="H607">
        <v>23.387784</v>
      </c>
      <c r="I607"/>
      <c r="N607"/>
      <c r="O607"/>
      <c r="P607" s="1">
        <f t="shared" si="58"/>
        <v>132.7945457317073</v>
      </c>
      <c r="Q607" s="1">
        <f t="shared" si="59"/>
        <v>138.92271036585365</v>
      </c>
      <c r="R607" s="1">
        <f t="shared" si="60"/>
        <v>145.20677781176713</v>
      </c>
      <c r="S607" s="1">
        <f t="shared" si="61"/>
        <v>85.477205400982001</v>
      </c>
    </row>
    <row r="608" spans="1:19" x14ac:dyDescent="0.3">
      <c r="A608">
        <v>15661.6</v>
      </c>
      <c r="B608">
        <v>129.90823399999999</v>
      </c>
      <c r="C608">
        <v>135.92850200000001</v>
      </c>
      <c r="D608">
        <v>141.61688000000001</v>
      </c>
      <c r="E608">
        <v>82.664236000000002</v>
      </c>
      <c r="F608">
        <v>49.989451000000003</v>
      </c>
      <c r="G608">
        <v>20.011029000000001</v>
      </c>
      <c r="H608">
        <v>23.396402999999999</v>
      </c>
      <c r="I608"/>
      <c r="N608"/>
      <c r="O608"/>
      <c r="P608" s="1">
        <f t="shared" si="58"/>
        <v>132.77525203252031</v>
      </c>
      <c r="Q608" s="1">
        <f t="shared" si="59"/>
        <v>138.91251321138211</v>
      </c>
      <c r="R608" s="1">
        <f t="shared" si="60"/>
        <v>145.22042520648517</v>
      </c>
      <c r="S608" s="1">
        <f t="shared" si="61"/>
        <v>85.546865793780682</v>
      </c>
    </row>
    <row r="609" spans="1:19" x14ac:dyDescent="0.3">
      <c r="A609">
        <v>15661.8</v>
      </c>
      <c r="B609">
        <v>129.90823399999999</v>
      </c>
      <c r="C609">
        <v>135.92850200000001</v>
      </c>
      <c r="D609">
        <v>141.61688000000001</v>
      </c>
      <c r="E609">
        <v>82.664236000000002</v>
      </c>
      <c r="F609">
        <v>49.989451000000003</v>
      </c>
      <c r="G609">
        <v>20.011029000000001</v>
      </c>
      <c r="H609">
        <v>23.396402999999999</v>
      </c>
      <c r="I609"/>
      <c r="N609"/>
      <c r="O609"/>
      <c r="P609" s="1">
        <f t="shared" si="58"/>
        <v>132.77525203252031</v>
      </c>
      <c r="Q609" s="1">
        <f t="shared" si="59"/>
        <v>138.91251321138211</v>
      </c>
      <c r="R609" s="1">
        <f t="shared" si="60"/>
        <v>145.22042520648517</v>
      </c>
      <c r="S609" s="1">
        <f t="shared" si="61"/>
        <v>85.546865793780682</v>
      </c>
    </row>
    <row r="610" spans="1:19" x14ac:dyDescent="0.3">
      <c r="A610">
        <v>15662</v>
      </c>
      <c r="B610">
        <v>129.90757600000001</v>
      </c>
      <c r="C610">
        <v>135.92180400000001</v>
      </c>
      <c r="D610">
        <v>141.61205100000001</v>
      </c>
      <c r="E610">
        <v>82.675253999999995</v>
      </c>
      <c r="F610">
        <v>50.393343000000002</v>
      </c>
      <c r="G610">
        <v>20.009277999999998</v>
      </c>
      <c r="H610">
        <v>23.41358</v>
      </c>
      <c r="I610" t="s">
        <v>56</v>
      </c>
      <c r="N610"/>
      <c r="O610"/>
      <c r="P610" s="1">
        <f t="shared" si="58"/>
        <v>132.79225304878048</v>
      </c>
      <c r="Q610" s="1">
        <f t="shared" si="59"/>
        <v>138.90695528455282</v>
      </c>
      <c r="R610" s="1">
        <f t="shared" si="60"/>
        <v>145.20447129601305</v>
      </c>
      <c r="S610" s="1">
        <f t="shared" si="61"/>
        <v>85.552243248772513</v>
      </c>
    </row>
    <row r="611" spans="1:19" x14ac:dyDescent="0.3">
      <c r="A611">
        <v>15662.2</v>
      </c>
      <c r="B611">
        <v>129.90757600000001</v>
      </c>
      <c r="C611">
        <v>135.92180400000001</v>
      </c>
      <c r="D611">
        <v>141.61205100000001</v>
      </c>
      <c r="E611">
        <v>82.675253999999995</v>
      </c>
      <c r="F611">
        <v>50.393343000000002</v>
      </c>
      <c r="G611">
        <v>20.009277999999998</v>
      </c>
      <c r="H611">
        <v>23.41358</v>
      </c>
      <c r="I611"/>
      <c r="N611"/>
      <c r="O611"/>
      <c r="P611" s="1">
        <f t="shared" si="58"/>
        <v>132.79225304878048</v>
      </c>
      <c r="Q611" s="1">
        <f t="shared" si="59"/>
        <v>138.90695528455282</v>
      </c>
      <c r="R611" s="1">
        <f t="shared" si="60"/>
        <v>145.20447129601305</v>
      </c>
      <c r="S611" s="1">
        <f t="shared" si="61"/>
        <v>85.552243248772513</v>
      </c>
    </row>
    <row r="612" spans="1:19" x14ac:dyDescent="0.3">
      <c r="A612">
        <v>15662.4</v>
      </c>
      <c r="B612">
        <v>129.91901300000001</v>
      </c>
      <c r="C612">
        <v>135.92935700000001</v>
      </c>
      <c r="D612">
        <v>141.611942</v>
      </c>
      <c r="E612">
        <v>82.704964000000004</v>
      </c>
      <c r="F612">
        <v>50.156258000000001</v>
      </c>
      <c r="G612">
        <v>20.015737000000001</v>
      </c>
      <c r="H612">
        <v>23.419546</v>
      </c>
      <c r="I612"/>
      <c r="N612"/>
      <c r="O612"/>
      <c r="P612" s="1">
        <f t="shared" si="58"/>
        <v>132.80699593495936</v>
      </c>
      <c r="Q612" s="1">
        <f t="shared" si="59"/>
        <v>138.90832926829268</v>
      </c>
      <c r="R612" s="1">
        <f t="shared" si="60"/>
        <v>145.21175079025187</v>
      </c>
      <c r="S612" s="1">
        <f t="shared" si="61"/>
        <v>85.58797565466449</v>
      </c>
    </row>
    <row r="613" spans="1:19" x14ac:dyDescent="0.3">
      <c r="A613">
        <v>15662.6</v>
      </c>
      <c r="B613">
        <v>129.91901300000001</v>
      </c>
      <c r="C613">
        <v>135.92935700000001</v>
      </c>
      <c r="D613">
        <v>141.611942</v>
      </c>
      <c r="E613">
        <v>82.704964000000004</v>
      </c>
      <c r="F613">
        <v>50.156258000000001</v>
      </c>
      <c r="G613">
        <v>20.015737000000001</v>
      </c>
      <c r="H613">
        <v>23.419546</v>
      </c>
      <c r="I613"/>
      <c r="N613"/>
      <c r="O613"/>
      <c r="P613" s="1">
        <f t="shared" si="58"/>
        <v>132.80699593495936</v>
      </c>
      <c r="Q613" s="1">
        <f t="shared" si="59"/>
        <v>138.90832926829268</v>
      </c>
      <c r="R613" s="1">
        <f t="shared" si="60"/>
        <v>145.21175079025187</v>
      </c>
      <c r="S613" s="1">
        <f t="shared" si="61"/>
        <v>85.58797565466449</v>
      </c>
    </row>
    <row r="614" spans="1:19" x14ac:dyDescent="0.3">
      <c r="A614">
        <v>15662.8</v>
      </c>
      <c r="B614">
        <v>129.89675099999999</v>
      </c>
      <c r="C614">
        <v>135.931816</v>
      </c>
      <c r="D614">
        <v>141.628524</v>
      </c>
      <c r="E614">
        <v>82.715632999999997</v>
      </c>
      <c r="F614">
        <v>50.580458999999998</v>
      </c>
      <c r="G614">
        <v>20.022590000000001</v>
      </c>
      <c r="H614">
        <v>23.414315999999999</v>
      </c>
      <c r="I614"/>
      <c r="N614"/>
      <c r="O614"/>
      <c r="P614" s="1">
        <f t="shared" si="58"/>
        <v>132.79836585365851</v>
      </c>
      <c r="Q614" s="1">
        <f t="shared" si="59"/>
        <v>138.9213607723577</v>
      </c>
      <c r="R614" s="1">
        <f t="shared" si="60"/>
        <v>145.21510961558073</v>
      </c>
      <c r="S614" s="1">
        <f t="shared" si="61"/>
        <v>85.574956014729949</v>
      </c>
    </row>
    <row r="615" spans="1:19" x14ac:dyDescent="0.3">
      <c r="A615">
        <v>15663</v>
      </c>
      <c r="B615">
        <v>129.89675099999999</v>
      </c>
      <c r="C615">
        <v>135.931816</v>
      </c>
      <c r="D615">
        <v>141.628524</v>
      </c>
      <c r="E615">
        <v>82.715632999999997</v>
      </c>
      <c r="F615">
        <v>50.580458999999998</v>
      </c>
      <c r="G615">
        <v>20.022590000000001</v>
      </c>
      <c r="H615">
        <v>23.414315999999999</v>
      </c>
      <c r="I615" t="s">
        <v>56</v>
      </c>
      <c r="N615"/>
      <c r="O615"/>
      <c r="P615" s="1">
        <f t="shared" si="58"/>
        <v>132.79836585365851</v>
      </c>
      <c r="Q615" s="1">
        <f t="shared" si="59"/>
        <v>138.9213607723577</v>
      </c>
      <c r="R615" s="1">
        <f t="shared" si="60"/>
        <v>145.21510961558073</v>
      </c>
      <c r="S615" s="1">
        <f t="shared" si="61"/>
        <v>85.574956014729949</v>
      </c>
    </row>
    <row r="616" spans="1:19" x14ac:dyDescent="0.3">
      <c r="A616">
        <v>15663.2</v>
      </c>
      <c r="B616">
        <v>129.91717499999999</v>
      </c>
      <c r="C616">
        <v>135.95397800000001</v>
      </c>
      <c r="D616">
        <v>141.62191000000001</v>
      </c>
      <c r="E616">
        <v>82.664620999999997</v>
      </c>
      <c r="F616">
        <v>50.462103999999997</v>
      </c>
      <c r="G616">
        <v>19.999419</v>
      </c>
      <c r="H616">
        <v>23.405643000000001</v>
      </c>
      <c r="I616"/>
      <c r="N616"/>
      <c r="O616"/>
      <c r="P616" s="1">
        <f t="shared" si="58"/>
        <v>132.82212906504063</v>
      </c>
      <c r="Q616" s="1">
        <f t="shared" si="59"/>
        <v>138.9280294715447</v>
      </c>
      <c r="R616" s="1">
        <f t="shared" si="60"/>
        <v>145.2194228612216</v>
      </c>
      <c r="S616" s="1">
        <f t="shared" si="61"/>
        <v>85.583501432078563</v>
      </c>
    </row>
    <row r="617" spans="1:19" x14ac:dyDescent="0.3">
      <c r="A617">
        <v>15663.4</v>
      </c>
      <c r="B617">
        <v>129.91717499999999</v>
      </c>
      <c r="C617">
        <v>135.95397800000001</v>
      </c>
      <c r="D617">
        <v>141.62191000000001</v>
      </c>
      <c r="E617">
        <v>82.664620999999997</v>
      </c>
      <c r="F617">
        <v>50.462103999999997</v>
      </c>
      <c r="G617">
        <v>19.999419</v>
      </c>
      <c r="H617">
        <v>23.405643000000001</v>
      </c>
      <c r="I617"/>
      <c r="N617"/>
      <c r="O617"/>
      <c r="P617" s="1">
        <f t="shared" si="58"/>
        <v>132.82212906504063</v>
      </c>
      <c r="Q617" s="1">
        <f t="shared" si="59"/>
        <v>138.9280294715447</v>
      </c>
      <c r="R617" s="1">
        <f t="shared" si="60"/>
        <v>145.2194228612216</v>
      </c>
      <c r="S617" s="1">
        <f t="shared" si="61"/>
        <v>85.583501432078563</v>
      </c>
    </row>
    <row r="618" spans="1:19" x14ac:dyDescent="0.3">
      <c r="A618">
        <v>15663.6</v>
      </c>
      <c r="B618">
        <v>129.90337199999999</v>
      </c>
      <c r="C618">
        <v>135.918273</v>
      </c>
      <c r="D618">
        <v>141.601349</v>
      </c>
      <c r="E618">
        <v>82.676777000000001</v>
      </c>
      <c r="F618">
        <v>50.449469999999998</v>
      </c>
      <c r="G618">
        <v>19.992170999999999</v>
      </c>
      <c r="H618">
        <v>23.407167999999999</v>
      </c>
      <c r="I618"/>
      <c r="N618"/>
      <c r="O618"/>
      <c r="P618" s="1">
        <f t="shared" si="58"/>
        <v>132.83085264227643</v>
      </c>
      <c r="Q618" s="1">
        <f t="shared" si="59"/>
        <v>138.90258739837395</v>
      </c>
      <c r="R618" s="1">
        <f t="shared" si="60"/>
        <v>145.21096257775062</v>
      </c>
      <c r="S618" s="1">
        <f t="shared" si="61"/>
        <v>85.598676350245498</v>
      </c>
    </row>
    <row r="619" spans="1:19" x14ac:dyDescent="0.3">
      <c r="A619">
        <v>15663.8</v>
      </c>
      <c r="B619">
        <v>129.90337199999999</v>
      </c>
      <c r="C619">
        <v>135.918273</v>
      </c>
      <c r="D619">
        <v>141.601349</v>
      </c>
      <c r="E619">
        <v>82.676777000000001</v>
      </c>
      <c r="F619">
        <v>50.449469999999998</v>
      </c>
      <c r="G619">
        <v>19.992170999999999</v>
      </c>
      <c r="H619">
        <v>23.407167999999999</v>
      </c>
      <c r="I619"/>
      <c r="N619"/>
      <c r="O619"/>
      <c r="P619" s="1">
        <f t="shared" si="58"/>
        <v>132.83085264227643</v>
      </c>
      <c r="Q619" s="1">
        <f t="shared" si="59"/>
        <v>138.90258739837395</v>
      </c>
      <c r="R619" s="1">
        <f t="shared" si="60"/>
        <v>145.21096257775062</v>
      </c>
      <c r="S619" s="1">
        <f t="shared" si="61"/>
        <v>85.598676350245498</v>
      </c>
    </row>
    <row r="620" spans="1:19" x14ac:dyDescent="0.3">
      <c r="A620">
        <v>15664</v>
      </c>
      <c r="B620">
        <v>129.906904</v>
      </c>
      <c r="C620">
        <v>135.93552399999999</v>
      </c>
      <c r="D620">
        <v>141.62481</v>
      </c>
      <c r="E620">
        <v>82.696346000000005</v>
      </c>
      <c r="F620">
        <v>50.976120999999999</v>
      </c>
      <c r="G620">
        <v>20.008445999999999</v>
      </c>
      <c r="H620">
        <v>23.381765000000001</v>
      </c>
      <c r="I620" t="s">
        <v>56</v>
      </c>
      <c r="N620"/>
      <c r="O620"/>
      <c r="P620" s="1">
        <f t="shared" ref="P620:P683" si="62">(B602+Q$36)/P$36</f>
        <v>132.81844715447153</v>
      </c>
      <c r="Q620" s="1">
        <f t="shared" ref="Q620:Q683" si="63">(C602+Q$36)/P$36</f>
        <v>138.92078861788616</v>
      </c>
      <c r="R620" s="1">
        <f t="shared" ref="R620:R683" si="64">(D602+Q$38)/P$38</f>
        <v>145.21831650861628</v>
      </c>
      <c r="S620" s="1">
        <f t="shared" ref="S620:S683" si="65">(E602+Q$39)/P$39</f>
        <v>85.559036415711958</v>
      </c>
    </row>
    <row r="621" spans="1:19" x14ac:dyDescent="0.3">
      <c r="A621">
        <v>15664.2</v>
      </c>
      <c r="B621">
        <v>129.906904</v>
      </c>
      <c r="C621">
        <v>135.93552399999999</v>
      </c>
      <c r="D621">
        <v>141.62481</v>
      </c>
      <c r="E621">
        <v>82.696346000000005</v>
      </c>
      <c r="F621">
        <v>50.976120999999999</v>
      </c>
      <c r="G621">
        <v>20.008445999999999</v>
      </c>
      <c r="H621">
        <v>23.381765000000001</v>
      </c>
      <c r="I621"/>
      <c r="N621"/>
      <c r="O621"/>
      <c r="P621" s="1">
        <f t="shared" si="62"/>
        <v>132.81844715447153</v>
      </c>
      <c r="Q621" s="1">
        <f t="shared" si="63"/>
        <v>138.92078861788616</v>
      </c>
      <c r="R621" s="1">
        <f t="shared" si="64"/>
        <v>145.21831650861628</v>
      </c>
      <c r="S621" s="1">
        <f t="shared" si="65"/>
        <v>85.559036415711958</v>
      </c>
    </row>
    <row r="622" spans="1:19" x14ac:dyDescent="0.3">
      <c r="A622">
        <v>15664.4</v>
      </c>
      <c r="B622">
        <v>129.908635</v>
      </c>
      <c r="C622">
        <v>135.947945</v>
      </c>
      <c r="D622">
        <v>141.617513</v>
      </c>
      <c r="E622">
        <v>82.674487999999997</v>
      </c>
      <c r="F622">
        <v>51.706978999999997</v>
      </c>
      <c r="G622">
        <v>20.020665999999999</v>
      </c>
      <c r="H622">
        <v>23.405301999999999</v>
      </c>
      <c r="I622"/>
      <c r="N622"/>
      <c r="O622"/>
      <c r="P622" s="1">
        <f t="shared" si="62"/>
        <v>132.84372052845529</v>
      </c>
      <c r="Q622" s="1">
        <f t="shared" si="63"/>
        <v>138.93983028455284</v>
      </c>
      <c r="R622" s="1">
        <f t="shared" si="64"/>
        <v>145.22273172223922</v>
      </c>
      <c r="S622" s="1">
        <f t="shared" si="65"/>
        <v>85.528926963993456</v>
      </c>
    </row>
    <row r="623" spans="1:19" x14ac:dyDescent="0.3">
      <c r="A623">
        <v>15664.6</v>
      </c>
      <c r="B623">
        <v>129.908635</v>
      </c>
      <c r="C623">
        <v>135.947945</v>
      </c>
      <c r="D623">
        <v>141.617513</v>
      </c>
      <c r="E623">
        <v>82.674487999999997</v>
      </c>
      <c r="F623">
        <v>51.706978999999997</v>
      </c>
      <c r="G623">
        <v>20.020665999999999</v>
      </c>
      <c r="H623">
        <v>23.405301999999999</v>
      </c>
      <c r="I623"/>
      <c r="N623"/>
      <c r="O623"/>
      <c r="P623" s="1">
        <f t="shared" si="62"/>
        <v>132.84372052845529</v>
      </c>
      <c r="Q623" s="1">
        <f t="shared" si="63"/>
        <v>138.93983028455284</v>
      </c>
      <c r="R623" s="1">
        <f t="shared" si="64"/>
        <v>145.22273172223922</v>
      </c>
      <c r="S623" s="1">
        <f t="shared" si="65"/>
        <v>85.528926963993456</v>
      </c>
    </row>
    <row r="624" spans="1:19" x14ac:dyDescent="0.3">
      <c r="A624">
        <v>15664.8</v>
      </c>
      <c r="B624">
        <v>129.920177</v>
      </c>
      <c r="C624">
        <v>135.93052700000001</v>
      </c>
      <c r="D624">
        <v>141.62237400000001</v>
      </c>
      <c r="E624">
        <v>82.608801999999997</v>
      </c>
      <c r="F624">
        <v>51.468505999999998</v>
      </c>
      <c r="G624">
        <v>19.999434000000001</v>
      </c>
      <c r="H624">
        <v>23.386261000000001</v>
      </c>
      <c r="I624"/>
      <c r="N624"/>
      <c r="O624"/>
      <c r="P624" s="1">
        <f t="shared" si="62"/>
        <v>132.85364227642276</v>
      </c>
      <c r="Q624" s="1">
        <f t="shared" si="63"/>
        <v>138.93989634146342</v>
      </c>
      <c r="R624" s="1">
        <f t="shared" si="64"/>
        <v>145.22775772407465</v>
      </c>
      <c r="S624" s="1">
        <f t="shared" si="65"/>
        <v>85.549399549918164</v>
      </c>
    </row>
    <row r="625" spans="1:19" x14ac:dyDescent="0.3">
      <c r="A625">
        <v>16665</v>
      </c>
      <c r="B625">
        <v>139.08663799999999</v>
      </c>
      <c r="C625">
        <v>145.877409</v>
      </c>
      <c r="D625">
        <v>152.20658299999999</v>
      </c>
      <c r="E625">
        <v>85.723389999999995</v>
      </c>
      <c r="F625">
        <v>52.894781999999999</v>
      </c>
      <c r="G625">
        <v>20.018847000000001</v>
      </c>
      <c r="H625">
        <v>23.839569999999998</v>
      </c>
      <c r="I625" t="s">
        <v>56</v>
      </c>
      <c r="N625"/>
      <c r="O625"/>
      <c r="P625" s="1">
        <f t="shared" si="62"/>
        <v>132.85364227642276</v>
      </c>
      <c r="Q625" s="1">
        <f t="shared" si="63"/>
        <v>138.93989634146342</v>
      </c>
      <c r="R625" s="1">
        <f t="shared" si="64"/>
        <v>145.22775772407465</v>
      </c>
      <c r="S625" s="1">
        <f t="shared" si="65"/>
        <v>85.549399549918164</v>
      </c>
    </row>
    <row r="626" spans="1:19" x14ac:dyDescent="0.3">
      <c r="A626">
        <v>16665.2</v>
      </c>
      <c r="B626">
        <v>139.052153</v>
      </c>
      <c r="C626">
        <v>145.88846699999999</v>
      </c>
      <c r="D626">
        <v>152.217377</v>
      </c>
      <c r="E626">
        <v>85.719665000000006</v>
      </c>
      <c r="F626">
        <v>52.192852999999999</v>
      </c>
      <c r="G626">
        <v>20.026198999999998</v>
      </c>
      <c r="H626">
        <v>23.810486000000001</v>
      </c>
      <c r="I626"/>
      <c r="N626"/>
      <c r="O626"/>
      <c r="P626" s="1">
        <f t="shared" si="62"/>
        <v>132.81985162601623</v>
      </c>
      <c r="Q626" s="1">
        <f t="shared" si="63"/>
        <v>138.93801016260161</v>
      </c>
      <c r="R626" s="1">
        <f t="shared" si="64"/>
        <v>145.23012134189867</v>
      </c>
      <c r="S626" s="1">
        <f t="shared" si="65"/>
        <v>85.503310147299516</v>
      </c>
    </row>
    <row r="627" spans="1:19" x14ac:dyDescent="0.3">
      <c r="A627">
        <v>16665.400000000001</v>
      </c>
      <c r="B627">
        <v>139.052153</v>
      </c>
      <c r="C627">
        <v>145.88846699999999</v>
      </c>
      <c r="D627">
        <v>152.217377</v>
      </c>
      <c r="E627">
        <v>85.719665000000006</v>
      </c>
      <c r="F627">
        <v>52.192852999999999</v>
      </c>
      <c r="G627">
        <v>20.026198999999998</v>
      </c>
      <c r="H627">
        <v>23.810486000000001</v>
      </c>
      <c r="I627"/>
      <c r="N627"/>
      <c r="O627"/>
      <c r="P627" s="1">
        <f t="shared" si="62"/>
        <v>132.81985162601623</v>
      </c>
      <c r="Q627" s="1">
        <f t="shared" si="63"/>
        <v>138.93801016260161</v>
      </c>
      <c r="R627" s="1">
        <f t="shared" si="64"/>
        <v>145.23012134189867</v>
      </c>
      <c r="S627" s="1">
        <f t="shared" si="65"/>
        <v>85.503310147299516</v>
      </c>
    </row>
    <row r="628" spans="1:19" x14ac:dyDescent="0.3">
      <c r="A628">
        <v>16665.599999999999</v>
      </c>
      <c r="B628">
        <v>139.05673100000001</v>
      </c>
      <c r="C628">
        <v>145.86717100000001</v>
      </c>
      <c r="D628">
        <v>152.21870999999999</v>
      </c>
      <c r="E628">
        <v>85.702555000000004</v>
      </c>
      <c r="F628">
        <v>52.118169999999999</v>
      </c>
      <c r="G628">
        <v>20.025753000000002</v>
      </c>
      <c r="H628">
        <v>23.824936999999998</v>
      </c>
      <c r="I628"/>
      <c r="N628"/>
      <c r="O628"/>
      <c r="P628" s="1">
        <f t="shared" si="62"/>
        <v>132.81918292682926</v>
      </c>
      <c r="Q628" s="1">
        <f t="shared" si="63"/>
        <v>138.93120325203253</v>
      </c>
      <c r="R628" s="1">
        <f t="shared" si="64"/>
        <v>145.2251973080453</v>
      </c>
      <c r="S628" s="1">
        <f t="shared" si="65"/>
        <v>85.514580605564646</v>
      </c>
    </row>
    <row r="629" spans="1:19" x14ac:dyDescent="0.3">
      <c r="A629">
        <v>16665.8</v>
      </c>
      <c r="B629">
        <v>139.05673100000001</v>
      </c>
      <c r="C629">
        <v>145.86717100000001</v>
      </c>
      <c r="D629">
        <v>152.21870999999999</v>
      </c>
      <c r="E629">
        <v>85.702555000000004</v>
      </c>
      <c r="F629">
        <v>52.118169999999999</v>
      </c>
      <c r="G629">
        <v>20.025753000000002</v>
      </c>
      <c r="H629">
        <v>23.824936999999998</v>
      </c>
      <c r="I629"/>
      <c r="N629"/>
      <c r="O629"/>
      <c r="P629" s="1">
        <f t="shared" si="62"/>
        <v>132.81918292682926</v>
      </c>
      <c r="Q629" s="1">
        <f t="shared" si="63"/>
        <v>138.93120325203253</v>
      </c>
      <c r="R629" s="1">
        <f t="shared" si="64"/>
        <v>145.2251973080453</v>
      </c>
      <c r="S629" s="1">
        <f t="shared" si="65"/>
        <v>85.514580605564646</v>
      </c>
    </row>
    <row r="630" spans="1:19" x14ac:dyDescent="0.3">
      <c r="A630">
        <v>16666</v>
      </c>
      <c r="B630">
        <v>139.066193</v>
      </c>
      <c r="C630">
        <v>145.882285</v>
      </c>
      <c r="D630">
        <v>152.218658</v>
      </c>
      <c r="E630">
        <v>85.700036999999995</v>
      </c>
      <c r="F630">
        <v>52.064971</v>
      </c>
      <c r="G630">
        <v>20.006129000000001</v>
      </c>
      <c r="H630">
        <v>23.807506</v>
      </c>
      <c r="I630" t="s">
        <v>56</v>
      </c>
      <c r="N630"/>
      <c r="O630"/>
      <c r="P630" s="1">
        <f t="shared" si="62"/>
        <v>132.83080589430895</v>
      </c>
      <c r="Q630" s="1">
        <f t="shared" si="63"/>
        <v>138.93887906504065</v>
      </c>
      <c r="R630" s="1">
        <f t="shared" si="64"/>
        <v>145.22508616294485</v>
      </c>
      <c r="S630" s="1">
        <f t="shared" si="65"/>
        <v>85.544971358428811</v>
      </c>
    </row>
    <row r="631" spans="1:19" x14ac:dyDescent="0.3">
      <c r="A631">
        <v>16666.2</v>
      </c>
      <c r="B631">
        <v>139.066193</v>
      </c>
      <c r="C631">
        <v>145.882285</v>
      </c>
      <c r="D631">
        <v>152.218658</v>
      </c>
      <c r="E631">
        <v>85.700036999999995</v>
      </c>
      <c r="F631">
        <v>52.064971</v>
      </c>
      <c r="G631">
        <v>20.006129000000001</v>
      </c>
      <c r="H631">
        <v>23.807506</v>
      </c>
      <c r="I631"/>
      <c r="N631"/>
      <c r="O631"/>
      <c r="P631" s="1">
        <f t="shared" si="62"/>
        <v>132.83080589430895</v>
      </c>
      <c r="Q631" s="1">
        <f t="shared" si="63"/>
        <v>138.93887906504065</v>
      </c>
      <c r="R631" s="1">
        <f t="shared" si="64"/>
        <v>145.22508616294485</v>
      </c>
      <c r="S631" s="1">
        <f t="shared" si="65"/>
        <v>85.544971358428811</v>
      </c>
    </row>
    <row r="632" spans="1:19" x14ac:dyDescent="0.3">
      <c r="A632">
        <v>16666.400000000001</v>
      </c>
      <c r="B632">
        <v>139.06412</v>
      </c>
      <c r="C632">
        <v>145.86503400000001</v>
      </c>
      <c r="D632">
        <v>152.225188</v>
      </c>
      <c r="E632">
        <v>85.731234000000001</v>
      </c>
      <c r="F632">
        <v>52.945483000000003</v>
      </c>
      <c r="G632">
        <v>20.018663</v>
      </c>
      <c r="H632">
        <v>23.787132</v>
      </c>
      <c r="I632"/>
      <c r="N632"/>
      <c r="O632"/>
      <c r="P632" s="1">
        <f t="shared" si="62"/>
        <v>132.80818191056909</v>
      </c>
      <c r="Q632" s="1">
        <f t="shared" si="63"/>
        <v>138.94137804878048</v>
      </c>
      <c r="R632" s="1">
        <f t="shared" si="64"/>
        <v>145.24199449372898</v>
      </c>
      <c r="S632" s="1">
        <f t="shared" si="65"/>
        <v>85.555884819967261</v>
      </c>
    </row>
    <row r="633" spans="1:19" x14ac:dyDescent="0.3">
      <c r="A633">
        <v>16666.599999999999</v>
      </c>
      <c r="B633">
        <v>139.06412</v>
      </c>
      <c r="C633">
        <v>145.86503400000001</v>
      </c>
      <c r="D633">
        <v>152.225188</v>
      </c>
      <c r="E633">
        <v>85.731234000000001</v>
      </c>
      <c r="F633">
        <v>52.945483000000003</v>
      </c>
      <c r="G633">
        <v>20.018663</v>
      </c>
      <c r="H633">
        <v>23.787132</v>
      </c>
      <c r="I633"/>
      <c r="N633"/>
      <c r="O633"/>
      <c r="P633" s="1">
        <f t="shared" si="62"/>
        <v>132.80818191056909</v>
      </c>
      <c r="Q633" s="1">
        <f t="shared" si="63"/>
        <v>138.94137804878048</v>
      </c>
      <c r="R633" s="1">
        <f t="shared" si="64"/>
        <v>145.24199449372898</v>
      </c>
      <c r="S633" s="1">
        <f t="shared" si="65"/>
        <v>85.555884819967261</v>
      </c>
    </row>
    <row r="634" spans="1:19" x14ac:dyDescent="0.3">
      <c r="A634">
        <v>16666.8</v>
      </c>
      <c r="B634">
        <v>139.08128400000001</v>
      </c>
      <c r="C634">
        <v>145.86432600000001</v>
      </c>
      <c r="D634">
        <v>152.20447200000001</v>
      </c>
      <c r="E634">
        <v>85.785515000000004</v>
      </c>
      <c r="F634">
        <v>53.144005</v>
      </c>
      <c r="G634">
        <v>19.991091999999998</v>
      </c>
      <c r="H634">
        <v>23.794884</v>
      </c>
      <c r="I634"/>
      <c r="N634"/>
      <c r="O634"/>
      <c r="P634" s="1">
        <f t="shared" si="62"/>
        <v>132.82893800813005</v>
      </c>
      <c r="Q634" s="1">
        <f t="shared" si="63"/>
        <v>138.96390040650405</v>
      </c>
      <c r="R634" s="1">
        <f t="shared" si="64"/>
        <v>145.23525033139597</v>
      </c>
      <c r="S634" s="1">
        <f t="shared" si="65"/>
        <v>85.503703968903437</v>
      </c>
    </row>
    <row r="635" spans="1:19" x14ac:dyDescent="0.3">
      <c r="A635">
        <v>16667</v>
      </c>
      <c r="B635">
        <v>139.08128400000001</v>
      </c>
      <c r="C635">
        <v>145.86432600000001</v>
      </c>
      <c r="D635">
        <v>152.20447200000001</v>
      </c>
      <c r="E635">
        <v>85.785515000000004</v>
      </c>
      <c r="F635">
        <v>53.144005</v>
      </c>
      <c r="G635">
        <v>19.991091999999998</v>
      </c>
      <c r="H635">
        <v>23.794884</v>
      </c>
      <c r="I635" t="s">
        <v>56</v>
      </c>
      <c r="N635"/>
      <c r="O635"/>
      <c r="P635" s="1">
        <f t="shared" si="62"/>
        <v>132.82893800813005</v>
      </c>
      <c r="Q635" s="1">
        <f t="shared" si="63"/>
        <v>138.96390040650405</v>
      </c>
      <c r="R635" s="1">
        <f t="shared" si="64"/>
        <v>145.23525033139597</v>
      </c>
      <c r="S635" s="1">
        <f t="shared" si="65"/>
        <v>85.503703968903437</v>
      </c>
    </row>
    <row r="636" spans="1:19" x14ac:dyDescent="0.3">
      <c r="A636">
        <v>16667.2</v>
      </c>
      <c r="B636">
        <v>139.060126</v>
      </c>
      <c r="C636">
        <v>145.877117</v>
      </c>
      <c r="D636">
        <v>152.21676199999999</v>
      </c>
      <c r="E636">
        <v>85.768426000000005</v>
      </c>
      <c r="F636">
        <v>52.788941000000001</v>
      </c>
      <c r="G636">
        <v>20.009056000000001</v>
      </c>
      <c r="H636">
        <v>23.835013</v>
      </c>
      <c r="I636"/>
      <c r="N636"/>
      <c r="O636"/>
      <c r="P636" s="1">
        <f t="shared" si="62"/>
        <v>132.81491056910568</v>
      </c>
      <c r="Q636" s="1">
        <f t="shared" si="63"/>
        <v>138.92761483739835</v>
      </c>
      <c r="R636" s="1">
        <f t="shared" si="64"/>
        <v>145.21428469460591</v>
      </c>
      <c r="S636" s="1">
        <f t="shared" si="65"/>
        <v>85.516138502454993</v>
      </c>
    </row>
    <row r="637" spans="1:19" x14ac:dyDescent="0.3">
      <c r="A637">
        <v>16667.400000000001</v>
      </c>
      <c r="B637">
        <v>139.060126</v>
      </c>
      <c r="C637">
        <v>145.877117</v>
      </c>
      <c r="D637">
        <v>152.21676199999999</v>
      </c>
      <c r="E637">
        <v>85.768426000000005</v>
      </c>
      <c r="F637">
        <v>52.788941000000001</v>
      </c>
      <c r="G637">
        <v>20.009056000000001</v>
      </c>
      <c r="H637">
        <v>23.835013</v>
      </c>
      <c r="I637"/>
      <c r="N637"/>
      <c r="O637"/>
      <c r="P637" s="1">
        <f t="shared" si="62"/>
        <v>132.81491056910568</v>
      </c>
      <c r="Q637" s="1">
        <f t="shared" si="63"/>
        <v>138.92761483739835</v>
      </c>
      <c r="R637" s="1">
        <f t="shared" si="64"/>
        <v>145.21428469460591</v>
      </c>
      <c r="S637" s="1">
        <f t="shared" si="65"/>
        <v>85.516138502454993</v>
      </c>
    </row>
    <row r="638" spans="1:19" x14ac:dyDescent="0.3">
      <c r="A638">
        <v>16667.599999999999</v>
      </c>
      <c r="B638">
        <v>139.05904100000001</v>
      </c>
      <c r="C638">
        <v>145.86995999999999</v>
      </c>
      <c r="D638">
        <v>152.20683299999999</v>
      </c>
      <c r="E638">
        <v>85.797213999999997</v>
      </c>
      <c r="F638">
        <v>52.714255000000001</v>
      </c>
      <c r="G638">
        <v>20.011189000000002</v>
      </c>
      <c r="H638">
        <v>23.816804999999999</v>
      </c>
      <c r="I638"/>
      <c r="N638"/>
      <c r="O638"/>
      <c r="P638" s="1">
        <f t="shared" si="62"/>
        <v>132.8185</v>
      </c>
      <c r="Q638" s="1">
        <f t="shared" si="63"/>
        <v>138.94514634146338</v>
      </c>
      <c r="R638" s="1">
        <f t="shared" si="64"/>
        <v>145.2382074028755</v>
      </c>
      <c r="S638" s="1">
        <f t="shared" si="65"/>
        <v>85.536155891980357</v>
      </c>
    </row>
    <row r="639" spans="1:19" x14ac:dyDescent="0.3">
      <c r="A639">
        <v>16667.8</v>
      </c>
      <c r="B639">
        <v>139.05904100000001</v>
      </c>
      <c r="C639">
        <v>145.86995999999999</v>
      </c>
      <c r="D639">
        <v>152.20683299999999</v>
      </c>
      <c r="E639">
        <v>85.797213999999997</v>
      </c>
      <c r="F639">
        <v>52.714255000000001</v>
      </c>
      <c r="G639">
        <v>20.011189000000002</v>
      </c>
      <c r="H639">
        <v>23.816804999999999</v>
      </c>
      <c r="I639"/>
      <c r="N639"/>
      <c r="O639"/>
      <c r="P639" s="1">
        <f t="shared" si="62"/>
        <v>132.8185</v>
      </c>
      <c r="Q639" s="1">
        <f t="shared" si="63"/>
        <v>138.94514634146338</v>
      </c>
      <c r="R639" s="1">
        <f t="shared" si="64"/>
        <v>145.2382074028755</v>
      </c>
      <c r="S639" s="1">
        <f t="shared" si="65"/>
        <v>85.536155891980357</v>
      </c>
    </row>
    <row r="640" spans="1:19" x14ac:dyDescent="0.3">
      <c r="A640">
        <v>16668</v>
      </c>
      <c r="B640">
        <v>139.08461700000001</v>
      </c>
      <c r="C640">
        <v>145.87560999999999</v>
      </c>
      <c r="D640">
        <v>152.20734899999999</v>
      </c>
      <c r="E640">
        <v>85.782905</v>
      </c>
      <c r="F640">
        <v>52.353603</v>
      </c>
      <c r="G640">
        <v>20.014603000000001</v>
      </c>
      <c r="H640">
        <v>23.810040999999998</v>
      </c>
      <c r="I640" t="s">
        <v>56</v>
      </c>
      <c r="N640"/>
      <c r="O640"/>
      <c r="P640" s="1">
        <f t="shared" si="62"/>
        <v>132.82025914634147</v>
      </c>
      <c r="Q640" s="1">
        <f t="shared" si="63"/>
        <v>138.95776930894309</v>
      </c>
      <c r="R640" s="1">
        <f t="shared" si="64"/>
        <v>145.23076679922505</v>
      </c>
      <c r="S640" s="1">
        <f t="shared" si="65"/>
        <v>85.513797054009814</v>
      </c>
    </row>
    <row r="641" spans="1:19" x14ac:dyDescent="0.3">
      <c r="A641">
        <v>16668.2</v>
      </c>
      <c r="B641">
        <v>139.08461700000001</v>
      </c>
      <c r="C641">
        <v>145.87560999999999</v>
      </c>
      <c r="D641">
        <v>152.20734899999999</v>
      </c>
      <c r="E641">
        <v>85.782905</v>
      </c>
      <c r="F641">
        <v>52.353603</v>
      </c>
      <c r="G641">
        <v>20.014603000000001</v>
      </c>
      <c r="H641">
        <v>23.810040999999998</v>
      </c>
      <c r="I641"/>
      <c r="N641"/>
      <c r="O641"/>
      <c r="P641" s="1">
        <f t="shared" si="62"/>
        <v>132.82025914634147</v>
      </c>
      <c r="Q641" s="1">
        <f t="shared" si="63"/>
        <v>138.95776930894309</v>
      </c>
      <c r="R641" s="1">
        <f t="shared" si="64"/>
        <v>145.23076679922505</v>
      </c>
      <c r="S641" s="1">
        <f t="shared" si="65"/>
        <v>85.513797054009814</v>
      </c>
    </row>
    <row r="642" spans="1:19" x14ac:dyDescent="0.3">
      <c r="A642">
        <v>16668.400000000001</v>
      </c>
      <c r="B642">
        <v>139.067577</v>
      </c>
      <c r="C642">
        <v>145.87061</v>
      </c>
      <c r="D642">
        <v>152.227957</v>
      </c>
      <c r="E642">
        <v>85.830369000000005</v>
      </c>
      <c r="F642">
        <v>52.317653999999997</v>
      </c>
      <c r="G642">
        <v>20.022300999999999</v>
      </c>
      <c r="H642">
        <v>23.790758</v>
      </c>
      <c r="I642"/>
      <c r="N642"/>
      <c r="O642"/>
      <c r="P642" s="1">
        <f t="shared" si="62"/>
        <v>132.8319888211382</v>
      </c>
      <c r="Q642" s="1">
        <f t="shared" si="63"/>
        <v>138.94006808943089</v>
      </c>
      <c r="R642" s="1">
        <f t="shared" si="64"/>
        <v>145.23572346283268</v>
      </c>
      <c r="S642" s="1">
        <f t="shared" si="65"/>
        <v>85.446605973813419</v>
      </c>
    </row>
    <row r="643" spans="1:19" x14ac:dyDescent="0.3">
      <c r="A643">
        <v>16668.599999999999</v>
      </c>
      <c r="B643">
        <v>139.067577</v>
      </c>
      <c r="C643">
        <v>145.87061</v>
      </c>
      <c r="D643">
        <v>152.227957</v>
      </c>
      <c r="E643">
        <v>85.830369000000005</v>
      </c>
      <c r="F643">
        <v>52.317653999999997</v>
      </c>
      <c r="G643">
        <v>20.022300999999999</v>
      </c>
      <c r="H643">
        <v>23.790758</v>
      </c>
      <c r="I643"/>
      <c r="N643"/>
      <c r="O643"/>
      <c r="P643" s="1">
        <f t="shared" si="62"/>
        <v>142.14749796747967</v>
      </c>
      <c r="Q643" s="1">
        <f t="shared" si="63"/>
        <v>149.04868800813009</v>
      </c>
      <c r="R643" s="1">
        <f t="shared" si="64"/>
        <v>156.02822779647192</v>
      </c>
      <c r="S643" s="1">
        <f t="shared" si="65"/>
        <v>88.632559328968895</v>
      </c>
    </row>
    <row r="644" spans="1:19" x14ac:dyDescent="0.3">
      <c r="A644">
        <v>16668.8</v>
      </c>
      <c r="B644">
        <v>139.074567</v>
      </c>
      <c r="C644">
        <v>145.880438</v>
      </c>
      <c r="D644">
        <v>152.228916</v>
      </c>
      <c r="E644">
        <v>85.825461000000004</v>
      </c>
      <c r="F644">
        <v>52.462186000000003</v>
      </c>
      <c r="G644">
        <v>20.013366999999999</v>
      </c>
      <c r="H644">
        <v>23.802188999999998</v>
      </c>
      <c r="I644"/>
      <c r="N644"/>
      <c r="O644"/>
      <c r="P644" s="1">
        <f t="shared" si="62"/>
        <v>142.11245223577237</v>
      </c>
      <c r="Q644" s="1">
        <f t="shared" si="63"/>
        <v>149.05992581300811</v>
      </c>
      <c r="R644" s="1">
        <f t="shared" si="64"/>
        <v>156.03923422045477</v>
      </c>
      <c r="S644" s="1">
        <f t="shared" si="65"/>
        <v>88.628748977086744</v>
      </c>
    </row>
    <row r="645" spans="1:19" x14ac:dyDescent="0.3">
      <c r="A645">
        <v>16669</v>
      </c>
      <c r="B645">
        <v>139.074567</v>
      </c>
      <c r="C645">
        <v>145.880438</v>
      </c>
      <c r="D645">
        <v>152.228916</v>
      </c>
      <c r="E645">
        <v>85.825461000000004</v>
      </c>
      <c r="F645">
        <v>52.462186000000003</v>
      </c>
      <c r="G645">
        <v>20.013366999999999</v>
      </c>
      <c r="H645">
        <v>23.802188999999998</v>
      </c>
      <c r="I645" t="s">
        <v>56</v>
      </c>
      <c r="N645"/>
      <c r="O645"/>
      <c r="P645" s="1">
        <f t="shared" si="62"/>
        <v>142.11245223577237</v>
      </c>
      <c r="Q645" s="1">
        <f t="shared" si="63"/>
        <v>149.05992581300811</v>
      </c>
      <c r="R645" s="1">
        <f t="shared" si="64"/>
        <v>156.03923422045477</v>
      </c>
      <c r="S645" s="1">
        <f t="shared" si="65"/>
        <v>88.628748977086744</v>
      </c>
    </row>
    <row r="646" spans="1:19" x14ac:dyDescent="0.3">
      <c r="A646">
        <v>16669.2</v>
      </c>
      <c r="B646">
        <v>139.07213200000001</v>
      </c>
      <c r="C646">
        <v>145.90645599999999</v>
      </c>
      <c r="D646">
        <v>152.218098</v>
      </c>
      <c r="E646">
        <v>85.811440000000005</v>
      </c>
      <c r="F646">
        <v>52.225273999999999</v>
      </c>
      <c r="G646">
        <v>20.021826000000001</v>
      </c>
      <c r="H646">
        <v>23.793831999999998</v>
      </c>
      <c r="I646"/>
      <c r="N646"/>
      <c r="O646"/>
      <c r="P646" s="1">
        <f t="shared" si="62"/>
        <v>142.11710467479676</v>
      </c>
      <c r="Q646" s="1">
        <f t="shared" si="63"/>
        <v>149.03828353658537</v>
      </c>
      <c r="R646" s="1">
        <f t="shared" si="64"/>
        <v>156.04059345365556</v>
      </c>
      <c r="S646" s="1">
        <f t="shared" si="65"/>
        <v>88.611246931260226</v>
      </c>
    </row>
    <row r="647" spans="1:19" x14ac:dyDescent="0.3">
      <c r="A647">
        <v>16669.400000000001</v>
      </c>
      <c r="B647">
        <v>139.07213200000001</v>
      </c>
      <c r="C647">
        <v>145.90645599999999</v>
      </c>
      <c r="D647">
        <v>152.218098</v>
      </c>
      <c r="E647">
        <v>85.811440000000005</v>
      </c>
      <c r="F647">
        <v>52.225273999999999</v>
      </c>
      <c r="G647">
        <v>20.021826000000001</v>
      </c>
      <c r="H647">
        <v>23.793831999999998</v>
      </c>
      <c r="I647"/>
      <c r="N647"/>
      <c r="O647"/>
      <c r="P647" s="1">
        <f t="shared" si="62"/>
        <v>142.11710467479676</v>
      </c>
      <c r="Q647" s="1">
        <f t="shared" si="63"/>
        <v>149.03828353658537</v>
      </c>
      <c r="R647" s="1">
        <f t="shared" si="64"/>
        <v>156.04059345365556</v>
      </c>
      <c r="S647" s="1">
        <f t="shared" si="65"/>
        <v>88.611246931260226</v>
      </c>
    </row>
    <row r="648" spans="1:19" x14ac:dyDescent="0.3">
      <c r="A648">
        <v>16669.599999999999</v>
      </c>
      <c r="B648">
        <v>139.078295</v>
      </c>
      <c r="C648">
        <v>145.879987</v>
      </c>
      <c r="D648">
        <v>152.218693</v>
      </c>
      <c r="E648">
        <v>85.808200999999997</v>
      </c>
      <c r="F648">
        <v>52.294117999999997</v>
      </c>
      <c r="G648">
        <v>20.024228999999998</v>
      </c>
      <c r="H648">
        <v>23.793624999999999</v>
      </c>
      <c r="I648"/>
      <c r="N648"/>
      <c r="O648"/>
      <c r="P648" s="1">
        <f t="shared" si="62"/>
        <v>142.12672052845528</v>
      </c>
      <c r="Q648" s="1">
        <f t="shared" si="63"/>
        <v>149.05364329268292</v>
      </c>
      <c r="R648" s="1">
        <f t="shared" si="64"/>
        <v>156.0405404303049</v>
      </c>
      <c r="S648" s="1">
        <f t="shared" si="65"/>
        <v>88.608671235679211</v>
      </c>
    </row>
    <row r="649" spans="1:19" x14ac:dyDescent="0.3">
      <c r="A649">
        <v>16669.8</v>
      </c>
      <c r="B649">
        <v>139.078295</v>
      </c>
      <c r="C649">
        <v>145.879987</v>
      </c>
      <c r="D649">
        <v>152.218693</v>
      </c>
      <c r="E649">
        <v>85.808200999999997</v>
      </c>
      <c r="F649">
        <v>52.294117999999997</v>
      </c>
      <c r="G649">
        <v>20.024228999999998</v>
      </c>
      <c r="H649">
        <v>23.793624999999999</v>
      </c>
      <c r="I649"/>
      <c r="N649"/>
      <c r="O649"/>
      <c r="P649" s="1">
        <f t="shared" si="62"/>
        <v>142.12672052845528</v>
      </c>
      <c r="Q649" s="1">
        <f t="shared" si="63"/>
        <v>149.05364329268292</v>
      </c>
      <c r="R649" s="1">
        <f t="shared" si="64"/>
        <v>156.0405404303049</v>
      </c>
      <c r="S649" s="1">
        <f t="shared" si="65"/>
        <v>88.608671235679211</v>
      </c>
    </row>
    <row r="650" spans="1:19" x14ac:dyDescent="0.3">
      <c r="A650">
        <v>16670</v>
      </c>
      <c r="B650">
        <v>139.07033799999999</v>
      </c>
      <c r="C650">
        <v>145.85821999999999</v>
      </c>
      <c r="D650">
        <v>152.211646</v>
      </c>
      <c r="E650">
        <v>85.713016999999994</v>
      </c>
      <c r="F650">
        <v>52.611494</v>
      </c>
      <c r="G650">
        <v>20.018032000000002</v>
      </c>
      <c r="H650">
        <v>23.821971000000001</v>
      </c>
      <c r="I650" t="s">
        <v>56</v>
      </c>
      <c r="N650"/>
      <c r="O650"/>
      <c r="P650" s="1">
        <f t="shared" si="62"/>
        <v>142.12461382113821</v>
      </c>
      <c r="Q650" s="1">
        <f t="shared" si="63"/>
        <v>149.03611178861789</v>
      </c>
      <c r="R650" s="1">
        <f t="shared" si="64"/>
        <v>156.04719893953299</v>
      </c>
      <c r="S650" s="1">
        <f t="shared" si="65"/>
        <v>88.640583060556466</v>
      </c>
    </row>
    <row r="651" spans="1:19" x14ac:dyDescent="0.3">
      <c r="A651">
        <v>16670.2</v>
      </c>
      <c r="B651">
        <v>139.07033799999999</v>
      </c>
      <c r="C651">
        <v>145.85821999999999</v>
      </c>
      <c r="D651">
        <v>152.211646</v>
      </c>
      <c r="E651">
        <v>85.713016999999994</v>
      </c>
      <c r="F651">
        <v>52.611494</v>
      </c>
      <c r="G651">
        <v>20.018032000000002</v>
      </c>
      <c r="H651">
        <v>23.821971000000001</v>
      </c>
      <c r="I651"/>
      <c r="N651"/>
      <c r="O651"/>
      <c r="P651" s="1">
        <f t="shared" si="62"/>
        <v>142.12461382113821</v>
      </c>
      <c r="Q651" s="1">
        <f t="shared" si="63"/>
        <v>149.03611178861789</v>
      </c>
      <c r="R651" s="1">
        <f t="shared" si="64"/>
        <v>156.04719893953299</v>
      </c>
      <c r="S651" s="1">
        <f t="shared" si="65"/>
        <v>88.640583060556466</v>
      </c>
    </row>
    <row r="652" spans="1:19" x14ac:dyDescent="0.3">
      <c r="A652">
        <v>16670.400000000001</v>
      </c>
      <c r="B652">
        <v>139.07571899999999</v>
      </c>
      <c r="C652">
        <v>145.90072900000001</v>
      </c>
      <c r="D652">
        <v>152.22262499999999</v>
      </c>
      <c r="E652">
        <v>85.781256999999997</v>
      </c>
      <c r="F652">
        <v>52.823563</v>
      </c>
      <c r="G652">
        <v>20.022331000000001</v>
      </c>
      <c r="H652">
        <v>23.802374</v>
      </c>
      <c r="I652"/>
      <c r="N652"/>
      <c r="O652"/>
      <c r="P652" s="1">
        <f t="shared" si="62"/>
        <v>142.1420569105691</v>
      </c>
      <c r="Q652" s="1">
        <f t="shared" si="63"/>
        <v>149.03539227642275</v>
      </c>
      <c r="R652" s="1">
        <f t="shared" si="64"/>
        <v>156.02607525237079</v>
      </c>
      <c r="S652" s="1">
        <f t="shared" si="65"/>
        <v>88.696107815057289</v>
      </c>
    </row>
    <row r="653" spans="1:19" x14ac:dyDescent="0.3">
      <c r="A653">
        <v>16670.599999999999</v>
      </c>
      <c r="B653">
        <v>139.07571899999999</v>
      </c>
      <c r="C653">
        <v>145.90072900000001</v>
      </c>
      <c r="D653">
        <v>152.22262499999999</v>
      </c>
      <c r="E653">
        <v>85.781256999999997</v>
      </c>
      <c r="F653">
        <v>52.823563</v>
      </c>
      <c r="G653">
        <v>20.022331000000001</v>
      </c>
      <c r="H653">
        <v>23.802374</v>
      </c>
      <c r="I653"/>
      <c r="N653"/>
      <c r="O653"/>
      <c r="P653" s="1">
        <f t="shared" si="62"/>
        <v>142.1420569105691</v>
      </c>
      <c r="Q653" s="1">
        <f t="shared" si="63"/>
        <v>149.03539227642275</v>
      </c>
      <c r="R653" s="1">
        <f t="shared" si="64"/>
        <v>156.02607525237079</v>
      </c>
      <c r="S653" s="1">
        <f t="shared" si="65"/>
        <v>88.696107815057289</v>
      </c>
    </row>
    <row r="654" spans="1:19" x14ac:dyDescent="0.3">
      <c r="A654">
        <v>16670.8</v>
      </c>
      <c r="B654">
        <v>139.08194800000001</v>
      </c>
      <c r="C654">
        <v>145.87829300000001</v>
      </c>
      <c r="D654">
        <v>152.23329100000001</v>
      </c>
      <c r="E654">
        <v>85.789747000000006</v>
      </c>
      <c r="F654">
        <v>52.630695000000003</v>
      </c>
      <c r="G654">
        <v>20.004864999999999</v>
      </c>
      <c r="H654">
        <v>23.805537000000001</v>
      </c>
      <c r="I654"/>
      <c r="N654"/>
      <c r="O654"/>
      <c r="P654" s="1">
        <f t="shared" si="62"/>
        <v>142.12055487804878</v>
      </c>
      <c r="Q654" s="1">
        <f t="shared" si="63"/>
        <v>149.04839126016259</v>
      </c>
      <c r="R654" s="1">
        <f t="shared" si="64"/>
        <v>156.03860711736513</v>
      </c>
      <c r="S654" s="1">
        <f t="shared" si="65"/>
        <v>88.678627250409164</v>
      </c>
    </row>
    <row r="655" spans="1:19" x14ac:dyDescent="0.3">
      <c r="A655">
        <v>16671</v>
      </c>
      <c r="B655">
        <v>139.08194800000001</v>
      </c>
      <c r="C655">
        <v>145.87829300000001</v>
      </c>
      <c r="D655">
        <v>152.23329100000001</v>
      </c>
      <c r="E655">
        <v>85.789747000000006</v>
      </c>
      <c r="F655">
        <v>52.630695000000003</v>
      </c>
      <c r="G655">
        <v>20.004864999999999</v>
      </c>
      <c r="H655">
        <v>23.805537000000001</v>
      </c>
      <c r="I655" t="s">
        <v>56</v>
      </c>
      <c r="N655"/>
      <c r="O655"/>
      <c r="P655" s="1">
        <f t="shared" si="62"/>
        <v>142.12055487804878</v>
      </c>
      <c r="Q655" s="1">
        <f t="shared" si="63"/>
        <v>149.04839126016259</v>
      </c>
      <c r="R655" s="1">
        <f t="shared" si="64"/>
        <v>156.03860711736513</v>
      </c>
      <c r="S655" s="1">
        <f t="shared" si="65"/>
        <v>88.678627250409164</v>
      </c>
    </row>
    <row r="656" spans="1:19" x14ac:dyDescent="0.3">
      <c r="A656">
        <v>16671.2</v>
      </c>
      <c r="B656">
        <v>139.089629</v>
      </c>
      <c r="C656">
        <v>145.89721599999999</v>
      </c>
      <c r="D656">
        <v>152.222612</v>
      </c>
      <c r="E656">
        <v>85.799415999999994</v>
      </c>
      <c r="F656">
        <v>52.689874000000003</v>
      </c>
      <c r="G656">
        <v>20.006093</v>
      </c>
      <c r="H656">
        <v>23.806051</v>
      </c>
      <c r="I656"/>
      <c r="N656"/>
      <c r="O656"/>
      <c r="P656" s="1">
        <f t="shared" si="62"/>
        <v>142.11945223577234</v>
      </c>
      <c r="Q656" s="1">
        <f t="shared" si="63"/>
        <v>149.04111788617885</v>
      </c>
      <c r="R656" s="1">
        <f t="shared" si="64"/>
        <v>156.02848271642705</v>
      </c>
      <c r="S656" s="1">
        <f t="shared" si="65"/>
        <v>88.708074877250397</v>
      </c>
    </row>
    <row r="657" spans="1:19" x14ac:dyDescent="0.3">
      <c r="A657">
        <v>16671.400000000001</v>
      </c>
      <c r="B657">
        <v>139.089629</v>
      </c>
      <c r="C657">
        <v>145.89721599999999</v>
      </c>
      <c r="D657">
        <v>152.222612</v>
      </c>
      <c r="E657">
        <v>85.799415999999994</v>
      </c>
      <c r="F657">
        <v>52.689874000000003</v>
      </c>
      <c r="G657">
        <v>20.006093</v>
      </c>
      <c r="H657">
        <v>23.806051</v>
      </c>
      <c r="I657"/>
      <c r="N657"/>
      <c r="O657"/>
      <c r="P657" s="1">
        <f t="shared" si="62"/>
        <v>142.11945223577234</v>
      </c>
      <c r="Q657" s="1">
        <f t="shared" si="63"/>
        <v>149.04111788617885</v>
      </c>
      <c r="R657" s="1">
        <f t="shared" si="64"/>
        <v>156.02848271642705</v>
      </c>
      <c r="S657" s="1">
        <f t="shared" si="65"/>
        <v>88.708074877250397</v>
      </c>
    </row>
    <row r="658" spans="1:19" x14ac:dyDescent="0.3">
      <c r="A658">
        <v>16671.599999999999</v>
      </c>
      <c r="B658">
        <v>139.08051599999999</v>
      </c>
      <c r="C658">
        <v>145.89062000000001</v>
      </c>
      <c r="D658">
        <v>152.23185599999999</v>
      </c>
      <c r="E658">
        <v>85.816854000000006</v>
      </c>
      <c r="F658">
        <v>52.562015000000002</v>
      </c>
      <c r="G658">
        <v>20.021830000000001</v>
      </c>
      <c r="H658">
        <v>23.787924</v>
      </c>
      <c r="I658"/>
      <c r="N658"/>
      <c r="O658"/>
      <c r="P658" s="1">
        <f t="shared" si="62"/>
        <v>142.14544410569107</v>
      </c>
      <c r="Q658" s="1">
        <f t="shared" si="63"/>
        <v>149.04685975609755</v>
      </c>
      <c r="R658" s="1">
        <f t="shared" si="64"/>
        <v>156.02900887121444</v>
      </c>
      <c r="S658" s="1">
        <f t="shared" si="65"/>
        <v>88.693438011456621</v>
      </c>
    </row>
    <row r="659" spans="1:19" x14ac:dyDescent="0.3">
      <c r="A659">
        <v>16671.8</v>
      </c>
      <c r="B659">
        <v>139.08051599999999</v>
      </c>
      <c r="C659">
        <v>145.89062000000001</v>
      </c>
      <c r="D659">
        <v>152.23185599999999</v>
      </c>
      <c r="E659">
        <v>85.816854000000006</v>
      </c>
      <c r="F659">
        <v>52.562015000000002</v>
      </c>
      <c r="G659">
        <v>20.021830000000001</v>
      </c>
      <c r="H659">
        <v>23.787924</v>
      </c>
      <c r="I659"/>
      <c r="N659"/>
      <c r="O659"/>
      <c r="P659" s="1">
        <f t="shared" si="62"/>
        <v>142.14544410569107</v>
      </c>
      <c r="Q659" s="1">
        <f t="shared" si="63"/>
        <v>149.04685975609755</v>
      </c>
      <c r="R659" s="1">
        <f t="shared" si="64"/>
        <v>156.02900887121444</v>
      </c>
      <c r="S659" s="1">
        <f t="shared" si="65"/>
        <v>88.693438011456621</v>
      </c>
    </row>
    <row r="660" spans="1:19" x14ac:dyDescent="0.3">
      <c r="A660">
        <v>16672</v>
      </c>
      <c r="B660">
        <v>139.101135</v>
      </c>
      <c r="C660">
        <v>145.895252</v>
      </c>
      <c r="D660">
        <v>152.219955</v>
      </c>
      <c r="E660">
        <v>85.832525000000004</v>
      </c>
      <c r="F660">
        <v>52.821494999999999</v>
      </c>
      <c r="G660">
        <v>19.997236999999998</v>
      </c>
      <c r="H660">
        <v>23.804082000000001</v>
      </c>
      <c r="I660" t="s">
        <v>56</v>
      </c>
      <c r="N660"/>
      <c r="O660"/>
      <c r="P660" s="1">
        <f t="shared" si="62"/>
        <v>142.12812703252033</v>
      </c>
      <c r="Q660" s="1">
        <f t="shared" si="63"/>
        <v>149.04177845528454</v>
      </c>
      <c r="R660" s="1">
        <f t="shared" si="64"/>
        <v>156.05002243295607</v>
      </c>
      <c r="S660" s="1">
        <f t="shared" si="65"/>
        <v>88.741989566284786</v>
      </c>
    </row>
    <row r="661" spans="1:19" x14ac:dyDescent="0.3">
      <c r="A661">
        <v>16672.2</v>
      </c>
      <c r="B661">
        <v>139.101135</v>
      </c>
      <c r="C661">
        <v>145.895252</v>
      </c>
      <c r="D661">
        <v>152.219955</v>
      </c>
      <c r="E661">
        <v>85.832525000000004</v>
      </c>
      <c r="F661">
        <v>52.821494999999999</v>
      </c>
      <c r="G661">
        <v>19.997236999999998</v>
      </c>
      <c r="H661">
        <v>23.804082000000001</v>
      </c>
      <c r="I661"/>
      <c r="N661"/>
      <c r="O661"/>
      <c r="P661" s="1">
        <f t="shared" si="62"/>
        <v>142.12812703252033</v>
      </c>
      <c r="Q661" s="1">
        <f t="shared" si="63"/>
        <v>149.04177845528454</v>
      </c>
      <c r="R661" s="1">
        <f t="shared" si="64"/>
        <v>156.05002243295607</v>
      </c>
      <c r="S661" s="1">
        <f t="shared" si="65"/>
        <v>88.741989566284786</v>
      </c>
    </row>
    <row r="662" spans="1:19" x14ac:dyDescent="0.3">
      <c r="A662">
        <v>16672.400000000001</v>
      </c>
      <c r="B662">
        <v>139.10378700000001</v>
      </c>
      <c r="C662">
        <v>145.87855200000001</v>
      </c>
      <c r="D662">
        <v>152.22796600000001</v>
      </c>
      <c r="E662">
        <v>85.773843999999997</v>
      </c>
      <c r="F662">
        <v>53.307245000000002</v>
      </c>
      <c r="G662">
        <v>20.011037000000002</v>
      </c>
      <c r="H662">
        <v>23.773855999999999</v>
      </c>
      <c r="I662"/>
      <c r="N662"/>
      <c r="O662"/>
      <c r="P662" s="1">
        <f t="shared" si="62"/>
        <v>142.1352306910569</v>
      </c>
      <c r="Q662" s="1">
        <f t="shared" si="63"/>
        <v>149.05176626016259</v>
      </c>
      <c r="R662" s="1">
        <f t="shared" si="64"/>
        <v>156.05100030590395</v>
      </c>
      <c r="S662" s="1">
        <f t="shared" si="65"/>
        <v>88.736969108019636</v>
      </c>
    </row>
    <row r="663" spans="1:19" x14ac:dyDescent="0.3">
      <c r="A663">
        <v>16672.599999999999</v>
      </c>
      <c r="B663">
        <v>139.10378700000001</v>
      </c>
      <c r="C663">
        <v>145.87855200000001</v>
      </c>
      <c r="D663">
        <v>152.22796600000001</v>
      </c>
      <c r="E663">
        <v>85.773843999999997</v>
      </c>
      <c r="F663">
        <v>53.307245000000002</v>
      </c>
      <c r="G663">
        <v>20.011037000000002</v>
      </c>
      <c r="H663">
        <v>23.773855999999999</v>
      </c>
      <c r="I663"/>
      <c r="N663"/>
      <c r="O663"/>
      <c r="P663" s="1">
        <f t="shared" si="62"/>
        <v>142.1352306910569</v>
      </c>
      <c r="Q663" s="1">
        <f t="shared" si="63"/>
        <v>149.05176626016259</v>
      </c>
      <c r="R663" s="1">
        <f t="shared" si="64"/>
        <v>156.05100030590395</v>
      </c>
      <c r="S663" s="1">
        <f t="shared" si="65"/>
        <v>88.736969108019636</v>
      </c>
    </row>
    <row r="664" spans="1:19" x14ac:dyDescent="0.3">
      <c r="A664">
        <v>16672.8</v>
      </c>
      <c r="B664">
        <v>139.11453700000001</v>
      </c>
      <c r="C664">
        <v>145.883062</v>
      </c>
      <c r="D664">
        <v>152.20896300000001</v>
      </c>
      <c r="E664">
        <v>85.755970000000005</v>
      </c>
      <c r="F664">
        <v>53.090961999999998</v>
      </c>
      <c r="G664">
        <v>20.019750999999999</v>
      </c>
      <c r="H664">
        <v>23.771664999999999</v>
      </c>
      <c r="I664"/>
      <c r="N664"/>
      <c r="O664"/>
      <c r="P664" s="1">
        <f t="shared" si="62"/>
        <v>142.13275609756099</v>
      </c>
      <c r="Q664" s="1">
        <f t="shared" si="63"/>
        <v>149.07820731707315</v>
      </c>
      <c r="R664" s="1">
        <f t="shared" si="64"/>
        <v>156.03996940960539</v>
      </c>
      <c r="S664" s="1">
        <f t="shared" si="65"/>
        <v>88.722626841243866</v>
      </c>
    </row>
    <row r="665" spans="1:19" x14ac:dyDescent="0.3">
      <c r="A665">
        <v>16673</v>
      </c>
      <c r="B665">
        <v>139.11453700000001</v>
      </c>
      <c r="C665">
        <v>145.883062</v>
      </c>
      <c r="D665">
        <v>152.20896300000001</v>
      </c>
      <c r="E665">
        <v>85.755970000000005</v>
      </c>
      <c r="F665">
        <v>53.090961999999998</v>
      </c>
      <c r="G665">
        <v>20.019750999999999</v>
      </c>
      <c r="H665">
        <v>23.771664999999999</v>
      </c>
      <c r="I665" t="s">
        <v>56</v>
      </c>
      <c r="N665"/>
      <c r="O665"/>
      <c r="P665" s="1">
        <f t="shared" si="62"/>
        <v>142.13275609756099</v>
      </c>
      <c r="Q665" s="1">
        <f t="shared" si="63"/>
        <v>149.07820731707315</v>
      </c>
      <c r="R665" s="1">
        <f t="shared" si="64"/>
        <v>156.03996940960539</v>
      </c>
      <c r="S665" s="1">
        <f t="shared" si="65"/>
        <v>88.722626841243866</v>
      </c>
    </row>
    <row r="666" spans="1:19" x14ac:dyDescent="0.3">
      <c r="A666">
        <v>16673.2</v>
      </c>
      <c r="B666">
        <v>139.11429699999999</v>
      </c>
      <c r="C666">
        <v>145.86742100000001</v>
      </c>
      <c r="D666">
        <v>152.242459</v>
      </c>
      <c r="E666">
        <v>85.749232000000006</v>
      </c>
      <c r="F666">
        <v>53.902577000000001</v>
      </c>
      <c r="G666">
        <v>19.992097999999999</v>
      </c>
      <c r="H666">
        <v>23.813383000000002</v>
      </c>
      <c r="I666"/>
      <c r="N666"/>
      <c r="O666"/>
      <c r="P666" s="1">
        <f t="shared" si="62"/>
        <v>142.13901930894309</v>
      </c>
      <c r="Q666" s="1">
        <f t="shared" si="63"/>
        <v>149.05130792682925</v>
      </c>
      <c r="R666" s="1">
        <f t="shared" si="64"/>
        <v>156.0405761190986</v>
      </c>
      <c r="S666" s="1">
        <f t="shared" si="65"/>
        <v>88.719313625204578</v>
      </c>
    </row>
    <row r="667" spans="1:19" x14ac:dyDescent="0.3">
      <c r="A667">
        <v>16673.400000000001</v>
      </c>
      <c r="B667">
        <v>139.11429699999999</v>
      </c>
      <c r="C667">
        <v>145.86742100000001</v>
      </c>
      <c r="D667">
        <v>152.242459</v>
      </c>
      <c r="E667">
        <v>85.749232000000006</v>
      </c>
      <c r="F667">
        <v>53.902577000000001</v>
      </c>
      <c r="G667">
        <v>19.992097999999999</v>
      </c>
      <c r="H667">
        <v>23.813383000000002</v>
      </c>
      <c r="I667"/>
      <c r="N667"/>
      <c r="O667"/>
      <c r="P667" s="1">
        <f t="shared" si="62"/>
        <v>142.13901930894309</v>
      </c>
      <c r="Q667" s="1">
        <f t="shared" si="63"/>
        <v>149.05130792682925</v>
      </c>
      <c r="R667" s="1">
        <f t="shared" si="64"/>
        <v>156.0405761190986</v>
      </c>
      <c r="S667" s="1">
        <f t="shared" si="65"/>
        <v>88.719313625204578</v>
      </c>
    </row>
    <row r="668" spans="1:19" x14ac:dyDescent="0.3">
      <c r="A668">
        <v>16673.599999999999</v>
      </c>
      <c r="B668">
        <v>139.09797499999999</v>
      </c>
      <c r="C668">
        <v>145.87084200000001</v>
      </c>
      <c r="D668">
        <v>152.24168299999999</v>
      </c>
      <c r="E668">
        <v>85.744220999999996</v>
      </c>
      <c r="F668">
        <v>53.955305000000003</v>
      </c>
      <c r="G668">
        <v>20.017234999999999</v>
      </c>
      <c r="H668">
        <v>23.805333999999998</v>
      </c>
      <c r="I668"/>
      <c r="N668"/>
      <c r="O668"/>
      <c r="P668" s="1">
        <f t="shared" si="62"/>
        <v>142.13093292682925</v>
      </c>
      <c r="Q668" s="1">
        <f t="shared" si="63"/>
        <v>149.02918699186989</v>
      </c>
      <c r="R668" s="1">
        <f t="shared" si="64"/>
        <v>156.03339043540331</v>
      </c>
      <c r="S668" s="1">
        <f t="shared" si="65"/>
        <v>88.621948649754486</v>
      </c>
    </row>
    <row r="669" spans="1:19" x14ac:dyDescent="0.3">
      <c r="A669">
        <v>16673.8</v>
      </c>
      <c r="B669">
        <v>139.09797499999999</v>
      </c>
      <c r="C669">
        <v>145.87084200000001</v>
      </c>
      <c r="D669">
        <v>152.24168299999999</v>
      </c>
      <c r="E669">
        <v>85.744220999999996</v>
      </c>
      <c r="F669">
        <v>53.955305000000003</v>
      </c>
      <c r="G669">
        <v>20.017234999999999</v>
      </c>
      <c r="H669">
        <v>23.805333999999998</v>
      </c>
      <c r="I669"/>
      <c r="N669"/>
      <c r="O669"/>
      <c r="P669" s="1">
        <f t="shared" si="62"/>
        <v>142.13093292682925</v>
      </c>
      <c r="Q669" s="1">
        <f t="shared" si="63"/>
        <v>149.02918699186989</v>
      </c>
      <c r="R669" s="1">
        <f t="shared" si="64"/>
        <v>156.03339043540331</v>
      </c>
      <c r="S669" s="1">
        <f t="shared" si="65"/>
        <v>88.621948649754486</v>
      </c>
    </row>
    <row r="670" spans="1:19" x14ac:dyDescent="0.3">
      <c r="A670">
        <v>16674</v>
      </c>
      <c r="B670">
        <v>139.077595</v>
      </c>
      <c r="C670">
        <v>145.88021699999999</v>
      </c>
      <c r="D670">
        <v>152.21659500000001</v>
      </c>
      <c r="E670">
        <v>85.786435999999995</v>
      </c>
      <c r="F670">
        <v>53.89405</v>
      </c>
      <c r="G670">
        <v>20.019091</v>
      </c>
      <c r="H670">
        <v>23.830591999999999</v>
      </c>
      <c r="I670" t="s">
        <v>56</v>
      </c>
      <c r="N670"/>
      <c r="O670"/>
      <c r="P670" s="1">
        <f t="shared" si="62"/>
        <v>142.13640142276421</v>
      </c>
      <c r="Q670" s="1">
        <f t="shared" si="63"/>
        <v>149.07238719512196</v>
      </c>
      <c r="R670" s="1">
        <f t="shared" si="64"/>
        <v>156.04458550015295</v>
      </c>
      <c r="S670" s="1">
        <f t="shared" si="65"/>
        <v>88.691752250409166</v>
      </c>
    </row>
    <row r="671" spans="1:19" x14ac:dyDescent="0.3">
      <c r="A671">
        <v>16674.2</v>
      </c>
      <c r="B671">
        <v>139.077595</v>
      </c>
      <c r="C671">
        <v>145.88021699999999</v>
      </c>
      <c r="D671">
        <v>152.21659500000001</v>
      </c>
      <c r="E671">
        <v>85.786435999999995</v>
      </c>
      <c r="F671">
        <v>53.89405</v>
      </c>
      <c r="G671">
        <v>20.019091</v>
      </c>
      <c r="H671">
        <v>23.830591999999999</v>
      </c>
      <c r="I671"/>
      <c r="N671"/>
      <c r="O671"/>
      <c r="P671" s="1">
        <f t="shared" si="62"/>
        <v>142.13640142276421</v>
      </c>
      <c r="Q671" s="1">
        <f t="shared" si="63"/>
        <v>149.07238719512196</v>
      </c>
      <c r="R671" s="1">
        <f t="shared" si="64"/>
        <v>156.04458550015295</v>
      </c>
      <c r="S671" s="1">
        <f t="shared" si="65"/>
        <v>88.691752250409166</v>
      </c>
    </row>
    <row r="672" spans="1:19" x14ac:dyDescent="0.3">
      <c r="A672">
        <v>16674.400000000001</v>
      </c>
      <c r="B672">
        <v>139.07960600000001</v>
      </c>
      <c r="C672">
        <v>145.885738</v>
      </c>
      <c r="D672">
        <v>152.224661</v>
      </c>
      <c r="E672">
        <v>85.908627999999993</v>
      </c>
      <c r="F672">
        <v>53.239925999999997</v>
      </c>
      <c r="G672">
        <v>20.022703</v>
      </c>
      <c r="H672">
        <v>23.827808000000001</v>
      </c>
      <c r="I672"/>
      <c r="N672"/>
      <c r="O672"/>
      <c r="P672" s="1">
        <f t="shared" si="62"/>
        <v>142.14273170731707</v>
      </c>
      <c r="Q672" s="1">
        <f t="shared" si="63"/>
        <v>149.04958638211383</v>
      </c>
      <c r="R672" s="1">
        <f t="shared" si="64"/>
        <v>156.05546140511882</v>
      </c>
      <c r="S672" s="1">
        <f t="shared" si="65"/>
        <v>88.700436783960726</v>
      </c>
    </row>
    <row r="673" spans="1:19" x14ac:dyDescent="0.3">
      <c r="A673">
        <v>16674.599999999999</v>
      </c>
      <c r="B673">
        <v>139.07960600000001</v>
      </c>
      <c r="C673">
        <v>145.885738</v>
      </c>
      <c r="D673">
        <v>152.224661</v>
      </c>
      <c r="E673">
        <v>85.908627999999993</v>
      </c>
      <c r="F673">
        <v>53.239925999999997</v>
      </c>
      <c r="G673">
        <v>20.022703</v>
      </c>
      <c r="H673">
        <v>23.827808000000001</v>
      </c>
      <c r="I673"/>
      <c r="N673"/>
      <c r="O673"/>
      <c r="P673" s="1">
        <f t="shared" si="62"/>
        <v>142.14273170731707</v>
      </c>
      <c r="Q673" s="1">
        <f t="shared" si="63"/>
        <v>149.04958638211383</v>
      </c>
      <c r="R673" s="1">
        <f t="shared" si="64"/>
        <v>156.05546140511882</v>
      </c>
      <c r="S673" s="1">
        <f t="shared" si="65"/>
        <v>88.700436783960726</v>
      </c>
    </row>
    <row r="674" spans="1:19" x14ac:dyDescent="0.3">
      <c r="A674">
        <v>16674.8</v>
      </c>
      <c r="B674">
        <v>139.09449599999999</v>
      </c>
      <c r="C674">
        <v>145.87691100000001</v>
      </c>
      <c r="D674">
        <v>152.24308099999999</v>
      </c>
      <c r="E674">
        <v>85.888249999999999</v>
      </c>
      <c r="F674">
        <v>52.013753999999999</v>
      </c>
      <c r="G674">
        <v>20.012937999999998</v>
      </c>
      <c r="H674">
        <v>23.829661000000002</v>
      </c>
      <c r="I674"/>
      <c r="N674"/>
      <c r="O674"/>
      <c r="P674" s="1">
        <f t="shared" si="62"/>
        <v>142.15053760162601</v>
      </c>
      <c r="Q674" s="1">
        <f t="shared" si="63"/>
        <v>149.06881707317072</v>
      </c>
      <c r="R674" s="1">
        <f t="shared" si="64"/>
        <v>156.0445722443153</v>
      </c>
      <c r="S674" s="1">
        <f t="shared" si="65"/>
        <v>88.710327332242215</v>
      </c>
    </row>
    <row r="675" spans="1:19" x14ac:dyDescent="0.3">
      <c r="A675">
        <v>17573</v>
      </c>
      <c r="B675">
        <v>148.77574799999999</v>
      </c>
      <c r="C675">
        <v>156.35663199999999</v>
      </c>
      <c r="D675">
        <v>163.37650099999999</v>
      </c>
      <c r="E675">
        <v>88.812561000000002</v>
      </c>
      <c r="F675">
        <v>54.402839</v>
      </c>
      <c r="G675">
        <v>20.069219</v>
      </c>
      <c r="H675">
        <v>24.282648999999999</v>
      </c>
      <c r="I675" t="s">
        <v>56</v>
      </c>
      <c r="N675"/>
      <c r="O675"/>
      <c r="P675" s="1">
        <f t="shared" si="62"/>
        <v>142.15053760162601</v>
      </c>
      <c r="Q675" s="1">
        <f t="shared" si="63"/>
        <v>149.06881707317072</v>
      </c>
      <c r="R675" s="1">
        <f t="shared" si="64"/>
        <v>156.0445722443153</v>
      </c>
      <c r="S675" s="1">
        <f t="shared" si="65"/>
        <v>88.710327332242215</v>
      </c>
    </row>
    <row r="676" spans="1:19" x14ac:dyDescent="0.3">
      <c r="A676">
        <v>17573.2</v>
      </c>
      <c r="B676">
        <v>148.78443300000001</v>
      </c>
      <c r="C676">
        <v>156.35481899999999</v>
      </c>
      <c r="D676">
        <v>163.39103800000001</v>
      </c>
      <c r="E676">
        <v>88.820477999999994</v>
      </c>
      <c r="F676">
        <v>54.135094000000002</v>
      </c>
      <c r="G676">
        <v>20.072199000000001</v>
      </c>
      <c r="H676">
        <v>24.308779000000001</v>
      </c>
      <c r="I676"/>
      <c r="N676"/>
      <c r="O676"/>
      <c r="P676" s="1">
        <f t="shared" si="62"/>
        <v>142.14127642276421</v>
      </c>
      <c r="Q676" s="1">
        <f t="shared" si="63"/>
        <v>149.06211382113821</v>
      </c>
      <c r="R676" s="1">
        <f t="shared" si="64"/>
        <v>156.05399816457631</v>
      </c>
      <c r="S676" s="1">
        <f t="shared" si="65"/>
        <v>88.72816489361702</v>
      </c>
    </row>
    <row r="677" spans="1:19" x14ac:dyDescent="0.3">
      <c r="A677">
        <v>17573.400000000001</v>
      </c>
      <c r="B677">
        <v>148.78443300000001</v>
      </c>
      <c r="C677">
        <v>156.35481899999999</v>
      </c>
      <c r="D677">
        <v>163.39103800000001</v>
      </c>
      <c r="E677">
        <v>88.820477999999994</v>
      </c>
      <c r="F677">
        <v>54.135094000000002</v>
      </c>
      <c r="G677">
        <v>20.072199000000001</v>
      </c>
      <c r="H677">
        <v>24.308779000000001</v>
      </c>
      <c r="I677"/>
      <c r="N677"/>
      <c r="O677"/>
      <c r="P677" s="1">
        <f t="shared" si="62"/>
        <v>142.14127642276421</v>
      </c>
      <c r="Q677" s="1">
        <f t="shared" si="63"/>
        <v>149.06211382113821</v>
      </c>
      <c r="R677" s="1">
        <f t="shared" si="64"/>
        <v>156.05399816457631</v>
      </c>
      <c r="S677" s="1">
        <f t="shared" si="65"/>
        <v>88.72816489361702</v>
      </c>
    </row>
    <row r="678" spans="1:19" x14ac:dyDescent="0.3">
      <c r="A678">
        <v>17573.599999999999</v>
      </c>
      <c r="B678">
        <v>148.76820799999999</v>
      </c>
      <c r="C678">
        <v>156.346711</v>
      </c>
      <c r="D678">
        <v>163.382024</v>
      </c>
      <c r="E678">
        <v>88.696172000000004</v>
      </c>
      <c r="F678">
        <v>53.750117000000003</v>
      </c>
      <c r="G678">
        <v>20.070022000000002</v>
      </c>
      <c r="H678">
        <v>24.320789999999999</v>
      </c>
      <c r="I678"/>
      <c r="N678"/>
      <c r="O678"/>
      <c r="P678" s="1">
        <f t="shared" si="62"/>
        <v>142.16223069105689</v>
      </c>
      <c r="Q678" s="1">
        <f t="shared" si="63"/>
        <v>149.06682113821137</v>
      </c>
      <c r="R678" s="1">
        <f t="shared" si="64"/>
        <v>156.04186295503212</v>
      </c>
      <c r="S678" s="1">
        <f t="shared" si="65"/>
        <v>88.744194967266779</v>
      </c>
    </row>
    <row r="679" spans="1:19" x14ac:dyDescent="0.3">
      <c r="A679">
        <v>17573.8</v>
      </c>
      <c r="B679">
        <v>148.76820799999999</v>
      </c>
      <c r="C679">
        <v>156.346711</v>
      </c>
      <c r="D679">
        <v>163.382024</v>
      </c>
      <c r="E679">
        <v>88.696172000000004</v>
      </c>
      <c r="F679">
        <v>53.750117000000003</v>
      </c>
      <c r="G679">
        <v>20.070022000000002</v>
      </c>
      <c r="H679">
        <v>24.320789999999999</v>
      </c>
      <c r="I679"/>
      <c r="N679"/>
      <c r="O679"/>
      <c r="P679" s="1">
        <f t="shared" si="62"/>
        <v>142.16223069105689</v>
      </c>
      <c r="Q679" s="1">
        <f t="shared" si="63"/>
        <v>149.06682113821137</v>
      </c>
      <c r="R679" s="1">
        <f t="shared" si="64"/>
        <v>156.04186295503212</v>
      </c>
      <c r="S679" s="1">
        <f t="shared" si="65"/>
        <v>88.744194967266779</v>
      </c>
    </row>
    <row r="680" spans="1:19" x14ac:dyDescent="0.3">
      <c r="A680">
        <v>17574</v>
      </c>
      <c r="B680">
        <v>148.75075699999999</v>
      </c>
      <c r="C680">
        <v>156.34439900000001</v>
      </c>
      <c r="D680">
        <v>163.38649100000001</v>
      </c>
      <c r="E680">
        <v>88.739087999999995</v>
      </c>
      <c r="F680">
        <v>53.883718000000002</v>
      </c>
      <c r="G680">
        <v>20.073681000000001</v>
      </c>
      <c r="H680">
        <v>24.314982000000001</v>
      </c>
      <c r="I680" t="s">
        <v>56</v>
      </c>
      <c r="N680"/>
      <c r="O680"/>
      <c r="P680" s="1">
        <f t="shared" si="62"/>
        <v>142.16492581300813</v>
      </c>
      <c r="Q680" s="1">
        <f t="shared" si="63"/>
        <v>149.04984959349594</v>
      </c>
      <c r="R680" s="1">
        <f t="shared" si="64"/>
        <v>156.05003161007446</v>
      </c>
      <c r="S680" s="1">
        <f t="shared" si="65"/>
        <v>88.684169394435344</v>
      </c>
    </row>
    <row r="681" spans="1:19" x14ac:dyDescent="0.3">
      <c r="A681">
        <v>17574.2</v>
      </c>
      <c r="B681">
        <v>148.75075699999999</v>
      </c>
      <c r="C681">
        <v>156.34439900000001</v>
      </c>
      <c r="D681">
        <v>163.38649100000001</v>
      </c>
      <c r="E681">
        <v>88.739087999999995</v>
      </c>
      <c r="F681">
        <v>53.883718000000002</v>
      </c>
      <c r="G681">
        <v>20.073681000000001</v>
      </c>
      <c r="H681">
        <v>24.314982000000001</v>
      </c>
      <c r="I681"/>
      <c r="N681"/>
      <c r="O681"/>
      <c r="P681" s="1">
        <f t="shared" si="62"/>
        <v>142.16492581300813</v>
      </c>
      <c r="Q681" s="1">
        <f t="shared" si="63"/>
        <v>149.04984959349594</v>
      </c>
      <c r="R681" s="1">
        <f t="shared" si="64"/>
        <v>156.05003161007446</v>
      </c>
      <c r="S681" s="1">
        <f t="shared" si="65"/>
        <v>88.684169394435344</v>
      </c>
    </row>
    <row r="682" spans="1:19" x14ac:dyDescent="0.3">
      <c r="A682">
        <v>17574.400000000001</v>
      </c>
      <c r="B682">
        <v>148.79188400000001</v>
      </c>
      <c r="C682">
        <v>156.32857100000001</v>
      </c>
      <c r="D682">
        <v>163.39336399999999</v>
      </c>
      <c r="E682">
        <v>88.789483000000004</v>
      </c>
      <c r="F682">
        <v>54.562595999999999</v>
      </c>
      <c r="G682">
        <v>20.065605999999999</v>
      </c>
      <c r="H682">
        <v>24.314026999999999</v>
      </c>
      <c r="I682"/>
      <c r="N682"/>
      <c r="O682"/>
      <c r="P682" s="1">
        <f t="shared" si="62"/>
        <v>142.17585060975611</v>
      </c>
      <c r="Q682" s="1">
        <f t="shared" si="63"/>
        <v>149.05443292682926</v>
      </c>
      <c r="R682" s="1">
        <f t="shared" si="64"/>
        <v>156.0306546344448</v>
      </c>
      <c r="S682" s="1">
        <f t="shared" si="65"/>
        <v>88.665885842880527</v>
      </c>
    </row>
    <row r="683" spans="1:19" x14ac:dyDescent="0.3">
      <c r="A683">
        <v>17574.599999999999</v>
      </c>
      <c r="B683">
        <v>148.79188400000001</v>
      </c>
      <c r="C683">
        <v>156.32857100000001</v>
      </c>
      <c r="D683">
        <v>163.39336399999999</v>
      </c>
      <c r="E683">
        <v>88.789483000000004</v>
      </c>
      <c r="F683">
        <v>54.562595999999999</v>
      </c>
      <c r="G683">
        <v>20.065605999999999</v>
      </c>
      <c r="H683">
        <v>24.314026999999999</v>
      </c>
      <c r="I683"/>
      <c r="N683"/>
      <c r="O683"/>
      <c r="P683" s="1">
        <f t="shared" si="62"/>
        <v>142.17585060975611</v>
      </c>
      <c r="Q683" s="1">
        <f t="shared" si="63"/>
        <v>149.05443292682926</v>
      </c>
      <c r="R683" s="1">
        <f t="shared" si="64"/>
        <v>156.0306546344448</v>
      </c>
      <c r="S683" s="1">
        <f t="shared" si="65"/>
        <v>88.665885842880527</v>
      </c>
    </row>
    <row r="684" spans="1:19" x14ac:dyDescent="0.3">
      <c r="A684">
        <v>17574.8</v>
      </c>
      <c r="B684">
        <v>148.76844299999999</v>
      </c>
      <c r="C684">
        <v>156.33546799999999</v>
      </c>
      <c r="D684">
        <v>163.40911</v>
      </c>
      <c r="E684">
        <v>88.765781000000004</v>
      </c>
      <c r="F684">
        <v>54.130580000000002</v>
      </c>
      <c r="G684">
        <v>20.061482000000002</v>
      </c>
      <c r="H684">
        <v>24.314644999999999</v>
      </c>
      <c r="I684"/>
      <c r="N684"/>
      <c r="O684"/>
      <c r="P684" s="1">
        <f t="shared" ref="P684:P747" si="66">(B666+Q$36)/P$36</f>
        <v>142.17560670731706</v>
      </c>
      <c r="Q684" s="1">
        <f t="shared" ref="Q684:Q747" si="67">(C666+Q$36)/P$36</f>
        <v>149.03853760162602</v>
      </c>
      <c r="R684" s="1">
        <f t="shared" ref="R684:R747" si="68">(D666+Q$38)/P$38</f>
        <v>156.06480982971348</v>
      </c>
      <c r="S684" s="1">
        <f t="shared" ref="S684:S747" si="69">(E666+Q$39)/P$39</f>
        <v>88.658993453355166</v>
      </c>
    </row>
    <row r="685" spans="1:19" x14ac:dyDescent="0.3">
      <c r="A685">
        <v>17575</v>
      </c>
      <c r="B685">
        <v>148.76844299999999</v>
      </c>
      <c r="C685">
        <v>156.33546799999999</v>
      </c>
      <c r="D685">
        <v>163.40911</v>
      </c>
      <c r="E685">
        <v>88.765781000000004</v>
      </c>
      <c r="F685">
        <v>54.130580000000002</v>
      </c>
      <c r="G685">
        <v>20.061482000000002</v>
      </c>
      <c r="H685">
        <v>24.314644999999999</v>
      </c>
      <c r="I685" t="s">
        <v>56</v>
      </c>
      <c r="N685"/>
      <c r="O685"/>
      <c r="P685" s="1">
        <f t="shared" si="66"/>
        <v>142.17560670731706</v>
      </c>
      <c r="Q685" s="1">
        <f t="shared" si="67"/>
        <v>149.03853760162602</v>
      </c>
      <c r="R685" s="1">
        <f t="shared" si="68"/>
        <v>156.06480982971348</v>
      </c>
      <c r="S685" s="1">
        <f t="shared" si="69"/>
        <v>88.658993453355166</v>
      </c>
    </row>
    <row r="686" spans="1:19" x14ac:dyDescent="0.3">
      <c r="A686">
        <v>17575.2</v>
      </c>
      <c r="B686">
        <v>148.80071000000001</v>
      </c>
      <c r="C686">
        <v>156.34540799999999</v>
      </c>
      <c r="D686">
        <v>163.38376</v>
      </c>
      <c r="E686">
        <v>88.769694000000001</v>
      </c>
      <c r="F686">
        <v>53.897508999999999</v>
      </c>
      <c r="G686">
        <v>20.077612999999999</v>
      </c>
      <c r="H686">
        <v>24.318427</v>
      </c>
      <c r="I686"/>
      <c r="N686"/>
      <c r="O686"/>
      <c r="P686" s="1">
        <f t="shared" si="66"/>
        <v>142.15901930894307</v>
      </c>
      <c r="Q686" s="1">
        <f t="shared" si="67"/>
        <v>149.04201422764228</v>
      </c>
      <c r="R686" s="1">
        <f t="shared" si="68"/>
        <v>156.06401855817273</v>
      </c>
      <c r="S686" s="1">
        <f t="shared" si="69"/>
        <v>88.65386763502454</v>
      </c>
    </row>
    <row r="687" spans="1:19" x14ac:dyDescent="0.3">
      <c r="A687">
        <v>17575.400000000001</v>
      </c>
      <c r="B687">
        <v>148.80071000000001</v>
      </c>
      <c r="C687">
        <v>156.34540799999999</v>
      </c>
      <c r="D687">
        <v>163.38376</v>
      </c>
      <c r="E687">
        <v>88.769694000000001</v>
      </c>
      <c r="F687">
        <v>53.897508999999999</v>
      </c>
      <c r="G687">
        <v>20.077612999999999</v>
      </c>
      <c r="H687">
        <v>24.318427</v>
      </c>
      <c r="I687"/>
      <c r="N687"/>
      <c r="O687"/>
      <c r="P687" s="1">
        <f t="shared" si="66"/>
        <v>142.15901930894307</v>
      </c>
      <c r="Q687" s="1">
        <f t="shared" si="67"/>
        <v>149.04201422764228</v>
      </c>
      <c r="R687" s="1">
        <f t="shared" si="68"/>
        <v>156.06401855817273</v>
      </c>
      <c r="S687" s="1">
        <f t="shared" si="69"/>
        <v>88.65386763502454</v>
      </c>
    </row>
    <row r="688" spans="1:19" x14ac:dyDescent="0.3">
      <c r="A688">
        <v>17575.599999999999</v>
      </c>
      <c r="B688">
        <v>148.76466099999999</v>
      </c>
      <c r="C688">
        <v>156.33705499999999</v>
      </c>
      <c r="D688">
        <v>163.372635</v>
      </c>
      <c r="E688">
        <v>88.852402999999995</v>
      </c>
      <c r="F688">
        <v>54.533082999999998</v>
      </c>
      <c r="G688">
        <v>20.078558000000001</v>
      </c>
      <c r="H688">
        <v>24.313696</v>
      </c>
      <c r="I688"/>
      <c r="N688"/>
      <c r="O688"/>
      <c r="P688" s="1">
        <f t="shared" si="66"/>
        <v>142.13830792682927</v>
      </c>
      <c r="Q688" s="1">
        <f t="shared" si="67"/>
        <v>149.05154166666665</v>
      </c>
      <c r="R688" s="1">
        <f t="shared" si="68"/>
        <v>156.03843683083514</v>
      </c>
      <c r="S688" s="1">
        <f t="shared" si="69"/>
        <v>88.697049918166925</v>
      </c>
    </row>
    <row r="689" spans="1:19" x14ac:dyDescent="0.3">
      <c r="A689">
        <v>17575.8</v>
      </c>
      <c r="B689">
        <v>148.76466099999999</v>
      </c>
      <c r="C689">
        <v>156.33705499999999</v>
      </c>
      <c r="D689">
        <v>163.372635</v>
      </c>
      <c r="E689">
        <v>88.852402999999995</v>
      </c>
      <c r="F689">
        <v>54.533082999999998</v>
      </c>
      <c r="G689">
        <v>20.078558000000001</v>
      </c>
      <c r="H689">
        <v>24.313696</v>
      </c>
      <c r="I689"/>
      <c r="N689"/>
      <c r="O689"/>
      <c r="P689" s="1">
        <f t="shared" si="66"/>
        <v>142.13830792682927</v>
      </c>
      <c r="Q689" s="1">
        <f t="shared" si="67"/>
        <v>149.05154166666665</v>
      </c>
      <c r="R689" s="1">
        <f t="shared" si="68"/>
        <v>156.03843683083514</v>
      </c>
      <c r="S689" s="1">
        <f t="shared" si="69"/>
        <v>88.697049918166925</v>
      </c>
    </row>
    <row r="690" spans="1:19" x14ac:dyDescent="0.3">
      <c r="A690">
        <v>17576</v>
      </c>
      <c r="B690">
        <v>148.76646299999999</v>
      </c>
      <c r="C690">
        <v>156.36744899999999</v>
      </c>
      <c r="D690">
        <v>163.404325</v>
      </c>
      <c r="E690">
        <v>88.843361000000002</v>
      </c>
      <c r="F690">
        <v>54.454734999999999</v>
      </c>
      <c r="G690">
        <v>20.061744000000001</v>
      </c>
      <c r="H690">
        <v>24.315379</v>
      </c>
      <c r="I690" t="s">
        <v>56</v>
      </c>
      <c r="N690"/>
      <c r="O690"/>
      <c r="P690" s="1">
        <f t="shared" si="66"/>
        <v>142.14035162601627</v>
      </c>
      <c r="Q690" s="1">
        <f t="shared" si="67"/>
        <v>149.05715243902438</v>
      </c>
      <c r="R690" s="1">
        <f t="shared" si="68"/>
        <v>156.04666156826758</v>
      </c>
      <c r="S690" s="1">
        <f t="shared" si="69"/>
        <v>88.822041734860875</v>
      </c>
    </row>
    <row r="691" spans="1:19" x14ac:dyDescent="0.3">
      <c r="A691">
        <v>17576.2</v>
      </c>
      <c r="B691">
        <v>148.76646299999999</v>
      </c>
      <c r="C691">
        <v>156.36744899999999</v>
      </c>
      <c r="D691">
        <v>163.404325</v>
      </c>
      <c r="E691">
        <v>88.843361000000002</v>
      </c>
      <c r="F691">
        <v>54.454734999999999</v>
      </c>
      <c r="G691">
        <v>20.061744000000001</v>
      </c>
      <c r="H691">
        <v>24.315379</v>
      </c>
      <c r="I691"/>
      <c r="N691"/>
      <c r="O691"/>
      <c r="P691" s="1">
        <f t="shared" si="66"/>
        <v>142.14035162601627</v>
      </c>
      <c r="Q691" s="1">
        <f t="shared" si="67"/>
        <v>149.05715243902438</v>
      </c>
      <c r="R691" s="1">
        <f t="shared" si="68"/>
        <v>156.04666156826758</v>
      </c>
      <c r="S691" s="1">
        <f t="shared" si="69"/>
        <v>88.822041734860875</v>
      </c>
    </row>
    <row r="692" spans="1:19" x14ac:dyDescent="0.3">
      <c r="A692">
        <v>17576.400000000001</v>
      </c>
      <c r="B692">
        <v>148.79674800000001</v>
      </c>
      <c r="C692">
        <v>156.33791099999999</v>
      </c>
      <c r="D692">
        <v>163.37115299999999</v>
      </c>
      <c r="E692">
        <v>88.794842000000003</v>
      </c>
      <c r="F692">
        <v>53.719793000000003</v>
      </c>
      <c r="G692">
        <v>20.071733999999999</v>
      </c>
      <c r="H692">
        <v>24.295079999999999</v>
      </c>
      <c r="I692"/>
      <c r="N692"/>
      <c r="O692"/>
      <c r="P692" s="1">
        <f t="shared" si="66"/>
        <v>142.15548373983739</v>
      </c>
      <c r="Q692" s="1">
        <f t="shared" si="67"/>
        <v>149.0481819105691</v>
      </c>
      <c r="R692" s="1">
        <f t="shared" si="68"/>
        <v>156.06544407056185</v>
      </c>
      <c r="S692" s="1">
        <f t="shared" si="69"/>
        <v>88.801196808510639</v>
      </c>
    </row>
    <row r="693" spans="1:19" x14ac:dyDescent="0.3">
      <c r="A693">
        <v>17576.599999999999</v>
      </c>
      <c r="B693">
        <v>148.79674800000001</v>
      </c>
      <c r="C693">
        <v>156.33791099999999</v>
      </c>
      <c r="D693">
        <v>163.37115299999999</v>
      </c>
      <c r="E693">
        <v>88.794842000000003</v>
      </c>
      <c r="F693">
        <v>53.719793000000003</v>
      </c>
      <c r="G693">
        <v>20.071733999999999</v>
      </c>
      <c r="H693">
        <v>24.295079999999999</v>
      </c>
      <c r="I693"/>
      <c r="N693"/>
      <c r="O693"/>
      <c r="P693" s="1">
        <f t="shared" si="66"/>
        <v>151.9941544715447</v>
      </c>
      <c r="Q693" s="1">
        <f t="shared" si="67"/>
        <v>159.69830487804876</v>
      </c>
      <c r="R693" s="1">
        <f t="shared" si="68"/>
        <v>167.41796777811768</v>
      </c>
      <c r="S693" s="1">
        <f t="shared" si="69"/>
        <v>91.792513297872347</v>
      </c>
    </row>
    <row r="694" spans="1:19" x14ac:dyDescent="0.3">
      <c r="A694">
        <v>17576.8</v>
      </c>
      <c r="B694">
        <v>148.76325</v>
      </c>
      <c r="C694">
        <v>156.337276</v>
      </c>
      <c r="D694">
        <v>163.37845799999999</v>
      </c>
      <c r="E694">
        <v>88.761002000000005</v>
      </c>
      <c r="F694">
        <v>53.818134999999998</v>
      </c>
      <c r="G694">
        <v>20.093004000000001</v>
      </c>
      <c r="H694">
        <v>24.329505999999999</v>
      </c>
      <c r="I694"/>
      <c r="N694"/>
      <c r="O694"/>
      <c r="P694" s="1">
        <f t="shared" si="66"/>
        <v>152.00298069105691</v>
      </c>
      <c r="Q694" s="1">
        <f t="shared" si="67"/>
        <v>159.69646239837397</v>
      </c>
      <c r="R694" s="1">
        <f t="shared" si="68"/>
        <v>167.43279086366883</v>
      </c>
      <c r="S694" s="1">
        <f t="shared" si="69"/>
        <v>91.800611702127654</v>
      </c>
    </row>
    <row r="695" spans="1:19" x14ac:dyDescent="0.3">
      <c r="A695">
        <v>17577</v>
      </c>
      <c r="B695">
        <v>148.76325</v>
      </c>
      <c r="C695">
        <v>156.337276</v>
      </c>
      <c r="D695">
        <v>163.37845799999999</v>
      </c>
      <c r="E695">
        <v>88.761002000000005</v>
      </c>
      <c r="F695">
        <v>53.818134999999998</v>
      </c>
      <c r="G695">
        <v>20.093004000000001</v>
      </c>
      <c r="H695">
        <v>24.329505999999999</v>
      </c>
      <c r="I695" t="s">
        <v>56</v>
      </c>
      <c r="N695"/>
      <c r="O695"/>
      <c r="P695" s="1">
        <f t="shared" si="66"/>
        <v>152.00298069105691</v>
      </c>
      <c r="Q695" s="1">
        <f t="shared" si="67"/>
        <v>159.69646239837397</v>
      </c>
      <c r="R695" s="1">
        <f t="shared" si="68"/>
        <v>167.43279086366883</v>
      </c>
      <c r="S695" s="1">
        <f t="shared" si="69"/>
        <v>91.800611702127654</v>
      </c>
    </row>
    <row r="696" spans="1:19" x14ac:dyDescent="0.3">
      <c r="A696">
        <v>17577.2</v>
      </c>
      <c r="B696">
        <v>148.76458299999999</v>
      </c>
      <c r="C696">
        <v>156.331119</v>
      </c>
      <c r="D696">
        <v>163.39520300000001</v>
      </c>
      <c r="E696">
        <v>88.773289000000005</v>
      </c>
      <c r="F696">
        <v>53.819389999999999</v>
      </c>
      <c r="G696">
        <v>20.053940000000001</v>
      </c>
      <c r="H696">
        <v>24.333601000000002</v>
      </c>
      <c r="I696"/>
      <c r="N696"/>
      <c r="O696"/>
      <c r="P696" s="1">
        <f t="shared" si="66"/>
        <v>151.98649186991867</v>
      </c>
      <c r="Q696" s="1">
        <f t="shared" si="67"/>
        <v>159.68822256097559</v>
      </c>
      <c r="R696" s="1">
        <f t="shared" si="68"/>
        <v>167.42359946976651</v>
      </c>
      <c r="S696" s="1">
        <f t="shared" si="69"/>
        <v>91.673457446808513</v>
      </c>
    </row>
    <row r="697" spans="1:19" x14ac:dyDescent="0.3">
      <c r="A697">
        <v>17577.400000000001</v>
      </c>
      <c r="B697">
        <v>148.76458299999999</v>
      </c>
      <c r="C697">
        <v>156.331119</v>
      </c>
      <c r="D697">
        <v>163.39520300000001</v>
      </c>
      <c r="E697">
        <v>88.773289000000005</v>
      </c>
      <c r="F697">
        <v>53.819389999999999</v>
      </c>
      <c r="G697">
        <v>20.053940000000001</v>
      </c>
      <c r="H697">
        <v>24.333601000000002</v>
      </c>
      <c r="I697"/>
      <c r="N697"/>
      <c r="O697"/>
      <c r="P697" s="1">
        <f t="shared" si="66"/>
        <v>151.98649186991867</v>
      </c>
      <c r="Q697" s="1">
        <f t="shared" si="67"/>
        <v>159.68822256097559</v>
      </c>
      <c r="R697" s="1">
        <f t="shared" si="68"/>
        <v>167.42359946976651</v>
      </c>
      <c r="S697" s="1">
        <f t="shared" si="69"/>
        <v>91.673457446808513</v>
      </c>
    </row>
    <row r="698" spans="1:19" x14ac:dyDescent="0.3">
      <c r="A698">
        <v>17577.599999999999</v>
      </c>
      <c r="B698">
        <v>148.79422500000001</v>
      </c>
      <c r="C698">
        <v>156.34498099999999</v>
      </c>
      <c r="D698">
        <v>163.392674</v>
      </c>
      <c r="E698">
        <v>88.783879999999996</v>
      </c>
      <c r="F698">
        <v>54.21922</v>
      </c>
      <c r="G698">
        <v>20.072049</v>
      </c>
      <c r="H698">
        <v>24.321864000000001</v>
      </c>
      <c r="I698"/>
      <c r="N698"/>
      <c r="O698"/>
      <c r="P698" s="1">
        <f t="shared" si="66"/>
        <v>151.96875711382111</v>
      </c>
      <c r="Q698" s="1">
        <f t="shared" si="67"/>
        <v>159.68587296747967</v>
      </c>
      <c r="R698" s="1">
        <f t="shared" si="68"/>
        <v>167.42815437952484</v>
      </c>
      <c r="S698" s="1">
        <f t="shared" si="69"/>
        <v>91.717356792144017</v>
      </c>
    </row>
    <row r="699" spans="1:19" x14ac:dyDescent="0.3">
      <c r="A699">
        <v>17577.8</v>
      </c>
      <c r="B699">
        <v>148.79422500000001</v>
      </c>
      <c r="C699">
        <v>156.34498099999999</v>
      </c>
      <c r="D699">
        <v>163.392674</v>
      </c>
      <c r="E699">
        <v>88.783879999999996</v>
      </c>
      <c r="F699">
        <v>54.21922</v>
      </c>
      <c r="G699">
        <v>20.072049</v>
      </c>
      <c r="H699">
        <v>24.321864000000001</v>
      </c>
      <c r="I699"/>
      <c r="N699"/>
      <c r="O699"/>
      <c r="P699" s="1">
        <f t="shared" si="66"/>
        <v>151.96875711382111</v>
      </c>
      <c r="Q699" s="1">
        <f t="shared" si="67"/>
        <v>159.68587296747967</v>
      </c>
      <c r="R699" s="1">
        <f t="shared" si="68"/>
        <v>167.42815437952484</v>
      </c>
      <c r="S699" s="1">
        <f t="shared" si="69"/>
        <v>91.717356792144017</v>
      </c>
    </row>
    <row r="700" spans="1:19" x14ac:dyDescent="0.3">
      <c r="A700">
        <v>17578</v>
      </c>
      <c r="B700">
        <v>148.772144</v>
      </c>
      <c r="C700">
        <v>156.35464999999999</v>
      </c>
      <c r="D700">
        <v>163.38830100000001</v>
      </c>
      <c r="E700">
        <v>88.817397</v>
      </c>
      <c r="F700">
        <v>54.328887999999999</v>
      </c>
      <c r="G700">
        <v>20.078903</v>
      </c>
      <c r="H700">
        <v>24.300805</v>
      </c>
      <c r="I700" t="s">
        <v>56</v>
      </c>
      <c r="N700"/>
      <c r="O700"/>
      <c r="P700" s="1">
        <f t="shared" si="66"/>
        <v>152.01055284552845</v>
      </c>
      <c r="Q700" s="1">
        <f t="shared" si="67"/>
        <v>159.66978760162601</v>
      </c>
      <c r="R700" s="1">
        <f t="shared" si="68"/>
        <v>167.43516263893139</v>
      </c>
      <c r="S700" s="1">
        <f t="shared" si="69"/>
        <v>91.76890650572831</v>
      </c>
    </row>
    <row r="701" spans="1:19" x14ac:dyDescent="0.3">
      <c r="A701">
        <v>17578.2</v>
      </c>
      <c r="B701">
        <v>148.772144</v>
      </c>
      <c r="C701">
        <v>156.35464999999999</v>
      </c>
      <c r="D701">
        <v>163.38830100000001</v>
      </c>
      <c r="E701">
        <v>88.817397</v>
      </c>
      <c r="F701">
        <v>54.328887999999999</v>
      </c>
      <c r="G701">
        <v>20.078903</v>
      </c>
      <c r="H701">
        <v>24.300805</v>
      </c>
      <c r="I701"/>
      <c r="N701"/>
      <c r="O701"/>
      <c r="P701" s="1">
        <f t="shared" si="66"/>
        <v>152.01055284552845</v>
      </c>
      <c r="Q701" s="1">
        <f t="shared" si="67"/>
        <v>159.66978760162601</v>
      </c>
      <c r="R701" s="1">
        <f t="shared" si="68"/>
        <v>167.43516263893139</v>
      </c>
      <c r="S701" s="1">
        <f t="shared" si="69"/>
        <v>91.76890650572831</v>
      </c>
    </row>
    <row r="702" spans="1:19" x14ac:dyDescent="0.3">
      <c r="A702">
        <v>17578.400000000001</v>
      </c>
      <c r="B702">
        <v>148.78465499999999</v>
      </c>
      <c r="C702">
        <v>156.34778</v>
      </c>
      <c r="D702">
        <v>163.405269</v>
      </c>
      <c r="E702">
        <v>88.750636</v>
      </c>
      <c r="F702">
        <v>54.797789999999999</v>
      </c>
      <c r="G702">
        <v>20.077794999999998</v>
      </c>
      <c r="H702">
        <v>24.304901000000001</v>
      </c>
      <c r="I702"/>
      <c r="N702"/>
      <c r="O702"/>
      <c r="P702" s="1">
        <f t="shared" si="66"/>
        <v>151.98673069105689</v>
      </c>
      <c r="Q702" s="1">
        <f t="shared" si="67"/>
        <v>159.67679674796747</v>
      </c>
      <c r="R702" s="1">
        <f t="shared" si="68"/>
        <v>167.45121851738554</v>
      </c>
      <c r="S702" s="1">
        <f t="shared" si="69"/>
        <v>91.744661415711946</v>
      </c>
    </row>
    <row r="703" spans="1:19" x14ac:dyDescent="0.3">
      <c r="A703">
        <v>17578.599999999999</v>
      </c>
      <c r="B703">
        <v>148.78465499999999</v>
      </c>
      <c r="C703">
        <v>156.34778</v>
      </c>
      <c r="D703">
        <v>163.405269</v>
      </c>
      <c r="E703">
        <v>88.750636</v>
      </c>
      <c r="F703">
        <v>54.797789999999999</v>
      </c>
      <c r="G703">
        <v>20.077794999999998</v>
      </c>
      <c r="H703">
        <v>24.304901000000001</v>
      </c>
      <c r="I703"/>
      <c r="N703"/>
      <c r="O703"/>
      <c r="P703" s="1">
        <f t="shared" si="66"/>
        <v>151.98673069105689</v>
      </c>
      <c r="Q703" s="1">
        <f t="shared" si="67"/>
        <v>159.67679674796747</v>
      </c>
      <c r="R703" s="1">
        <f t="shared" si="68"/>
        <v>167.45121851738554</v>
      </c>
      <c r="S703" s="1">
        <f t="shared" si="69"/>
        <v>91.744661415711946</v>
      </c>
    </row>
    <row r="704" spans="1:19" x14ac:dyDescent="0.3">
      <c r="A704">
        <v>17578.8</v>
      </c>
      <c r="B704">
        <v>148.76580100000001</v>
      </c>
      <c r="C704">
        <v>156.34241700000001</v>
      </c>
      <c r="D704">
        <v>163.37354199999999</v>
      </c>
      <c r="E704">
        <v>88.770195999999999</v>
      </c>
      <c r="F704">
        <v>54.311886000000001</v>
      </c>
      <c r="G704">
        <v>20.056311999999998</v>
      </c>
      <c r="H704">
        <v>24.291060000000002</v>
      </c>
      <c r="I704"/>
      <c r="N704"/>
      <c r="O704"/>
      <c r="P704" s="1">
        <f t="shared" si="66"/>
        <v>152.01952235772359</v>
      </c>
      <c r="Q704" s="1">
        <f t="shared" si="67"/>
        <v>159.68689837398372</v>
      </c>
      <c r="R704" s="1">
        <f t="shared" si="68"/>
        <v>167.42536963393496</v>
      </c>
      <c r="S704" s="1">
        <f t="shared" si="69"/>
        <v>91.748664075286413</v>
      </c>
    </row>
    <row r="705" spans="1:19" x14ac:dyDescent="0.3">
      <c r="A705">
        <v>17579</v>
      </c>
      <c r="B705">
        <v>148.76580100000001</v>
      </c>
      <c r="C705">
        <v>156.34241700000001</v>
      </c>
      <c r="D705">
        <v>163.37354199999999</v>
      </c>
      <c r="E705">
        <v>88.770195999999999</v>
      </c>
      <c r="F705">
        <v>54.311886000000001</v>
      </c>
      <c r="G705">
        <v>20.056311999999998</v>
      </c>
      <c r="H705">
        <v>24.291060000000002</v>
      </c>
      <c r="I705" t="s">
        <v>56</v>
      </c>
      <c r="N705"/>
      <c r="O705"/>
      <c r="P705" s="1">
        <f t="shared" si="66"/>
        <v>152.01952235772359</v>
      </c>
      <c r="Q705" s="1">
        <f t="shared" si="67"/>
        <v>159.68689837398372</v>
      </c>
      <c r="R705" s="1">
        <f t="shared" si="68"/>
        <v>167.42536963393496</v>
      </c>
      <c r="S705" s="1">
        <f t="shared" si="69"/>
        <v>91.748664075286413</v>
      </c>
    </row>
    <row r="706" spans="1:19" x14ac:dyDescent="0.3">
      <c r="A706">
        <v>17579.2</v>
      </c>
      <c r="B706">
        <v>148.77033399999999</v>
      </c>
      <c r="C706">
        <v>156.335026</v>
      </c>
      <c r="D706">
        <v>163.39279199999999</v>
      </c>
      <c r="E706">
        <v>88.778604999999999</v>
      </c>
      <c r="F706">
        <v>54.120977000000003</v>
      </c>
      <c r="G706">
        <v>20.077662</v>
      </c>
      <c r="H706">
        <v>24.321311999999999</v>
      </c>
      <c r="I706"/>
      <c r="N706"/>
      <c r="O706"/>
      <c r="P706" s="1">
        <f t="shared" si="66"/>
        <v>151.98288719512192</v>
      </c>
      <c r="Q706" s="1">
        <f t="shared" si="67"/>
        <v>159.67840955284552</v>
      </c>
      <c r="R706" s="1">
        <f t="shared" si="68"/>
        <v>167.41402569593149</v>
      </c>
      <c r="S706" s="1">
        <f t="shared" si="69"/>
        <v>91.833268207855966</v>
      </c>
    </row>
    <row r="707" spans="1:19" x14ac:dyDescent="0.3">
      <c r="A707">
        <v>17579.400000000001</v>
      </c>
      <c r="B707">
        <v>148.77033399999999</v>
      </c>
      <c r="C707">
        <v>156.335026</v>
      </c>
      <c r="D707">
        <v>163.39279199999999</v>
      </c>
      <c r="E707">
        <v>88.778604999999999</v>
      </c>
      <c r="F707">
        <v>54.120977000000003</v>
      </c>
      <c r="G707">
        <v>20.077662</v>
      </c>
      <c r="H707">
        <v>24.321311999999999</v>
      </c>
      <c r="I707"/>
      <c r="N707"/>
      <c r="O707"/>
      <c r="P707" s="1">
        <f t="shared" si="66"/>
        <v>151.98288719512192</v>
      </c>
      <c r="Q707" s="1">
        <f t="shared" si="67"/>
        <v>159.67840955284552</v>
      </c>
      <c r="R707" s="1">
        <f t="shared" si="68"/>
        <v>167.41402569593149</v>
      </c>
      <c r="S707" s="1">
        <f t="shared" si="69"/>
        <v>91.833268207855966</v>
      </c>
    </row>
    <row r="708" spans="1:19" x14ac:dyDescent="0.3">
      <c r="A708">
        <v>17579.599999999999</v>
      </c>
      <c r="B708">
        <v>148.784862</v>
      </c>
      <c r="C708">
        <v>156.341193</v>
      </c>
      <c r="D708">
        <v>163.39286899999999</v>
      </c>
      <c r="E708">
        <v>88.793497000000002</v>
      </c>
      <c r="F708">
        <v>54.157438999999997</v>
      </c>
      <c r="G708">
        <v>20.070519000000001</v>
      </c>
      <c r="H708">
        <v>24.311831999999999</v>
      </c>
      <c r="I708"/>
      <c r="N708"/>
      <c r="O708"/>
      <c r="P708" s="1">
        <f t="shared" si="66"/>
        <v>151.98471849593494</v>
      </c>
      <c r="Q708" s="1">
        <f t="shared" si="67"/>
        <v>159.70929776422761</v>
      </c>
      <c r="R708" s="1">
        <f t="shared" si="68"/>
        <v>167.44633934944429</v>
      </c>
      <c r="S708" s="1">
        <f t="shared" si="69"/>
        <v>91.824019026186576</v>
      </c>
    </row>
    <row r="709" spans="1:19" x14ac:dyDescent="0.3">
      <c r="A709">
        <v>17579.8</v>
      </c>
      <c r="B709">
        <v>148.784862</v>
      </c>
      <c r="C709">
        <v>156.341193</v>
      </c>
      <c r="D709">
        <v>163.39286899999999</v>
      </c>
      <c r="E709">
        <v>88.793497000000002</v>
      </c>
      <c r="F709">
        <v>54.157438999999997</v>
      </c>
      <c r="G709">
        <v>20.070519000000001</v>
      </c>
      <c r="H709">
        <v>24.311831999999999</v>
      </c>
      <c r="I709"/>
      <c r="N709"/>
      <c r="O709"/>
      <c r="P709" s="1">
        <f t="shared" si="66"/>
        <v>151.98471849593494</v>
      </c>
      <c r="Q709" s="1">
        <f t="shared" si="67"/>
        <v>159.70929776422761</v>
      </c>
      <c r="R709" s="1">
        <f t="shared" si="68"/>
        <v>167.44633934944429</v>
      </c>
      <c r="S709" s="1">
        <f t="shared" si="69"/>
        <v>91.824019026186576</v>
      </c>
    </row>
    <row r="710" spans="1:19" x14ac:dyDescent="0.3">
      <c r="A710">
        <v>17580</v>
      </c>
      <c r="B710">
        <v>148.772403</v>
      </c>
      <c r="C710">
        <v>156.318128</v>
      </c>
      <c r="D710">
        <v>163.39206300000001</v>
      </c>
      <c r="E710">
        <v>88.860984000000002</v>
      </c>
      <c r="F710">
        <v>54.123773999999997</v>
      </c>
      <c r="G710">
        <v>20.086884999999999</v>
      </c>
      <c r="H710">
        <v>24.315138999999999</v>
      </c>
      <c r="I710" t="s">
        <v>56</v>
      </c>
      <c r="N710"/>
      <c r="O710"/>
      <c r="P710" s="1">
        <f t="shared" si="66"/>
        <v>152.01549593495935</v>
      </c>
      <c r="Q710" s="1">
        <f t="shared" si="67"/>
        <v>159.6792794715447</v>
      </c>
      <c r="R710" s="1">
        <f t="shared" si="68"/>
        <v>167.41251453043745</v>
      </c>
      <c r="S710" s="1">
        <f t="shared" si="69"/>
        <v>91.774388297872335</v>
      </c>
    </row>
    <row r="711" spans="1:19" x14ac:dyDescent="0.3">
      <c r="A711">
        <v>17580.2</v>
      </c>
      <c r="B711">
        <v>148.772403</v>
      </c>
      <c r="C711">
        <v>156.318128</v>
      </c>
      <c r="D711">
        <v>163.39206300000001</v>
      </c>
      <c r="E711">
        <v>88.860984000000002</v>
      </c>
      <c r="F711">
        <v>54.123773999999997</v>
      </c>
      <c r="G711">
        <v>20.086884999999999</v>
      </c>
      <c r="H711">
        <v>24.315138999999999</v>
      </c>
      <c r="I711"/>
      <c r="N711"/>
      <c r="O711"/>
      <c r="P711" s="1">
        <f t="shared" si="66"/>
        <v>152.01549593495935</v>
      </c>
      <c r="Q711" s="1">
        <f t="shared" si="67"/>
        <v>159.6792794715447</v>
      </c>
      <c r="R711" s="1">
        <f t="shared" si="68"/>
        <v>167.41251453043745</v>
      </c>
      <c r="S711" s="1">
        <f t="shared" si="69"/>
        <v>91.774388297872335</v>
      </c>
    </row>
    <row r="712" spans="1:19" x14ac:dyDescent="0.3">
      <c r="A712">
        <v>17580.400000000001</v>
      </c>
      <c r="B712">
        <v>148.760649</v>
      </c>
      <c r="C712">
        <v>156.35082800000001</v>
      </c>
      <c r="D712">
        <v>163.40550500000001</v>
      </c>
      <c r="E712">
        <v>88.888058000000001</v>
      </c>
      <c r="F712">
        <v>54.323025999999999</v>
      </c>
      <c r="G712">
        <v>20.076554000000002</v>
      </c>
      <c r="H712">
        <v>24.306972999999999</v>
      </c>
      <c r="I712"/>
      <c r="N712"/>
      <c r="O712"/>
      <c r="P712" s="1">
        <f t="shared" si="66"/>
        <v>151.98145325203251</v>
      </c>
      <c r="Q712" s="1">
        <f t="shared" si="67"/>
        <v>159.67863414634147</v>
      </c>
      <c r="R712" s="1">
        <f t="shared" si="68"/>
        <v>167.41996329152647</v>
      </c>
      <c r="S712" s="1">
        <f t="shared" si="69"/>
        <v>91.739772913256957</v>
      </c>
    </row>
    <row r="713" spans="1:19" x14ac:dyDescent="0.3">
      <c r="A713">
        <v>17580.599999999999</v>
      </c>
      <c r="B713">
        <v>148.760649</v>
      </c>
      <c r="C713">
        <v>156.35082800000001</v>
      </c>
      <c r="D713">
        <v>163.40550500000001</v>
      </c>
      <c r="E713">
        <v>88.888058000000001</v>
      </c>
      <c r="F713">
        <v>54.323025999999999</v>
      </c>
      <c r="G713">
        <v>20.076554000000002</v>
      </c>
      <c r="H713">
        <v>24.306972999999999</v>
      </c>
      <c r="I713"/>
      <c r="N713"/>
      <c r="O713"/>
      <c r="P713" s="1">
        <f t="shared" si="66"/>
        <v>151.98145325203251</v>
      </c>
      <c r="Q713" s="1">
        <f t="shared" si="67"/>
        <v>159.67863414634147</v>
      </c>
      <c r="R713" s="1">
        <f t="shared" si="68"/>
        <v>167.41996329152647</v>
      </c>
      <c r="S713" s="1">
        <f t="shared" si="69"/>
        <v>91.739772913256957</v>
      </c>
    </row>
    <row r="714" spans="1:19" x14ac:dyDescent="0.3">
      <c r="A714">
        <v>17580.8</v>
      </c>
      <c r="B714">
        <v>148.76736399999999</v>
      </c>
      <c r="C714">
        <v>156.334149</v>
      </c>
      <c r="D714">
        <v>163.38234600000001</v>
      </c>
      <c r="E714">
        <v>88.947297000000006</v>
      </c>
      <c r="F714">
        <v>54.558999999999997</v>
      </c>
      <c r="G714">
        <v>20.069808999999999</v>
      </c>
      <c r="H714">
        <v>24.309707</v>
      </c>
      <c r="I714"/>
      <c r="N714"/>
      <c r="O714"/>
      <c r="P714" s="1">
        <f t="shared" si="66"/>
        <v>151.98280792682925</v>
      </c>
      <c r="Q714" s="1">
        <f t="shared" si="67"/>
        <v>159.67237703252033</v>
      </c>
      <c r="R714" s="1">
        <f t="shared" si="68"/>
        <v>167.43703783012137</v>
      </c>
      <c r="S714" s="1">
        <f t="shared" si="69"/>
        <v>91.752341448445179</v>
      </c>
    </row>
    <row r="715" spans="1:19" x14ac:dyDescent="0.3">
      <c r="A715">
        <v>17581</v>
      </c>
      <c r="B715">
        <v>148.76736399999999</v>
      </c>
      <c r="C715">
        <v>156.334149</v>
      </c>
      <c r="D715">
        <v>163.38234600000001</v>
      </c>
      <c r="E715">
        <v>88.947297000000006</v>
      </c>
      <c r="F715">
        <v>54.558999999999997</v>
      </c>
      <c r="G715">
        <v>20.069808999999999</v>
      </c>
      <c r="H715">
        <v>24.309707</v>
      </c>
      <c r="I715" t="s">
        <v>56</v>
      </c>
      <c r="N715"/>
      <c r="O715"/>
      <c r="P715" s="1">
        <f t="shared" si="66"/>
        <v>151.98280792682925</v>
      </c>
      <c r="Q715" s="1">
        <f t="shared" si="67"/>
        <v>159.67237703252033</v>
      </c>
      <c r="R715" s="1">
        <f t="shared" si="68"/>
        <v>167.43703783012137</v>
      </c>
      <c r="S715" s="1">
        <f t="shared" si="69"/>
        <v>91.752341448445179</v>
      </c>
    </row>
    <row r="716" spans="1:19" x14ac:dyDescent="0.3">
      <c r="A716">
        <v>17581.2</v>
      </c>
      <c r="B716">
        <v>148.77188200000001</v>
      </c>
      <c r="C716">
        <v>156.338222</v>
      </c>
      <c r="D716">
        <v>163.37356399999999</v>
      </c>
      <c r="E716">
        <v>88.885182</v>
      </c>
      <c r="F716">
        <v>54.234180000000002</v>
      </c>
      <c r="G716">
        <v>20.073366</v>
      </c>
      <c r="H716">
        <v>24.306159999999998</v>
      </c>
      <c r="I716"/>
      <c r="N716"/>
      <c r="O716"/>
      <c r="P716" s="1">
        <f t="shared" si="66"/>
        <v>152.01293191056911</v>
      </c>
      <c r="Q716" s="1">
        <f t="shared" si="67"/>
        <v>159.68646443089429</v>
      </c>
      <c r="R716" s="1">
        <f t="shared" si="68"/>
        <v>167.43445905985521</v>
      </c>
      <c r="S716" s="1">
        <f t="shared" si="69"/>
        <v>91.763175122749587</v>
      </c>
    </row>
    <row r="717" spans="1:19" x14ac:dyDescent="0.3">
      <c r="A717">
        <v>17581.400000000001</v>
      </c>
      <c r="B717">
        <v>148.77188200000001</v>
      </c>
      <c r="C717">
        <v>156.338222</v>
      </c>
      <c r="D717">
        <v>163.37356399999999</v>
      </c>
      <c r="E717">
        <v>88.885182</v>
      </c>
      <c r="F717">
        <v>54.234180000000002</v>
      </c>
      <c r="G717">
        <v>20.073366</v>
      </c>
      <c r="H717">
        <v>24.306159999999998</v>
      </c>
      <c r="I717"/>
      <c r="N717"/>
      <c r="O717"/>
      <c r="P717" s="1">
        <f t="shared" si="66"/>
        <v>152.01293191056911</v>
      </c>
      <c r="Q717" s="1">
        <f t="shared" si="67"/>
        <v>159.68646443089429</v>
      </c>
      <c r="R717" s="1">
        <f t="shared" si="68"/>
        <v>167.43445905985521</v>
      </c>
      <c r="S717" s="1">
        <f t="shared" si="69"/>
        <v>91.763175122749587</v>
      </c>
    </row>
    <row r="718" spans="1:19" x14ac:dyDescent="0.3">
      <c r="A718">
        <v>17581.599999999999</v>
      </c>
      <c r="B718">
        <v>148.770421</v>
      </c>
      <c r="C718">
        <v>156.36275800000001</v>
      </c>
      <c r="D718">
        <v>163.36579599999999</v>
      </c>
      <c r="E718">
        <v>88.895450999999994</v>
      </c>
      <c r="F718">
        <v>54.579186</v>
      </c>
      <c r="G718">
        <v>20.078057000000001</v>
      </c>
      <c r="H718">
        <v>24.328085999999999</v>
      </c>
      <c r="I718"/>
      <c r="N718"/>
      <c r="O718"/>
      <c r="P718" s="1">
        <f t="shared" si="66"/>
        <v>151.99049186991869</v>
      </c>
      <c r="Q718" s="1">
        <f t="shared" si="67"/>
        <v>159.6962906504065</v>
      </c>
      <c r="R718" s="1">
        <f t="shared" si="68"/>
        <v>167.43000000000004</v>
      </c>
      <c r="S718" s="1">
        <f t="shared" si="69"/>
        <v>91.797460106382971</v>
      </c>
    </row>
    <row r="719" spans="1:19" x14ac:dyDescent="0.3">
      <c r="A719">
        <v>17581.8</v>
      </c>
      <c r="B719">
        <v>148.770421</v>
      </c>
      <c r="C719">
        <v>156.36275800000001</v>
      </c>
      <c r="D719">
        <v>163.36579599999999</v>
      </c>
      <c r="E719">
        <v>88.895450999999994</v>
      </c>
      <c r="F719">
        <v>54.579186</v>
      </c>
      <c r="G719">
        <v>20.078057000000001</v>
      </c>
      <c r="H719">
        <v>24.328085999999999</v>
      </c>
      <c r="I719"/>
      <c r="N719"/>
      <c r="O719"/>
      <c r="P719" s="1">
        <f t="shared" si="66"/>
        <v>151.99049186991869</v>
      </c>
      <c r="Q719" s="1">
        <f t="shared" si="67"/>
        <v>159.6962906504065</v>
      </c>
      <c r="R719" s="1">
        <f t="shared" si="68"/>
        <v>167.43000000000004</v>
      </c>
      <c r="S719" s="1">
        <f t="shared" si="69"/>
        <v>91.797460106382971</v>
      </c>
    </row>
    <row r="720" spans="1:19" x14ac:dyDescent="0.3">
      <c r="A720">
        <v>17582</v>
      </c>
      <c r="B720">
        <v>148.75614999999999</v>
      </c>
      <c r="C720">
        <v>156.33927700000001</v>
      </c>
      <c r="D720">
        <v>163.391426</v>
      </c>
      <c r="E720">
        <v>88.832302999999996</v>
      </c>
      <c r="F720">
        <v>54.360242999999997</v>
      </c>
      <c r="G720">
        <v>20.081799</v>
      </c>
      <c r="H720">
        <v>24.314561999999999</v>
      </c>
      <c r="I720" t="s">
        <v>56</v>
      </c>
      <c r="N720"/>
      <c r="O720"/>
      <c r="P720" s="1">
        <f t="shared" si="66"/>
        <v>152.00320630081299</v>
      </c>
      <c r="Q720" s="1">
        <f t="shared" si="67"/>
        <v>159.68930894308943</v>
      </c>
      <c r="R720" s="1">
        <f t="shared" si="68"/>
        <v>167.44730192719487</v>
      </c>
      <c r="S720" s="1">
        <f t="shared" si="69"/>
        <v>91.729169394435345</v>
      </c>
    </row>
    <row r="721" spans="1:19" x14ac:dyDescent="0.3">
      <c r="A721">
        <v>17582.2</v>
      </c>
      <c r="B721">
        <v>148.75614999999999</v>
      </c>
      <c r="C721">
        <v>156.33927700000001</v>
      </c>
      <c r="D721">
        <v>163.391426</v>
      </c>
      <c r="E721">
        <v>88.832302999999996</v>
      </c>
      <c r="F721">
        <v>54.360242999999997</v>
      </c>
      <c r="G721">
        <v>20.081799</v>
      </c>
      <c r="H721">
        <v>24.314561999999999</v>
      </c>
      <c r="I721"/>
      <c r="N721"/>
      <c r="O721"/>
      <c r="P721" s="1">
        <f t="shared" si="66"/>
        <v>152.00320630081299</v>
      </c>
      <c r="Q721" s="1">
        <f t="shared" si="67"/>
        <v>159.68930894308943</v>
      </c>
      <c r="R721" s="1">
        <f t="shared" si="68"/>
        <v>167.44730192719487</v>
      </c>
      <c r="S721" s="1">
        <f t="shared" si="69"/>
        <v>91.729169394435345</v>
      </c>
    </row>
    <row r="722" spans="1:19" x14ac:dyDescent="0.3">
      <c r="A722">
        <v>17582.400000000001</v>
      </c>
      <c r="B722">
        <v>148.76695000000001</v>
      </c>
      <c r="C722">
        <v>156.354116</v>
      </c>
      <c r="D722">
        <v>163.39454000000001</v>
      </c>
      <c r="E722">
        <v>88.755137000000005</v>
      </c>
      <c r="F722">
        <v>54.174464999999998</v>
      </c>
      <c r="G722">
        <v>20.059922</v>
      </c>
      <c r="H722">
        <v>24.322071999999999</v>
      </c>
      <c r="I722"/>
      <c r="N722"/>
      <c r="O722"/>
      <c r="P722" s="1">
        <f t="shared" si="66"/>
        <v>151.98404573170731</v>
      </c>
      <c r="Q722" s="1">
        <f t="shared" si="67"/>
        <v>159.6838587398374</v>
      </c>
      <c r="R722" s="1">
        <f t="shared" si="68"/>
        <v>167.41495054552871</v>
      </c>
      <c r="S722" s="1">
        <f t="shared" si="69"/>
        <v>91.749177577741406</v>
      </c>
    </row>
    <row r="723" spans="1:19" x14ac:dyDescent="0.3">
      <c r="A723">
        <v>17582.599999999999</v>
      </c>
      <c r="B723">
        <v>148.76695000000001</v>
      </c>
      <c r="C723">
        <v>156.354116</v>
      </c>
      <c r="D723">
        <v>163.39454000000001</v>
      </c>
      <c r="E723">
        <v>88.755137000000005</v>
      </c>
      <c r="F723">
        <v>54.174464999999998</v>
      </c>
      <c r="G723">
        <v>20.059922</v>
      </c>
      <c r="H723">
        <v>24.322071999999999</v>
      </c>
      <c r="I723"/>
      <c r="N723"/>
      <c r="O723"/>
      <c r="P723" s="1">
        <f t="shared" si="66"/>
        <v>151.98404573170731</v>
      </c>
      <c r="Q723" s="1">
        <f t="shared" si="67"/>
        <v>159.6838587398374</v>
      </c>
      <c r="R723" s="1">
        <f t="shared" si="68"/>
        <v>167.41495054552871</v>
      </c>
      <c r="S723" s="1">
        <f t="shared" si="69"/>
        <v>91.749177577741406</v>
      </c>
    </row>
    <row r="724" spans="1:19" x14ac:dyDescent="0.3">
      <c r="A724">
        <v>17582.8</v>
      </c>
      <c r="B724">
        <v>148.778503</v>
      </c>
      <c r="C724">
        <v>156.35213899999999</v>
      </c>
      <c r="D724">
        <v>163.40354300000001</v>
      </c>
      <c r="E724">
        <v>88.733034000000004</v>
      </c>
      <c r="F724">
        <v>54.185187999999997</v>
      </c>
      <c r="G724">
        <v>20.065508999999999</v>
      </c>
      <c r="H724">
        <v>24.306604</v>
      </c>
      <c r="I724"/>
      <c r="N724"/>
      <c r="O724"/>
      <c r="P724" s="1">
        <f t="shared" si="66"/>
        <v>151.98865243902438</v>
      </c>
      <c r="Q724" s="1">
        <f t="shared" si="67"/>
        <v>159.67634756097561</v>
      </c>
      <c r="R724" s="1">
        <f t="shared" si="68"/>
        <v>167.43457938207402</v>
      </c>
      <c r="S724" s="1">
        <f t="shared" si="69"/>
        <v>91.75777925531915</v>
      </c>
    </row>
    <row r="725" spans="1:19" x14ac:dyDescent="0.3">
      <c r="A725"/>
      <c r="B725"/>
      <c r="C725"/>
      <c r="D725"/>
      <c r="E725"/>
      <c r="F725"/>
      <c r="G725"/>
      <c r="H725"/>
      <c r="I725" t="s">
        <v>56</v>
      </c>
      <c r="N725"/>
      <c r="O725"/>
      <c r="P725" s="1">
        <f t="shared" si="66"/>
        <v>151.98865243902438</v>
      </c>
      <c r="Q725" s="1">
        <f t="shared" si="67"/>
        <v>159.67634756097561</v>
      </c>
      <c r="R725" s="1">
        <f t="shared" si="68"/>
        <v>167.43457938207402</v>
      </c>
      <c r="S725" s="1">
        <f t="shared" si="69"/>
        <v>91.75777925531915</v>
      </c>
    </row>
    <row r="726" spans="1:19" x14ac:dyDescent="0.3">
      <c r="A726"/>
      <c r="B726"/>
      <c r="C726"/>
      <c r="D726"/>
      <c r="E726"/>
      <c r="F726"/>
      <c r="G726"/>
      <c r="H726"/>
      <c r="I726"/>
      <c r="N726"/>
      <c r="O726"/>
      <c r="P726" s="1">
        <f t="shared" si="66"/>
        <v>152.00341666666665</v>
      </c>
      <c r="Q726" s="1">
        <f t="shared" si="67"/>
        <v>159.68261483739838</v>
      </c>
      <c r="R726" s="1">
        <f t="shared" si="68"/>
        <v>167.43465789742021</v>
      </c>
      <c r="S726" s="1">
        <f t="shared" si="69"/>
        <v>91.773012479541734</v>
      </c>
    </row>
    <row r="727" spans="1:19" x14ac:dyDescent="0.3">
      <c r="A727"/>
      <c r="B727"/>
      <c r="C727"/>
      <c r="D727"/>
      <c r="E727"/>
      <c r="F727"/>
      <c r="G727"/>
      <c r="H727"/>
      <c r="I727"/>
      <c r="N727"/>
      <c r="O727"/>
      <c r="P727" s="1">
        <f t="shared" si="66"/>
        <v>152.00341666666665</v>
      </c>
      <c r="Q727" s="1">
        <f t="shared" si="67"/>
        <v>159.68261483739838</v>
      </c>
      <c r="R727" s="1">
        <f t="shared" si="68"/>
        <v>167.43465789742021</v>
      </c>
      <c r="S727" s="1">
        <f t="shared" si="69"/>
        <v>91.773012479541734</v>
      </c>
    </row>
    <row r="728" spans="1:19" x14ac:dyDescent="0.3">
      <c r="A728"/>
      <c r="B728"/>
      <c r="C728"/>
      <c r="D728"/>
      <c r="E728"/>
      <c r="F728"/>
      <c r="G728"/>
      <c r="H728"/>
      <c r="I728"/>
      <c r="N728"/>
      <c r="O728"/>
      <c r="P728" s="1">
        <f t="shared" si="66"/>
        <v>151.99075508130079</v>
      </c>
      <c r="Q728" s="1">
        <f t="shared" si="67"/>
        <v>159.65917479674795</v>
      </c>
      <c r="R728" s="1">
        <f t="shared" si="68"/>
        <v>167.43383603548489</v>
      </c>
      <c r="S728" s="1">
        <f t="shared" si="69"/>
        <v>91.84204582651391</v>
      </c>
    </row>
    <row r="729" spans="1:19" x14ac:dyDescent="0.3">
      <c r="A729"/>
      <c r="B729"/>
      <c r="C729"/>
      <c r="D729"/>
      <c r="E729"/>
      <c r="F729"/>
      <c r="G729"/>
      <c r="H729"/>
      <c r="I729"/>
      <c r="N729"/>
      <c r="O729"/>
      <c r="P729" s="1">
        <f t="shared" si="66"/>
        <v>151.99075508130079</v>
      </c>
      <c r="Q729" s="1">
        <f t="shared" si="67"/>
        <v>159.65917479674795</v>
      </c>
      <c r="R729" s="1">
        <f t="shared" si="68"/>
        <v>167.43383603548489</v>
      </c>
      <c r="S729" s="1">
        <f t="shared" si="69"/>
        <v>91.84204582651391</v>
      </c>
    </row>
    <row r="730" spans="1:19" x14ac:dyDescent="0.3">
      <c r="A730"/>
      <c r="B730"/>
      <c r="C730"/>
      <c r="D730"/>
      <c r="E730"/>
      <c r="F730"/>
      <c r="G730"/>
      <c r="H730"/>
      <c r="I730" t="s">
        <v>56</v>
      </c>
      <c r="N730"/>
      <c r="O730"/>
      <c r="P730" s="1">
        <f t="shared" si="66"/>
        <v>151.97880995934958</v>
      </c>
      <c r="Q730" s="1">
        <f t="shared" si="67"/>
        <v>159.69240650406505</v>
      </c>
      <c r="R730" s="1">
        <f t="shared" si="68"/>
        <v>167.44754257163251</v>
      </c>
      <c r="S730" s="1">
        <f t="shared" si="69"/>
        <v>91.869740180032736</v>
      </c>
    </row>
    <row r="731" spans="1:19" x14ac:dyDescent="0.3">
      <c r="A731"/>
      <c r="B731"/>
      <c r="C731"/>
      <c r="D731"/>
      <c r="E731"/>
      <c r="F731"/>
      <c r="G731"/>
      <c r="H731"/>
      <c r="I731"/>
      <c r="N731"/>
      <c r="O731"/>
      <c r="P731" s="1">
        <f t="shared" si="66"/>
        <v>151.97880995934958</v>
      </c>
      <c r="Q731" s="1">
        <f t="shared" si="67"/>
        <v>159.69240650406505</v>
      </c>
      <c r="R731" s="1">
        <f t="shared" si="68"/>
        <v>167.44754257163251</v>
      </c>
      <c r="S731" s="1">
        <f t="shared" si="69"/>
        <v>91.869740180032736</v>
      </c>
    </row>
    <row r="732" spans="1:19" x14ac:dyDescent="0.3">
      <c r="A732"/>
      <c r="B732"/>
      <c r="C732"/>
      <c r="D732"/>
      <c r="E732"/>
      <c r="F732"/>
      <c r="G732"/>
      <c r="H732"/>
      <c r="I732"/>
      <c r="N732"/>
      <c r="O732"/>
      <c r="P732" s="1">
        <f t="shared" si="66"/>
        <v>151.98563414634145</v>
      </c>
      <c r="Q732" s="1">
        <f t="shared" si="67"/>
        <v>159.67545630081298</v>
      </c>
      <c r="R732" s="1">
        <f t="shared" si="68"/>
        <v>167.42392780666873</v>
      </c>
      <c r="S732" s="1">
        <f t="shared" si="69"/>
        <v>91.930336538461546</v>
      </c>
    </row>
    <row r="733" spans="1:19" x14ac:dyDescent="0.3">
      <c r="A733"/>
      <c r="B733"/>
      <c r="C733"/>
      <c r="D733"/>
      <c r="E733"/>
      <c r="F733"/>
      <c r="G733"/>
      <c r="H733"/>
      <c r="I733"/>
      <c r="N733"/>
      <c r="O733"/>
      <c r="P733" s="1">
        <f t="shared" si="66"/>
        <v>151.98563414634145</v>
      </c>
      <c r="Q733" s="1">
        <f t="shared" si="67"/>
        <v>159.67545630081298</v>
      </c>
      <c r="R733" s="1">
        <f t="shared" si="68"/>
        <v>167.42392780666873</v>
      </c>
      <c r="S733" s="1">
        <f t="shared" si="69"/>
        <v>91.930336538461546</v>
      </c>
    </row>
    <row r="734" spans="1:19" x14ac:dyDescent="0.3">
      <c r="A734"/>
      <c r="B734"/>
      <c r="C734"/>
      <c r="D734"/>
      <c r="E734"/>
      <c r="F734"/>
      <c r="G734"/>
      <c r="H734"/>
      <c r="I734"/>
      <c r="N734"/>
      <c r="O734"/>
      <c r="P734" s="1">
        <f t="shared" si="66"/>
        <v>151.9902256097561</v>
      </c>
      <c r="Q734" s="1">
        <f t="shared" si="67"/>
        <v>159.67959552845528</v>
      </c>
      <c r="R734" s="1">
        <f t="shared" si="68"/>
        <v>167.41497297848474</v>
      </c>
      <c r="S734" s="1">
        <f t="shared" si="69"/>
        <v>91.866798281505723</v>
      </c>
    </row>
    <row r="735" spans="1:19" x14ac:dyDescent="0.3">
      <c r="A735"/>
      <c r="B735"/>
      <c r="C735"/>
      <c r="D735"/>
      <c r="E735"/>
      <c r="F735"/>
      <c r="G735"/>
      <c r="H735"/>
      <c r="I735" t="s">
        <v>56</v>
      </c>
      <c r="N735"/>
      <c r="O735"/>
      <c r="P735" s="1">
        <f t="shared" si="66"/>
        <v>151.9902256097561</v>
      </c>
      <c r="Q735" s="1">
        <f t="shared" si="67"/>
        <v>159.67959552845528</v>
      </c>
      <c r="R735" s="1">
        <f t="shared" si="68"/>
        <v>167.41497297848474</v>
      </c>
      <c r="S735" s="1">
        <f t="shared" si="69"/>
        <v>91.866798281505723</v>
      </c>
    </row>
    <row r="736" spans="1:19" x14ac:dyDescent="0.3">
      <c r="A736"/>
      <c r="B736"/>
      <c r="C736"/>
      <c r="D736"/>
      <c r="E736"/>
      <c r="F736"/>
      <c r="G736"/>
      <c r="H736"/>
      <c r="I736"/>
      <c r="N736"/>
      <c r="O736"/>
      <c r="P736" s="1">
        <f t="shared" si="66"/>
        <v>151.98874085365853</v>
      </c>
      <c r="Q736" s="1">
        <f t="shared" si="67"/>
        <v>159.70453048780487</v>
      </c>
      <c r="R736" s="1">
        <f t="shared" si="68"/>
        <v>167.40705210563883</v>
      </c>
      <c r="S736" s="1">
        <f t="shared" si="69"/>
        <v>91.877302577741403</v>
      </c>
    </row>
    <row r="737" spans="1:19" x14ac:dyDescent="0.3">
      <c r="A737"/>
      <c r="B737"/>
      <c r="C737"/>
      <c r="D737"/>
      <c r="E737"/>
      <c r="F737"/>
      <c r="G737"/>
      <c r="H737"/>
      <c r="I737"/>
      <c r="N737"/>
      <c r="O737"/>
      <c r="P737" s="1">
        <f t="shared" si="66"/>
        <v>151.98874085365853</v>
      </c>
      <c r="Q737" s="1">
        <f t="shared" si="67"/>
        <v>159.70453048780487</v>
      </c>
      <c r="R737" s="1">
        <f t="shared" si="68"/>
        <v>167.40705210563883</v>
      </c>
      <c r="S737" s="1">
        <f t="shared" si="69"/>
        <v>91.877302577741403</v>
      </c>
    </row>
    <row r="738" spans="1:19" x14ac:dyDescent="0.3">
      <c r="A738"/>
      <c r="B738"/>
      <c r="C738"/>
      <c r="D738"/>
      <c r="E738"/>
      <c r="F738"/>
      <c r="G738"/>
      <c r="H738"/>
      <c r="I738"/>
      <c r="N738"/>
      <c r="O738"/>
      <c r="P738" s="1">
        <f t="shared" si="66"/>
        <v>151.97423780487804</v>
      </c>
      <c r="Q738" s="1">
        <f t="shared" si="67"/>
        <v>159.68066768292684</v>
      </c>
      <c r="R738" s="1">
        <f t="shared" si="68"/>
        <v>167.43318649943919</v>
      </c>
      <c r="S738" s="1">
        <f t="shared" si="69"/>
        <v>91.81270765139115</v>
      </c>
    </row>
    <row r="739" spans="1:19" x14ac:dyDescent="0.3">
      <c r="A739"/>
      <c r="B739"/>
      <c r="C739"/>
      <c r="D739"/>
      <c r="E739"/>
      <c r="F739"/>
      <c r="G739"/>
      <c r="H739"/>
      <c r="I739"/>
      <c r="N739"/>
      <c r="O739"/>
      <c r="P739" s="1">
        <f t="shared" si="66"/>
        <v>151.97423780487804</v>
      </c>
      <c r="Q739" s="1">
        <f t="shared" si="67"/>
        <v>159.68066768292684</v>
      </c>
      <c r="R739" s="1">
        <f t="shared" si="68"/>
        <v>167.43318649943919</v>
      </c>
      <c r="S739" s="1">
        <f t="shared" si="69"/>
        <v>91.81270765139115</v>
      </c>
    </row>
    <row r="740" spans="1:19" x14ac:dyDescent="0.3">
      <c r="A740"/>
      <c r="B740"/>
      <c r="C740"/>
      <c r="D740"/>
      <c r="E740"/>
      <c r="F740"/>
      <c r="G740"/>
      <c r="H740"/>
      <c r="I740" t="s">
        <v>56</v>
      </c>
      <c r="N740"/>
      <c r="O740"/>
      <c r="P740" s="1">
        <f t="shared" si="66"/>
        <v>151.98521341463416</v>
      </c>
      <c r="Q740" s="1">
        <f t="shared" si="67"/>
        <v>159.69574796747966</v>
      </c>
      <c r="R740" s="1">
        <f t="shared" si="68"/>
        <v>167.43636178240035</v>
      </c>
      <c r="S740" s="1">
        <f t="shared" si="69"/>
        <v>91.733773527004914</v>
      </c>
    </row>
    <row r="741" spans="1:19" x14ac:dyDescent="0.3">
      <c r="A741"/>
      <c r="B741"/>
      <c r="C741"/>
      <c r="D741"/>
      <c r="E741"/>
      <c r="F741"/>
      <c r="G741"/>
      <c r="H741"/>
      <c r="I741"/>
      <c r="N741"/>
      <c r="O741"/>
      <c r="P741" s="1">
        <f t="shared" si="66"/>
        <v>151.98521341463416</v>
      </c>
      <c r="Q741" s="1">
        <f t="shared" si="67"/>
        <v>159.69574796747966</v>
      </c>
      <c r="R741" s="1">
        <f t="shared" si="68"/>
        <v>167.43636178240035</v>
      </c>
      <c r="S741" s="1">
        <f t="shared" si="69"/>
        <v>91.733773527004914</v>
      </c>
    </row>
    <row r="742" spans="1:19" x14ac:dyDescent="0.3">
      <c r="A742"/>
      <c r="B742"/>
      <c r="C742"/>
      <c r="D742"/>
      <c r="E742"/>
      <c r="F742"/>
      <c r="G742"/>
      <c r="H742"/>
      <c r="I742"/>
      <c r="N742"/>
      <c r="O742"/>
      <c r="P742" s="1">
        <f t="shared" si="66"/>
        <v>151.99695426829268</v>
      </c>
      <c r="Q742" s="1">
        <f t="shared" si="67"/>
        <v>159.6937388211382</v>
      </c>
      <c r="R742" s="1">
        <f t="shared" si="68"/>
        <v>167.44554195982465</v>
      </c>
      <c r="S742" s="1">
        <f t="shared" si="69"/>
        <v>91.711164075286419</v>
      </c>
    </row>
    <row r="743" spans="1:19" x14ac:dyDescent="0.3">
      <c r="A743"/>
      <c r="B743"/>
      <c r="C743"/>
      <c r="D743"/>
      <c r="E743"/>
      <c r="F743"/>
      <c r="G743"/>
      <c r="H743"/>
      <c r="I743"/>
      <c r="N743"/>
      <c r="O743"/>
      <c r="P743" s="1">
        <f t="shared" si="66"/>
        <v>0.79928861788617889</v>
      </c>
      <c r="Q743" s="1">
        <f t="shared" si="67"/>
        <v>0.79928861788617889</v>
      </c>
      <c r="R743" s="1">
        <f t="shared" si="68"/>
        <v>0.82624655858060569</v>
      </c>
      <c r="S743" s="1">
        <f t="shared" si="69"/>
        <v>0.94496726677577736</v>
      </c>
    </row>
    <row r="744" spans="1:19" x14ac:dyDescent="0.3">
      <c r="A744"/>
      <c r="B744"/>
      <c r="C744"/>
      <c r="D744"/>
      <c r="E744"/>
      <c r="F744"/>
      <c r="G744"/>
      <c r="H744"/>
      <c r="I744"/>
      <c r="N744"/>
      <c r="O744"/>
      <c r="P744" s="1">
        <f t="shared" si="66"/>
        <v>0.79928861788617889</v>
      </c>
      <c r="Q744" s="1">
        <f t="shared" si="67"/>
        <v>0.79928861788617889</v>
      </c>
      <c r="R744" s="1">
        <f t="shared" si="68"/>
        <v>0.82624655858060569</v>
      </c>
      <c r="S744" s="1">
        <f t="shared" si="69"/>
        <v>0.94496726677577736</v>
      </c>
    </row>
    <row r="745" spans="1:19" x14ac:dyDescent="0.3">
      <c r="A745"/>
      <c r="B745"/>
      <c r="C745"/>
      <c r="D745"/>
      <c r="E745"/>
      <c r="F745"/>
      <c r="G745"/>
      <c r="H745"/>
      <c r="I745" t="s">
        <v>56</v>
      </c>
      <c r="N745"/>
      <c r="O745"/>
      <c r="P745" s="1">
        <f t="shared" si="66"/>
        <v>0.79928861788617889</v>
      </c>
      <c r="Q745" s="1">
        <f t="shared" si="67"/>
        <v>0.79928861788617889</v>
      </c>
      <c r="R745" s="1">
        <f t="shared" si="68"/>
        <v>0.82624655858060569</v>
      </c>
      <c r="S745" s="1">
        <f t="shared" si="69"/>
        <v>0.94496726677577736</v>
      </c>
    </row>
    <row r="746" spans="1:19" x14ac:dyDescent="0.3">
      <c r="A746"/>
      <c r="B746"/>
      <c r="C746"/>
      <c r="D746"/>
      <c r="E746"/>
      <c r="F746"/>
      <c r="G746"/>
      <c r="H746"/>
      <c r="I746"/>
      <c r="N746"/>
      <c r="O746"/>
      <c r="P746" s="1">
        <f t="shared" si="66"/>
        <v>0.79928861788617889</v>
      </c>
      <c r="Q746" s="1">
        <f t="shared" si="67"/>
        <v>0.79928861788617889</v>
      </c>
      <c r="R746" s="1">
        <f t="shared" si="68"/>
        <v>0.82624655858060569</v>
      </c>
      <c r="S746" s="1">
        <f t="shared" si="69"/>
        <v>0.94496726677577736</v>
      </c>
    </row>
    <row r="747" spans="1:19" x14ac:dyDescent="0.3">
      <c r="A747"/>
      <c r="B747"/>
      <c r="C747"/>
      <c r="D747"/>
      <c r="E747"/>
      <c r="F747"/>
      <c r="G747"/>
      <c r="H747"/>
      <c r="I747"/>
      <c r="N747"/>
      <c r="O747"/>
      <c r="P747" s="1">
        <f t="shared" si="66"/>
        <v>0.79928861788617889</v>
      </c>
      <c r="Q747" s="1">
        <f t="shared" si="67"/>
        <v>0.79928861788617889</v>
      </c>
      <c r="R747" s="1">
        <f t="shared" si="68"/>
        <v>0.82624655858060569</v>
      </c>
      <c r="S747" s="1">
        <f t="shared" si="69"/>
        <v>0.94496726677577736</v>
      </c>
    </row>
    <row r="748" spans="1:19" x14ac:dyDescent="0.3">
      <c r="A748"/>
      <c r="B748"/>
      <c r="C748"/>
      <c r="D748"/>
      <c r="E748"/>
      <c r="F748"/>
      <c r="G748"/>
      <c r="H748"/>
      <c r="I748"/>
      <c r="N748"/>
      <c r="O748"/>
      <c r="P748" s="1">
        <f t="shared" ref="P748:P811" si="70">(B730+Q$36)/P$36</f>
        <v>0.79928861788617889</v>
      </c>
      <c r="Q748" s="1">
        <f t="shared" ref="Q748:Q811" si="71">(C730+Q$36)/P$36</f>
        <v>0.79928861788617889</v>
      </c>
      <c r="R748" s="1">
        <f t="shared" ref="R748:R811" si="72">(D730+Q$38)/P$38</f>
        <v>0.82624655858060569</v>
      </c>
      <c r="S748" s="1">
        <f t="shared" ref="S748:S811" si="73">(E730+Q$39)/P$39</f>
        <v>0.94496726677577736</v>
      </c>
    </row>
    <row r="749" spans="1:19" x14ac:dyDescent="0.3">
      <c r="A749"/>
      <c r="B749"/>
      <c r="C749"/>
      <c r="D749"/>
      <c r="E749"/>
      <c r="F749"/>
      <c r="G749"/>
      <c r="H749"/>
      <c r="I749"/>
      <c r="N749"/>
      <c r="O749"/>
      <c r="P749" s="1">
        <f t="shared" si="70"/>
        <v>0.79928861788617889</v>
      </c>
      <c r="Q749" s="1">
        <f t="shared" si="71"/>
        <v>0.79928861788617889</v>
      </c>
      <c r="R749" s="1">
        <f t="shared" si="72"/>
        <v>0.82624655858060569</v>
      </c>
      <c r="S749" s="1">
        <f t="shared" si="73"/>
        <v>0.94496726677577736</v>
      </c>
    </row>
    <row r="750" spans="1:19" x14ac:dyDescent="0.3">
      <c r="A750"/>
      <c r="B750"/>
      <c r="C750"/>
      <c r="D750"/>
      <c r="E750"/>
      <c r="F750"/>
      <c r="G750"/>
      <c r="H750"/>
      <c r="I750" t="s">
        <v>56</v>
      </c>
      <c r="N750"/>
      <c r="O750"/>
      <c r="P750" s="1">
        <f t="shared" si="70"/>
        <v>0.79928861788617889</v>
      </c>
      <c r="Q750" s="1">
        <f t="shared" si="71"/>
        <v>0.79928861788617889</v>
      </c>
      <c r="R750" s="1">
        <f t="shared" si="72"/>
        <v>0.82624655858060569</v>
      </c>
      <c r="S750" s="1">
        <f t="shared" si="73"/>
        <v>0.94496726677577736</v>
      </c>
    </row>
    <row r="751" spans="1:19" x14ac:dyDescent="0.3">
      <c r="A751"/>
      <c r="B751"/>
      <c r="C751"/>
      <c r="D751"/>
      <c r="E751"/>
      <c r="F751"/>
      <c r="G751"/>
      <c r="H751"/>
      <c r="I751"/>
      <c r="N751"/>
      <c r="O751"/>
      <c r="P751" s="1">
        <f t="shared" si="70"/>
        <v>0.79928861788617889</v>
      </c>
      <c r="Q751" s="1">
        <f t="shared" si="71"/>
        <v>0.79928861788617889</v>
      </c>
      <c r="R751" s="1">
        <f t="shared" si="72"/>
        <v>0.82624655858060569</v>
      </c>
      <c r="S751" s="1">
        <f t="shared" si="73"/>
        <v>0.94496726677577736</v>
      </c>
    </row>
    <row r="752" spans="1:19" x14ac:dyDescent="0.3">
      <c r="A752"/>
      <c r="B752"/>
      <c r="C752"/>
      <c r="D752"/>
      <c r="E752"/>
      <c r="F752"/>
      <c r="G752"/>
      <c r="H752"/>
      <c r="I752"/>
      <c r="N752"/>
      <c r="O752"/>
      <c r="P752" s="1">
        <f t="shared" si="70"/>
        <v>0.79928861788617889</v>
      </c>
      <c r="Q752" s="1">
        <f t="shared" si="71"/>
        <v>0.79928861788617889</v>
      </c>
      <c r="R752" s="1">
        <f t="shared" si="72"/>
        <v>0.82624655858060569</v>
      </c>
      <c r="S752" s="1">
        <f t="shared" si="73"/>
        <v>0.94496726677577736</v>
      </c>
    </row>
    <row r="753" spans="1:19" x14ac:dyDescent="0.3">
      <c r="A753"/>
      <c r="B753"/>
      <c r="C753"/>
      <c r="D753"/>
      <c r="E753"/>
      <c r="F753"/>
      <c r="G753"/>
      <c r="H753"/>
      <c r="I753"/>
      <c r="N753"/>
      <c r="O753"/>
      <c r="P753" s="1">
        <f t="shared" si="70"/>
        <v>0.79928861788617889</v>
      </c>
      <c r="Q753" s="1">
        <f t="shared" si="71"/>
        <v>0.79928861788617889</v>
      </c>
      <c r="R753" s="1">
        <f t="shared" si="72"/>
        <v>0.82624655858060569</v>
      </c>
      <c r="S753" s="1">
        <f t="shared" si="73"/>
        <v>0.94496726677577736</v>
      </c>
    </row>
    <row r="754" spans="1:19" x14ac:dyDescent="0.3">
      <c r="A754"/>
      <c r="B754"/>
      <c r="C754"/>
      <c r="D754"/>
      <c r="E754"/>
      <c r="F754"/>
      <c r="G754"/>
      <c r="H754"/>
      <c r="I754"/>
      <c r="N754"/>
      <c r="O754"/>
      <c r="P754" s="1">
        <f t="shared" si="70"/>
        <v>0.79928861788617889</v>
      </c>
      <c r="Q754" s="1">
        <f t="shared" si="71"/>
        <v>0.79928861788617889</v>
      </c>
      <c r="R754" s="1">
        <f t="shared" si="72"/>
        <v>0.82624655858060569</v>
      </c>
      <c r="S754" s="1">
        <f t="shared" si="73"/>
        <v>0.94496726677577736</v>
      </c>
    </row>
    <row r="755" spans="1:19" x14ac:dyDescent="0.3">
      <c r="A755"/>
      <c r="B755"/>
      <c r="C755"/>
      <c r="D755"/>
      <c r="E755"/>
      <c r="F755"/>
      <c r="G755"/>
      <c r="H755"/>
      <c r="I755" t="s">
        <v>56</v>
      </c>
      <c r="N755"/>
      <c r="O755"/>
      <c r="P755" s="1">
        <f t="shared" si="70"/>
        <v>0.79928861788617889</v>
      </c>
      <c r="Q755" s="1">
        <f t="shared" si="71"/>
        <v>0.79928861788617889</v>
      </c>
      <c r="R755" s="1">
        <f t="shared" si="72"/>
        <v>0.82624655858060569</v>
      </c>
      <c r="S755" s="1">
        <f t="shared" si="73"/>
        <v>0.94496726677577736</v>
      </c>
    </row>
    <row r="756" spans="1:19" x14ac:dyDescent="0.3">
      <c r="A756"/>
      <c r="B756"/>
      <c r="C756"/>
      <c r="D756"/>
      <c r="E756"/>
      <c r="F756"/>
      <c r="G756"/>
      <c r="H756"/>
      <c r="I756"/>
      <c r="N756"/>
      <c r="O756"/>
      <c r="P756" s="1">
        <f t="shared" si="70"/>
        <v>0.79928861788617889</v>
      </c>
      <c r="Q756" s="1">
        <f t="shared" si="71"/>
        <v>0.79928861788617889</v>
      </c>
      <c r="R756" s="1">
        <f t="shared" si="72"/>
        <v>0.82624655858060569</v>
      </c>
      <c r="S756" s="1">
        <f t="shared" si="73"/>
        <v>0.94496726677577736</v>
      </c>
    </row>
    <row r="757" spans="1:19" x14ac:dyDescent="0.3">
      <c r="A757"/>
      <c r="B757"/>
      <c r="C757"/>
      <c r="D757"/>
      <c r="E757"/>
      <c r="F757"/>
      <c r="G757"/>
      <c r="H757"/>
      <c r="I757"/>
      <c r="N757"/>
      <c r="O757"/>
      <c r="P757" s="1">
        <f t="shared" si="70"/>
        <v>0.79928861788617889</v>
      </c>
      <c r="Q757" s="1">
        <f t="shared" si="71"/>
        <v>0.79928861788617889</v>
      </c>
      <c r="R757" s="1">
        <f t="shared" si="72"/>
        <v>0.82624655858060569</v>
      </c>
      <c r="S757" s="1">
        <f t="shared" si="73"/>
        <v>0.94496726677577736</v>
      </c>
    </row>
    <row r="758" spans="1:19" x14ac:dyDescent="0.3">
      <c r="A758"/>
      <c r="B758"/>
      <c r="C758"/>
      <c r="D758"/>
      <c r="E758"/>
      <c r="F758"/>
      <c r="G758"/>
      <c r="H758"/>
      <c r="I758"/>
      <c r="N758"/>
      <c r="O758"/>
      <c r="P758" s="1">
        <f t="shared" si="70"/>
        <v>0.79928861788617889</v>
      </c>
      <c r="Q758" s="1">
        <f t="shared" si="71"/>
        <v>0.79928861788617889</v>
      </c>
      <c r="R758" s="1">
        <f t="shared" si="72"/>
        <v>0.82624655858060569</v>
      </c>
      <c r="S758" s="1">
        <f t="shared" si="73"/>
        <v>0.94496726677577736</v>
      </c>
    </row>
    <row r="759" spans="1:19" x14ac:dyDescent="0.3">
      <c r="A759"/>
      <c r="B759"/>
      <c r="C759"/>
      <c r="D759"/>
      <c r="E759"/>
      <c r="F759"/>
      <c r="G759"/>
      <c r="H759"/>
      <c r="I759"/>
      <c r="N759"/>
      <c r="O759"/>
      <c r="P759" s="1">
        <f t="shared" si="70"/>
        <v>0.79928861788617889</v>
      </c>
      <c r="Q759" s="1">
        <f t="shared" si="71"/>
        <v>0.79928861788617889</v>
      </c>
      <c r="R759" s="1">
        <f t="shared" si="72"/>
        <v>0.82624655858060569</v>
      </c>
      <c r="S759" s="1">
        <f t="shared" si="73"/>
        <v>0.94496726677577736</v>
      </c>
    </row>
    <row r="760" spans="1:19" x14ac:dyDescent="0.3">
      <c r="A760"/>
      <c r="B760"/>
      <c r="C760"/>
      <c r="D760"/>
      <c r="E760"/>
      <c r="F760"/>
      <c r="G760"/>
      <c r="H760"/>
      <c r="I760" t="s">
        <v>56</v>
      </c>
      <c r="N760"/>
      <c r="O760"/>
      <c r="P760" s="1">
        <f t="shared" si="70"/>
        <v>0.79928861788617889</v>
      </c>
      <c r="Q760" s="1">
        <f t="shared" si="71"/>
        <v>0.79928861788617889</v>
      </c>
      <c r="R760" s="1">
        <f t="shared" si="72"/>
        <v>0.82624655858060569</v>
      </c>
      <c r="S760" s="1">
        <f t="shared" si="73"/>
        <v>0.94496726677577736</v>
      </c>
    </row>
    <row r="761" spans="1:19" x14ac:dyDescent="0.3">
      <c r="A761"/>
      <c r="B761"/>
      <c r="C761"/>
      <c r="D761"/>
      <c r="E761"/>
      <c r="F761"/>
      <c r="G761"/>
      <c r="H761"/>
      <c r="I761"/>
      <c r="N761"/>
      <c r="O761"/>
      <c r="P761" s="1">
        <f t="shared" si="70"/>
        <v>0.79928861788617889</v>
      </c>
      <c r="Q761" s="1">
        <f t="shared" si="71"/>
        <v>0.79928861788617889</v>
      </c>
      <c r="R761" s="1">
        <f t="shared" si="72"/>
        <v>0.82624655858060569</v>
      </c>
      <c r="S761" s="1">
        <f t="shared" si="73"/>
        <v>0.94496726677577736</v>
      </c>
    </row>
    <row r="762" spans="1:19" x14ac:dyDescent="0.3">
      <c r="A762"/>
      <c r="B762"/>
      <c r="C762"/>
      <c r="D762"/>
      <c r="E762"/>
      <c r="F762"/>
      <c r="G762"/>
      <c r="H762"/>
      <c r="I762"/>
      <c r="N762"/>
      <c r="O762"/>
      <c r="P762" s="1">
        <f t="shared" si="70"/>
        <v>0.79928861788617889</v>
      </c>
      <c r="Q762" s="1">
        <f t="shared" si="71"/>
        <v>0.79928861788617889</v>
      </c>
      <c r="R762" s="1">
        <f t="shared" si="72"/>
        <v>0.82624655858060569</v>
      </c>
      <c r="S762" s="1">
        <f t="shared" si="73"/>
        <v>0.94496726677577736</v>
      </c>
    </row>
    <row r="763" spans="1:19" x14ac:dyDescent="0.3">
      <c r="A763"/>
      <c r="B763"/>
      <c r="C763"/>
      <c r="D763"/>
      <c r="E763"/>
      <c r="F763"/>
      <c r="G763"/>
      <c r="H763"/>
      <c r="I763"/>
      <c r="N763"/>
      <c r="O763"/>
      <c r="P763" s="1">
        <f t="shared" si="70"/>
        <v>0.79928861788617889</v>
      </c>
      <c r="Q763" s="1">
        <f t="shared" si="71"/>
        <v>0.79928861788617889</v>
      </c>
      <c r="R763" s="1">
        <f t="shared" si="72"/>
        <v>0.82624655858060569</v>
      </c>
      <c r="S763" s="1">
        <f t="shared" si="73"/>
        <v>0.94496726677577736</v>
      </c>
    </row>
    <row r="764" spans="1:19" x14ac:dyDescent="0.3">
      <c r="A764"/>
      <c r="B764"/>
      <c r="C764"/>
      <c r="D764"/>
      <c r="E764"/>
      <c r="F764"/>
      <c r="G764"/>
      <c r="H764"/>
      <c r="I764"/>
      <c r="N764"/>
      <c r="O764"/>
      <c r="P764" s="1">
        <f t="shared" si="70"/>
        <v>0.79928861788617889</v>
      </c>
      <c r="Q764" s="1">
        <f t="shared" si="71"/>
        <v>0.79928861788617889</v>
      </c>
      <c r="R764" s="1">
        <f t="shared" si="72"/>
        <v>0.82624655858060569</v>
      </c>
      <c r="S764" s="1">
        <f t="shared" si="73"/>
        <v>0.94496726677577736</v>
      </c>
    </row>
    <row r="765" spans="1:19" x14ac:dyDescent="0.3">
      <c r="A765"/>
      <c r="B765"/>
      <c r="C765"/>
      <c r="D765"/>
      <c r="E765"/>
      <c r="F765"/>
      <c r="G765"/>
      <c r="H765"/>
      <c r="I765" t="s">
        <v>56</v>
      </c>
      <c r="N765"/>
      <c r="O765"/>
      <c r="P765" s="1">
        <f t="shared" si="70"/>
        <v>0.79928861788617889</v>
      </c>
      <c r="Q765" s="1">
        <f t="shared" si="71"/>
        <v>0.79928861788617889</v>
      </c>
      <c r="R765" s="1">
        <f t="shared" si="72"/>
        <v>0.82624655858060569</v>
      </c>
      <c r="S765" s="1">
        <f t="shared" si="73"/>
        <v>0.94496726677577736</v>
      </c>
    </row>
    <row r="766" spans="1:19" x14ac:dyDescent="0.3">
      <c r="A766"/>
      <c r="B766"/>
      <c r="C766"/>
      <c r="D766"/>
      <c r="E766"/>
      <c r="F766"/>
      <c r="G766"/>
      <c r="H766"/>
      <c r="I766"/>
      <c r="N766"/>
      <c r="O766"/>
      <c r="P766" s="1">
        <f t="shared" si="70"/>
        <v>0.79928861788617889</v>
      </c>
      <c r="Q766" s="1">
        <f t="shared" si="71"/>
        <v>0.79928861788617889</v>
      </c>
      <c r="R766" s="1">
        <f t="shared" si="72"/>
        <v>0.82624655858060569</v>
      </c>
      <c r="S766" s="1">
        <f t="shared" si="73"/>
        <v>0.94496726677577736</v>
      </c>
    </row>
    <row r="767" spans="1:19" x14ac:dyDescent="0.3">
      <c r="A767"/>
      <c r="B767"/>
      <c r="C767"/>
      <c r="D767"/>
      <c r="E767"/>
      <c r="F767"/>
      <c r="G767"/>
      <c r="H767"/>
      <c r="I767"/>
      <c r="N767"/>
      <c r="O767"/>
      <c r="P767" s="1">
        <f t="shared" si="70"/>
        <v>0.79928861788617889</v>
      </c>
      <c r="Q767" s="1">
        <f t="shared" si="71"/>
        <v>0.79928861788617889</v>
      </c>
      <c r="R767" s="1">
        <f t="shared" si="72"/>
        <v>0.82624655858060569</v>
      </c>
      <c r="S767" s="1">
        <f t="shared" si="73"/>
        <v>0.94496726677577736</v>
      </c>
    </row>
    <row r="768" spans="1:19" x14ac:dyDescent="0.3">
      <c r="A768"/>
      <c r="B768"/>
      <c r="C768"/>
      <c r="D768"/>
      <c r="E768"/>
      <c r="F768"/>
      <c r="G768"/>
      <c r="H768"/>
      <c r="I768"/>
      <c r="N768"/>
      <c r="O768"/>
      <c r="P768" s="1">
        <f t="shared" si="70"/>
        <v>0.79928861788617889</v>
      </c>
      <c r="Q768" s="1">
        <f t="shared" si="71"/>
        <v>0.79928861788617889</v>
      </c>
      <c r="R768" s="1">
        <f t="shared" si="72"/>
        <v>0.82624655858060569</v>
      </c>
      <c r="S768" s="1">
        <f t="shared" si="73"/>
        <v>0.94496726677577736</v>
      </c>
    </row>
    <row r="769" spans="1:19" x14ac:dyDescent="0.3">
      <c r="A769"/>
      <c r="B769"/>
      <c r="C769"/>
      <c r="D769"/>
      <c r="E769"/>
      <c r="F769"/>
      <c r="G769"/>
      <c r="H769"/>
      <c r="I769"/>
      <c r="N769"/>
      <c r="O769"/>
      <c r="P769" s="1">
        <f t="shared" si="70"/>
        <v>0.79928861788617889</v>
      </c>
      <c r="Q769" s="1">
        <f t="shared" si="71"/>
        <v>0.79928861788617889</v>
      </c>
      <c r="R769" s="1">
        <f t="shared" si="72"/>
        <v>0.82624655858060569</v>
      </c>
      <c r="S769" s="1">
        <f t="shared" si="73"/>
        <v>0.94496726677577736</v>
      </c>
    </row>
    <row r="770" spans="1:19" x14ac:dyDescent="0.3">
      <c r="A770"/>
      <c r="B770"/>
      <c r="C770"/>
      <c r="D770"/>
      <c r="E770"/>
      <c r="F770"/>
      <c r="G770"/>
      <c r="H770"/>
      <c r="I770" t="s">
        <v>56</v>
      </c>
      <c r="N770"/>
      <c r="O770"/>
      <c r="P770" s="1">
        <f t="shared" si="70"/>
        <v>0.79928861788617889</v>
      </c>
      <c r="Q770" s="1">
        <f t="shared" si="71"/>
        <v>0.79928861788617889</v>
      </c>
      <c r="R770" s="1">
        <f t="shared" si="72"/>
        <v>0.82624655858060569</v>
      </c>
      <c r="S770" s="1">
        <f t="shared" si="73"/>
        <v>0.94496726677577736</v>
      </c>
    </row>
    <row r="771" spans="1:19" x14ac:dyDescent="0.3">
      <c r="A771"/>
      <c r="B771"/>
      <c r="C771"/>
      <c r="D771"/>
      <c r="E771"/>
      <c r="F771"/>
      <c r="G771"/>
      <c r="H771"/>
      <c r="I771"/>
      <c r="N771"/>
      <c r="O771"/>
      <c r="P771" s="1">
        <f t="shared" si="70"/>
        <v>0.79928861788617889</v>
      </c>
      <c r="Q771" s="1">
        <f t="shared" si="71"/>
        <v>0.79928861788617889</v>
      </c>
      <c r="R771" s="1">
        <f t="shared" si="72"/>
        <v>0.82624655858060569</v>
      </c>
      <c r="S771" s="1">
        <f t="shared" si="73"/>
        <v>0.94496726677577736</v>
      </c>
    </row>
    <row r="772" spans="1:19" x14ac:dyDescent="0.3">
      <c r="A772"/>
      <c r="B772"/>
      <c r="C772"/>
      <c r="D772"/>
      <c r="E772"/>
      <c r="F772"/>
      <c r="G772"/>
      <c r="H772"/>
      <c r="I772"/>
      <c r="N772"/>
      <c r="O772"/>
      <c r="P772" s="1">
        <f t="shared" si="70"/>
        <v>0.79928861788617889</v>
      </c>
      <c r="Q772" s="1">
        <f t="shared" si="71"/>
        <v>0.79928861788617889</v>
      </c>
      <c r="R772" s="1">
        <f t="shared" si="72"/>
        <v>0.82624655858060569</v>
      </c>
      <c r="S772" s="1">
        <f t="shared" si="73"/>
        <v>0.94496726677577736</v>
      </c>
    </row>
    <row r="773" spans="1:19" x14ac:dyDescent="0.3">
      <c r="A773"/>
      <c r="B773"/>
      <c r="C773"/>
      <c r="D773"/>
      <c r="E773"/>
      <c r="F773"/>
      <c r="G773"/>
      <c r="H773"/>
      <c r="I773"/>
      <c r="N773"/>
      <c r="O773"/>
      <c r="P773" s="1">
        <f t="shared" si="70"/>
        <v>0.79928861788617889</v>
      </c>
      <c r="Q773" s="1">
        <f t="shared" si="71"/>
        <v>0.79928861788617889</v>
      </c>
      <c r="R773" s="1">
        <f t="shared" si="72"/>
        <v>0.82624655858060569</v>
      </c>
      <c r="S773" s="1">
        <f t="shared" si="73"/>
        <v>0.94496726677577736</v>
      </c>
    </row>
    <row r="774" spans="1:19" x14ac:dyDescent="0.3">
      <c r="A774"/>
      <c r="B774"/>
      <c r="C774"/>
      <c r="D774"/>
      <c r="E774"/>
      <c r="F774"/>
      <c r="G774"/>
      <c r="H774"/>
      <c r="I774"/>
      <c r="N774"/>
      <c r="O774"/>
      <c r="P774" s="1">
        <f t="shared" si="70"/>
        <v>0.79928861788617889</v>
      </c>
      <c r="Q774" s="1">
        <f t="shared" si="71"/>
        <v>0.79928861788617889</v>
      </c>
      <c r="R774" s="1">
        <f t="shared" si="72"/>
        <v>0.82624655858060569</v>
      </c>
      <c r="S774" s="1">
        <f t="shared" si="73"/>
        <v>0.94496726677577736</v>
      </c>
    </row>
    <row r="775" spans="1:19" x14ac:dyDescent="0.3">
      <c r="A775"/>
      <c r="B775"/>
      <c r="C775"/>
      <c r="D775"/>
      <c r="E775"/>
      <c r="F775"/>
      <c r="G775"/>
      <c r="H775"/>
      <c r="I775"/>
      <c r="N775"/>
      <c r="O775"/>
      <c r="P775" s="1">
        <f t="shared" si="70"/>
        <v>0.79928861788617889</v>
      </c>
      <c r="Q775" s="1">
        <f t="shared" si="71"/>
        <v>0.79928861788617889</v>
      </c>
      <c r="R775" s="1">
        <f t="shared" si="72"/>
        <v>0.82624655858060569</v>
      </c>
      <c r="S775" s="1">
        <f t="shared" si="73"/>
        <v>0.94496726677577736</v>
      </c>
    </row>
    <row r="776" spans="1:19" x14ac:dyDescent="0.3">
      <c r="A776"/>
      <c r="B776"/>
      <c r="C776"/>
      <c r="D776"/>
      <c r="E776"/>
      <c r="F776"/>
      <c r="G776"/>
      <c r="H776"/>
      <c r="I776"/>
      <c r="N776"/>
      <c r="O776"/>
      <c r="P776" s="1">
        <f t="shared" si="70"/>
        <v>0.79928861788617889</v>
      </c>
      <c r="Q776" s="1">
        <f t="shared" si="71"/>
        <v>0.79928861788617889</v>
      </c>
      <c r="R776" s="1">
        <f t="shared" si="72"/>
        <v>0.82624655858060569</v>
      </c>
      <c r="S776" s="1">
        <f t="shared" si="73"/>
        <v>0.94496726677577736</v>
      </c>
    </row>
    <row r="777" spans="1:19" x14ac:dyDescent="0.3">
      <c r="A777"/>
      <c r="B777"/>
      <c r="C777"/>
      <c r="D777"/>
      <c r="E777"/>
      <c r="F777"/>
      <c r="G777"/>
      <c r="H777"/>
      <c r="I777"/>
      <c r="N777"/>
      <c r="O777"/>
      <c r="P777" s="1">
        <f t="shared" si="70"/>
        <v>0.79928861788617889</v>
      </c>
      <c r="Q777" s="1">
        <f t="shared" si="71"/>
        <v>0.79928861788617889</v>
      </c>
      <c r="R777" s="1">
        <f t="shared" si="72"/>
        <v>0.82624655858060569</v>
      </c>
      <c r="S777" s="1">
        <f t="shared" si="73"/>
        <v>0.94496726677577736</v>
      </c>
    </row>
    <row r="778" spans="1:19" x14ac:dyDescent="0.3">
      <c r="A778"/>
      <c r="B778"/>
      <c r="C778"/>
      <c r="D778"/>
      <c r="E778"/>
      <c r="F778"/>
      <c r="G778"/>
      <c r="H778"/>
      <c r="I778"/>
      <c r="N778"/>
      <c r="O778"/>
      <c r="P778" s="1">
        <f t="shared" si="70"/>
        <v>0.79928861788617889</v>
      </c>
      <c r="Q778" s="1">
        <f t="shared" si="71"/>
        <v>0.79928861788617889</v>
      </c>
      <c r="R778" s="1">
        <f t="shared" si="72"/>
        <v>0.82624655858060569</v>
      </c>
      <c r="S778" s="1">
        <f t="shared" si="73"/>
        <v>0.94496726677577736</v>
      </c>
    </row>
    <row r="779" spans="1:19" x14ac:dyDescent="0.3">
      <c r="A779"/>
      <c r="B779"/>
      <c r="C779"/>
      <c r="D779"/>
      <c r="E779"/>
      <c r="F779"/>
      <c r="G779"/>
      <c r="H779"/>
      <c r="I779"/>
      <c r="N779"/>
      <c r="O779"/>
      <c r="P779" s="1">
        <f t="shared" si="70"/>
        <v>0.79928861788617889</v>
      </c>
      <c r="Q779" s="1">
        <f t="shared" si="71"/>
        <v>0.79928861788617889</v>
      </c>
      <c r="R779" s="1">
        <f t="shared" si="72"/>
        <v>0.82624655858060569</v>
      </c>
      <c r="S779" s="1">
        <f t="shared" si="73"/>
        <v>0.94496726677577736</v>
      </c>
    </row>
    <row r="780" spans="1:19" x14ac:dyDescent="0.3">
      <c r="A780"/>
      <c r="B780"/>
      <c r="C780"/>
      <c r="D780"/>
      <c r="E780"/>
      <c r="F780"/>
      <c r="G780"/>
      <c r="H780"/>
      <c r="I780"/>
      <c r="N780"/>
      <c r="O780"/>
      <c r="P780" s="1">
        <f t="shared" si="70"/>
        <v>0.79928861788617889</v>
      </c>
      <c r="Q780" s="1">
        <f t="shared" si="71"/>
        <v>0.79928861788617889</v>
      </c>
      <c r="R780" s="1">
        <f t="shared" si="72"/>
        <v>0.82624655858060569</v>
      </c>
      <c r="S780" s="1">
        <f t="shared" si="73"/>
        <v>0.94496726677577736</v>
      </c>
    </row>
    <row r="781" spans="1:19" x14ac:dyDescent="0.3">
      <c r="A781"/>
      <c r="B781"/>
      <c r="C781"/>
      <c r="D781"/>
      <c r="E781"/>
      <c r="F781"/>
      <c r="G781"/>
      <c r="H781"/>
      <c r="I781"/>
      <c r="N781"/>
      <c r="O781"/>
      <c r="P781" s="1">
        <f t="shared" si="70"/>
        <v>0.79928861788617889</v>
      </c>
      <c r="Q781" s="1">
        <f t="shared" si="71"/>
        <v>0.79928861788617889</v>
      </c>
      <c r="R781" s="1">
        <f t="shared" si="72"/>
        <v>0.82624655858060569</v>
      </c>
      <c r="S781" s="1">
        <f t="shared" si="73"/>
        <v>0.94496726677577736</v>
      </c>
    </row>
    <row r="782" spans="1:19" x14ac:dyDescent="0.3">
      <c r="A782"/>
      <c r="B782"/>
      <c r="C782"/>
      <c r="D782"/>
      <c r="E782"/>
      <c r="F782"/>
      <c r="G782"/>
      <c r="H782"/>
      <c r="I782"/>
      <c r="N782"/>
      <c r="O782"/>
      <c r="P782" s="1">
        <f t="shared" si="70"/>
        <v>0.79928861788617889</v>
      </c>
      <c r="Q782" s="1">
        <f t="shared" si="71"/>
        <v>0.79928861788617889</v>
      </c>
      <c r="R782" s="1">
        <f t="shared" si="72"/>
        <v>0.82624655858060569</v>
      </c>
      <c r="S782" s="1">
        <f t="shared" si="73"/>
        <v>0.94496726677577736</v>
      </c>
    </row>
    <row r="783" spans="1:19" x14ac:dyDescent="0.3">
      <c r="A783"/>
      <c r="B783"/>
      <c r="C783"/>
      <c r="D783"/>
      <c r="E783"/>
      <c r="F783"/>
      <c r="G783"/>
      <c r="H783"/>
      <c r="I783"/>
      <c r="N783"/>
      <c r="O783"/>
      <c r="P783" s="1">
        <f t="shared" si="70"/>
        <v>0.79928861788617889</v>
      </c>
      <c r="Q783" s="1">
        <f t="shared" si="71"/>
        <v>0.79928861788617889</v>
      </c>
      <c r="R783" s="1">
        <f t="shared" si="72"/>
        <v>0.82624655858060569</v>
      </c>
      <c r="S783" s="1">
        <f t="shared" si="73"/>
        <v>0.94496726677577736</v>
      </c>
    </row>
    <row r="784" spans="1:19" x14ac:dyDescent="0.3">
      <c r="A784"/>
      <c r="B784"/>
      <c r="C784"/>
      <c r="D784"/>
      <c r="E784"/>
      <c r="F784"/>
      <c r="G784"/>
      <c r="H784"/>
      <c r="I784"/>
      <c r="N784"/>
      <c r="O784"/>
      <c r="P784" s="1">
        <f t="shared" si="70"/>
        <v>0.79928861788617889</v>
      </c>
      <c r="Q784" s="1">
        <f t="shared" si="71"/>
        <v>0.79928861788617889</v>
      </c>
      <c r="R784" s="1">
        <f t="shared" si="72"/>
        <v>0.82624655858060569</v>
      </c>
      <c r="S784" s="1">
        <f t="shared" si="73"/>
        <v>0.94496726677577736</v>
      </c>
    </row>
    <row r="785" spans="1:19" x14ac:dyDescent="0.3">
      <c r="A785"/>
      <c r="B785"/>
      <c r="C785"/>
      <c r="D785"/>
      <c r="E785"/>
      <c r="F785"/>
      <c r="G785"/>
      <c r="H785"/>
      <c r="I785"/>
      <c r="N785"/>
      <c r="O785"/>
      <c r="P785" s="1">
        <f t="shared" si="70"/>
        <v>0.79928861788617889</v>
      </c>
      <c r="Q785" s="1">
        <f t="shared" si="71"/>
        <v>0.79928861788617889</v>
      </c>
      <c r="R785" s="1">
        <f t="shared" si="72"/>
        <v>0.82624655858060569</v>
      </c>
      <c r="S785" s="1">
        <f t="shared" si="73"/>
        <v>0.94496726677577736</v>
      </c>
    </row>
    <row r="786" spans="1:19" x14ac:dyDescent="0.3">
      <c r="A786"/>
      <c r="B786"/>
      <c r="C786"/>
      <c r="D786"/>
      <c r="E786"/>
      <c r="F786"/>
      <c r="G786"/>
      <c r="H786"/>
      <c r="I786"/>
      <c r="N786"/>
      <c r="O786"/>
      <c r="P786" s="1">
        <f t="shared" si="70"/>
        <v>0.79928861788617889</v>
      </c>
      <c r="Q786" s="1">
        <f t="shared" si="71"/>
        <v>0.79928861788617889</v>
      </c>
      <c r="R786" s="1">
        <f t="shared" si="72"/>
        <v>0.82624655858060569</v>
      </c>
      <c r="S786" s="1">
        <f t="shared" si="73"/>
        <v>0.94496726677577736</v>
      </c>
    </row>
    <row r="787" spans="1:19" x14ac:dyDescent="0.3">
      <c r="A787"/>
      <c r="B787"/>
      <c r="C787"/>
      <c r="D787"/>
      <c r="E787"/>
      <c r="F787"/>
      <c r="G787"/>
      <c r="H787"/>
      <c r="I787"/>
      <c r="N787"/>
      <c r="O787"/>
      <c r="P787" s="1">
        <f t="shared" si="70"/>
        <v>0.79928861788617889</v>
      </c>
      <c r="Q787" s="1">
        <f t="shared" si="71"/>
        <v>0.79928861788617889</v>
      </c>
      <c r="R787" s="1">
        <f t="shared" si="72"/>
        <v>0.82624655858060569</v>
      </c>
      <c r="S787" s="1">
        <f t="shared" si="73"/>
        <v>0.94496726677577736</v>
      </c>
    </row>
    <row r="788" spans="1:19" x14ac:dyDescent="0.3">
      <c r="A788"/>
      <c r="B788"/>
      <c r="C788"/>
      <c r="D788"/>
      <c r="E788"/>
      <c r="F788"/>
      <c r="G788"/>
      <c r="H788"/>
      <c r="I788"/>
      <c r="N788"/>
      <c r="O788"/>
      <c r="P788" s="1">
        <f t="shared" si="70"/>
        <v>0.79928861788617889</v>
      </c>
      <c r="Q788" s="1">
        <f t="shared" si="71"/>
        <v>0.79928861788617889</v>
      </c>
      <c r="R788" s="1">
        <f t="shared" si="72"/>
        <v>0.82624655858060569</v>
      </c>
      <c r="S788" s="1">
        <f t="shared" si="73"/>
        <v>0.94496726677577736</v>
      </c>
    </row>
    <row r="789" spans="1:19" x14ac:dyDescent="0.3">
      <c r="A789"/>
      <c r="B789"/>
      <c r="C789"/>
      <c r="D789"/>
      <c r="E789"/>
      <c r="F789"/>
      <c r="G789"/>
      <c r="H789"/>
      <c r="I789"/>
      <c r="N789"/>
      <c r="O789"/>
      <c r="P789" s="1">
        <f t="shared" si="70"/>
        <v>0.79928861788617889</v>
      </c>
      <c r="Q789" s="1">
        <f t="shared" si="71"/>
        <v>0.79928861788617889</v>
      </c>
      <c r="R789" s="1">
        <f t="shared" si="72"/>
        <v>0.82624655858060569</v>
      </c>
      <c r="S789" s="1">
        <f t="shared" si="73"/>
        <v>0.94496726677577736</v>
      </c>
    </row>
    <row r="790" spans="1:19" x14ac:dyDescent="0.3">
      <c r="A790"/>
      <c r="B790"/>
      <c r="C790"/>
      <c r="D790"/>
      <c r="E790"/>
      <c r="F790"/>
      <c r="G790"/>
      <c r="H790"/>
      <c r="I790"/>
      <c r="N790"/>
      <c r="O790"/>
      <c r="P790" s="1">
        <f t="shared" si="70"/>
        <v>0.79928861788617889</v>
      </c>
      <c r="Q790" s="1">
        <f t="shared" si="71"/>
        <v>0.79928861788617889</v>
      </c>
      <c r="R790" s="1">
        <f t="shared" si="72"/>
        <v>0.82624655858060569</v>
      </c>
      <c r="S790" s="1">
        <f t="shared" si="73"/>
        <v>0.94496726677577736</v>
      </c>
    </row>
    <row r="791" spans="1:19" x14ac:dyDescent="0.3">
      <c r="A791"/>
      <c r="B791"/>
      <c r="C791"/>
      <c r="D791"/>
      <c r="E791"/>
      <c r="F791"/>
      <c r="G791"/>
      <c r="H791"/>
      <c r="I791"/>
      <c r="N791"/>
      <c r="O791"/>
      <c r="P791" s="1">
        <f t="shared" si="70"/>
        <v>0.79928861788617889</v>
      </c>
      <c r="Q791" s="1">
        <f t="shared" si="71"/>
        <v>0.79928861788617889</v>
      </c>
      <c r="R791" s="1">
        <f t="shared" si="72"/>
        <v>0.82624655858060569</v>
      </c>
      <c r="S791" s="1">
        <f t="shared" si="73"/>
        <v>0.94496726677577736</v>
      </c>
    </row>
    <row r="792" spans="1:19" x14ac:dyDescent="0.3">
      <c r="A792"/>
      <c r="B792"/>
      <c r="C792"/>
      <c r="D792"/>
      <c r="E792"/>
      <c r="F792"/>
      <c r="G792"/>
      <c r="H792"/>
      <c r="I792"/>
      <c r="N792"/>
      <c r="O792"/>
      <c r="P792" s="1">
        <f t="shared" si="70"/>
        <v>0.79928861788617889</v>
      </c>
      <c r="Q792" s="1">
        <f t="shared" si="71"/>
        <v>0.79928861788617889</v>
      </c>
      <c r="R792" s="1">
        <f t="shared" si="72"/>
        <v>0.82624655858060569</v>
      </c>
      <c r="S792" s="1">
        <f t="shared" si="73"/>
        <v>0.94496726677577736</v>
      </c>
    </row>
    <row r="793" spans="1:19" x14ac:dyDescent="0.3">
      <c r="A793"/>
      <c r="B793"/>
      <c r="C793"/>
      <c r="D793"/>
      <c r="E793"/>
      <c r="F793"/>
      <c r="G793"/>
      <c r="H793"/>
      <c r="I793"/>
      <c r="N793"/>
      <c r="O793"/>
      <c r="P793" s="1">
        <f t="shared" si="70"/>
        <v>0.79928861788617889</v>
      </c>
      <c r="Q793" s="1">
        <f t="shared" si="71"/>
        <v>0.79928861788617889</v>
      </c>
      <c r="R793" s="1">
        <f t="shared" si="72"/>
        <v>0.82624655858060569</v>
      </c>
      <c r="S793" s="1">
        <f t="shared" si="73"/>
        <v>0.94496726677577736</v>
      </c>
    </row>
    <row r="794" spans="1:19" x14ac:dyDescent="0.3">
      <c r="A794"/>
      <c r="B794"/>
      <c r="C794"/>
      <c r="D794"/>
      <c r="E794"/>
      <c r="F794"/>
      <c r="G794"/>
      <c r="H794"/>
      <c r="I794"/>
      <c r="N794"/>
      <c r="O794"/>
      <c r="P794" s="1">
        <f t="shared" si="70"/>
        <v>0.79928861788617889</v>
      </c>
      <c r="Q794" s="1">
        <f t="shared" si="71"/>
        <v>0.79928861788617889</v>
      </c>
      <c r="R794" s="1">
        <f t="shared" si="72"/>
        <v>0.82624655858060569</v>
      </c>
      <c r="S794" s="1">
        <f t="shared" si="73"/>
        <v>0.94496726677577736</v>
      </c>
    </row>
    <row r="795" spans="1:19" x14ac:dyDescent="0.3">
      <c r="A795"/>
      <c r="B795"/>
      <c r="C795"/>
      <c r="D795"/>
      <c r="E795"/>
      <c r="F795"/>
      <c r="G795"/>
      <c r="H795"/>
      <c r="I795"/>
      <c r="N795"/>
      <c r="O795"/>
      <c r="P795" s="1">
        <f t="shared" si="70"/>
        <v>0.79928861788617889</v>
      </c>
      <c r="Q795" s="1">
        <f t="shared" si="71"/>
        <v>0.79928861788617889</v>
      </c>
      <c r="R795" s="1">
        <f t="shared" si="72"/>
        <v>0.82624655858060569</v>
      </c>
      <c r="S795" s="1">
        <f t="shared" si="73"/>
        <v>0.94496726677577736</v>
      </c>
    </row>
    <row r="796" spans="1:19" x14ac:dyDescent="0.3">
      <c r="A796"/>
      <c r="B796"/>
      <c r="C796"/>
      <c r="D796"/>
      <c r="E796"/>
      <c r="F796"/>
      <c r="G796"/>
      <c r="H796"/>
      <c r="I796"/>
      <c r="N796"/>
      <c r="O796"/>
      <c r="P796" s="1">
        <f t="shared" si="70"/>
        <v>0.79928861788617889</v>
      </c>
      <c r="Q796" s="1">
        <f t="shared" si="71"/>
        <v>0.79928861788617889</v>
      </c>
      <c r="R796" s="1">
        <f t="shared" si="72"/>
        <v>0.82624655858060569</v>
      </c>
      <c r="S796" s="1">
        <f t="shared" si="73"/>
        <v>0.94496726677577736</v>
      </c>
    </row>
    <row r="797" spans="1:19" x14ac:dyDescent="0.3">
      <c r="A797"/>
      <c r="B797"/>
      <c r="C797"/>
      <c r="D797"/>
      <c r="E797"/>
      <c r="F797"/>
      <c r="G797"/>
      <c r="H797"/>
      <c r="I797"/>
      <c r="N797"/>
      <c r="O797"/>
      <c r="P797" s="1">
        <f t="shared" si="70"/>
        <v>0.79928861788617889</v>
      </c>
      <c r="Q797" s="1">
        <f t="shared" si="71"/>
        <v>0.79928861788617889</v>
      </c>
      <c r="R797" s="1">
        <f t="shared" si="72"/>
        <v>0.82624655858060569</v>
      </c>
      <c r="S797" s="1">
        <f t="shared" si="73"/>
        <v>0.94496726677577736</v>
      </c>
    </row>
    <row r="798" spans="1:19" x14ac:dyDescent="0.3">
      <c r="A798"/>
      <c r="B798"/>
      <c r="C798"/>
      <c r="D798"/>
      <c r="E798"/>
      <c r="F798"/>
      <c r="G798"/>
      <c r="H798"/>
      <c r="I798"/>
      <c r="N798"/>
      <c r="O798"/>
      <c r="P798" s="1">
        <f t="shared" si="70"/>
        <v>0.79928861788617889</v>
      </c>
      <c r="Q798" s="1">
        <f t="shared" si="71"/>
        <v>0.79928861788617889</v>
      </c>
      <c r="R798" s="1">
        <f t="shared" si="72"/>
        <v>0.82624655858060569</v>
      </c>
      <c r="S798" s="1">
        <f t="shared" si="73"/>
        <v>0.94496726677577736</v>
      </c>
    </row>
    <row r="799" spans="1:19" x14ac:dyDescent="0.3">
      <c r="A799"/>
      <c r="B799"/>
      <c r="C799"/>
      <c r="D799"/>
      <c r="E799"/>
      <c r="F799"/>
      <c r="G799"/>
      <c r="H799"/>
      <c r="I799"/>
      <c r="N799"/>
      <c r="O799"/>
      <c r="P799" s="1">
        <f t="shared" si="70"/>
        <v>0.79928861788617889</v>
      </c>
      <c r="Q799" s="1">
        <f t="shared" si="71"/>
        <v>0.79928861788617889</v>
      </c>
      <c r="R799" s="1">
        <f t="shared" si="72"/>
        <v>0.82624655858060569</v>
      </c>
      <c r="S799" s="1">
        <f t="shared" si="73"/>
        <v>0.94496726677577736</v>
      </c>
    </row>
    <row r="800" spans="1:19" x14ac:dyDescent="0.3">
      <c r="A800"/>
      <c r="B800"/>
      <c r="C800"/>
      <c r="D800"/>
      <c r="E800"/>
      <c r="F800"/>
      <c r="G800"/>
      <c r="H800"/>
      <c r="I800"/>
      <c r="N800"/>
      <c r="O800"/>
      <c r="P800" s="1">
        <f t="shared" si="70"/>
        <v>0.79928861788617889</v>
      </c>
      <c r="Q800" s="1">
        <f t="shared" si="71"/>
        <v>0.79928861788617889</v>
      </c>
      <c r="R800" s="1">
        <f t="shared" si="72"/>
        <v>0.82624655858060569</v>
      </c>
      <c r="S800" s="1">
        <f t="shared" si="73"/>
        <v>0.94496726677577736</v>
      </c>
    </row>
    <row r="801" spans="1:19" x14ac:dyDescent="0.3">
      <c r="A801"/>
      <c r="B801"/>
      <c r="C801"/>
      <c r="D801"/>
      <c r="E801"/>
      <c r="F801"/>
      <c r="G801"/>
      <c r="H801"/>
      <c r="I801"/>
      <c r="N801"/>
      <c r="O801"/>
      <c r="P801" s="1">
        <f t="shared" si="70"/>
        <v>0.79928861788617889</v>
      </c>
      <c r="Q801" s="1">
        <f t="shared" si="71"/>
        <v>0.79928861788617889</v>
      </c>
      <c r="R801" s="1">
        <f t="shared" si="72"/>
        <v>0.82624655858060569</v>
      </c>
      <c r="S801" s="1">
        <f t="shared" si="73"/>
        <v>0.94496726677577736</v>
      </c>
    </row>
    <row r="802" spans="1:19" x14ac:dyDescent="0.3">
      <c r="A802"/>
      <c r="B802"/>
      <c r="C802"/>
      <c r="D802"/>
      <c r="E802"/>
      <c r="F802"/>
      <c r="G802"/>
      <c r="H802"/>
      <c r="I802"/>
      <c r="N802"/>
      <c r="O802"/>
      <c r="P802" s="1">
        <f t="shared" si="70"/>
        <v>0.79928861788617889</v>
      </c>
      <c r="Q802" s="1">
        <f t="shared" si="71"/>
        <v>0.79928861788617889</v>
      </c>
      <c r="R802" s="1">
        <f t="shared" si="72"/>
        <v>0.82624655858060569</v>
      </c>
      <c r="S802" s="1">
        <f t="shared" si="73"/>
        <v>0.94496726677577736</v>
      </c>
    </row>
    <row r="803" spans="1:19" x14ac:dyDescent="0.3">
      <c r="A803"/>
      <c r="B803"/>
      <c r="C803"/>
      <c r="D803"/>
      <c r="E803"/>
      <c r="F803"/>
      <c r="G803"/>
      <c r="H803"/>
      <c r="I803"/>
      <c r="N803"/>
      <c r="O803"/>
      <c r="P803" s="1">
        <f t="shared" si="70"/>
        <v>0.79928861788617889</v>
      </c>
      <c r="Q803" s="1">
        <f t="shared" si="71"/>
        <v>0.79928861788617889</v>
      </c>
      <c r="R803" s="1">
        <f t="shared" si="72"/>
        <v>0.82624655858060569</v>
      </c>
      <c r="S803" s="1">
        <f t="shared" si="73"/>
        <v>0.94496726677577736</v>
      </c>
    </row>
    <row r="804" spans="1:19" x14ac:dyDescent="0.3">
      <c r="A804"/>
      <c r="B804"/>
      <c r="C804"/>
      <c r="D804"/>
      <c r="E804"/>
      <c r="F804"/>
      <c r="G804"/>
      <c r="H804"/>
      <c r="I804"/>
      <c r="N804"/>
      <c r="O804"/>
      <c r="P804" s="1">
        <f t="shared" si="70"/>
        <v>0.79928861788617889</v>
      </c>
      <c r="Q804" s="1">
        <f t="shared" si="71"/>
        <v>0.79928861788617889</v>
      </c>
      <c r="R804" s="1">
        <f t="shared" si="72"/>
        <v>0.82624655858060569</v>
      </c>
      <c r="S804" s="1">
        <f t="shared" si="73"/>
        <v>0.94496726677577736</v>
      </c>
    </row>
    <row r="805" spans="1:19" x14ac:dyDescent="0.3">
      <c r="A805"/>
      <c r="B805"/>
      <c r="C805"/>
      <c r="D805"/>
      <c r="E805"/>
      <c r="F805"/>
      <c r="G805"/>
      <c r="H805"/>
      <c r="I805"/>
      <c r="N805"/>
      <c r="O805"/>
      <c r="P805" s="1">
        <f t="shared" si="70"/>
        <v>0.79928861788617889</v>
      </c>
      <c r="Q805" s="1">
        <f t="shared" si="71"/>
        <v>0.79928861788617889</v>
      </c>
      <c r="R805" s="1">
        <f t="shared" si="72"/>
        <v>0.82624655858060569</v>
      </c>
      <c r="S805" s="1">
        <f t="shared" si="73"/>
        <v>0.94496726677577736</v>
      </c>
    </row>
    <row r="806" spans="1:19" x14ac:dyDescent="0.3">
      <c r="A806"/>
      <c r="B806"/>
      <c r="C806"/>
      <c r="D806"/>
      <c r="E806"/>
      <c r="F806"/>
      <c r="G806"/>
      <c r="H806"/>
      <c r="I806"/>
      <c r="N806"/>
      <c r="O806"/>
      <c r="P806" s="1">
        <f t="shared" si="70"/>
        <v>0.79928861788617889</v>
      </c>
      <c r="Q806" s="1">
        <f t="shared" si="71"/>
        <v>0.79928861788617889</v>
      </c>
      <c r="R806" s="1">
        <f t="shared" si="72"/>
        <v>0.82624655858060569</v>
      </c>
      <c r="S806" s="1">
        <f t="shared" si="73"/>
        <v>0.94496726677577736</v>
      </c>
    </row>
    <row r="807" spans="1:19" x14ac:dyDescent="0.3">
      <c r="A807"/>
      <c r="B807"/>
      <c r="C807"/>
      <c r="D807"/>
      <c r="E807"/>
      <c r="F807"/>
      <c r="G807"/>
      <c r="H807"/>
      <c r="I807"/>
      <c r="N807"/>
      <c r="O807"/>
      <c r="P807" s="1">
        <f t="shared" si="70"/>
        <v>0.79928861788617889</v>
      </c>
      <c r="Q807" s="1">
        <f t="shared" si="71"/>
        <v>0.79928861788617889</v>
      </c>
      <c r="R807" s="1">
        <f t="shared" si="72"/>
        <v>0.82624655858060569</v>
      </c>
      <c r="S807" s="1">
        <f t="shared" si="73"/>
        <v>0.94496726677577736</v>
      </c>
    </row>
    <row r="808" spans="1:19" x14ac:dyDescent="0.3">
      <c r="A808"/>
      <c r="B808"/>
      <c r="C808"/>
      <c r="D808"/>
      <c r="E808"/>
      <c r="F808"/>
      <c r="G808"/>
      <c r="H808"/>
      <c r="I808"/>
      <c r="N808"/>
      <c r="O808"/>
      <c r="P808" s="1">
        <f t="shared" si="70"/>
        <v>0.79928861788617889</v>
      </c>
      <c r="Q808" s="1">
        <f t="shared" si="71"/>
        <v>0.79928861788617889</v>
      </c>
      <c r="R808" s="1">
        <f t="shared" si="72"/>
        <v>0.82624655858060569</v>
      </c>
      <c r="S808" s="1">
        <f t="shared" si="73"/>
        <v>0.94496726677577736</v>
      </c>
    </row>
    <row r="809" spans="1:19" x14ac:dyDescent="0.3">
      <c r="A809"/>
      <c r="B809"/>
      <c r="C809"/>
      <c r="D809"/>
      <c r="E809"/>
      <c r="F809"/>
      <c r="G809"/>
      <c r="H809"/>
      <c r="I809"/>
      <c r="N809"/>
      <c r="O809"/>
      <c r="P809" s="1">
        <f t="shared" si="70"/>
        <v>0.79928861788617889</v>
      </c>
      <c r="Q809" s="1">
        <f t="shared" si="71"/>
        <v>0.79928861788617889</v>
      </c>
      <c r="R809" s="1">
        <f t="shared" si="72"/>
        <v>0.82624655858060569</v>
      </c>
      <c r="S809" s="1">
        <f t="shared" si="73"/>
        <v>0.94496726677577736</v>
      </c>
    </row>
    <row r="810" spans="1:19" x14ac:dyDescent="0.3">
      <c r="A810"/>
      <c r="B810"/>
      <c r="C810"/>
      <c r="D810"/>
      <c r="E810"/>
      <c r="F810"/>
      <c r="G810"/>
      <c r="H810"/>
      <c r="I810"/>
      <c r="N810"/>
      <c r="O810"/>
      <c r="P810" s="1">
        <f t="shared" si="70"/>
        <v>0.79928861788617889</v>
      </c>
      <c r="Q810" s="1">
        <f t="shared" si="71"/>
        <v>0.79928861788617889</v>
      </c>
      <c r="R810" s="1">
        <f t="shared" si="72"/>
        <v>0.82624655858060569</v>
      </c>
      <c r="S810" s="1">
        <f t="shared" si="73"/>
        <v>0.94496726677577736</v>
      </c>
    </row>
    <row r="811" spans="1:19" x14ac:dyDescent="0.3">
      <c r="A811"/>
      <c r="B811"/>
      <c r="C811"/>
      <c r="D811"/>
      <c r="E811"/>
      <c r="F811"/>
      <c r="G811"/>
      <c r="H811"/>
      <c r="I811"/>
      <c r="N811"/>
      <c r="O811"/>
      <c r="P811" s="1">
        <f t="shared" si="70"/>
        <v>0.79928861788617889</v>
      </c>
      <c r="Q811" s="1">
        <f t="shared" si="71"/>
        <v>0.79928861788617889</v>
      </c>
      <c r="R811" s="1">
        <f t="shared" si="72"/>
        <v>0.82624655858060569</v>
      </c>
      <c r="S811" s="1">
        <f t="shared" si="73"/>
        <v>0.94496726677577736</v>
      </c>
    </row>
    <row r="812" spans="1:19" x14ac:dyDescent="0.3">
      <c r="A812"/>
      <c r="B812"/>
      <c r="C812"/>
      <c r="D812"/>
      <c r="E812"/>
      <c r="F812"/>
      <c r="G812"/>
      <c r="H812"/>
      <c r="I812"/>
      <c r="N812"/>
      <c r="O812"/>
      <c r="P812" s="1">
        <f t="shared" ref="P812:P875" si="74">(B794+Q$36)/P$36</f>
        <v>0.79928861788617889</v>
      </c>
      <c r="Q812" s="1">
        <f t="shared" ref="Q812:Q875" si="75">(C794+Q$36)/P$36</f>
        <v>0.79928861788617889</v>
      </c>
      <c r="R812" s="1">
        <f t="shared" ref="R812:R875" si="76">(D794+Q$38)/P$38</f>
        <v>0.82624655858060569</v>
      </c>
      <c r="S812" s="1">
        <f t="shared" ref="S812:S875" si="77">(E794+Q$39)/P$39</f>
        <v>0.94496726677577736</v>
      </c>
    </row>
    <row r="813" spans="1:19" x14ac:dyDescent="0.3">
      <c r="A813"/>
      <c r="B813"/>
      <c r="C813"/>
      <c r="D813"/>
      <c r="E813"/>
      <c r="F813"/>
      <c r="G813"/>
      <c r="H813"/>
      <c r="I813"/>
      <c r="N813"/>
      <c r="O813"/>
      <c r="P813" s="1">
        <f t="shared" si="74"/>
        <v>0.79928861788617889</v>
      </c>
      <c r="Q813" s="1">
        <f t="shared" si="75"/>
        <v>0.79928861788617889</v>
      </c>
      <c r="R813" s="1">
        <f t="shared" si="76"/>
        <v>0.82624655858060569</v>
      </c>
      <c r="S813" s="1">
        <f t="shared" si="77"/>
        <v>0.94496726677577736</v>
      </c>
    </row>
    <row r="814" spans="1:19" x14ac:dyDescent="0.3">
      <c r="A814"/>
      <c r="B814"/>
      <c r="C814"/>
      <c r="D814"/>
      <c r="E814"/>
      <c r="F814"/>
      <c r="G814"/>
      <c r="H814"/>
      <c r="I814"/>
      <c r="N814"/>
      <c r="O814"/>
      <c r="P814" s="1">
        <f t="shared" si="74"/>
        <v>0.79928861788617889</v>
      </c>
      <c r="Q814" s="1">
        <f t="shared" si="75"/>
        <v>0.79928861788617889</v>
      </c>
      <c r="R814" s="1">
        <f t="shared" si="76"/>
        <v>0.82624655858060569</v>
      </c>
      <c r="S814" s="1">
        <f t="shared" si="77"/>
        <v>0.94496726677577736</v>
      </c>
    </row>
    <row r="815" spans="1:19" x14ac:dyDescent="0.3">
      <c r="A815"/>
      <c r="B815"/>
      <c r="C815"/>
      <c r="D815"/>
      <c r="E815"/>
      <c r="F815"/>
      <c r="G815"/>
      <c r="H815"/>
      <c r="I815"/>
      <c r="N815"/>
      <c r="O815"/>
      <c r="P815" s="1">
        <f t="shared" si="74"/>
        <v>0.79928861788617889</v>
      </c>
      <c r="Q815" s="1">
        <f t="shared" si="75"/>
        <v>0.79928861788617889</v>
      </c>
      <c r="R815" s="1">
        <f t="shared" si="76"/>
        <v>0.82624655858060569</v>
      </c>
      <c r="S815" s="1">
        <f t="shared" si="77"/>
        <v>0.94496726677577736</v>
      </c>
    </row>
    <row r="816" spans="1:19" x14ac:dyDescent="0.3">
      <c r="A816"/>
      <c r="B816"/>
      <c r="C816"/>
      <c r="D816"/>
      <c r="E816"/>
      <c r="F816"/>
      <c r="G816"/>
      <c r="H816"/>
      <c r="I816"/>
      <c r="N816"/>
      <c r="O816"/>
      <c r="P816" s="1">
        <f t="shared" si="74"/>
        <v>0.79928861788617889</v>
      </c>
      <c r="Q816" s="1">
        <f t="shared" si="75"/>
        <v>0.79928861788617889</v>
      </c>
      <c r="R816" s="1">
        <f t="shared" si="76"/>
        <v>0.82624655858060569</v>
      </c>
      <c r="S816" s="1">
        <f t="shared" si="77"/>
        <v>0.94496726677577736</v>
      </c>
    </row>
    <row r="817" spans="1:19" x14ac:dyDescent="0.3">
      <c r="A817"/>
      <c r="B817"/>
      <c r="C817"/>
      <c r="D817"/>
      <c r="E817"/>
      <c r="F817"/>
      <c r="G817"/>
      <c r="H817"/>
      <c r="I817"/>
      <c r="N817"/>
      <c r="O817"/>
      <c r="P817" s="1">
        <f t="shared" si="74"/>
        <v>0.79928861788617889</v>
      </c>
      <c r="Q817" s="1">
        <f t="shared" si="75"/>
        <v>0.79928861788617889</v>
      </c>
      <c r="R817" s="1">
        <f t="shared" si="76"/>
        <v>0.82624655858060569</v>
      </c>
      <c r="S817" s="1">
        <f t="shared" si="77"/>
        <v>0.94496726677577736</v>
      </c>
    </row>
    <row r="818" spans="1:19" x14ac:dyDescent="0.3">
      <c r="A818"/>
      <c r="B818"/>
      <c r="C818"/>
      <c r="D818"/>
      <c r="E818"/>
      <c r="F818"/>
      <c r="G818"/>
      <c r="H818"/>
      <c r="I818"/>
      <c r="N818"/>
      <c r="O818"/>
      <c r="P818" s="1">
        <f t="shared" si="74"/>
        <v>0.79928861788617889</v>
      </c>
      <c r="Q818" s="1">
        <f t="shared" si="75"/>
        <v>0.79928861788617889</v>
      </c>
      <c r="R818" s="1">
        <f t="shared" si="76"/>
        <v>0.82624655858060569</v>
      </c>
      <c r="S818" s="1">
        <f t="shared" si="77"/>
        <v>0.94496726677577736</v>
      </c>
    </row>
    <row r="819" spans="1:19" x14ac:dyDescent="0.3">
      <c r="A819"/>
      <c r="B819"/>
      <c r="C819"/>
      <c r="D819"/>
      <c r="E819"/>
      <c r="F819"/>
      <c r="G819"/>
      <c r="H819"/>
      <c r="I819"/>
      <c r="N819"/>
      <c r="O819"/>
      <c r="P819" s="1">
        <f t="shared" si="74"/>
        <v>0.79928861788617889</v>
      </c>
      <c r="Q819" s="1">
        <f t="shared" si="75"/>
        <v>0.79928861788617889</v>
      </c>
      <c r="R819" s="1">
        <f t="shared" si="76"/>
        <v>0.82624655858060569</v>
      </c>
      <c r="S819" s="1">
        <f t="shared" si="77"/>
        <v>0.94496726677577736</v>
      </c>
    </row>
    <row r="820" spans="1:19" x14ac:dyDescent="0.3">
      <c r="A820"/>
      <c r="B820"/>
      <c r="C820"/>
      <c r="D820"/>
      <c r="E820"/>
      <c r="F820"/>
      <c r="G820"/>
      <c r="H820"/>
      <c r="I820"/>
      <c r="N820"/>
      <c r="O820"/>
      <c r="P820" s="1">
        <f t="shared" si="74"/>
        <v>0.79928861788617889</v>
      </c>
      <c r="Q820" s="1">
        <f t="shared" si="75"/>
        <v>0.79928861788617889</v>
      </c>
      <c r="R820" s="1">
        <f t="shared" si="76"/>
        <v>0.82624655858060569</v>
      </c>
      <c r="S820" s="1">
        <f t="shared" si="77"/>
        <v>0.94496726677577736</v>
      </c>
    </row>
    <row r="821" spans="1:19" x14ac:dyDescent="0.3">
      <c r="A821"/>
      <c r="B821"/>
      <c r="C821"/>
      <c r="D821"/>
      <c r="E821"/>
      <c r="F821"/>
      <c r="G821"/>
      <c r="H821"/>
      <c r="I821"/>
      <c r="N821"/>
      <c r="O821"/>
      <c r="P821" s="1">
        <f t="shared" si="74"/>
        <v>0.79928861788617889</v>
      </c>
      <c r="Q821" s="1">
        <f t="shared" si="75"/>
        <v>0.79928861788617889</v>
      </c>
      <c r="R821" s="1">
        <f t="shared" si="76"/>
        <v>0.82624655858060569</v>
      </c>
      <c r="S821" s="1">
        <f t="shared" si="77"/>
        <v>0.94496726677577736</v>
      </c>
    </row>
    <row r="822" spans="1:19" x14ac:dyDescent="0.3">
      <c r="A822"/>
      <c r="B822"/>
      <c r="C822"/>
      <c r="D822"/>
      <c r="E822"/>
      <c r="F822"/>
      <c r="G822"/>
      <c r="H822"/>
      <c r="I822"/>
      <c r="N822"/>
      <c r="O822"/>
      <c r="P822" s="1">
        <f t="shared" si="74"/>
        <v>0.79928861788617889</v>
      </c>
      <c r="Q822" s="1">
        <f t="shared" si="75"/>
        <v>0.79928861788617889</v>
      </c>
      <c r="R822" s="1">
        <f t="shared" si="76"/>
        <v>0.82624655858060569</v>
      </c>
      <c r="S822" s="1">
        <f t="shared" si="77"/>
        <v>0.94496726677577736</v>
      </c>
    </row>
    <row r="823" spans="1:19" x14ac:dyDescent="0.3">
      <c r="A823"/>
      <c r="B823"/>
      <c r="C823"/>
      <c r="D823"/>
      <c r="E823"/>
      <c r="F823"/>
      <c r="G823"/>
      <c r="H823"/>
      <c r="I823"/>
      <c r="N823"/>
      <c r="O823"/>
      <c r="P823" s="1">
        <f t="shared" si="74"/>
        <v>0.79928861788617889</v>
      </c>
      <c r="Q823" s="1">
        <f t="shared" si="75"/>
        <v>0.79928861788617889</v>
      </c>
      <c r="R823" s="1">
        <f t="shared" si="76"/>
        <v>0.82624655858060569</v>
      </c>
      <c r="S823" s="1">
        <f t="shared" si="77"/>
        <v>0.94496726677577736</v>
      </c>
    </row>
    <row r="824" spans="1:19" x14ac:dyDescent="0.3">
      <c r="A824"/>
      <c r="B824"/>
      <c r="C824"/>
      <c r="D824"/>
      <c r="E824"/>
      <c r="F824"/>
      <c r="G824"/>
      <c r="H824"/>
      <c r="I824"/>
      <c r="N824"/>
      <c r="O824"/>
      <c r="P824" s="1">
        <f t="shared" si="74"/>
        <v>0.79928861788617889</v>
      </c>
      <c r="Q824" s="1">
        <f t="shared" si="75"/>
        <v>0.79928861788617889</v>
      </c>
      <c r="R824" s="1">
        <f t="shared" si="76"/>
        <v>0.82624655858060569</v>
      </c>
      <c r="S824" s="1">
        <f t="shared" si="77"/>
        <v>0.94496726677577736</v>
      </c>
    </row>
    <row r="825" spans="1:19" x14ac:dyDescent="0.3">
      <c r="A825"/>
      <c r="B825"/>
      <c r="C825"/>
      <c r="D825"/>
      <c r="E825"/>
      <c r="F825"/>
      <c r="G825"/>
      <c r="H825"/>
      <c r="I825"/>
      <c r="N825"/>
      <c r="O825"/>
      <c r="P825" s="1">
        <f t="shared" si="74"/>
        <v>0.79928861788617889</v>
      </c>
      <c r="Q825" s="1">
        <f t="shared" si="75"/>
        <v>0.79928861788617889</v>
      </c>
      <c r="R825" s="1">
        <f t="shared" si="76"/>
        <v>0.82624655858060569</v>
      </c>
      <c r="S825" s="1">
        <f t="shared" si="77"/>
        <v>0.94496726677577736</v>
      </c>
    </row>
    <row r="826" spans="1:19" x14ac:dyDescent="0.3">
      <c r="A826"/>
      <c r="B826"/>
      <c r="C826"/>
      <c r="D826"/>
      <c r="E826"/>
      <c r="F826"/>
      <c r="G826"/>
      <c r="H826"/>
      <c r="I826"/>
      <c r="N826"/>
      <c r="O826"/>
      <c r="P826" s="1">
        <f t="shared" si="74"/>
        <v>0.79928861788617889</v>
      </c>
      <c r="Q826" s="1">
        <f t="shared" si="75"/>
        <v>0.79928861788617889</v>
      </c>
      <c r="R826" s="1">
        <f t="shared" si="76"/>
        <v>0.82624655858060569</v>
      </c>
      <c r="S826" s="1">
        <f t="shared" si="77"/>
        <v>0.94496726677577736</v>
      </c>
    </row>
    <row r="827" spans="1:19" x14ac:dyDescent="0.3">
      <c r="A827"/>
      <c r="B827"/>
      <c r="C827"/>
      <c r="D827"/>
      <c r="E827"/>
      <c r="F827"/>
      <c r="G827"/>
      <c r="H827"/>
      <c r="I827"/>
      <c r="N827"/>
      <c r="O827"/>
      <c r="P827" s="1">
        <f t="shared" si="74"/>
        <v>0.79928861788617889</v>
      </c>
      <c r="Q827" s="1">
        <f t="shared" si="75"/>
        <v>0.79928861788617889</v>
      </c>
      <c r="R827" s="1">
        <f t="shared" si="76"/>
        <v>0.82624655858060569</v>
      </c>
      <c r="S827" s="1">
        <f t="shared" si="77"/>
        <v>0.94496726677577736</v>
      </c>
    </row>
    <row r="828" spans="1:19" x14ac:dyDescent="0.3">
      <c r="A828"/>
      <c r="B828"/>
      <c r="C828"/>
      <c r="D828"/>
      <c r="E828"/>
      <c r="F828"/>
      <c r="G828"/>
      <c r="H828"/>
      <c r="I828"/>
      <c r="N828"/>
      <c r="O828"/>
      <c r="P828" s="1">
        <f t="shared" si="74"/>
        <v>0.79928861788617889</v>
      </c>
      <c r="Q828" s="1">
        <f t="shared" si="75"/>
        <v>0.79928861788617889</v>
      </c>
      <c r="R828" s="1">
        <f t="shared" si="76"/>
        <v>0.82624655858060569</v>
      </c>
      <c r="S828" s="1">
        <f t="shared" si="77"/>
        <v>0.94496726677577736</v>
      </c>
    </row>
    <row r="829" spans="1:19" x14ac:dyDescent="0.3">
      <c r="A829"/>
      <c r="B829"/>
      <c r="C829"/>
      <c r="D829"/>
      <c r="E829"/>
      <c r="F829"/>
      <c r="G829"/>
      <c r="H829"/>
      <c r="I829"/>
      <c r="N829"/>
      <c r="O829"/>
      <c r="P829" s="1">
        <f t="shared" si="74"/>
        <v>0.79928861788617889</v>
      </c>
      <c r="Q829" s="1">
        <f t="shared" si="75"/>
        <v>0.79928861788617889</v>
      </c>
      <c r="R829" s="1">
        <f t="shared" si="76"/>
        <v>0.82624655858060569</v>
      </c>
      <c r="S829" s="1">
        <f t="shared" si="77"/>
        <v>0.94496726677577736</v>
      </c>
    </row>
    <row r="830" spans="1:19" x14ac:dyDescent="0.3">
      <c r="A830"/>
      <c r="B830"/>
      <c r="C830"/>
      <c r="D830"/>
      <c r="E830"/>
      <c r="F830"/>
      <c r="G830"/>
      <c r="H830"/>
      <c r="I830"/>
      <c r="N830"/>
      <c r="O830"/>
      <c r="P830" s="1">
        <f t="shared" si="74"/>
        <v>0.79928861788617889</v>
      </c>
      <c r="Q830" s="1">
        <f t="shared" si="75"/>
        <v>0.79928861788617889</v>
      </c>
      <c r="R830" s="1">
        <f t="shared" si="76"/>
        <v>0.82624655858060569</v>
      </c>
      <c r="S830" s="1">
        <f t="shared" si="77"/>
        <v>0.94496726677577736</v>
      </c>
    </row>
    <row r="831" spans="1:19" x14ac:dyDescent="0.3">
      <c r="A831"/>
      <c r="B831"/>
      <c r="C831"/>
      <c r="D831"/>
      <c r="E831"/>
      <c r="F831"/>
      <c r="G831"/>
      <c r="H831"/>
      <c r="I831"/>
      <c r="N831"/>
      <c r="O831"/>
      <c r="P831" s="1">
        <f t="shared" si="74"/>
        <v>0.79928861788617889</v>
      </c>
      <c r="Q831" s="1">
        <f t="shared" si="75"/>
        <v>0.79928861788617889</v>
      </c>
      <c r="R831" s="1">
        <f t="shared" si="76"/>
        <v>0.82624655858060569</v>
      </c>
      <c r="S831" s="1">
        <f t="shared" si="77"/>
        <v>0.94496726677577736</v>
      </c>
    </row>
    <row r="832" spans="1:19" x14ac:dyDescent="0.3">
      <c r="A832"/>
      <c r="B832"/>
      <c r="C832"/>
      <c r="D832"/>
      <c r="E832"/>
      <c r="F832"/>
      <c r="G832"/>
      <c r="H832"/>
      <c r="I832"/>
      <c r="N832"/>
      <c r="O832"/>
      <c r="P832" s="1">
        <f t="shared" si="74"/>
        <v>0.79928861788617889</v>
      </c>
      <c r="Q832" s="1">
        <f t="shared" si="75"/>
        <v>0.79928861788617889</v>
      </c>
      <c r="R832" s="1">
        <f t="shared" si="76"/>
        <v>0.82624655858060569</v>
      </c>
      <c r="S832" s="1">
        <f t="shared" si="77"/>
        <v>0.94496726677577736</v>
      </c>
    </row>
    <row r="833" spans="1:19" x14ac:dyDescent="0.3">
      <c r="A833"/>
      <c r="B833"/>
      <c r="C833"/>
      <c r="D833"/>
      <c r="E833"/>
      <c r="F833"/>
      <c r="G833"/>
      <c r="H833"/>
      <c r="I833"/>
      <c r="N833"/>
      <c r="O833"/>
      <c r="P833" s="1">
        <f t="shared" si="74"/>
        <v>0.79928861788617889</v>
      </c>
      <c r="Q833" s="1">
        <f t="shared" si="75"/>
        <v>0.79928861788617889</v>
      </c>
      <c r="R833" s="1">
        <f t="shared" si="76"/>
        <v>0.82624655858060569</v>
      </c>
      <c r="S833" s="1">
        <f t="shared" si="77"/>
        <v>0.94496726677577736</v>
      </c>
    </row>
    <row r="834" spans="1:19" x14ac:dyDescent="0.3">
      <c r="A834"/>
      <c r="B834"/>
      <c r="C834"/>
      <c r="D834"/>
      <c r="E834"/>
      <c r="F834"/>
      <c r="G834"/>
      <c r="H834"/>
      <c r="I834"/>
      <c r="N834"/>
      <c r="O834"/>
      <c r="P834" s="1">
        <f t="shared" si="74"/>
        <v>0.79928861788617889</v>
      </c>
      <c r="Q834" s="1">
        <f t="shared" si="75"/>
        <v>0.79928861788617889</v>
      </c>
      <c r="R834" s="1">
        <f t="shared" si="76"/>
        <v>0.82624655858060569</v>
      </c>
      <c r="S834" s="1">
        <f t="shared" si="77"/>
        <v>0.94496726677577736</v>
      </c>
    </row>
    <row r="835" spans="1:19" x14ac:dyDescent="0.3">
      <c r="A835"/>
      <c r="B835"/>
      <c r="C835"/>
      <c r="D835"/>
      <c r="E835"/>
      <c r="F835"/>
      <c r="G835"/>
      <c r="H835"/>
      <c r="I835"/>
      <c r="N835"/>
      <c r="O835"/>
      <c r="P835" s="1">
        <f t="shared" si="74"/>
        <v>0.79928861788617889</v>
      </c>
      <c r="Q835" s="1">
        <f t="shared" si="75"/>
        <v>0.79928861788617889</v>
      </c>
      <c r="R835" s="1">
        <f t="shared" si="76"/>
        <v>0.82624655858060569</v>
      </c>
      <c r="S835" s="1">
        <f t="shared" si="77"/>
        <v>0.94496726677577736</v>
      </c>
    </row>
    <row r="836" spans="1:19" x14ac:dyDescent="0.3">
      <c r="A836"/>
      <c r="B836"/>
      <c r="C836"/>
      <c r="D836"/>
      <c r="E836"/>
      <c r="F836"/>
      <c r="G836"/>
      <c r="H836"/>
      <c r="I836"/>
      <c r="N836"/>
      <c r="O836"/>
      <c r="P836" s="1">
        <f t="shared" si="74"/>
        <v>0.79928861788617889</v>
      </c>
      <c r="Q836" s="1">
        <f t="shared" si="75"/>
        <v>0.79928861788617889</v>
      </c>
      <c r="R836" s="1">
        <f t="shared" si="76"/>
        <v>0.82624655858060569</v>
      </c>
      <c r="S836" s="1">
        <f t="shared" si="77"/>
        <v>0.94496726677577736</v>
      </c>
    </row>
    <row r="837" spans="1:19" x14ac:dyDescent="0.3">
      <c r="A837"/>
      <c r="B837"/>
      <c r="C837"/>
      <c r="D837"/>
      <c r="E837"/>
      <c r="F837"/>
      <c r="G837"/>
      <c r="H837"/>
      <c r="I837"/>
      <c r="N837"/>
      <c r="O837"/>
      <c r="P837" s="1">
        <f t="shared" si="74"/>
        <v>0.79928861788617889</v>
      </c>
      <c r="Q837" s="1">
        <f t="shared" si="75"/>
        <v>0.79928861788617889</v>
      </c>
      <c r="R837" s="1">
        <f t="shared" si="76"/>
        <v>0.82624655858060569</v>
      </c>
      <c r="S837" s="1">
        <f t="shared" si="77"/>
        <v>0.94496726677577736</v>
      </c>
    </row>
    <row r="838" spans="1:19" x14ac:dyDescent="0.3">
      <c r="A838"/>
      <c r="B838"/>
      <c r="C838"/>
      <c r="D838"/>
      <c r="E838"/>
      <c r="F838"/>
      <c r="G838"/>
      <c r="H838"/>
      <c r="I838"/>
      <c r="N838"/>
      <c r="O838"/>
      <c r="P838" s="1">
        <f t="shared" si="74"/>
        <v>0.79928861788617889</v>
      </c>
      <c r="Q838" s="1">
        <f t="shared" si="75"/>
        <v>0.79928861788617889</v>
      </c>
      <c r="R838" s="1">
        <f t="shared" si="76"/>
        <v>0.82624655858060569</v>
      </c>
      <c r="S838" s="1">
        <f t="shared" si="77"/>
        <v>0.94496726677577736</v>
      </c>
    </row>
    <row r="839" spans="1:19" x14ac:dyDescent="0.3">
      <c r="A839"/>
      <c r="B839"/>
      <c r="C839"/>
      <c r="D839"/>
      <c r="E839"/>
      <c r="F839"/>
      <c r="G839"/>
      <c r="H839"/>
      <c r="I839"/>
      <c r="N839"/>
      <c r="O839"/>
      <c r="P839" s="1">
        <f t="shared" si="74"/>
        <v>0.79928861788617889</v>
      </c>
      <c r="Q839" s="1">
        <f t="shared" si="75"/>
        <v>0.79928861788617889</v>
      </c>
      <c r="R839" s="1">
        <f t="shared" si="76"/>
        <v>0.82624655858060569</v>
      </c>
      <c r="S839" s="1">
        <f t="shared" si="77"/>
        <v>0.94496726677577736</v>
      </c>
    </row>
    <row r="840" spans="1:19" x14ac:dyDescent="0.3">
      <c r="A840"/>
      <c r="B840"/>
      <c r="C840"/>
      <c r="D840"/>
      <c r="E840"/>
      <c r="F840"/>
      <c r="G840"/>
      <c r="H840"/>
      <c r="I840"/>
      <c r="N840"/>
      <c r="O840"/>
      <c r="P840" s="1">
        <f t="shared" si="74"/>
        <v>0.79928861788617889</v>
      </c>
      <c r="Q840" s="1">
        <f t="shared" si="75"/>
        <v>0.79928861788617889</v>
      </c>
      <c r="R840" s="1">
        <f t="shared" si="76"/>
        <v>0.82624655858060569</v>
      </c>
      <c r="S840" s="1">
        <f t="shared" si="77"/>
        <v>0.94496726677577736</v>
      </c>
    </row>
    <row r="841" spans="1:19" x14ac:dyDescent="0.3">
      <c r="A841"/>
      <c r="B841"/>
      <c r="C841"/>
      <c r="D841"/>
      <c r="E841"/>
      <c r="F841"/>
      <c r="G841"/>
      <c r="H841"/>
      <c r="I841"/>
      <c r="N841"/>
      <c r="O841"/>
      <c r="P841" s="1">
        <f t="shared" si="74"/>
        <v>0.79928861788617889</v>
      </c>
      <c r="Q841" s="1">
        <f t="shared" si="75"/>
        <v>0.79928861788617889</v>
      </c>
      <c r="R841" s="1">
        <f t="shared" si="76"/>
        <v>0.82624655858060569</v>
      </c>
      <c r="S841" s="1">
        <f t="shared" si="77"/>
        <v>0.94496726677577736</v>
      </c>
    </row>
    <row r="842" spans="1:19" x14ac:dyDescent="0.3">
      <c r="A842"/>
      <c r="B842"/>
      <c r="C842"/>
      <c r="D842"/>
      <c r="E842"/>
      <c r="F842"/>
      <c r="G842"/>
      <c r="H842"/>
      <c r="I842"/>
      <c r="N842"/>
      <c r="O842"/>
      <c r="P842" s="1">
        <f t="shared" si="74"/>
        <v>0.79928861788617889</v>
      </c>
      <c r="Q842" s="1">
        <f t="shared" si="75"/>
        <v>0.79928861788617889</v>
      </c>
      <c r="R842" s="1">
        <f t="shared" si="76"/>
        <v>0.82624655858060569</v>
      </c>
      <c r="S842" s="1">
        <f t="shared" si="77"/>
        <v>0.94496726677577736</v>
      </c>
    </row>
    <row r="843" spans="1:19" x14ac:dyDescent="0.3">
      <c r="A843"/>
      <c r="B843"/>
      <c r="C843"/>
      <c r="D843"/>
      <c r="E843"/>
      <c r="F843"/>
      <c r="G843"/>
      <c r="H843"/>
      <c r="I843"/>
      <c r="N843"/>
      <c r="O843"/>
      <c r="P843" s="1">
        <f t="shared" si="74"/>
        <v>0.79928861788617889</v>
      </c>
      <c r="Q843" s="1">
        <f t="shared" si="75"/>
        <v>0.79928861788617889</v>
      </c>
      <c r="R843" s="1">
        <f t="shared" si="76"/>
        <v>0.82624655858060569</v>
      </c>
      <c r="S843" s="1">
        <f t="shared" si="77"/>
        <v>0.94496726677577736</v>
      </c>
    </row>
    <row r="844" spans="1:19" x14ac:dyDescent="0.3">
      <c r="A844"/>
      <c r="B844"/>
      <c r="C844"/>
      <c r="D844"/>
      <c r="E844"/>
      <c r="F844"/>
      <c r="G844"/>
      <c r="H844"/>
      <c r="I844"/>
      <c r="N844"/>
      <c r="O844"/>
      <c r="P844" s="1">
        <f t="shared" si="74"/>
        <v>0.79928861788617889</v>
      </c>
      <c r="Q844" s="1">
        <f t="shared" si="75"/>
        <v>0.79928861788617889</v>
      </c>
      <c r="R844" s="1">
        <f t="shared" si="76"/>
        <v>0.82624655858060569</v>
      </c>
      <c r="S844" s="1">
        <f t="shared" si="77"/>
        <v>0.94496726677577736</v>
      </c>
    </row>
    <row r="845" spans="1:19" x14ac:dyDescent="0.3">
      <c r="A845"/>
      <c r="B845"/>
      <c r="C845"/>
      <c r="D845"/>
      <c r="E845"/>
      <c r="F845"/>
      <c r="G845"/>
      <c r="H845"/>
      <c r="I845"/>
      <c r="N845"/>
      <c r="O845"/>
      <c r="P845" s="1">
        <f t="shared" si="74"/>
        <v>0.79928861788617889</v>
      </c>
      <c r="Q845" s="1">
        <f t="shared" si="75"/>
        <v>0.79928861788617889</v>
      </c>
      <c r="R845" s="1">
        <f t="shared" si="76"/>
        <v>0.82624655858060569</v>
      </c>
      <c r="S845" s="1">
        <f t="shared" si="77"/>
        <v>0.94496726677577736</v>
      </c>
    </row>
    <row r="846" spans="1:19" x14ac:dyDescent="0.3">
      <c r="A846"/>
      <c r="B846"/>
      <c r="C846"/>
      <c r="D846"/>
      <c r="E846"/>
      <c r="F846"/>
      <c r="G846"/>
      <c r="H846"/>
      <c r="I846"/>
      <c r="N846"/>
      <c r="O846"/>
      <c r="P846" s="1">
        <f t="shared" si="74"/>
        <v>0.79928861788617889</v>
      </c>
      <c r="Q846" s="1">
        <f t="shared" si="75"/>
        <v>0.79928861788617889</v>
      </c>
      <c r="R846" s="1">
        <f t="shared" si="76"/>
        <v>0.82624655858060569</v>
      </c>
      <c r="S846" s="1">
        <f t="shared" si="77"/>
        <v>0.94496726677577736</v>
      </c>
    </row>
    <row r="847" spans="1:19" x14ac:dyDescent="0.3">
      <c r="A847"/>
      <c r="B847"/>
      <c r="C847"/>
      <c r="D847"/>
      <c r="E847"/>
      <c r="F847"/>
      <c r="G847"/>
      <c r="H847"/>
      <c r="I847"/>
      <c r="N847"/>
      <c r="O847"/>
      <c r="P847" s="1">
        <f t="shared" si="74"/>
        <v>0.79928861788617889</v>
      </c>
      <c r="Q847" s="1">
        <f t="shared" si="75"/>
        <v>0.79928861788617889</v>
      </c>
      <c r="R847" s="1">
        <f t="shared" si="76"/>
        <v>0.82624655858060569</v>
      </c>
      <c r="S847" s="1">
        <f t="shared" si="77"/>
        <v>0.94496726677577736</v>
      </c>
    </row>
    <row r="848" spans="1:19" x14ac:dyDescent="0.3">
      <c r="A848"/>
      <c r="B848"/>
      <c r="C848"/>
      <c r="D848"/>
      <c r="E848"/>
      <c r="F848"/>
      <c r="G848"/>
      <c r="H848"/>
      <c r="I848"/>
      <c r="N848"/>
      <c r="O848"/>
      <c r="P848" s="1">
        <f t="shared" si="74"/>
        <v>0.79928861788617889</v>
      </c>
      <c r="Q848" s="1">
        <f t="shared" si="75"/>
        <v>0.79928861788617889</v>
      </c>
      <c r="R848" s="1">
        <f t="shared" si="76"/>
        <v>0.82624655858060569</v>
      </c>
      <c r="S848" s="1">
        <f t="shared" si="77"/>
        <v>0.94496726677577736</v>
      </c>
    </row>
    <row r="849" spans="1:19" x14ac:dyDescent="0.3">
      <c r="A849"/>
      <c r="B849"/>
      <c r="C849"/>
      <c r="D849"/>
      <c r="E849"/>
      <c r="F849"/>
      <c r="G849"/>
      <c r="H849"/>
      <c r="I849"/>
      <c r="N849"/>
      <c r="O849"/>
      <c r="P849" s="1">
        <f t="shared" si="74"/>
        <v>0.79928861788617889</v>
      </c>
      <c r="Q849" s="1">
        <f t="shared" si="75"/>
        <v>0.79928861788617889</v>
      </c>
      <c r="R849" s="1">
        <f t="shared" si="76"/>
        <v>0.82624655858060569</v>
      </c>
      <c r="S849" s="1">
        <f t="shared" si="77"/>
        <v>0.94496726677577736</v>
      </c>
    </row>
    <row r="850" spans="1:19" x14ac:dyDescent="0.3">
      <c r="A850"/>
      <c r="B850"/>
      <c r="C850"/>
      <c r="D850"/>
      <c r="E850"/>
      <c r="F850"/>
      <c r="G850"/>
      <c r="H850"/>
      <c r="I850"/>
      <c r="N850"/>
      <c r="O850"/>
      <c r="P850" s="1">
        <f t="shared" si="74"/>
        <v>0.79928861788617889</v>
      </c>
      <c r="Q850" s="1">
        <f t="shared" si="75"/>
        <v>0.79928861788617889</v>
      </c>
      <c r="R850" s="1">
        <f t="shared" si="76"/>
        <v>0.82624655858060569</v>
      </c>
      <c r="S850" s="1">
        <f t="shared" si="77"/>
        <v>0.94496726677577736</v>
      </c>
    </row>
    <row r="851" spans="1:19" x14ac:dyDescent="0.3">
      <c r="A851"/>
      <c r="B851"/>
      <c r="C851"/>
      <c r="D851"/>
      <c r="E851"/>
      <c r="F851"/>
      <c r="G851"/>
      <c r="H851"/>
      <c r="I851"/>
      <c r="N851"/>
      <c r="O851"/>
      <c r="P851" s="1">
        <f t="shared" si="74"/>
        <v>0.79928861788617889</v>
      </c>
      <c r="Q851" s="1">
        <f t="shared" si="75"/>
        <v>0.79928861788617889</v>
      </c>
      <c r="R851" s="1">
        <f t="shared" si="76"/>
        <v>0.82624655858060569</v>
      </c>
      <c r="S851" s="1">
        <f t="shared" si="77"/>
        <v>0.94496726677577736</v>
      </c>
    </row>
    <row r="852" spans="1:19" x14ac:dyDescent="0.3">
      <c r="A852"/>
      <c r="B852"/>
      <c r="C852"/>
      <c r="D852"/>
      <c r="E852"/>
      <c r="F852"/>
      <c r="G852"/>
      <c r="H852"/>
      <c r="I852"/>
      <c r="N852"/>
      <c r="O852"/>
      <c r="P852" s="1">
        <f t="shared" si="74"/>
        <v>0.79928861788617889</v>
      </c>
      <c r="Q852" s="1">
        <f t="shared" si="75"/>
        <v>0.79928861788617889</v>
      </c>
      <c r="R852" s="1">
        <f t="shared" si="76"/>
        <v>0.82624655858060569</v>
      </c>
      <c r="S852" s="1">
        <f t="shared" si="77"/>
        <v>0.94496726677577736</v>
      </c>
    </row>
    <row r="853" spans="1:19" x14ac:dyDescent="0.3">
      <c r="A853"/>
      <c r="B853"/>
      <c r="C853"/>
      <c r="D853"/>
      <c r="E853"/>
      <c r="F853"/>
      <c r="G853"/>
      <c r="H853"/>
      <c r="I853"/>
      <c r="N853"/>
      <c r="O853"/>
      <c r="P853" s="1">
        <f t="shared" si="74"/>
        <v>0.79928861788617889</v>
      </c>
      <c r="Q853" s="1">
        <f t="shared" si="75"/>
        <v>0.79928861788617889</v>
      </c>
      <c r="R853" s="1">
        <f t="shared" si="76"/>
        <v>0.82624655858060569</v>
      </c>
      <c r="S853" s="1">
        <f t="shared" si="77"/>
        <v>0.94496726677577736</v>
      </c>
    </row>
    <row r="854" spans="1:19" x14ac:dyDescent="0.3">
      <c r="A854"/>
      <c r="B854"/>
      <c r="C854"/>
      <c r="D854"/>
      <c r="E854"/>
      <c r="F854"/>
      <c r="G854"/>
      <c r="H854"/>
      <c r="I854"/>
      <c r="N854"/>
      <c r="O854"/>
      <c r="P854" s="1">
        <f t="shared" si="74"/>
        <v>0.79928861788617889</v>
      </c>
      <c r="Q854" s="1">
        <f t="shared" si="75"/>
        <v>0.79928861788617889</v>
      </c>
      <c r="R854" s="1">
        <f t="shared" si="76"/>
        <v>0.82624655858060569</v>
      </c>
      <c r="S854" s="1">
        <f t="shared" si="77"/>
        <v>0.94496726677577736</v>
      </c>
    </row>
    <row r="855" spans="1:19" x14ac:dyDescent="0.3">
      <c r="A855"/>
      <c r="B855"/>
      <c r="C855"/>
      <c r="D855"/>
      <c r="E855"/>
      <c r="F855"/>
      <c r="G855"/>
      <c r="H855"/>
      <c r="I855"/>
      <c r="N855"/>
      <c r="O855"/>
      <c r="P855" s="1">
        <f t="shared" si="74"/>
        <v>0.79928861788617889</v>
      </c>
      <c r="Q855" s="1">
        <f t="shared" si="75"/>
        <v>0.79928861788617889</v>
      </c>
      <c r="R855" s="1">
        <f t="shared" si="76"/>
        <v>0.82624655858060569</v>
      </c>
      <c r="S855" s="1">
        <f t="shared" si="77"/>
        <v>0.94496726677577736</v>
      </c>
    </row>
    <row r="856" spans="1:19" x14ac:dyDescent="0.3">
      <c r="A856"/>
      <c r="B856"/>
      <c r="C856"/>
      <c r="D856"/>
      <c r="E856"/>
      <c r="F856"/>
      <c r="G856"/>
      <c r="H856"/>
      <c r="I856"/>
      <c r="N856"/>
      <c r="O856"/>
      <c r="P856" s="1">
        <f t="shared" si="74"/>
        <v>0.79928861788617889</v>
      </c>
      <c r="Q856" s="1">
        <f t="shared" si="75"/>
        <v>0.79928861788617889</v>
      </c>
      <c r="R856" s="1">
        <f t="shared" si="76"/>
        <v>0.82624655858060569</v>
      </c>
      <c r="S856" s="1">
        <f t="shared" si="77"/>
        <v>0.94496726677577736</v>
      </c>
    </row>
    <row r="857" spans="1:19" x14ac:dyDescent="0.3">
      <c r="A857"/>
      <c r="B857"/>
      <c r="C857"/>
      <c r="D857"/>
      <c r="E857"/>
      <c r="F857"/>
      <c r="G857"/>
      <c r="H857"/>
      <c r="I857"/>
      <c r="N857"/>
      <c r="O857"/>
      <c r="P857" s="1">
        <f t="shared" si="74"/>
        <v>0.79928861788617889</v>
      </c>
      <c r="Q857" s="1">
        <f t="shared" si="75"/>
        <v>0.79928861788617889</v>
      </c>
      <c r="R857" s="1">
        <f t="shared" si="76"/>
        <v>0.82624655858060569</v>
      </c>
      <c r="S857" s="1">
        <f t="shared" si="77"/>
        <v>0.94496726677577736</v>
      </c>
    </row>
    <row r="858" spans="1:19" x14ac:dyDescent="0.3">
      <c r="A858"/>
      <c r="B858"/>
      <c r="C858"/>
      <c r="D858"/>
      <c r="E858"/>
      <c r="F858"/>
      <c r="G858"/>
      <c r="H858"/>
      <c r="I858"/>
      <c r="N858"/>
      <c r="O858"/>
      <c r="P858" s="1">
        <f t="shared" si="74"/>
        <v>0.79928861788617889</v>
      </c>
      <c r="Q858" s="1">
        <f t="shared" si="75"/>
        <v>0.79928861788617889</v>
      </c>
      <c r="R858" s="1">
        <f t="shared" si="76"/>
        <v>0.82624655858060569</v>
      </c>
      <c r="S858" s="1">
        <f t="shared" si="77"/>
        <v>0.94496726677577736</v>
      </c>
    </row>
    <row r="859" spans="1:19" x14ac:dyDescent="0.3">
      <c r="A859"/>
      <c r="B859"/>
      <c r="C859"/>
      <c r="D859"/>
      <c r="E859"/>
      <c r="F859"/>
      <c r="G859"/>
      <c r="H859"/>
      <c r="I859"/>
      <c r="N859"/>
      <c r="O859"/>
      <c r="P859" s="1">
        <f t="shared" si="74"/>
        <v>0.79928861788617889</v>
      </c>
      <c r="Q859" s="1">
        <f t="shared" si="75"/>
        <v>0.79928861788617889</v>
      </c>
      <c r="R859" s="1">
        <f t="shared" si="76"/>
        <v>0.82624655858060569</v>
      </c>
      <c r="S859" s="1">
        <f t="shared" si="77"/>
        <v>0.94496726677577736</v>
      </c>
    </row>
    <row r="860" spans="1:19" x14ac:dyDescent="0.3">
      <c r="A860"/>
      <c r="B860"/>
      <c r="C860"/>
      <c r="D860"/>
      <c r="E860"/>
      <c r="F860"/>
      <c r="G860"/>
      <c r="H860"/>
      <c r="I860"/>
      <c r="N860"/>
      <c r="O860"/>
      <c r="P860" s="1">
        <f t="shared" si="74"/>
        <v>0.79928861788617889</v>
      </c>
      <c r="Q860" s="1">
        <f t="shared" si="75"/>
        <v>0.79928861788617889</v>
      </c>
      <c r="R860" s="1">
        <f t="shared" si="76"/>
        <v>0.82624655858060569</v>
      </c>
      <c r="S860" s="1">
        <f t="shared" si="77"/>
        <v>0.94496726677577736</v>
      </c>
    </row>
    <row r="861" spans="1:19" x14ac:dyDescent="0.3">
      <c r="A861"/>
      <c r="B861"/>
      <c r="C861"/>
      <c r="D861"/>
      <c r="E861"/>
      <c r="F861"/>
      <c r="G861"/>
      <c r="H861"/>
      <c r="I861"/>
      <c r="N861"/>
      <c r="O861"/>
      <c r="P861" s="1">
        <f t="shared" si="74"/>
        <v>0.79928861788617889</v>
      </c>
      <c r="Q861" s="1">
        <f t="shared" si="75"/>
        <v>0.79928861788617889</v>
      </c>
      <c r="R861" s="1">
        <f t="shared" si="76"/>
        <v>0.82624655858060569</v>
      </c>
      <c r="S861" s="1">
        <f t="shared" si="77"/>
        <v>0.94496726677577736</v>
      </c>
    </row>
    <row r="862" spans="1:19" x14ac:dyDescent="0.3">
      <c r="A862"/>
      <c r="B862"/>
      <c r="C862"/>
      <c r="D862"/>
      <c r="E862"/>
      <c r="F862"/>
      <c r="G862"/>
      <c r="H862"/>
      <c r="I862"/>
      <c r="N862"/>
      <c r="O862"/>
      <c r="P862" s="1">
        <f t="shared" si="74"/>
        <v>0.79928861788617889</v>
      </c>
      <c r="Q862" s="1">
        <f t="shared" si="75"/>
        <v>0.79928861788617889</v>
      </c>
      <c r="R862" s="1">
        <f t="shared" si="76"/>
        <v>0.82624655858060569</v>
      </c>
      <c r="S862" s="1">
        <f t="shared" si="77"/>
        <v>0.94496726677577736</v>
      </c>
    </row>
    <row r="863" spans="1:19" x14ac:dyDescent="0.3">
      <c r="A863"/>
      <c r="B863"/>
      <c r="C863"/>
      <c r="D863"/>
      <c r="E863"/>
      <c r="F863"/>
      <c r="G863"/>
      <c r="H863"/>
      <c r="I863"/>
      <c r="N863"/>
      <c r="O863"/>
      <c r="P863" s="1">
        <f t="shared" si="74"/>
        <v>0.79928861788617889</v>
      </c>
      <c r="Q863" s="1">
        <f t="shared" si="75"/>
        <v>0.79928861788617889</v>
      </c>
      <c r="R863" s="1">
        <f t="shared" si="76"/>
        <v>0.82624655858060569</v>
      </c>
      <c r="S863" s="1">
        <f t="shared" si="77"/>
        <v>0.94496726677577736</v>
      </c>
    </row>
    <row r="864" spans="1:19" x14ac:dyDescent="0.3">
      <c r="A864"/>
      <c r="B864"/>
      <c r="C864"/>
      <c r="D864"/>
      <c r="E864"/>
      <c r="F864"/>
      <c r="G864"/>
      <c r="H864"/>
      <c r="I864"/>
      <c r="N864"/>
      <c r="O864"/>
      <c r="P864" s="1">
        <f t="shared" si="74"/>
        <v>0.79928861788617889</v>
      </c>
      <c r="Q864" s="1">
        <f t="shared" si="75"/>
        <v>0.79928861788617889</v>
      </c>
      <c r="R864" s="1">
        <f t="shared" si="76"/>
        <v>0.82624655858060569</v>
      </c>
      <c r="S864" s="1">
        <f t="shared" si="77"/>
        <v>0.94496726677577736</v>
      </c>
    </row>
    <row r="865" spans="1:19" x14ac:dyDescent="0.3">
      <c r="A865"/>
      <c r="B865"/>
      <c r="C865"/>
      <c r="D865"/>
      <c r="E865"/>
      <c r="F865"/>
      <c r="G865"/>
      <c r="H865"/>
      <c r="I865"/>
      <c r="N865"/>
      <c r="O865"/>
      <c r="P865" s="1">
        <f t="shared" si="74"/>
        <v>0.79928861788617889</v>
      </c>
      <c r="Q865" s="1">
        <f t="shared" si="75"/>
        <v>0.79928861788617889</v>
      </c>
      <c r="R865" s="1">
        <f t="shared" si="76"/>
        <v>0.82624655858060569</v>
      </c>
      <c r="S865" s="1">
        <f t="shared" si="77"/>
        <v>0.94496726677577736</v>
      </c>
    </row>
    <row r="866" spans="1:19" x14ac:dyDescent="0.3">
      <c r="A866"/>
      <c r="B866"/>
      <c r="C866"/>
      <c r="D866"/>
      <c r="E866"/>
      <c r="F866"/>
      <c r="G866"/>
      <c r="H866"/>
      <c r="I866"/>
      <c r="N866"/>
      <c r="O866"/>
      <c r="P866" s="1">
        <f t="shared" si="74"/>
        <v>0.79928861788617889</v>
      </c>
      <c r="Q866" s="1">
        <f t="shared" si="75"/>
        <v>0.79928861788617889</v>
      </c>
      <c r="R866" s="1">
        <f t="shared" si="76"/>
        <v>0.82624655858060569</v>
      </c>
      <c r="S866" s="1">
        <f t="shared" si="77"/>
        <v>0.94496726677577736</v>
      </c>
    </row>
    <row r="867" spans="1:19" x14ac:dyDescent="0.3">
      <c r="A867"/>
      <c r="B867"/>
      <c r="C867"/>
      <c r="D867"/>
      <c r="E867"/>
      <c r="F867"/>
      <c r="G867"/>
      <c r="H867"/>
      <c r="I867"/>
      <c r="N867"/>
      <c r="O867"/>
      <c r="P867" s="1">
        <f t="shared" si="74"/>
        <v>0.79928861788617889</v>
      </c>
      <c r="Q867" s="1">
        <f t="shared" si="75"/>
        <v>0.79928861788617889</v>
      </c>
      <c r="R867" s="1">
        <f t="shared" si="76"/>
        <v>0.82624655858060569</v>
      </c>
      <c r="S867" s="1">
        <f t="shared" si="77"/>
        <v>0.94496726677577736</v>
      </c>
    </row>
    <row r="868" spans="1:19" x14ac:dyDescent="0.3">
      <c r="A868"/>
      <c r="B868"/>
      <c r="C868"/>
      <c r="D868"/>
      <c r="E868"/>
      <c r="F868"/>
      <c r="G868"/>
      <c r="H868"/>
      <c r="I868"/>
      <c r="N868"/>
      <c r="O868"/>
      <c r="P868" s="1">
        <f t="shared" si="74"/>
        <v>0.79928861788617889</v>
      </c>
      <c r="Q868" s="1">
        <f t="shared" si="75"/>
        <v>0.79928861788617889</v>
      </c>
      <c r="R868" s="1">
        <f t="shared" si="76"/>
        <v>0.82624655858060569</v>
      </c>
      <c r="S868" s="1">
        <f t="shared" si="77"/>
        <v>0.94496726677577736</v>
      </c>
    </row>
    <row r="869" spans="1:19" x14ac:dyDescent="0.3">
      <c r="A869"/>
      <c r="B869"/>
      <c r="C869"/>
      <c r="D869"/>
      <c r="E869"/>
      <c r="F869"/>
      <c r="G869"/>
      <c r="H869"/>
      <c r="I869"/>
      <c r="N869"/>
      <c r="O869"/>
      <c r="P869" s="1">
        <f t="shared" si="74"/>
        <v>0.79928861788617889</v>
      </c>
      <c r="Q869" s="1">
        <f t="shared" si="75"/>
        <v>0.79928861788617889</v>
      </c>
      <c r="R869" s="1">
        <f t="shared" si="76"/>
        <v>0.82624655858060569</v>
      </c>
      <c r="S869" s="1">
        <f t="shared" si="77"/>
        <v>0.94496726677577736</v>
      </c>
    </row>
    <row r="870" spans="1:19" x14ac:dyDescent="0.3">
      <c r="A870"/>
      <c r="B870"/>
      <c r="C870"/>
      <c r="D870"/>
      <c r="E870"/>
      <c r="F870"/>
      <c r="G870"/>
      <c r="H870"/>
      <c r="I870"/>
      <c r="N870"/>
      <c r="O870"/>
      <c r="P870" s="1">
        <f t="shared" si="74"/>
        <v>0.79928861788617889</v>
      </c>
      <c r="Q870" s="1">
        <f t="shared" si="75"/>
        <v>0.79928861788617889</v>
      </c>
      <c r="R870" s="1">
        <f t="shared" si="76"/>
        <v>0.82624655858060569</v>
      </c>
      <c r="S870" s="1">
        <f t="shared" si="77"/>
        <v>0.94496726677577736</v>
      </c>
    </row>
    <row r="871" spans="1:19" x14ac:dyDescent="0.3">
      <c r="A871"/>
      <c r="B871"/>
      <c r="C871"/>
      <c r="D871"/>
      <c r="E871"/>
      <c r="F871"/>
      <c r="G871"/>
      <c r="H871"/>
      <c r="I871"/>
      <c r="N871"/>
      <c r="O871"/>
      <c r="P871" s="1">
        <f t="shared" si="74"/>
        <v>0.79928861788617889</v>
      </c>
      <c r="Q871" s="1">
        <f t="shared" si="75"/>
        <v>0.79928861788617889</v>
      </c>
      <c r="R871" s="1">
        <f t="shared" si="76"/>
        <v>0.82624655858060569</v>
      </c>
      <c r="S871" s="1">
        <f t="shared" si="77"/>
        <v>0.94496726677577736</v>
      </c>
    </row>
    <row r="872" spans="1:19" x14ac:dyDescent="0.3">
      <c r="A872"/>
      <c r="B872"/>
      <c r="C872"/>
      <c r="D872"/>
      <c r="E872"/>
      <c r="F872"/>
      <c r="G872"/>
      <c r="H872"/>
      <c r="I872"/>
      <c r="N872"/>
      <c r="O872"/>
      <c r="P872" s="1">
        <f t="shared" si="74"/>
        <v>0.79928861788617889</v>
      </c>
      <c r="Q872" s="1">
        <f t="shared" si="75"/>
        <v>0.79928861788617889</v>
      </c>
      <c r="R872" s="1">
        <f t="shared" si="76"/>
        <v>0.82624655858060569</v>
      </c>
      <c r="S872" s="1">
        <f t="shared" si="77"/>
        <v>0.94496726677577736</v>
      </c>
    </row>
    <row r="873" spans="1:19" x14ac:dyDescent="0.3">
      <c r="A873"/>
      <c r="B873"/>
      <c r="C873"/>
      <c r="D873"/>
      <c r="E873"/>
      <c r="F873"/>
      <c r="G873"/>
      <c r="H873"/>
      <c r="I873"/>
      <c r="N873"/>
      <c r="O873"/>
      <c r="P873" s="1">
        <f t="shared" si="74"/>
        <v>0.79928861788617889</v>
      </c>
      <c r="Q873" s="1">
        <f t="shared" si="75"/>
        <v>0.79928861788617889</v>
      </c>
      <c r="R873" s="1">
        <f t="shared" si="76"/>
        <v>0.82624655858060569</v>
      </c>
      <c r="S873" s="1">
        <f t="shared" si="77"/>
        <v>0.94496726677577736</v>
      </c>
    </row>
    <row r="874" spans="1:19" x14ac:dyDescent="0.3">
      <c r="A874"/>
      <c r="B874"/>
      <c r="C874"/>
      <c r="D874"/>
      <c r="E874"/>
      <c r="F874"/>
      <c r="G874"/>
      <c r="H874"/>
      <c r="I874"/>
      <c r="N874"/>
      <c r="O874"/>
      <c r="P874" s="1">
        <f t="shared" si="74"/>
        <v>0.79928861788617889</v>
      </c>
      <c r="Q874" s="1">
        <f t="shared" si="75"/>
        <v>0.79928861788617889</v>
      </c>
      <c r="R874" s="1">
        <f t="shared" si="76"/>
        <v>0.82624655858060569</v>
      </c>
      <c r="S874" s="1">
        <f t="shared" si="77"/>
        <v>0.94496726677577736</v>
      </c>
    </row>
    <row r="875" spans="1:19" x14ac:dyDescent="0.3">
      <c r="A875"/>
      <c r="B875"/>
      <c r="C875"/>
      <c r="D875"/>
      <c r="E875"/>
      <c r="F875"/>
      <c r="G875"/>
      <c r="H875"/>
      <c r="I875"/>
      <c r="N875"/>
      <c r="O875"/>
      <c r="P875" s="1">
        <f t="shared" si="74"/>
        <v>0.79928861788617889</v>
      </c>
      <c r="Q875" s="1">
        <f t="shared" si="75"/>
        <v>0.79928861788617889</v>
      </c>
      <c r="R875" s="1">
        <f t="shared" si="76"/>
        <v>0.82624655858060569</v>
      </c>
      <c r="S875" s="1">
        <f t="shared" si="77"/>
        <v>0.94496726677577736</v>
      </c>
    </row>
    <row r="876" spans="1:19" x14ac:dyDescent="0.3">
      <c r="A876"/>
      <c r="B876"/>
      <c r="C876"/>
      <c r="D876"/>
      <c r="E876"/>
      <c r="F876"/>
      <c r="G876"/>
      <c r="H876"/>
      <c r="I876"/>
      <c r="N876"/>
      <c r="O876"/>
      <c r="P876" s="1">
        <f t="shared" ref="P876:P924" si="78">(B858+Q$36)/P$36</f>
        <v>0.79928861788617889</v>
      </c>
      <c r="Q876" s="1">
        <f t="shared" ref="Q876:Q924" si="79">(C858+Q$36)/P$36</f>
        <v>0.79928861788617889</v>
      </c>
      <c r="R876" s="1">
        <f t="shared" ref="R876:R924" si="80">(D858+Q$38)/P$38</f>
        <v>0.82624655858060569</v>
      </c>
      <c r="S876" s="1">
        <f t="shared" ref="S876:S924" si="81">(E858+Q$39)/P$39</f>
        <v>0.94496726677577736</v>
      </c>
    </row>
    <row r="877" spans="1:19" x14ac:dyDescent="0.3">
      <c r="A877"/>
      <c r="B877"/>
      <c r="C877"/>
      <c r="D877"/>
      <c r="E877"/>
      <c r="F877"/>
      <c r="G877"/>
      <c r="H877"/>
      <c r="I877"/>
      <c r="N877"/>
      <c r="O877"/>
      <c r="P877" s="1">
        <f t="shared" si="78"/>
        <v>0.79928861788617889</v>
      </c>
      <c r="Q877" s="1">
        <f t="shared" si="79"/>
        <v>0.79928861788617889</v>
      </c>
      <c r="R877" s="1">
        <f t="shared" si="80"/>
        <v>0.82624655858060569</v>
      </c>
      <c r="S877" s="1">
        <f t="shared" si="81"/>
        <v>0.94496726677577736</v>
      </c>
    </row>
    <row r="878" spans="1:19" x14ac:dyDescent="0.3">
      <c r="A878"/>
      <c r="B878"/>
      <c r="C878"/>
      <c r="D878"/>
      <c r="E878"/>
      <c r="F878"/>
      <c r="G878"/>
      <c r="H878"/>
      <c r="I878"/>
      <c r="N878"/>
      <c r="O878"/>
      <c r="P878" s="1">
        <f t="shared" si="78"/>
        <v>0.79928861788617889</v>
      </c>
      <c r="Q878" s="1">
        <f t="shared" si="79"/>
        <v>0.79928861788617889</v>
      </c>
      <c r="R878" s="1">
        <f t="shared" si="80"/>
        <v>0.82624655858060569</v>
      </c>
      <c r="S878" s="1">
        <f t="shared" si="81"/>
        <v>0.94496726677577736</v>
      </c>
    </row>
    <row r="879" spans="1:19" x14ac:dyDescent="0.3">
      <c r="A879"/>
      <c r="B879"/>
      <c r="C879"/>
      <c r="D879"/>
      <c r="E879"/>
      <c r="F879"/>
      <c r="G879"/>
      <c r="H879"/>
      <c r="I879"/>
      <c r="N879"/>
      <c r="O879"/>
      <c r="P879" s="1">
        <f t="shared" si="78"/>
        <v>0.79928861788617889</v>
      </c>
      <c r="Q879" s="1">
        <f t="shared" si="79"/>
        <v>0.79928861788617889</v>
      </c>
      <c r="R879" s="1">
        <f t="shared" si="80"/>
        <v>0.82624655858060569</v>
      </c>
      <c r="S879" s="1">
        <f t="shared" si="81"/>
        <v>0.94496726677577736</v>
      </c>
    </row>
    <row r="880" spans="1:19" x14ac:dyDescent="0.3">
      <c r="A880"/>
      <c r="B880"/>
      <c r="C880"/>
      <c r="D880"/>
      <c r="E880"/>
      <c r="F880"/>
      <c r="G880"/>
      <c r="H880"/>
      <c r="I880"/>
      <c r="N880"/>
      <c r="O880"/>
      <c r="P880" s="1">
        <f t="shared" si="78"/>
        <v>0.79928861788617889</v>
      </c>
      <c r="Q880" s="1">
        <f t="shared" si="79"/>
        <v>0.79928861788617889</v>
      </c>
      <c r="R880" s="1">
        <f t="shared" si="80"/>
        <v>0.82624655858060569</v>
      </c>
      <c r="S880" s="1">
        <f t="shared" si="81"/>
        <v>0.94496726677577736</v>
      </c>
    </row>
    <row r="881" spans="1:19" x14ac:dyDescent="0.3">
      <c r="A881"/>
      <c r="B881"/>
      <c r="C881"/>
      <c r="D881"/>
      <c r="E881"/>
      <c r="F881"/>
      <c r="G881"/>
      <c r="H881"/>
      <c r="I881"/>
      <c r="N881"/>
      <c r="O881"/>
      <c r="P881" s="1">
        <f t="shared" si="78"/>
        <v>0.79928861788617889</v>
      </c>
      <c r="Q881" s="1">
        <f t="shared" si="79"/>
        <v>0.79928861788617889</v>
      </c>
      <c r="R881" s="1">
        <f t="shared" si="80"/>
        <v>0.82624655858060569</v>
      </c>
      <c r="S881" s="1">
        <f t="shared" si="81"/>
        <v>0.94496726677577736</v>
      </c>
    </row>
    <row r="882" spans="1:19" x14ac:dyDescent="0.3">
      <c r="A882"/>
      <c r="B882"/>
      <c r="C882"/>
      <c r="D882"/>
      <c r="E882"/>
      <c r="F882"/>
      <c r="G882"/>
      <c r="H882"/>
      <c r="I882"/>
      <c r="N882"/>
      <c r="O882"/>
      <c r="P882" s="1">
        <f t="shared" si="78"/>
        <v>0.79928861788617889</v>
      </c>
      <c r="Q882" s="1">
        <f t="shared" si="79"/>
        <v>0.79928861788617889</v>
      </c>
      <c r="R882" s="1">
        <f t="shared" si="80"/>
        <v>0.82624655858060569</v>
      </c>
      <c r="S882" s="1">
        <f t="shared" si="81"/>
        <v>0.94496726677577736</v>
      </c>
    </row>
    <row r="883" spans="1:19" x14ac:dyDescent="0.3">
      <c r="A883"/>
      <c r="B883"/>
      <c r="C883"/>
      <c r="D883"/>
      <c r="E883"/>
      <c r="F883"/>
      <c r="G883"/>
      <c r="H883"/>
      <c r="I883"/>
      <c r="N883"/>
      <c r="O883"/>
      <c r="P883" s="1">
        <f t="shared" si="78"/>
        <v>0.79928861788617889</v>
      </c>
      <c r="Q883" s="1">
        <f t="shared" si="79"/>
        <v>0.79928861788617889</v>
      </c>
      <c r="R883" s="1">
        <f t="shared" si="80"/>
        <v>0.82624655858060569</v>
      </c>
      <c r="S883" s="1">
        <f t="shared" si="81"/>
        <v>0.94496726677577736</v>
      </c>
    </row>
    <row r="884" spans="1:19" x14ac:dyDescent="0.3">
      <c r="A884"/>
      <c r="B884"/>
      <c r="C884"/>
      <c r="D884"/>
      <c r="E884"/>
      <c r="F884"/>
      <c r="G884"/>
      <c r="H884"/>
      <c r="I884"/>
      <c r="N884"/>
      <c r="O884"/>
      <c r="P884" s="1">
        <f t="shared" si="78"/>
        <v>0.79928861788617889</v>
      </c>
      <c r="Q884" s="1">
        <f t="shared" si="79"/>
        <v>0.79928861788617889</v>
      </c>
      <c r="R884" s="1">
        <f t="shared" si="80"/>
        <v>0.82624655858060569</v>
      </c>
      <c r="S884" s="1">
        <f t="shared" si="81"/>
        <v>0.94496726677577736</v>
      </c>
    </row>
    <row r="885" spans="1:19" x14ac:dyDescent="0.3">
      <c r="A885"/>
      <c r="B885"/>
      <c r="C885"/>
      <c r="D885"/>
      <c r="E885"/>
      <c r="F885"/>
      <c r="G885"/>
      <c r="H885"/>
      <c r="I885"/>
      <c r="N885"/>
      <c r="O885"/>
      <c r="P885" s="1">
        <f t="shared" si="78"/>
        <v>0.79928861788617889</v>
      </c>
      <c r="Q885" s="1">
        <f t="shared" si="79"/>
        <v>0.79928861788617889</v>
      </c>
      <c r="R885" s="1">
        <f t="shared" si="80"/>
        <v>0.82624655858060569</v>
      </c>
      <c r="S885" s="1">
        <f t="shared" si="81"/>
        <v>0.94496726677577736</v>
      </c>
    </row>
    <row r="886" spans="1:19" x14ac:dyDescent="0.3">
      <c r="A886"/>
      <c r="B886"/>
      <c r="C886"/>
      <c r="D886"/>
      <c r="E886"/>
      <c r="F886"/>
      <c r="G886"/>
      <c r="H886"/>
      <c r="I886"/>
      <c r="N886"/>
      <c r="O886"/>
      <c r="P886" s="1">
        <f t="shared" si="78"/>
        <v>0.79928861788617889</v>
      </c>
      <c r="Q886" s="1">
        <f t="shared" si="79"/>
        <v>0.79928861788617889</v>
      </c>
      <c r="R886" s="1">
        <f t="shared" si="80"/>
        <v>0.82624655858060569</v>
      </c>
      <c r="S886" s="1">
        <f t="shared" si="81"/>
        <v>0.94496726677577736</v>
      </c>
    </row>
    <row r="887" spans="1:19" x14ac:dyDescent="0.3">
      <c r="A887"/>
      <c r="B887"/>
      <c r="C887"/>
      <c r="D887"/>
      <c r="E887"/>
      <c r="F887"/>
      <c r="G887"/>
      <c r="H887"/>
      <c r="I887"/>
      <c r="N887"/>
      <c r="O887"/>
      <c r="P887" s="1">
        <f t="shared" si="78"/>
        <v>0.79928861788617889</v>
      </c>
      <c r="Q887" s="1">
        <f t="shared" si="79"/>
        <v>0.79928861788617889</v>
      </c>
      <c r="R887" s="1">
        <f t="shared" si="80"/>
        <v>0.82624655858060569</v>
      </c>
      <c r="S887" s="1">
        <f t="shared" si="81"/>
        <v>0.94496726677577736</v>
      </c>
    </row>
    <row r="888" spans="1:19" x14ac:dyDescent="0.3">
      <c r="A888"/>
      <c r="B888"/>
      <c r="C888"/>
      <c r="D888"/>
      <c r="E888"/>
      <c r="F888"/>
      <c r="G888"/>
      <c r="H888"/>
      <c r="I888"/>
      <c r="N888"/>
      <c r="O888"/>
      <c r="P888" s="1">
        <f t="shared" si="78"/>
        <v>0.79928861788617889</v>
      </c>
      <c r="Q888" s="1">
        <f t="shared" si="79"/>
        <v>0.79928861788617889</v>
      </c>
      <c r="R888" s="1">
        <f t="shared" si="80"/>
        <v>0.82624655858060569</v>
      </c>
      <c r="S888" s="1">
        <f t="shared" si="81"/>
        <v>0.94496726677577736</v>
      </c>
    </row>
    <row r="889" spans="1:19" x14ac:dyDescent="0.3">
      <c r="A889"/>
      <c r="B889"/>
      <c r="C889"/>
      <c r="D889"/>
      <c r="E889"/>
      <c r="F889"/>
      <c r="G889"/>
      <c r="H889"/>
      <c r="I889"/>
      <c r="N889"/>
      <c r="O889"/>
      <c r="P889" s="1">
        <f t="shared" si="78"/>
        <v>0.79928861788617889</v>
      </c>
      <c r="Q889" s="1">
        <f t="shared" si="79"/>
        <v>0.79928861788617889</v>
      </c>
      <c r="R889" s="1">
        <f t="shared" si="80"/>
        <v>0.82624655858060569</v>
      </c>
      <c r="S889" s="1">
        <f t="shared" si="81"/>
        <v>0.94496726677577736</v>
      </c>
    </row>
    <row r="890" spans="1:19" x14ac:dyDescent="0.3">
      <c r="A890"/>
      <c r="B890"/>
      <c r="C890"/>
      <c r="D890"/>
      <c r="E890"/>
      <c r="F890"/>
      <c r="G890"/>
      <c r="H890"/>
      <c r="I890"/>
      <c r="N890"/>
      <c r="O890"/>
      <c r="P890" s="1">
        <f t="shared" si="78"/>
        <v>0.79928861788617889</v>
      </c>
      <c r="Q890" s="1">
        <f t="shared" si="79"/>
        <v>0.79928861788617889</v>
      </c>
      <c r="R890" s="1">
        <f t="shared" si="80"/>
        <v>0.82624655858060569</v>
      </c>
      <c r="S890" s="1">
        <f t="shared" si="81"/>
        <v>0.94496726677577736</v>
      </c>
    </row>
    <row r="891" spans="1:19" x14ac:dyDescent="0.3">
      <c r="A891"/>
      <c r="B891"/>
      <c r="C891"/>
      <c r="D891"/>
      <c r="E891"/>
      <c r="F891"/>
      <c r="G891"/>
      <c r="H891"/>
      <c r="I891"/>
      <c r="N891"/>
      <c r="O891"/>
      <c r="P891" s="1">
        <f t="shared" si="78"/>
        <v>0.79928861788617889</v>
      </c>
      <c r="Q891" s="1">
        <f t="shared" si="79"/>
        <v>0.79928861788617889</v>
      </c>
      <c r="R891" s="1">
        <f t="shared" si="80"/>
        <v>0.82624655858060569</v>
      </c>
      <c r="S891" s="1">
        <f t="shared" si="81"/>
        <v>0.94496726677577736</v>
      </c>
    </row>
    <row r="892" spans="1:19" x14ac:dyDescent="0.3">
      <c r="A892"/>
      <c r="B892"/>
      <c r="C892"/>
      <c r="D892"/>
      <c r="E892"/>
      <c r="F892"/>
      <c r="G892"/>
      <c r="H892"/>
      <c r="I892"/>
      <c r="N892"/>
      <c r="O892"/>
      <c r="P892" s="1">
        <f t="shared" si="78"/>
        <v>0.79928861788617889</v>
      </c>
      <c r="Q892" s="1">
        <f t="shared" si="79"/>
        <v>0.79928861788617889</v>
      </c>
      <c r="R892" s="1">
        <f t="shared" si="80"/>
        <v>0.82624655858060569</v>
      </c>
      <c r="S892" s="1">
        <f t="shared" si="81"/>
        <v>0.94496726677577736</v>
      </c>
    </row>
    <row r="893" spans="1:19" x14ac:dyDescent="0.3">
      <c r="A893"/>
      <c r="B893"/>
      <c r="C893"/>
      <c r="D893"/>
      <c r="E893"/>
      <c r="F893"/>
      <c r="G893"/>
      <c r="H893"/>
      <c r="I893"/>
      <c r="N893"/>
      <c r="P893" s="1">
        <f t="shared" si="78"/>
        <v>0.79928861788617889</v>
      </c>
      <c r="Q893" s="1">
        <f t="shared" si="79"/>
        <v>0.79928861788617889</v>
      </c>
      <c r="R893" s="1">
        <f t="shared" si="80"/>
        <v>0.82624655858060569</v>
      </c>
      <c r="S893" s="1">
        <f t="shared" si="81"/>
        <v>0.94496726677577736</v>
      </c>
    </row>
    <row r="894" spans="1:19" x14ac:dyDescent="0.3">
      <c r="A894"/>
      <c r="B894"/>
      <c r="C894"/>
      <c r="D894"/>
      <c r="E894"/>
      <c r="F894"/>
      <c r="G894"/>
      <c r="H894"/>
      <c r="I894"/>
      <c r="N894"/>
      <c r="O894" s="26"/>
      <c r="P894" s="1">
        <f t="shared" si="78"/>
        <v>0.79928861788617889</v>
      </c>
      <c r="Q894" s="1">
        <f t="shared" si="79"/>
        <v>0.79928861788617889</v>
      </c>
      <c r="R894" s="1">
        <f t="shared" si="80"/>
        <v>0.82624655858060569</v>
      </c>
      <c r="S894" s="1">
        <f t="shared" si="81"/>
        <v>0.94496726677577736</v>
      </c>
    </row>
    <row r="895" spans="1:19" x14ac:dyDescent="0.3">
      <c r="A895"/>
      <c r="B895"/>
      <c r="C895"/>
      <c r="D895"/>
      <c r="E895"/>
      <c r="F895"/>
      <c r="G895"/>
      <c r="H895"/>
      <c r="I895"/>
      <c r="N895"/>
      <c r="O895" s="26"/>
      <c r="P895" s="1">
        <f t="shared" si="78"/>
        <v>0.79928861788617889</v>
      </c>
      <c r="Q895" s="1">
        <f t="shared" si="79"/>
        <v>0.79928861788617889</v>
      </c>
      <c r="R895" s="1">
        <f t="shared" si="80"/>
        <v>0.82624655858060569</v>
      </c>
      <c r="S895" s="1">
        <f t="shared" si="81"/>
        <v>0.94496726677577736</v>
      </c>
    </row>
    <row r="896" spans="1:19" x14ac:dyDescent="0.3">
      <c r="A896"/>
      <c r="B896"/>
      <c r="C896"/>
      <c r="D896"/>
      <c r="E896"/>
      <c r="F896"/>
      <c r="G896"/>
      <c r="H896"/>
      <c r="I896"/>
      <c r="N896"/>
      <c r="O896" s="26"/>
      <c r="P896" s="1">
        <f t="shared" si="78"/>
        <v>0.79928861788617889</v>
      </c>
      <c r="Q896" s="1">
        <f t="shared" si="79"/>
        <v>0.79928861788617889</v>
      </c>
      <c r="R896" s="1">
        <f t="shared" si="80"/>
        <v>0.82624655858060569</v>
      </c>
      <c r="S896" s="1">
        <f t="shared" si="81"/>
        <v>0.94496726677577736</v>
      </c>
    </row>
    <row r="897" spans="1:19" x14ac:dyDescent="0.3">
      <c r="A897"/>
      <c r="B897"/>
      <c r="C897"/>
      <c r="D897"/>
      <c r="E897"/>
      <c r="F897"/>
      <c r="G897"/>
      <c r="H897"/>
      <c r="I897"/>
      <c r="N897"/>
      <c r="O897" s="26"/>
      <c r="P897" s="1">
        <f t="shared" si="78"/>
        <v>0.79928861788617889</v>
      </c>
      <c r="Q897" s="1">
        <f t="shared" si="79"/>
        <v>0.79928861788617889</v>
      </c>
      <c r="R897" s="1">
        <f t="shared" si="80"/>
        <v>0.82624655858060569</v>
      </c>
      <c r="S897" s="1">
        <f t="shared" si="81"/>
        <v>0.94496726677577736</v>
      </c>
    </row>
    <row r="898" spans="1:19" x14ac:dyDescent="0.3">
      <c r="A898"/>
      <c r="B898"/>
      <c r="C898"/>
      <c r="D898"/>
      <c r="E898"/>
      <c r="F898"/>
      <c r="G898"/>
      <c r="H898"/>
      <c r="I898"/>
      <c r="N898"/>
      <c r="O898"/>
      <c r="P898" s="1">
        <f t="shared" si="78"/>
        <v>0.79928861788617889</v>
      </c>
      <c r="Q898" s="1">
        <f t="shared" si="79"/>
        <v>0.79928861788617889</v>
      </c>
      <c r="R898" s="1">
        <f t="shared" si="80"/>
        <v>0.82624655858060569</v>
      </c>
      <c r="S898" s="1">
        <f t="shared" si="81"/>
        <v>0.94496726677577736</v>
      </c>
    </row>
    <row r="899" spans="1:19" x14ac:dyDescent="0.3">
      <c r="A899"/>
      <c r="B899"/>
      <c r="C899"/>
      <c r="D899"/>
      <c r="E899"/>
      <c r="F899"/>
      <c r="G899"/>
      <c r="H899"/>
      <c r="I899"/>
      <c r="N899"/>
      <c r="O899"/>
      <c r="P899" s="1">
        <f t="shared" si="78"/>
        <v>0.79928861788617889</v>
      </c>
      <c r="Q899" s="1">
        <f t="shared" si="79"/>
        <v>0.79928861788617889</v>
      </c>
      <c r="R899" s="1">
        <f t="shared" si="80"/>
        <v>0.82624655858060569</v>
      </c>
      <c r="S899" s="1">
        <f t="shared" si="81"/>
        <v>0.94496726677577736</v>
      </c>
    </row>
    <row r="900" spans="1:19" x14ac:dyDescent="0.3">
      <c r="A900"/>
      <c r="B900"/>
      <c r="C900"/>
      <c r="D900"/>
      <c r="E900"/>
      <c r="F900"/>
      <c r="G900"/>
      <c r="H900"/>
      <c r="I900"/>
      <c r="N900"/>
      <c r="O900"/>
      <c r="P900" s="1">
        <f t="shared" si="78"/>
        <v>0.79928861788617889</v>
      </c>
      <c r="Q900" s="1">
        <f t="shared" si="79"/>
        <v>0.79928861788617889</v>
      </c>
      <c r="R900" s="1">
        <f t="shared" si="80"/>
        <v>0.82624655858060569</v>
      </c>
      <c r="S900" s="1">
        <f t="shared" si="81"/>
        <v>0.94496726677577736</v>
      </c>
    </row>
    <row r="901" spans="1:19" x14ac:dyDescent="0.3">
      <c r="A901"/>
      <c r="B901"/>
      <c r="C901"/>
      <c r="D901"/>
      <c r="E901"/>
      <c r="F901"/>
      <c r="G901"/>
      <c r="H901"/>
      <c r="I901"/>
      <c r="N901"/>
      <c r="O901"/>
      <c r="P901" s="1">
        <f t="shared" si="78"/>
        <v>0.79928861788617889</v>
      </c>
      <c r="Q901" s="1">
        <f t="shared" si="79"/>
        <v>0.79928861788617889</v>
      </c>
      <c r="R901" s="1">
        <f t="shared" si="80"/>
        <v>0.82624655858060569</v>
      </c>
      <c r="S901" s="1">
        <f t="shared" si="81"/>
        <v>0.94496726677577736</v>
      </c>
    </row>
    <row r="902" spans="1:19" x14ac:dyDescent="0.3">
      <c r="A902"/>
      <c r="B902"/>
      <c r="C902"/>
      <c r="D902"/>
      <c r="E902"/>
      <c r="F902"/>
      <c r="G902"/>
      <c r="H902"/>
      <c r="I902"/>
      <c r="N902"/>
      <c r="O902"/>
      <c r="P902" s="1">
        <f t="shared" si="78"/>
        <v>0.79928861788617889</v>
      </c>
      <c r="Q902" s="1">
        <f t="shared" si="79"/>
        <v>0.79928861788617889</v>
      </c>
      <c r="R902" s="1">
        <f t="shared" si="80"/>
        <v>0.82624655858060569</v>
      </c>
      <c r="S902" s="1">
        <f t="shared" si="81"/>
        <v>0.94496726677577736</v>
      </c>
    </row>
    <row r="903" spans="1:19" x14ac:dyDescent="0.3">
      <c r="A903"/>
      <c r="B903"/>
      <c r="C903"/>
      <c r="D903"/>
      <c r="E903"/>
      <c r="F903"/>
      <c r="G903"/>
      <c r="H903"/>
      <c r="I903"/>
      <c r="N903"/>
      <c r="O903"/>
      <c r="P903" s="1">
        <f t="shared" si="78"/>
        <v>0.79928861788617889</v>
      </c>
      <c r="Q903" s="1">
        <f t="shared" si="79"/>
        <v>0.79928861788617889</v>
      </c>
      <c r="R903" s="1">
        <f t="shared" si="80"/>
        <v>0.82624655858060569</v>
      </c>
      <c r="S903" s="1">
        <f t="shared" si="81"/>
        <v>0.94496726677577736</v>
      </c>
    </row>
    <row r="904" spans="1:19" x14ac:dyDescent="0.3">
      <c r="A904"/>
      <c r="B904"/>
      <c r="C904"/>
      <c r="D904"/>
      <c r="E904"/>
      <c r="F904"/>
      <c r="G904"/>
      <c r="H904"/>
      <c r="I904"/>
      <c r="N904"/>
      <c r="O904"/>
      <c r="P904" s="1">
        <f t="shared" si="78"/>
        <v>0.79928861788617889</v>
      </c>
      <c r="Q904" s="1">
        <f t="shared" si="79"/>
        <v>0.79928861788617889</v>
      </c>
      <c r="R904" s="1">
        <f t="shared" si="80"/>
        <v>0.82624655858060569</v>
      </c>
      <c r="S904" s="1">
        <f t="shared" si="81"/>
        <v>0.94496726677577736</v>
      </c>
    </row>
    <row r="905" spans="1:19" x14ac:dyDescent="0.3">
      <c r="A905"/>
      <c r="B905"/>
      <c r="C905"/>
      <c r="D905"/>
      <c r="E905"/>
      <c r="F905"/>
      <c r="G905"/>
      <c r="H905"/>
      <c r="I905"/>
      <c r="N905"/>
      <c r="O905"/>
      <c r="P905" s="1">
        <f t="shared" si="78"/>
        <v>0.79928861788617889</v>
      </c>
      <c r="Q905" s="1">
        <f t="shared" si="79"/>
        <v>0.79928861788617889</v>
      </c>
      <c r="R905" s="1">
        <f t="shared" si="80"/>
        <v>0.82624655858060569</v>
      </c>
      <c r="S905" s="1">
        <f t="shared" si="81"/>
        <v>0.94496726677577736</v>
      </c>
    </row>
    <row r="906" spans="1:19" x14ac:dyDescent="0.3">
      <c r="A906"/>
      <c r="B906"/>
      <c r="C906"/>
      <c r="D906"/>
      <c r="E906"/>
      <c r="F906"/>
      <c r="G906"/>
      <c r="H906"/>
      <c r="I906"/>
      <c r="N906"/>
      <c r="O906"/>
      <c r="P906" s="1">
        <f t="shared" si="78"/>
        <v>0.79928861788617889</v>
      </c>
      <c r="Q906" s="1">
        <f t="shared" si="79"/>
        <v>0.79928861788617889</v>
      </c>
      <c r="R906" s="1">
        <f t="shared" si="80"/>
        <v>0.82624655858060569</v>
      </c>
      <c r="S906" s="1">
        <f t="shared" si="81"/>
        <v>0.94496726677577736</v>
      </c>
    </row>
    <row r="907" spans="1:19" x14ac:dyDescent="0.3">
      <c r="A907"/>
      <c r="B907"/>
      <c r="C907"/>
      <c r="D907"/>
      <c r="E907"/>
      <c r="F907"/>
      <c r="G907"/>
      <c r="H907"/>
      <c r="I907"/>
      <c r="N907"/>
      <c r="O907"/>
      <c r="P907" s="1">
        <f t="shared" si="78"/>
        <v>0.79928861788617889</v>
      </c>
      <c r="Q907" s="1">
        <f t="shared" si="79"/>
        <v>0.79928861788617889</v>
      </c>
      <c r="R907" s="1">
        <f t="shared" si="80"/>
        <v>0.82624655858060569</v>
      </c>
      <c r="S907" s="1">
        <f t="shared" si="81"/>
        <v>0.94496726677577736</v>
      </c>
    </row>
    <row r="908" spans="1:19" x14ac:dyDescent="0.3">
      <c r="A908"/>
      <c r="B908"/>
      <c r="C908"/>
      <c r="D908"/>
      <c r="E908"/>
      <c r="F908"/>
      <c r="G908"/>
      <c r="H908"/>
      <c r="I908"/>
      <c r="N908"/>
      <c r="O908"/>
      <c r="P908" s="1">
        <f t="shared" si="78"/>
        <v>0.79928861788617889</v>
      </c>
      <c r="Q908" s="1">
        <f t="shared" si="79"/>
        <v>0.79928861788617889</v>
      </c>
      <c r="R908" s="1">
        <f t="shared" si="80"/>
        <v>0.82624655858060569</v>
      </c>
      <c r="S908" s="1">
        <f t="shared" si="81"/>
        <v>0.94496726677577736</v>
      </c>
    </row>
    <row r="909" spans="1:19" x14ac:dyDescent="0.3">
      <c r="A909"/>
      <c r="B909"/>
      <c r="C909"/>
      <c r="D909"/>
      <c r="E909"/>
      <c r="F909"/>
      <c r="G909"/>
      <c r="H909"/>
      <c r="I909"/>
      <c r="N909"/>
      <c r="O909"/>
      <c r="P909" s="1">
        <f t="shared" si="78"/>
        <v>0.79928861788617889</v>
      </c>
      <c r="Q909" s="1">
        <f t="shared" si="79"/>
        <v>0.79928861788617889</v>
      </c>
      <c r="R909" s="1">
        <f t="shared" si="80"/>
        <v>0.82624655858060569</v>
      </c>
      <c r="S909" s="1">
        <f t="shared" si="81"/>
        <v>0.94496726677577736</v>
      </c>
    </row>
    <row r="910" spans="1:19" x14ac:dyDescent="0.3">
      <c r="A910"/>
      <c r="B910"/>
      <c r="C910"/>
      <c r="D910"/>
      <c r="E910"/>
      <c r="F910"/>
      <c r="G910"/>
      <c r="H910"/>
      <c r="I910"/>
      <c r="N910"/>
      <c r="O910"/>
      <c r="P910" s="1">
        <f t="shared" si="78"/>
        <v>0.79928861788617889</v>
      </c>
      <c r="Q910" s="1">
        <f t="shared" si="79"/>
        <v>0.79928861788617889</v>
      </c>
      <c r="R910" s="1">
        <f t="shared" si="80"/>
        <v>0.82624655858060569</v>
      </c>
      <c r="S910" s="1">
        <f t="shared" si="81"/>
        <v>0.94496726677577736</v>
      </c>
    </row>
    <row r="911" spans="1:19" x14ac:dyDescent="0.3">
      <c r="A911"/>
      <c r="B911"/>
      <c r="C911"/>
      <c r="D911"/>
      <c r="E911"/>
      <c r="F911"/>
      <c r="G911"/>
      <c r="H911"/>
      <c r="I911"/>
      <c r="N911"/>
      <c r="O911"/>
      <c r="P911" s="1">
        <f t="shared" si="78"/>
        <v>0.79928861788617889</v>
      </c>
      <c r="Q911" s="1">
        <f t="shared" si="79"/>
        <v>0.79928861788617889</v>
      </c>
      <c r="R911" s="1">
        <f t="shared" si="80"/>
        <v>0.82624655858060569</v>
      </c>
      <c r="S911" s="1">
        <f t="shared" si="81"/>
        <v>0.94496726677577736</v>
      </c>
    </row>
    <row r="912" spans="1:19" x14ac:dyDescent="0.3">
      <c r="A912"/>
      <c r="B912"/>
      <c r="C912"/>
      <c r="D912"/>
      <c r="E912"/>
      <c r="F912"/>
      <c r="G912"/>
      <c r="H912"/>
      <c r="I912"/>
      <c r="N912"/>
      <c r="O912"/>
      <c r="P912" s="1">
        <f t="shared" si="78"/>
        <v>0.79928861788617889</v>
      </c>
      <c r="Q912" s="1">
        <f t="shared" si="79"/>
        <v>0.79928861788617889</v>
      </c>
      <c r="R912" s="1">
        <f t="shared" si="80"/>
        <v>0.82624655858060569</v>
      </c>
      <c r="S912" s="1">
        <f t="shared" si="81"/>
        <v>0.94496726677577736</v>
      </c>
    </row>
    <row r="913" spans="1:19" x14ac:dyDescent="0.3">
      <c r="A913"/>
      <c r="B913"/>
      <c r="C913"/>
      <c r="D913"/>
      <c r="E913"/>
      <c r="F913"/>
      <c r="G913"/>
      <c r="H913"/>
      <c r="I913"/>
      <c r="N913"/>
      <c r="O913"/>
      <c r="P913" s="1">
        <f t="shared" si="78"/>
        <v>0.79928861788617889</v>
      </c>
      <c r="Q913" s="1">
        <f t="shared" si="79"/>
        <v>0.79928861788617889</v>
      </c>
      <c r="R913" s="1">
        <f t="shared" si="80"/>
        <v>0.82624655858060569</v>
      </c>
      <c r="S913" s="1">
        <f t="shared" si="81"/>
        <v>0.94496726677577736</v>
      </c>
    </row>
    <row r="914" spans="1:19" x14ac:dyDescent="0.3">
      <c r="A914"/>
      <c r="B914"/>
      <c r="C914"/>
      <c r="D914"/>
      <c r="E914"/>
      <c r="F914"/>
      <c r="G914"/>
      <c r="H914"/>
      <c r="I914"/>
      <c r="N914"/>
      <c r="O914"/>
      <c r="P914" s="1">
        <f t="shared" si="78"/>
        <v>0.79928861788617889</v>
      </c>
      <c r="Q914" s="1">
        <f t="shared" si="79"/>
        <v>0.79928861788617889</v>
      </c>
      <c r="R914" s="1">
        <f t="shared" si="80"/>
        <v>0.82624655858060569</v>
      </c>
      <c r="S914" s="1">
        <f t="shared" si="81"/>
        <v>0.94496726677577736</v>
      </c>
    </row>
    <row r="915" spans="1:19" x14ac:dyDescent="0.3">
      <c r="A915"/>
      <c r="B915"/>
      <c r="C915"/>
      <c r="D915"/>
      <c r="E915"/>
      <c r="F915"/>
      <c r="G915"/>
      <c r="H915"/>
      <c r="I915"/>
      <c r="N915"/>
      <c r="O915"/>
      <c r="P915" s="1">
        <f t="shared" si="78"/>
        <v>0.79928861788617889</v>
      </c>
      <c r="Q915" s="1">
        <f t="shared" si="79"/>
        <v>0.79928861788617889</v>
      </c>
      <c r="R915" s="1">
        <f t="shared" si="80"/>
        <v>0.82624655858060569</v>
      </c>
      <c r="S915" s="1">
        <f t="shared" si="81"/>
        <v>0.94496726677577736</v>
      </c>
    </row>
    <row r="916" spans="1:19" x14ac:dyDescent="0.3">
      <c r="A916"/>
      <c r="B916"/>
      <c r="C916"/>
      <c r="D916"/>
      <c r="E916"/>
      <c r="F916"/>
      <c r="G916"/>
      <c r="H916"/>
      <c r="I916"/>
      <c r="N916"/>
      <c r="O916"/>
      <c r="P916" s="1">
        <f t="shared" si="78"/>
        <v>0.79928861788617889</v>
      </c>
      <c r="Q916" s="1">
        <f t="shared" si="79"/>
        <v>0.79928861788617889</v>
      </c>
      <c r="R916" s="1">
        <f t="shared" si="80"/>
        <v>0.82624655858060569</v>
      </c>
      <c r="S916" s="1">
        <f t="shared" si="81"/>
        <v>0.94496726677577736</v>
      </c>
    </row>
    <row r="917" spans="1:19" x14ac:dyDescent="0.3">
      <c r="A917"/>
      <c r="B917"/>
      <c r="C917"/>
      <c r="D917"/>
      <c r="E917"/>
      <c r="F917"/>
      <c r="G917"/>
      <c r="H917"/>
      <c r="I917"/>
      <c r="N917"/>
      <c r="O917"/>
      <c r="P917" s="1">
        <f t="shared" si="78"/>
        <v>0.79928861788617889</v>
      </c>
      <c r="Q917" s="1">
        <f t="shared" si="79"/>
        <v>0.79928861788617889</v>
      </c>
      <c r="R917" s="1">
        <f t="shared" si="80"/>
        <v>0.82624655858060569</v>
      </c>
      <c r="S917" s="1">
        <f t="shared" si="81"/>
        <v>0.94496726677577736</v>
      </c>
    </row>
    <row r="918" spans="1:19" x14ac:dyDescent="0.3">
      <c r="A918"/>
      <c r="B918"/>
      <c r="C918"/>
      <c r="D918"/>
      <c r="E918"/>
      <c r="F918"/>
      <c r="G918"/>
      <c r="H918"/>
      <c r="I918"/>
      <c r="N918"/>
      <c r="O918"/>
      <c r="P918" s="1">
        <f t="shared" si="78"/>
        <v>0.79928861788617889</v>
      </c>
      <c r="Q918" s="1">
        <f t="shared" si="79"/>
        <v>0.79928861788617889</v>
      </c>
      <c r="R918" s="1">
        <f t="shared" si="80"/>
        <v>0.82624655858060569</v>
      </c>
      <c r="S918" s="1">
        <f t="shared" si="81"/>
        <v>0.94496726677577736</v>
      </c>
    </row>
    <row r="919" spans="1:19" x14ac:dyDescent="0.3">
      <c r="A919"/>
      <c r="B919"/>
      <c r="C919"/>
      <c r="D919"/>
      <c r="E919"/>
      <c r="F919"/>
      <c r="G919"/>
      <c r="H919"/>
      <c r="I919"/>
      <c r="N919"/>
      <c r="O919"/>
      <c r="P919" s="1">
        <f t="shared" si="78"/>
        <v>0.79928861788617889</v>
      </c>
      <c r="Q919" s="1">
        <f t="shared" si="79"/>
        <v>0.79928861788617889</v>
      </c>
      <c r="R919" s="1">
        <f t="shared" si="80"/>
        <v>0.82624655858060569</v>
      </c>
      <c r="S919" s="1">
        <f t="shared" si="81"/>
        <v>0.94496726677577736</v>
      </c>
    </row>
    <row r="920" spans="1:19" x14ac:dyDescent="0.3">
      <c r="A920"/>
      <c r="B920"/>
      <c r="C920"/>
      <c r="D920"/>
      <c r="E920"/>
      <c r="F920"/>
      <c r="G920"/>
      <c r="H920"/>
      <c r="I920"/>
      <c r="N920"/>
      <c r="O920"/>
      <c r="P920" s="1">
        <f t="shared" si="78"/>
        <v>0.79928861788617889</v>
      </c>
      <c r="Q920" s="1">
        <f t="shared" si="79"/>
        <v>0.79928861788617889</v>
      </c>
      <c r="R920" s="1">
        <f t="shared" si="80"/>
        <v>0.82624655858060569</v>
      </c>
      <c r="S920" s="1">
        <f t="shared" si="81"/>
        <v>0.94496726677577736</v>
      </c>
    </row>
    <row r="921" spans="1:19" x14ac:dyDescent="0.3">
      <c r="A921"/>
      <c r="B921"/>
      <c r="C921"/>
      <c r="D921"/>
      <c r="E921"/>
      <c r="F921"/>
      <c r="G921"/>
      <c r="H921"/>
      <c r="I921"/>
      <c r="N921"/>
      <c r="O921"/>
      <c r="P921" s="1">
        <f t="shared" si="78"/>
        <v>0.79928861788617889</v>
      </c>
      <c r="Q921" s="1">
        <f t="shared" si="79"/>
        <v>0.79928861788617889</v>
      </c>
      <c r="R921" s="1">
        <f t="shared" si="80"/>
        <v>0.82624655858060569</v>
      </c>
      <c r="S921" s="1">
        <f t="shared" si="81"/>
        <v>0.94496726677577736</v>
      </c>
    </row>
    <row r="922" spans="1:19" x14ac:dyDescent="0.3">
      <c r="A922"/>
      <c r="B922"/>
      <c r="C922"/>
      <c r="D922"/>
      <c r="E922"/>
      <c r="F922"/>
      <c r="G922"/>
      <c r="H922"/>
      <c r="I922"/>
      <c r="N922"/>
      <c r="O922"/>
      <c r="P922" s="1">
        <f t="shared" si="78"/>
        <v>0.79928861788617889</v>
      </c>
      <c r="Q922" s="1">
        <f t="shared" si="79"/>
        <v>0.79928861788617889</v>
      </c>
      <c r="R922" s="1">
        <f t="shared" si="80"/>
        <v>0.82624655858060569</v>
      </c>
      <c r="S922" s="1">
        <f t="shared" si="81"/>
        <v>0.94496726677577736</v>
      </c>
    </row>
    <row r="923" spans="1:19" x14ac:dyDescent="0.3">
      <c r="A923"/>
      <c r="B923"/>
      <c r="C923"/>
      <c r="D923"/>
      <c r="E923"/>
      <c r="F923"/>
      <c r="G923"/>
      <c r="H923"/>
      <c r="I923"/>
      <c r="N923"/>
      <c r="O923"/>
      <c r="P923" s="1">
        <f t="shared" si="78"/>
        <v>0.79928861788617889</v>
      </c>
      <c r="Q923" s="1">
        <f t="shared" si="79"/>
        <v>0.79928861788617889</v>
      </c>
      <c r="R923" s="1">
        <f t="shared" si="80"/>
        <v>0.82624655858060569</v>
      </c>
      <c r="S923" s="1">
        <f t="shared" si="81"/>
        <v>0.94496726677577736</v>
      </c>
    </row>
    <row r="924" spans="1:19" x14ac:dyDescent="0.3">
      <c r="A924"/>
      <c r="B924"/>
      <c r="C924"/>
      <c r="D924"/>
      <c r="E924"/>
      <c r="F924"/>
      <c r="G924"/>
      <c r="H924"/>
      <c r="I924"/>
      <c r="N924"/>
      <c r="O924"/>
      <c r="P924" s="1">
        <f t="shared" si="78"/>
        <v>0.79928861788617889</v>
      </c>
      <c r="Q924" s="1">
        <f t="shared" si="79"/>
        <v>0.79928861788617889</v>
      </c>
      <c r="R924" s="1">
        <f t="shared" si="80"/>
        <v>0.82624655858060569</v>
      </c>
      <c r="S924" s="1">
        <f t="shared" si="81"/>
        <v>0.94496726677577736</v>
      </c>
    </row>
    <row r="925" spans="1:19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9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9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9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N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N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N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N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N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N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N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N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N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N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N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N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  <c r="N1042"/>
      <c r="O1042"/>
    </row>
    <row r="1043" spans="1:15" x14ac:dyDescent="0.3">
      <c r="A1043"/>
      <c r="B1043"/>
      <c r="C1043"/>
      <c r="D1043"/>
      <c r="E1043"/>
      <c r="F1043"/>
      <c r="G1043"/>
      <c r="H1043"/>
      <c r="I1043"/>
      <c r="N1043"/>
      <c r="O1043"/>
    </row>
    <row r="1044" spans="1:15" x14ac:dyDescent="0.3">
      <c r="A1044"/>
      <c r="B1044"/>
      <c r="C1044"/>
      <c r="D1044"/>
      <c r="E1044"/>
      <c r="F1044"/>
      <c r="G1044"/>
      <c r="H1044"/>
      <c r="I1044"/>
      <c r="N1044"/>
      <c r="O1044"/>
    </row>
    <row r="1045" spans="1:15" x14ac:dyDescent="0.3">
      <c r="A1045"/>
      <c r="B1045"/>
      <c r="C1045"/>
      <c r="D1045"/>
      <c r="E1045"/>
      <c r="F1045"/>
      <c r="G1045"/>
      <c r="H1045"/>
      <c r="I1045"/>
      <c r="N1045"/>
      <c r="O1045"/>
    </row>
    <row r="1046" spans="1:15" x14ac:dyDescent="0.3">
      <c r="A1046"/>
      <c r="B1046"/>
      <c r="C1046"/>
      <c r="D1046"/>
      <c r="E1046"/>
      <c r="F1046"/>
      <c r="G1046"/>
      <c r="H1046"/>
      <c r="I1046"/>
      <c r="N1046"/>
      <c r="O1046"/>
    </row>
    <row r="1047" spans="1:15" x14ac:dyDescent="0.3">
      <c r="A1047"/>
      <c r="B1047"/>
      <c r="C1047"/>
      <c r="D1047"/>
      <c r="E1047"/>
      <c r="F1047"/>
      <c r="G1047"/>
      <c r="H1047"/>
      <c r="I1047"/>
      <c r="N1047"/>
      <c r="O1047"/>
    </row>
    <row r="1048" spans="1:15" x14ac:dyDescent="0.3">
      <c r="A1048"/>
      <c r="B1048"/>
      <c r="C1048"/>
      <c r="D1048"/>
      <c r="E1048"/>
      <c r="F1048"/>
      <c r="G1048"/>
      <c r="H1048"/>
      <c r="I1048"/>
      <c r="N1048"/>
      <c r="O1048"/>
    </row>
    <row r="1049" spans="1:15" x14ac:dyDescent="0.3">
      <c r="A1049"/>
      <c r="B1049"/>
      <c r="C1049"/>
      <c r="D1049"/>
      <c r="E1049"/>
      <c r="F1049"/>
      <c r="G1049"/>
      <c r="H1049"/>
      <c r="I1049"/>
      <c r="N1049"/>
      <c r="O1049"/>
    </row>
    <row r="1050" spans="1:15" x14ac:dyDescent="0.3">
      <c r="A1050"/>
      <c r="B1050"/>
      <c r="C1050"/>
      <c r="D1050"/>
      <c r="E1050"/>
      <c r="F1050"/>
      <c r="G1050"/>
      <c r="H1050"/>
      <c r="I1050"/>
      <c r="N1050"/>
      <c r="O1050"/>
    </row>
    <row r="1051" spans="1:15" x14ac:dyDescent="0.3">
      <c r="A1051"/>
      <c r="B1051"/>
      <c r="C1051"/>
      <c r="D1051"/>
      <c r="E1051"/>
      <c r="F1051"/>
      <c r="G1051"/>
      <c r="H1051"/>
      <c r="I1051"/>
      <c r="N1051"/>
      <c r="O1051"/>
    </row>
    <row r="1052" spans="1:15" x14ac:dyDescent="0.3">
      <c r="A1052"/>
      <c r="B1052"/>
      <c r="C1052"/>
      <c r="D1052"/>
      <c r="E1052"/>
      <c r="F1052"/>
      <c r="G1052"/>
      <c r="H1052"/>
      <c r="I1052"/>
      <c r="N1052"/>
      <c r="O1052"/>
    </row>
    <row r="1053" spans="1:15" x14ac:dyDescent="0.3">
      <c r="A1053"/>
      <c r="B1053"/>
      <c r="C1053"/>
      <c r="D1053"/>
      <c r="E1053"/>
      <c r="F1053"/>
      <c r="G1053"/>
      <c r="H1053"/>
      <c r="I1053"/>
      <c r="N1053"/>
      <c r="O1053"/>
    </row>
    <row r="1054" spans="1:15" x14ac:dyDescent="0.3">
      <c r="A1054"/>
      <c r="B1054"/>
      <c r="C1054"/>
      <c r="D1054"/>
      <c r="E1054"/>
      <c r="F1054"/>
      <c r="G1054"/>
      <c r="H1054"/>
      <c r="I1054"/>
      <c r="N1054"/>
      <c r="O1054"/>
    </row>
    <row r="1055" spans="1:15" x14ac:dyDescent="0.3">
      <c r="A1055"/>
      <c r="B1055"/>
      <c r="C1055"/>
      <c r="D1055"/>
      <c r="E1055"/>
      <c r="F1055"/>
      <c r="G1055"/>
      <c r="H1055"/>
      <c r="I1055"/>
      <c r="N1055"/>
      <c r="O1055"/>
    </row>
    <row r="1056" spans="1:15" x14ac:dyDescent="0.3">
      <c r="A1056"/>
      <c r="B1056"/>
      <c r="C1056"/>
      <c r="D1056"/>
      <c r="E1056"/>
      <c r="F1056"/>
      <c r="G1056"/>
      <c r="H1056"/>
      <c r="I1056"/>
      <c r="N1056"/>
      <c r="O1056"/>
    </row>
    <row r="1057" spans="1:15" x14ac:dyDescent="0.3">
      <c r="A1057"/>
      <c r="B1057"/>
      <c r="C1057"/>
      <c r="D1057"/>
      <c r="E1057"/>
      <c r="F1057"/>
      <c r="G1057"/>
      <c r="H1057"/>
      <c r="I1057"/>
      <c r="N1057"/>
      <c r="O1057"/>
    </row>
    <row r="1058" spans="1:15" x14ac:dyDescent="0.3">
      <c r="A1058"/>
      <c r="B1058"/>
      <c r="C1058"/>
      <c r="D1058"/>
      <c r="E1058"/>
      <c r="F1058"/>
      <c r="G1058"/>
      <c r="H1058"/>
      <c r="I1058"/>
      <c r="N1058"/>
      <c r="O1058"/>
    </row>
    <row r="1059" spans="1:15" x14ac:dyDescent="0.3">
      <c r="A1059"/>
      <c r="B1059"/>
      <c r="C1059"/>
      <c r="D1059"/>
      <c r="E1059"/>
      <c r="F1059"/>
      <c r="G1059"/>
      <c r="H1059"/>
      <c r="I1059"/>
      <c r="N1059"/>
      <c r="O1059"/>
    </row>
    <row r="1060" spans="1:15" x14ac:dyDescent="0.3">
      <c r="A1060"/>
      <c r="B1060"/>
      <c r="C1060"/>
      <c r="D1060"/>
      <c r="E1060"/>
      <c r="F1060"/>
      <c r="G1060"/>
      <c r="H1060"/>
      <c r="I1060"/>
      <c r="N1060"/>
      <c r="O1060"/>
    </row>
    <row r="1061" spans="1:15" x14ac:dyDescent="0.3">
      <c r="A1061"/>
      <c r="B1061"/>
      <c r="C1061"/>
      <c r="D1061"/>
      <c r="E1061"/>
      <c r="F1061"/>
      <c r="G1061"/>
      <c r="H1061"/>
      <c r="I1061"/>
      <c r="N1061"/>
      <c r="O1061"/>
    </row>
    <row r="1062" spans="1:15" x14ac:dyDescent="0.3">
      <c r="A1062"/>
      <c r="B1062"/>
      <c r="C1062"/>
      <c r="D1062"/>
      <c r="E1062"/>
      <c r="F1062"/>
      <c r="G1062"/>
      <c r="H1062"/>
      <c r="I1062"/>
      <c r="N1062"/>
      <c r="O1062"/>
    </row>
    <row r="1063" spans="1:15" x14ac:dyDescent="0.3">
      <c r="A1063"/>
      <c r="B1063"/>
      <c r="C1063"/>
      <c r="D1063"/>
      <c r="E1063"/>
      <c r="F1063"/>
      <c r="G1063"/>
      <c r="H1063"/>
      <c r="I1063"/>
      <c r="N1063"/>
      <c r="O1063"/>
    </row>
    <row r="1064" spans="1:15" x14ac:dyDescent="0.3">
      <c r="A1064"/>
      <c r="B1064"/>
      <c r="C1064"/>
      <c r="D1064"/>
      <c r="E1064"/>
      <c r="F1064"/>
      <c r="G1064"/>
      <c r="H1064"/>
      <c r="I1064"/>
      <c r="N1064"/>
      <c r="O1064"/>
    </row>
    <row r="1065" spans="1:15" x14ac:dyDescent="0.3">
      <c r="A1065"/>
      <c r="B1065"/>
      <c r="C1065"/>
      <c r="D1065"/>
      <c r="E1065"/>
      <c r="F1065"/>
      <c r="G1065"/>
      <c r="H1065"/>
      <c r="I1065"/>
      <c r="N1065"/>
      <c r="O1065"/>
    </row>
    <row r="1066" spans="1:15" x14ac:dyDescent="0.3">
      <c r="A1066"/>
      <c r="B1066"/>
      <c r="C1066"/>
      <c r="D1066"/>
      <c r="E1066"/>
      <c r="F1066"/>
      <c r="G1066"/>
      <c r="H1066"/>
      <c r="I1066"/>
      <c r="N1066"/>
      <c r="O1066"/>
    </row>
    <row r="1067" spans="1:15" x14ac:dyDescent="0.3">
      <c r="A1067"/>
      <c r="B1067"/>
      <c r="C1067"/>
      <c r="D1067"/>
      <c r="E1067"/>
      <c r="F1067"/>
      <c r="G1067"/>
      <c r="H1067"/>
      <c r="I1067"/>
      <c r="N1067"/>
      <c r="O1067"/>
    </row>
    <row r="1068" spans="1:15" x14ac:dyDescent="0.3">
      <c r="A1068"/>
      <c r="B1068"/>
      <c r="C1068"/>
      <c r="D1068"/>
      <c r="E1068"/>
      <c r="F1068"/>
      <c r="G1068"/>
      <c r="H1068"/>
      <c r="I1068"/>
      <c r="N1068"/>
      <c r="O1068"/>
    </row>
    <row r="1069" spans="1:15" x14ac:dyDescent="0.3">
      <c r="A1069"/>
      <c r="B1069"/>
      <c r="C1069"/>
      <c r="D1069"/>
      <c r="E1069"/>
      <c r="F1069"/>
      <c r="G1069"/>
      <c r="H1069"/>
      <c r="I1069"/>
      <c r="N1069"/>
      <c r="O1069"/>
    </row>
    <row r="1070" spans="1:15" x14ac:dyDescent="0.3">
      <c r="A1070"/>
      <c r="B1070"/>
      <c r="C1070"/>
      <c r="D1070"/>
      <c r="E1070"/>
      <c r="F1070"/>
      <c r="G1070"/>
      <c r="H1070"/>
      <c r="I1070"/>
      <c r="N1070"/>
      <c r="O1070"/>
    </row>
    <row r="1071" spans="1:15" x14ac:dyDescent="0.3">
      <c r="A1071"/>
      <c r="B1071"/>
      <c r="C1071"/>
      <c r="D1071"/>
      <c r="E1071"/>
      <c r="F1071"/>
      <c r="G1071"/>
      <c r="H1071"/>
      <c r="I1071"/>
      <c r="N1071"/>
      <c r="O1071"/>
    </row>
    <row r="1072" spans="1:15" x14ac:dyDescent="0.3">
      <c r="A1072"/>
      <c r="B1072"/>
      <c r="C1072"/>
      <c r="D1072"/>
      <c r="E1072"/>
      <c r="F1072"/>
      <c r="G1072"/>
      <c r="H1072"/>
      <c r="I1072"/>
      <c r="N1072"/>
      <c r="O1072"/>
    </row>
    <row r="1073" spans="1:15" x14ac:dyDescent="0.3">
      <c r="A1073"/>
      <c r="B1073"/>
      <c r="C1073"/>
      <c r="D1073"/>
      <c r="E1073"/>
      <c r="F1073"/>
      <c r="G1073"/>
      <c r="H1073"/>
      <c r="I1073"/>
      <c r="N1073"/>
      <c r="O1073"/>
    </row>
    <row r="1074" spans="1:15" x14ac:dyDescent="0.3">
      <c r="A1074"/>
      <c r="B1074"/>
      <c r="C1074"/>
      <c r="D1074"/>
      <c r="E1074"/>
      <c r="F1074"/>
      <c r="G1074"/>
      <c r="H1074"/>
      <c r="I1074"/>
      <c r="N1074"/>
      <c r="O1074"/>
    </row>
    <row r="1075" spans="1:15" x14ac:dyDescent="0.3">
      <c r="A1075"/>
      <c r="B1075"/>
      <c r="C1075"/>
      <c r="D1075"/>
      <c r="E1075"/>
      <c r="F1075"/>
      <c r="G1075"/>
      <c r="H1075"/>
      <c r="I1075"/>
      <c r="N1075"/>
      <c r="O1075"/>
    </row>
    <row r="1076" spans="1:15" x14ac:dyDescent="0.3">
      <c r="A1076"/>
      <c r="B1076"/>
      <c r="C1076"/>
      <c r="D1076"/>
      <c r="E1076"/>
      <c r="F1076"/>
      <c r="G1076"/>
      <c r="H1076"/>
      <c r="I1076"/>
      <c r="N1076"/>
      <c r="O1076"/>
    </row>
    <row r="1077" spans="1:15" x14ac:dyDescent="0.3">
      <c r="A1077"/>
      <c r="B1077"/>
      <c r="C1077"/>
      <c r="D1077"/>
      <c r="E1077"/>
      <c r="F1077"/>
      <c r="G1077"/>
      <c r="H1077"/>
      <c r="I1077"/>
      <c r="N1077"/>
      <c r="O1077"/>
    </row>
    <row r="1078" spans="1:15" x14ac:dyDescent="0.3">
      <c r="A1078"/>
      <c r="B1078"/>
      <c r="C1078"/>
      <c r="D1078"/>
      <c r="E1078"/>
      <c r="F1078"/>
      <c r="G1078"/>
      <c r="H1078"/>
      <c r="I1078"/>
      <c r="N1078"/>
      <c r="O1078"/>
    </row>
    <row r="1079" spans="1:15" x14ac:dyDescent="0.3">
      <c r="A1079"/>
      <c r="B1079"/>
      <c r="C1079"/>
      <c r="D1079"/>
      <c r="E1079"/>
      <c r="F1079"/>
      <c r="G1079"/>
      <c r="H1079"/>
      <c r="I1079"/>
      <c r="N1079"/>
      <c r="O1079"/>
    </row>
    <row r="1080" spans="1:15" x14ac:dyDescent="0.3">
      <c r="A1080"/>
      <c r="B1080"/>
      <c r="C1080"/>
      <c r="D1080"/>
      <c r="E1080"/>
      <c r="F1080"/>
      <c r="G1080"/>
      <c r="H1080"/>
      <c r="I1080"/>
      <c r="N1080"/>
      <c r="O1080"/>
    </row>
    <row r="1081" spans="1:15" x14ac:dyDescent="0.3">
      <c r="A1081"/>
      <c r="B1081"/>
      <c r="C1081"/>
      <c r="D1081"/>
      <c r="E1081"/>
      <c r="F1081"/>
      <c r="G1081"/>
      <c r="H1081"/>
      <c r="I1081"/>
      <c r="O1081"/>
    </row>
    <row r="1082" spans="1:15" x14ac:dyDescent="0.3">
      <c r="A1082"/>
      <c r="B1082"/>
      <c r="C1082"/>
      <c r="D1082"/>
      <c r="E1082"/>
      <c r="F1082"/>
      <c r="G1082"/>
      <c r="H1082"/>
      <c r="I1082"/>
      <c r="O1082"/>
    </row>
    <row r="1083" spans="1:15" x14ac:dyDescent="0.3">
      <c r="A1083"/>
      <c r="B1083"/>
      <c r="C1083"/>
      <c r="D1083"/>
      <c r="E1083"/>
      <c r="F1083"/>
      <c r="G1083"/>
      <c r="H1083"/>
      <c r="I1083"/>
      <c r="O1083"/>
    </row>
    <row r="1084" spans="1:15" x14ac:dyDescent="0.3">
      <c r="A1084"/>
      <c r="B1084"/>
      <c r="C1084"/>
      <c r="D1084"/>
      <c r="E1084"/>
      <c r="F1084"/>
      <c r="G1084"/>
      <c r="H1084"/>
      <c r="I1084"/>
      <c r="O1084"/>
    </row>
    <row r="1085" spans="1:15" x14ac:dyDescent="0.3">
      <c r="A1085"/>
      <c r="B1085"/>
      <c r="C1085"/>
      <c r="D1085"/>
      <c r="E1085"/>
      <c r="F1085"/>
      <c r="G1085"/>
      <c r="H1085"/>
      <c r="I1085"/>
      <c r="O1085"/>
    </row>
    <row r="1086" spans="1:15" x14ac:dyDescent="0.3">
      <c r="A1086"/>
      <c r="B1086"/>
      <c r="C1086"/>
      <c r="D1086"/>
      <c r="E1086"/>
      <c r="F1086"/>
      <c r="G1086"/>
      <c r="H1086"/>
      <c r="I1086"/>
      <c r="O1086"/>
    </row>
    <row r="1087" spans="1:15" x14ac:dyDescent="0.3">
      <c r="A1087"/>
      <c r="B1087"/>
      <c r="C1087"/>
      <c r="D1087"/>
      <c r="E1087"/>
      <c r="F1087"/>
      <c r="G1087"/>
      <c r="H1087"/>
      <c r="I1087"/>
      <c r="O1087"/>
    </row>
    <row r="1088" spans="1:15" x14ac:dyDescent="0.3">
      <c r="A1088"/>
      <c r="B1088"/>
      <c r="C1088"/>
      <c r="D1088"/>
      <c r="E1088"/>
      <c r="F1088"/>
      <c r="G1088"/>
      <c r="H1088"/>
      <c r="I1088"/>
      <c r="O1088"/>
    </row>
    <row r="1089" spans="1:15" x14ac:dyDescent="0.3">
      <c r="A1089"/>
      <c r="B1089"/>
      <c r="C1089"/>
      <c r="D1089"/>
      <c r="E1089"/>
      <c r="F1089"/>
      <c r="G1089"/>
      <c r="H1089"/>
      <c r="I1089"/>
      <c r="O1089"/>
    </row>
    <row r="1090" spans="1:15" x14ac:dyDescent="0.3">
      <c r="A1090"/>
      <c r="B1090"/>
      <c r="C1090"/>
      <c r="D1090"/>
      <c r="E1090"/>
      <c r="F1090"/>
      <c r="G1090"/>
      <c r="H1090"/>
      <c r="I1090"/>
      <c r="O1090"/>
    </row>
    <row r="1091" spans="1:15" x14ac:dyDescent="0.3">
      <c r="A1091"/>
      <c r="B1091"/>
      <c r="C1091"/>
      <c r="D1091"/>
      <c r="E1091"/>
      <c r="F1091"/>
      <c r="G1091"/>
      <c r="H1091"/>
      <c r="I1091"/>
      <c r="O1091"/>
    </row>
    <row r="1092" spans="1:15" x14ac:dyDescent="0.3">
      <c r="A1092"/>
      <c r="B1092"/>
      <c r="C1092"/>
      <c r="D1092"/>
      <c r="E1092"/>
      <c r="F1092"/>
      <c r="G1092"/>
      <c r="H1092"/>
      <c r="I1092"/>
      <c r="O1092"/>
    </row>
    <row r="1093" spans="1:15" x14ac:dyDescent="0.3">
      <c r="A1093"/>
      <c r="B1093"/>
      <c r="C1093"/>
      <c r="D1093"/>
      <c r="E1093"/>
      <c r="F1093"/>
      <c r="G1093"/>
      <c r="H1093"/>
      <c r="I1093"/>
    </row>
    <row r="1094" spans="1:15" x14ac:dyDescent="0.3">
      <c r="A1094"/>
      <c r="B1094"/>
      <c r="C1094"/>
      <c r="D1094"/>
      <c r="E1094"/>
      <c r="F1094"/>
      <c r="G1094"/>
      <c r="H1094"/>
      <c r="I1094"/>
    </row>
    <row r="1095" spans="1:15" x14ac:dyDescent="0.3">
      <c r="A1095"/>
      <c r="B1095"/>
      <c r="C1095"/>
      <c r="D1095"/>
      <c r="E1095"/>
      <c r="F1095"/>
      <c r="G1095"/>
      <c r="H1095"/>
      <c r="I1095"/>
    </row>
    <row r="1096" spans="1:15" x14ac:dyDescent="0.3">
      <c r="A1096"/>
      <c r="B1096"/>
      <c r="C1096"/>
      <c r="D1096"/>
      <c r="E1096"/>
      <c r="F1096"/>
      <c r="G1096"/>
      <c r="H1096"/>
      <c r="I1096"/>
    </row>
    <row r="1097" spans="1:15" x14ac:dyDescent="0.3">
      <c r="A1097"/>
      <c r="B1097"/>
      <c r="C1097"/>
      <c r="D1097"/>
      <c r="E1097"/>
      <c r="F1097"/>
      <c r="G1097"/>
      <c r="H1097"/>
      <c r="I1097"/>
    </row>
    <row r="1098" spans="1:15" x14ac:dyDescent="0.3">
      <c r="A1098"/>
      <c r="B1098"/>
      <c r="C1098"/>
      <c r="D1098"/>
      <c r="E1098"/>
      <c r="F1098"/>
      <c r="G1098"/>
      <c r="H1098"/>
      <c r="I1098"/>
    </row>
    <row r="1099" spans="1:15" x14ac:dyDescent="0.3">
      <c r="A1099"/>
      <c r="B1099"/>
      <c r="C1099"/>
      <c r="D1099"/>
      <c r="E1099"/>
      <c r="F1099"/>
      <c r="G1099"/>
      <c r="H1099"/>
      <c r="I1099"/>
    </row>
    <row r="1100" spans="1:15" x14ac:dyDescent="0.3">
      <c r="A1100"/>
      <c r="B1100"/>
      <c r="C1100"/>
      <c r="D1100"/>
      <c r="E1100"/>
      <c r="F1100"/>
      <c r="G1100"/>
      <c r="H1100"/>
      <c r="I1100"/>
    </row>
    <row r="1101" spans="1:15" x14ac:dyDescent="0.3">
      <c r="A1101"/>
      <c r="B1101"/>
      <c r="C1101"/>
      <c r="D1101"/>
      <c r="E1101"/>
      <c r="F1101"/>
      <c r="G1101"/>
      <c r="H1101"/>
      <c r="I1101"/>
    </row>
    <row r="1102" spans="1:15" x14ac:dyDescent="0.3">
      <c r="A1102"/>
      <c r="B1102"/>
      <c r="C1102"/>
      <c r="D1102"/>
      <c r="E1102"/>
      <c r="F1102"/>
      <c r="G1102"/>
      <c r="H1102"/>
      <c r="I1102"/>
    </row>
    <row r="1103" spans="1:15" x14ac:dyDescent="0.3">
      <c r="A1103"/>
      <c r="B1103"/>
      <c r="C1103"/>
      <c r="D1103"/>
      <c r="E1103"/>
      <c r="F1103"/>
      <c r="G1103"/>
      <c r="H1103"/>
      <c r="I1103"/>
    </row>
    <row r="1104" spans="1:15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9" x14ac:dyDescent="0.3">
      <c r="A1217"/>
      <c r="B1217"/>
      <c r="C1217"/>
      <c r="D1217"/>
      <c r="E1217"/>
      <c r="F1217"/>
      <c r="G1217"/>
      <c r="H1217"/>
      <c r="I1217"/>
    </row>
    <row r="1218" spans="1:9" x14ac:dyDescent="0.3">
      <c r="A1218"/>
      <c r="B1218"/>
      <c r="C1218"/>
      <c r="D1218"/>
      <c r="E1218"/>
      <c r="F1218"/>
      <c r="G1218"/>
      <c r="H1218"/>
      <c r="I1218"/>
    </row>
    <row r="1219" spans="1:9" x14ac:dyDescent="0.3">
      <c r="A1219"/>
      <c r="B1219"/>
      <c r="C1219"/>
      <c r="D1219"/>
      <c r="E1219"/>
      <c r="F1219"/>
      <c r="G1219"/>
      <c r="H1219"/>
      <c r="I1219"/>
    </row>
    <row r="1220" spans="1:9" x14ac:dyDescent="0.3">
      <c r="A1220"/>
      <c r="B1220"/>
      <c r="C1220"/>
      <c r="D1220"/>
      <c r="E1220"/>
      <c r="F1220"/>
      <c r="G1220"/>
      <c r="H1220"/>
      <c r="I1220"/>
    </row>
    <row r="1221" spans="1:9" x14ac:dyDescent="0.3">
      <c r="A1221"/>
      <c r="B1221"/>
      <c r="C1221"/>
      <c r="D1221"/>
      <c r="E1221"/>
      <c r="F1221"/>
      <c r="G1221"/>
      <c r="H1221"/>
      <c r="I1221"/>
    </row>
    <row r="1222" spans="1:9" x14ac:dyDescent="0.3">
      <c r="A1222"/>
      <c r="B1222"/>
      <c r="C1222"/>
      <c r="D1222"/>
      <c r="E1222"/>
      <c r="F1222"/>
      <c r="G1222"/>
      <c r="H1222"/>
      <c r="I1222"/>
    </row>
    <row r="1223" spans="1:9" x14ac:dyDescent="0.3">
      <c r="A1223"/>
      <c r="B1223"/>
      <c r="C1223"/>
      <c r="D1223"/>
      <c r="E1223"/>
      <c r="F1223"/>
      <c r="G1223"/>
      <c r="H1223"/>
      <c r="I1223"/>
    </row>
    <row r="1224" spans="1:9" x14ac:dyDescent="0.3">
      <c r="A1224"/>
      <c r="B1224"/>
      <c r="C1224"/>
      <c r="D1224"/>
      <c r="E1224"/>
      <c r="F1224"/>
      <c r="G1224"/>
      <c r="H1224"/>
      <c r="I1224"/>
    </row>
    <row r="1225" spans="1:9" x14ac:dyDescent="0.3">
      <c r="A1225"/>
      <c r="B1225"/>
      <c r="C1225"/>
      <c r="D1225"/>
      <c r="E1225"/>
      <c r="F1225"/>
      <c r="G1225"/>
      <c r="H1225"/>
      <c r="I1225"/>
    </row>
    <row r="1226" spans="1:9" x14ac:dyDescent="0.3">
      <c r="A1226"/>
      <c r="B1226"/>
      <c r="C1226"/>
      <c r="D1226"/>
      <c r="E1226"/>
      <c r="F1226"/>
      <c r="G1226"/>
      <c r="H1226"/>
      <c r="I1226"/>
    </row>
    <row r="1227" spans="1:9" x14ac:dyDescent="0.3">
      <c r="A1227"/>
      <c r="B1227"/>
      <c r="C1227"/>
      <c r="D1227"/>
      <c r="E1227"/>
      <c r="F1227"/>
      <c r="G1227"/>
      <c r="H1227"/>
      <c r="I1227"/>
    </row>
    <row r="1228" spans="1:9" x14ac:dyDescent="0.3">
      <c r="A1228"/>
      <c r="B1228"/>
      <c r="C1228"/>
      <c r="D1228"/>
      <c r="E1228"/>
      <c r="F1228"/>
      <c r="G1228"/>
      <c r="H1228"/>
      <c r="I1228"/>
    </row>
    <row r="1229" spans="1:9" x14ac:dyDescent="0.3">
      <c r="A1229"/>
      <c r="B1229"/>
      <c r="C1229"/>
      <c r="D1229"/>
      <c r="E1229"/>
      <c r="F1229"/>
      <c r="G1229"/>
      <c r="H1229"/>
      <c r="I1229"/>
    </row>
    <row r="1230" spans="1:9" x14ac:dyDescent="0.3">
      <c r="A1230"/>
      <c r="B1230"/>
      <c r="C1230"/>
      <c r="D1230"/>
      <c r="E1230"/>
      <c r="F1230"/>
      <c r="G1230"/>
      <c r="H1230"/>
      <c r="I1230"/>
    </row>
    <row r="1231" spans="1:9" x14ac:dyDescent="0.3">
      <c r="A1231"/>
      <c r="B1231"/>
      <c r="C1231"/>
      <c r="D1231"/>
      <c r="E1231"/>
      <c r="F1231"/>
      <c r="G1231"/>
      <c r="H1231"/>
      <c r="I1231"/>
    </row>
    <row r="1232" spans="1:9" x14ac:dyDescent="0.3">
      <c r="A1232"/>
      <c r="B1232"/>
      <c r="C1232"/>
      <c r="D1232"/>
      <c r="E1232"/>
      <c r="F1232"/>
      <c r="G1232"/>
      <c r="H1232"/>
      <c r="I1232"/>
    </row>
    <row r="1233" spans="1:9" x14ac:dyDescent="0.3">
      <c r="A1233"/>
      <c r="B1233"/>
      <c r="C1233"/>
      <c r="D1233"/>
      <c r="E1233"/>
      <c r="F1233"/>
      <c r="G1233"/>
      <c r="H1233"/>
      <c r="I1233"/>
    </row>
    <row r="1234" spans="1:9" x14ac:dyDescent="0.3">
      <c r="A1234"/>
      <c r="B1234"/>
      <c r="C1234"/>
      <c r="D1234"/>
      <c r="E1234"/>
      <c r="F1234"/>
      <c r="G1234"/>
      <c r="H1234"/>
      <c r="I1234"/>
    </row>
    <row r="1235" spans="1:9" x14ac:dyDescent="0.3">
      <c r="A1235"/>
      <c r="B1235"/>
      <c r="C1235"/>
      <c r="D1235"/>
      <c r="E1235"/>
      <c r="F1235"/>
      <c r="G1235"/>
      <c r="H1235"/>
      <c r="I1235"/>
    </row>
    <row r="1236" spans="1:9" x14ac:dyDescent="0.3">
      <c r="A1236"/>
      <c r="B1236"/>
      <c r="C1236"/>
      <c r="D1236"/>
      <c r="E1236"/>
      <c r="F1236"/>
      <c r="G1236"/>
      <c r="H1236"/>
      <c r="I1236"/>
    </row>
    <row r="1237" spans="1:9" x14ac:dyDescent="0.3">
      <c r="A1237"/>
      <c r="B1237"/>
      <c r="C1237"/>
      <c r="D1237"/>
      <c r="E1237"/>
      <c r="F1237"/>
      <c r="G1237"/>
      <c r="H1237"/>
      <c r="I1237"/>
    </row>
    <row r="1238" spans="1:9" x14ac:dyDescent="0.3">
      <c r="A1238"/>
      <c r="B1238"/>
      <c r="C1238"/>
      <c r="D1238"/>
      <c r="E1238"/>
      <c r="F1238"/>
      <c r="G1238"/>
      <c r="H1238"/>
      <c r="I1238"/>
    </row>
    <row r="1239" spans="1:9" x14ac:dyDescent="0.3">
      <c r="A1239"/>
      <c r="B1239"/>
      <c r="C1239"/>
      <c r="D1239"/>
      <c r="E1239"/>
      <c r="F1239"/>
      <c r="G1239"/>
      <c r="H1239"/>
      <c r="I1239"/>
    </row>
    <row r="1240" spans="1:9" x14ac:dyDescent="0.3">
      <c r="A1240"/>
      <c r="B1240"/>
      <c r="C1240"/>
      <c r="D1240"/>
      <c r="E1240"/>
      <c r="F1240"/>
      <c r="G1240"/>
      <c r="H1240"/>
      <c r="I1240"/>
    </row>
    <row r="1241" spans="1:9" x14ac:dyDescent="0.3">
      <c r="A1241"/>
      <c r="B1241"/>
      <c r="C1241"/>
      <c r="D1241"/>
      <c r="E1241"/>
      <c r="F1241"/>
      <c r="G1241"/>
      <c r="H1241"/>
      <c r="I1241"/>
    </row>
    <row r="1242" spans="1:9" x14ac:dyDescent="0.3">
      <c r="A1242"/>
      <c r="B1242"/>
      <c r="C1242"/>
      <c r="D1242"/>
      <c r="E1242"/>
      <c r="F1242"/>
      <c r="G1242"/>
      <c r="H1242"/>
      <c r="I1242"/>
    </row>
    <row r="1243" spans="1:9" x14ac:dyDescent="0.3">
      <c r="A1243"/>
      <c r="B1243"/>
      <c r="C1243"/>
      <c r="D1243"/>
      <c r="E1243"/>
      <c r="F1243"/>
      <c r="G1243"/>
      <c r="H1243"/>
      <c r="I1243"/>
    </row>
    <row r="1244" spans="1:9" x14ac:dyDescent="0.3">
      <c r="A1244"/>
      <c r="B1244"/>
      <c r="C1244"/>
      <c r="D1244"/>
      <c r="E1244"/>
      <c r="F1244"/>
      <c r="G1244"/>
      <c r="H1244"/>
      <c r="I1244"/>
    </row>
    <row r="1245" spans="1:9" x14ac:dyDescent="0.3">
      <c r="A1245"/>
      <c r="B1245"/>
      <c r="C1245"/>
      <c r="D1245"/>
      <c r="E1245"/>
      <c r="F1245"/>
      <c r="G1245"/>
      <c r="H1245"/>
      <c r="I1245"/>
    </row>
    <row r="1246" spans="1:9" x14ac:dyDescent="0.3">
      <c r="A1246"/>
      <c r="B1246"/>
      <c r="C1246"/>
      <c r="D1246"/>
      <c r="E1246"/>
      <c r="F1246"/>
      <c r="G1246"/>
      <c r="H1246"/>
      <c r="I1246"/>
    </row>
    <row r="1247" spans="1:9" x14ac:dyDescent="0.3">
      <c r="A1247"/>
      <c r="B1247"/>
      <c r="C1247"/>
      <c r="D1247"/>
      <c r="E1247"/>
      <c r="F1247"/>
      <c r="G1247"/>
      <c r="H1247"/>
      <c r="I1247"/>
    </row>
    <row r="1248" spans="1:9" x14ac:dyDescent="0.3">
      <c r="A1248"/>
      <c r="B1248"/>
      <c r="C1248"/>
      <c r="D1248"/>
      <c r="E1248"/>
      <c r="F1248"/>
      <c r="G1248"/>
      <c r="H1248"/>
      <c r="I1248"/>
    </row>
    <row r="1249" spans="1:9" x14ac:dyDescent="0.3">
      <c r="A1249"/>
      <c r="B1249"/>
      <c r="C1249"/>
      <c r="D1249"/>
      <c r="E1249"/>
      <c r="F1249"/>
      <c r="G1249"/>
      <c r="H1249"/>
      <c r="I1249"/>
    </row>
    <row r="1250" spans="1:9" x14ac:dyDescent="0.3">
      <c r="A1250"/>
      <c r="B1250"/>
      <c r="C1250"/>
      <c r="D1250"/>
      <c r="E1250"/>
      <c r="F1250"/>
      <c r="G1250"/>
      <c r="H1250"/>
      <c r="I1250"/>
    </row>
    <row r="1251" spans="1:9" x14ac:dyDescent="0.3">
      <c r="A1251"/>
      <c r="B1251"/>
      <c r="C1251"/>
      <c r="D1251"/>
      <c r="E1251"/>
      <c r="F1251"/>
      <c r="G1251"/>
      <c r="H1251"/>
      <c r="I1251"/>
    </row>
    <row r="1252" spans="1:9" x14ac:dyDescent="0.3">
      <c r="A1252"/>
      <c r="B1252"/>
      <c r="C1252"/>
      <c r="D1252"/>
      <c r="E1252"/>
      <c r="F1252"/>
      <c r="G1252"/>
      <c r="H1252"/>
      <c r="I1252"/>
    </row>
    <row r="1253" spans="1:9" x14ac:dyDescent="0.3">
      <c r="A1253"/>
      <c r="B1253"/>
      <c r="C1253"/>
      <c r="D1253"/>
      <c r="E1253"/>
      <c r="F1253"/>
      <c r="G1253"/>
      <c r="H1253"/>
      <c r="I1253"/>
    </row>
    <row r="1254" spans="1:9" x14ac:dyDescent="0.3">
      <c r="A1254"/>
      <c r="B1254"/>
      <c r="C1254"/>
      <c r="D1254"/>
      <c r="E1254"/>
      <c r="F1254"/>
      <c r="G1254"/>
      <c r="H1254"/>
      <c r="I1254"/>
    </row>
    <row r="1255" spans="1:9" x14ac:dyDescent="0.3">
      <c r="A1255"/>
      <c r="B1255"/>
      <c r="C1255"/>
      <c r="D1255"/>
      <c r="E1255"/>
      <c r="F1255"/>
      <c r="G1255"/>
      <c r="H1255"/>
      <c r="I1255"/>
    </row>
    <row r="1256" spans="1:9" x14ac:dyDescent="0.3">
      <c r="A1256"/>
      <c r="B1256"/>
      <c r="C1256"/>
      <c r="D1256"/>
      <c r="E1256"/>
      <c r="F1256"/>
      <c r="G1256"/>
      <c r="H1256"/>
      <c r="I1256"/>
    </row>
    <row r="1257" spans="1:9" x14ac:dyDescent="0.3">
      <c r="A1257"/>
      <c r="B1257"/>
      <c r="C1257"/>
      <c r="D1257"/>
      <c r="E1257"/>
      <c r="F1257"/>
      <c r="G1257"/>
      <c r="H1257"/>
      <c r="I1257"/>
    </row>
    <row r="1258" spans="1:9" x14ac:dyDescent="0.3">
      <c r="A1258"/>
      <c r="B1258"/>
      <c r="C1258"/>
      <c r="D1258"/>
      <c r="E1258"/>
      <c r="F1258"/>
      <c r="G1258"/>
      <c r="H1258"/>
      <c r="I1258"/>
    </row>
    <row r="1259" spans="1:9" x14ac:dyDescent="0.3">
      <c r="A1259"/>
      <c r="B1259"/>
      <c r="C1259"/>
      <c r="D1259"/>
      <c r="E1259"/>
      <c r="F1259"/>
      <c r="G1259"/>
      <c r="H1259"/>
      <c r="I1259"/>
    </row>
    <row r="1260" spans="1:9" x14ac:dyDescent="0.3">
      <c r="A1260"/>
      <c r="B1260"/>
      <c r="C1260"/>
      <c r="D1260"/>
      <c r="E1260"/>
      <c r="F1260"/>
      <c r="G1260"/>
      <c r="H1260"/>
      <c r="I1260"/>
    </row>
    <row r="1261" spans="1:9" x14ac:dyDescent="0.3">
      <c r="A1261"/>
      <c r="B1261"/>
      <c r="C1261"/>
      <c r="D1261"/>
      <c r="E1261"/>
      <c r="F1261"/>
      <c r="G1261"/>
      <c r="H1261"/>
      <c r="I1261"/>
    </row>
    <row r="1262" spans="1:9" x14ac:dyDescent="0.3">
      <c r="A1262"/>
      <c r="B1262"/>
      <c r="C1262"/>
      <c r="D1262"/>
      <c r="E1262"/>
      <c r="F1262"/>
      <c r="G1262"/>
      <c r="H1262"/>
      <c r="I1262"/>
    </row>
    <row r="1263" spans="1:9" x14ac:dyDescent="0.3">
      <c r="A1263"/>
      <c r="B1263"/>
      <c r="C1263"/>
      <c r="D1263"/>
      <c r="E1263"/>
      <c r="F1263"/>
      <c r="G1263"/>
      <c r="H1263"/>
      <c r="I1263"/>
    </row>
    <row r="1264" spans="1:9" x14ac:dyDescent="0.3">
      <c r="A1264"/>
      <c r="B1264"/>
      <c r="C1264"/>
      <c r="D1264"/>
      <c r="E1264"/>
      <c r="F1264"/>
      <c r="G1264"/>
      <c r="H1264"/>
      <c r="I1264"/>
    </row>
    <row r="1265" spans="1:19" x14ac:dyDescent="0.3">
      <c r="A1265"/>
      <c r="B1265"/>
      <c r="C1265"/>
      <c r="D1265"/>
      <c r="E1265"/>
      <c r="F1265"/>
      <c r="G1265"/>
      <c r="H1265"/>
      <c r="I1265"/>
    </row>
    <row r="1266" spans="1:19" x14ac:dyDescent="0.3">
      <c r="A1266"/>
      <c r="B1266"/>
      <c r="C1266"/>
      <c r="D1266"/>
      <c r="E1266"/>
      <c r="F1266"/>
      <c r="G1266"/>
      <c r="H1266"/>
      <c r="I1266"/>
    </row>
    <row r="1267" spans="1:19" x14ac:dyDescent="0.3">
      <c r="A1267"/>
      <c r="B1267"/>
      <c r="C1267"/>
      <c r="D1267"/>
      <c r="E1267"/>
      <c r="F1267"/>
      <c r="G1267"/>
      <c r="H1267"/>
      <c r="I1267"/>
    </row>
    <row r="1268" spans="1:19" x14ac:dyDescent="0.3">
      <c r="A1268"/>
      <c r="B1268"/>
      <c r="C1268"/>
      <c r="D1268"/>
      <c r="E1268"/>
      <c r="F1268"/>
      <c r="G1268"/>
      <c r="H1268"/>
      <c r="I1268"/>
    </row>
    <row r="1269" spans="1:19" x14ac:dyDescent="0.3">
      <c r="A1269"/>
      <c r="B1269"/>
      <c r="C1269"/>
      <c r="D1269"/>
      <c r="E1269"/>
      <c r="F1269"/>
      <c r="G1269"/>
      <c r="H1269"/>
      <c r="I1269"/>
    </row>
    <row r="1270" spans="1:19" x14ac:dyDescent="0.3">
      <c r="A1270"/>
      <c r="B1270"/>
      <c r="C1270"/>
      <c r="D1270"/>
      <c r="E1270"/>
      <c r="F1270"/>
      <c r="G1270"/>
      <c r="H1270"/>
      <c r="I1270"/>
    </row>
    <row r="1271" spans="1:19" x14ac:dyDescent="0.3">
      <c r="A1271"/>
      <c r="B1271"/>
      <c r="C1271"/>
      <c r="D1271"/>
      <c r="E1271"/>
      <c r="F1271"/>
      <c r="G1271"/>
      <c r="H1271"/>
      <c r="I1271"/>
    </row>
    <row r="1272" spans="1:19" x14ac:dyDescent="0.3">
      <c r="A1272"/>
      <c r="B1272"/>
      <c r="C1272"/>
      <c r="D1272"/>
      <c r="E1272"/>
      <c r="F1272"/>
      <c r="G1272"/>
      <c r="H1272"/>
      <c r="I1272"/>
    </row>
    <row r="1273" spans="1:19" x14ac:dyDescent="0.3">
      <c r="A1273"/>
      <c r="B1273"/>
      <c r="C1273"/>
      <c r="D1273"/>
      <c r="E1273"/>
      <c r="F1273"/>
      <c r="G1273"/>
      <c r="H1273"/>
      <c r="I1273"/>
    </row>
    <row r="1274" spans="1:19" x14ac:dyDescent="0.3">
      <c r="A1274"/>
      <c r="B1274"/>
      <c r="C1274"/>
      <c r="D1274"/>
      <c r="E1274"/>
      <c r="F1274"/>
      <c r="G1274"/>
      <c r="H1274"/>
      <c r="I1274"/>
    </row>
    <row r="1275" spans="1:19" x14ac:dyDescent="0.3">
      <c r="P1275" s="1">
        <f t="shared" ref="P1275:P1292" si="82">(B1257+Q$36)/P$36</f>
        <v>0.79928861788617889</v>
      </c>
      <c r="Q1275" s="1">
        <f t="shared" ref="Q1275:Q1292" si="83">(C1257+Q$36)/P$36</f>
        <v>0.79928861788617889</v>
      </c>
      <c r="R1275" s="1">
        <f t="shared" ref="R1275:R1292" si="84">(D1257+Q$38)/P$38</f>
        <v>0.82624655858060569</v>
      </c>
      <c r="S1275" s="1">
        <f t="shared" ref="S1275:S1292" si="85">(E1257+Q$39)/P$39</f>
        <v>0.94496726677577736</v>
      </c>
    </row>
    <row r="1276" spans="1:19" x14ac:dyDescent="0.3">
      <c r="P1276" s="1">
        <f t="shared" si="82"/>
        <v>0.79928861788617889</v>
      </c>
      <c r="Q1276" s="1">
        <f t="shared" si="83"/>
        <v>0.79928861788617889</v>
      </c>
      <c r="R1276" s="1">
        <f t="shared" si="84"/>
        <v>0.82624655858060569</v>
      </c>
      <c r="S1276" s="1">
        <f t="shared" si="85"/>
        <v>0.94496726677577736</v>
      </c>
    </row>
    <row r="1277" spans="1:19" x14ac:dyDescent="0.3">
      <c r="P1277" s="1">
        <f t="shared" si="82"/>
        <v>0.79928861788617889</v>
      </c>
      <c r="Q1277" s="1">
        <f t="shared" si="83"/>
        <v>0.79928861788617889</v>
      </c>
      <c r="R1277" s="1">
        <f t="shared" si="84"/>
        <v>0.82624655858060569</v>
      </c>
      <c r="S1277" s="1">
        <f t="shared" si="85"/>
        <v>0.94496726677577736</v>
      </c>
    </row>
    <row r="1278" spans="1:19" x14ac:dyDescent="0.3">
      <c r="P1278" s="1">
        <f t="shared" si="82"/>
        <v>0.79928861788617889</v>
      </c>
      <c r="Q1278" s="1">
        <f t="shared" si="83"/>
        <v>0.79928861788617889</v>
      </c>
      <c r="R1278" s="1">
        <f t="shared" si="84"/>
        <v>0.82624655858060569</v>
      </c>
      <c r="S1278" s="1">
        <f t="shared" si="85"/>
        <v>0.94496726677577736</v>
      </c>
    </row>
    <row r="1279" spans="1:19" x14ac:dyDescent="0.3">
      <c r="P1279" s="1">
        <f t="shared" si="82"/>
        <v>0.79928861788617889</v>
      </c>
      <c r="Q1279" s="1">
        <f t="shared" si="83"/>
        <v>0.79928861788617889</v>
      </c>
      <c r="R1279" s="1">
        <f t="shared" si="84"/>
        <v>0.82624655858060569</v>
      </c>
      <c r="S1279" s="1">
        <f t="shared" si="85"/>
        <v>0.94496726677577736</v>
      </c>
    </row>
    <row r="1280" spans="1:19" x14ac:dyDescent="0.3">
      <c r="P1280" s="1">
        <f t="shared" si="82"/>
        <v>0.79928861788617889</v>
      </c>
      <c r="Q1280" s="1">
        <f t="shared" si="83"/>
        <v>0.79928861788617889</v>
      </c>
      <c r="R1280" s="1">
        <f t="shared" si="84"/>
        <v>0.82624655858060569</v>
      </c>
      <c r="S1280" s="1">
        <f t="shared" si="85"/>
        <v>0.94496726677577736</v>
      </c>
    </row>
    <row r="1281" spans="16:19" x14ac:dyDescent="0.3">
      <c r="P1281" s="1">
        <f t="shared" si="82"/>
        <v>0.79928861788617889</v>
      </c>
      <c r="Q1281" s="1">
        <f t="shared" si="83"/>
        <v>0.79928861788617889</v>
      </c>
      <c r="R1281" s="1">
        <f t="shared" si="84"/>
        <v>0.82624655858060569</v>
      </c>
      <c r="S1281" s="1">
        <f t="shared" si="85"/>
        <v>0.94496726677577736</v>
      </c>
    </row>
    <row r="1282" spans="16:19" x14ac:dyDescent="0.3">
      <c r="P1282" s="1">
        <f t="shared" si="82"/>
        <v>0.79928861788617889</v>
      </c>
      <c r="Q1282" s="1">
        <f t="shared" si="83"/>
        <v>0.79928861788617889</v>
      </c>
      <c r="R1282" s="1">
        <f t="shared" si="84"/>
        <v>0.82624655858060569</v>
      </c>
      <c r="S1282" s="1">
        <f t="shared" si="85"/>
        <v>0.94496726677577736</v>
      </c>
    </row>
    <row r="1283" spans="16:19" x14ac:dyDescent="0.3">
      <c r="P1283" s="1">
        <f t="shared" si="82"/>
        <v>0.79928861788617889</v>
      </c>
      <c r="Q1283" s="1">
        <f t="shared" si="83"/>
        <v>0.79928861788617889</v>
      </c>
      <c r="R1283" s="1">
        <f t="shared" si="84"/>
        <v>0.82624655858060569</v>
      </c>
      <c r="S1283" s="1">
        <f t="shared" si="85"/>
        <v>0.94496726677577736</v>
      </c>
    </row>
    <row r="1284" spans="16:19" x14ac:dyDescent="0.3">
      <c r="P1284" s="1">
        <f t="shared" si="82"/>
        <v>0.79928861788617889</v>
      </c>
      <c r="Q1284" s="1">
        <f t="shared" si="83"/>
        <v>0.79928861788617889</v>
      </c>
      <c r="R1284" s="1">
        <f t="shared" si="84"/>
        <v>0.82624655858060569</v>
      </c>
      <c r="S1284" s="1">
        <f t="shared" si="85"/>
        <v>0.94496726677577736</v>
      </c>
    </row>
    <row r="1285" spans="16:19" x14ac:dyDescent="0.3">
      <c r="P1285" s="1">
        <f t="shared" si="82"/>
        <v>0.79928861788617889</v>
      </c>
      <c r="Q1285" s="1">
        <f t="shared" si="83"/>
        <v>0.79928861788617889</v>
      </c>
      <c r="R1285" s="1">
        <f t="shared" si="84"/>
        <v>0.82624655858060569</v>
      </c>
      <c r="S1285" s="1">
        <f t="shared" si="85"/>
        <v>0.94496726677577736</v>
      </c>
    </row>
    <row r="1286" spans="16:19" x14ac:dyDescent="0.3">
      <c r="P1286" s="1">
        <f t="shared" si="82"/>
        <v>0.79928861788617889</v>
      </c>
      <c r="Q1286" s="1">
        <f t="shared" si="83"/>
        <v>0.79928861788617889</v>
      </c>
      <c r="R1286" s="1">
        <f t="shared" si="84"/>
        <v>0.82624655858060569</v>
      </c>
      <c r="S1286" s="1">
        <f t="shared" si="85"/>
        <v>0.94496726677577736</v>
      </c>
    </row>
    <row r="1287" spans="16:19" x14ac:dyDescent="0.3">
      <c r="P1287" s="1">
        <f t="shared" si="82"/>
        <v>0.79928861788617889</v>
      </c>
      <c r="Q1287" s="1">
        <f t="shared" si="83"/>
        <v>0.79928861788617889</v>
      </c>
      <c r="R1287" s="1">
        <f t="shared" si="84"/>
        <v>0.82624655858060569</v>
      </c>
      <c r="S1287" s="1">
        <f t="shared" si="85"/>
        <v>0.94496726677577736</v>
      </c>
    </row>
    <row r="1288" spans="16:19" x14ac:dyDescent="0.3">
      <c r="P1288" s="1">
        <f t="shared" si="82"/>
        <v>0.79928861788617889</v>
      </c>
      <c r="Q1288" s="1">
        <f t="shared" si="83"/>
        <v>0.79928861788617889</v>
      </c>
      <c r="R1288" s="1">
        <f t="shared" si="84"/>
        <v>0.82624655858060569</v>
      </c>
      <c r="S1288" s="1">
        <f t="shared" si="85"/>
        <v>0.94496726677577736</v>
      </c>
    </row>
    <row r="1289" spans="16:19" x14ac:dyDescent="0.3">
      <c r="P1289" s="1">
        <f t="shared" si="82"/>
        <v>0.79928861788617889</v>
      </c>
      <c r="Q1289" s="1">
        <f t="shared" si="83"/>
        <v>0.79928861788617889</v>
      </c>
      <c r="R1289" s="1">
        <f t="shared" si="84"/>
        <v>0.82624655858060569</v>
      </c>
      <c r="S1289" s="1">
        <f t="shared" si="85"/>
        <v>0.94496726677577736</v>
      </c>
    </row>
    <row r="1290" spans="16:19" x14ac:dyDescent="0.3">
      <c r="P1290" s="1">
        <f t="shared" si="82"/>
        <v>0.79928861788617889</v>
      </c>
      <c r="Q1290" s="1">
        <f t="shared" si="83"/>
        <v>0.79928861788617889</v>
      </c>
      <c r="R1290" s="1">
        <f t="shared" si="84"/>
        <v>0.82624655858060569</v>
      </c>
      <c r="S1290" s="1">
        <f t="shared" si="85"/>
        <v>0.94496726677577736</v>
      </c>
    </row>
    <row r="1291" spans="16:19" x14ac:dyDescent="0.3">
      <c r="P1291" s="1">
        <f t="shared" si="82"/>
        <v>0.79928861788617889</v>
      </c>
      <c r="Q1291" s="1">
        <f t="shared" si="83"/>
        <v>0.79928861788617889</v>
      </c>
      <c r="R1291" s="1">
        <f t="shared" si="84"/>
        <v>0.82624655858060569</v>
      </c>
      <c r="S1291" s="1">
        <f t="shared" si="85"/>
        <v>0.94496726677577736</v>
      </c>
    </row>
    <row r="1292" spans="16:19" x14ac:dyDescent="0.3">
      <c r="P1292" s="1">
        <f t="shared" si="82"/>
        <v>0.79928861788617889</v>
      </c>
      <c r="Q1292" s="1">
        <f t="shared" si="83"/>
        <v>0.79928861788617889</v>
      </c>
      <c r="R1292" s="1">
        <f t="shared" si="84"/>
        <v>0.82624655858060569</v>
      </c>
      <c r="S1292" s="1">
        <f t="shared" si="85"/>
        <v>0.94496726677577736</v>
      </c>
    </row>
  </sheetData>
  <mergeCells count="1">
    <mergeCell ref="P41:S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B473-CD9F-4EFD-A22B-F1355AE67245}">
  <dimension ref="A1:AZ1292"/>
  <sheetViews>
    <sheetView topLeftCell="W1" zoomScale="85" zoomScaleNormal="85" workbookViewId="0">
      <selection activeCell="AN40" sqref="AN40"/>
    </sheetView>
  </sheetViews>
  <sheetFormatPr defaultRowHeight="14.4" x14ac:dyDescent="0.3"/>
  <cols>
    <col min="1" max="1" width="14.33203125" style="1" bestFit="1" customWidth="1"/>
    <col min="2" max="5" width="8.88671875" style="1"/>
    <col min="6" max="6" width="16" style="1" customWidth="1"/>
    <col min="7" max="7" width="12.21875" style="1" bestFit="1" customWidth="1"/>
    <col min="8" max="8" width="15.21875" style="1" customWidth="1"/>
    <col min="9" max="14" width="8.88671875" style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3320312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/>
    <col min="32" max="32" width="15.6640625" style="1" customWidth="1"/>
    <col min="33" max="36" width="8.88671875" style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/>
    <col min="41" max="41" width="10.6640625" style="1" customWidth="1"/>
    <col min="42" max="42" width="8.88671875" style="1"/>
    <col min="43" max="43" width="19.5546875" style="1" bestFit="1" customWidth="1"/>
    <col min="44" max="44" width="8.88671875" style="1"/>
    <col min="45" max="45" width="14.44140625" style="1" customWidth="1"/>
    <col min="46" max="46" width="8.88671875" style="1"/>
    <col min="47" max="47" width="12.44140625" style="1" customWidth="1"/>
    <col min="48" max="49" width="12.44140625" style="1" bestFit="1" customWidth="1"/>
    <col min="50" max="16384" width="8.88671875" style="1"/>
  </cols>
  <sheetData>
    <row r="1" spans="1:52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52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52" x14ac:dyDescent="0.3">
      <c r="D3" s="2" t="s">
        <v>8</v>
      </c>
      <c r="E3" s="3">
        <v>391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52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52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2.5</v>
      </c>
      <c r="L5" s="3">
        <f>0.0388</f>
        <v>3.8800000000000001E-2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</row>
    <row r="6" spans="1:52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6">
        <v>1</v>
      </c>
      <c r="P6" s="7">
        <f>AVERAGE(B25:B74)</f>
        <v>55.671064960000031</v>
      </c>
      <c r="Q6" s="8">
        <f>STDEV(B25:B74)</f>
        <v>9.1382850687844602E-3</v>
      </c>
      <c r="R6" s="9">
        <f>AVERAGE(C25:C74)</f>
        <v>56.147877300000012</v>
      </c>
      <c r="S6" s="10">
        <f>STDEV(C25:C74)</f>
        <v>1.0362538872677612E-2</v>
      </c>
      <c r="T6" s="11">
        <f>AVERAGE(D25:D74)</f>
        <v>56.701985780000015</v>
      </c>
      <c r="U6" s="12">
        <f>STDEV(D25:D74)</f>
        <v>1.0854374365618098E-2</v>
      </c>
      <c r="V6" s="13">
        <f>AVERAGE(E25:E74)</f>
        <v>47.909430900000004</v>
      </c>
      <c r="W6" s="14">
        <f>STDEV(E25:E74)</f>
        <v>2.5533908907407692E-2</v>
      </c>
      <c r="X6" s="15">
        <f>AVERAGE(F25:F74)</f>
        <v>36.290903699999987</v>
      </c>
      <c r="Y6" s="16">
        <f>STDEV(F25:F74)</f>
        <v>0.1617377401306869</v>
      </c>
      <c r="Z6" s="17">
        <f>AVERAGE(G25:G74)</f>
        <v>30.087472520000006</v>
      </c>
      <c r="AA6" s="18">
        <f>AVERAGE(H25:H74)</f>
        <v>30.480773719999991</v>
      </c>
      <c r="AB6" s="6">
        <f>(T6-R6)/(R6-P6)</f>
        <v>1.1621101920307386</v>
      </c>
      <c r="AC6" s="6">
        <f>(3*P6- 4*R6 +T6)/(2*0.005)</f>
        <v>-87.632853999993188</v>
      </c>
      <c r="AD6" s="6">
        <f>-(E$3)*AC6*(1/10000)</f>
        <v>3.4264445913997337</v>
      </c>
      <c r="AE6" s="6">
        <f>(V6)-((0.006*AD6)/(0.0001*391))</f>
        <v>47.383633776000046</v>
      </c>
      <c r="AF6" s="19">
        <v>88</v>
      </c>
      <c r="AG6" s="19">
        <v>49</v>
      </c>
      <c r="AH6" s="6">
        <f>AG6-X6</f>
        <v>12.709096300000013</v>
      </c>
      <c r="AI6" s="6">
        <f>AE6-AG6</f>
        <v>-1.6163662239999539</v>
      </c>
      <c r="AJ6" s="6">
        <f>ABS(AD6*10/AI6)</f>
        <v>21.198442163190311</v>
      </c>
      <c r="AK6" s="6">
        <f>(AE6-30)</f>
        <v>17.383633776000046</v>
      </c>
      <c r="AL6" s="6">
        <f>AD6*3.45*3.2</f>
        <v>37.827948289053062</v>
      </c>
      <c r="AM6" s="6">
        <f>AK6/AL6</f>
        <v>0.45954471659861745</v>
      </c>
      <c r="AN6" s="6">
        <f>AA6-Z6</f>
        <v>0.39330119999998558</v>
      </c>
      <c r="AO6" s="6">
        <f>L$5</f>
        <v>3.8800000000000001E-2</v>
      </c>
      <c r="AP6" s="6">
        <f>AO6*AN6*K$8</f>
        <v>63.893982426717663</v>
      </c>
      <c r="AQ6" s="6">
        <f>SQRT((($E$2^2)/($E$3^2))+(($E$4^2)/($E$1^2))+(9*($E$5^2)/(AR6^2))+(16*($E$6^2)/(AR6^2))+(($E$7^2)/(AR6^2)))</f>
        <v>0.26789191941207308</v>
      </c>
      <c r="AR6" s="6">
        <f>3*P6- 4*R6 +T6</f>
        <v>-0.87632853999993188</v>
      </c>
      <c r="AS6" s="6">
        <f>SQRT((($E$2^2)/(E$3^2))+(($E$4^2)/($E$1^2))+(9*(Q6^2)/(AR6^2))+(16*(S6^2)/(AR6^2))+((U6^2)/(AR6^2)))</f>
        <v>6.2475480004906811E-2</v>
      </c>
      <c r="AT6" s="6">
        <f>SQRT(AS6^2 + AQ6^2)</f>
        <v>0.27508047202251229</v>
      </c>
      <c r="AU6" s="6">
        <f>AT6*100</f>
        <v>27.50804720225123</v>
      </c>
      <c r="AV6" s="6">
        <f>AT6*AD6</f>
        <v>0.94254799556122304</v>
      </c>
      <c r="AW6" s="6">
        <f>AT6*AL6</f>
        <v>10.405729870995902</v>
      </c>
      <c r="AX6" s="20">
        <f xml:space="preserve"> (AE6-X6)/ AL6</f>
        <v>0.29324165273880731</v>
      </c>
      <c r="AY6" s="20">
        <f>(X6-(AVERAGE(Z6:AA6)))/AL6</f>
        <v>0.15879213258146169</v>
      </c>
      <c r="AZ6" s="20">
        <f xml:space="preserve"> SUM(AX6:AY6)</f>
        <v>0.452033785320269</v>
      </c>
    </row>
    <row r="7" spans="1:52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6">
        <v>2</v>
      </c>
      <c r="P7" s="7">
        <f>AVERAGE(B75:B124)</f>
        <v>69.052632079999981</v>
      </c>
      <c r="Q7" s="8">
        <f>STDEV(B75:B124)</f>
        <v>1.0240612688622546E-2</v>
      </c>
      <c r="R7" s="9">
        <f>AVERAGE(C75:C124)</f>
        <v>69.772170320000001</v>
      </c>
      <c r="S7" s="10">
        <f>STDEV(C75:C124)</f>
        <v>8.4420914263362012E-3</v>
      </c>
      <c r="T7" s="11">
        <f>AVERAGE(D75:D124)</f>
        <v>70.542187919999989</v>
      </c>
      <c r="U7" s="12">
        <f>STDEV(D75:D124)</f>
        <v>9.4445347371702008E-3</v>
      </c>
      <c r="V7" s="13">
        <f>AVERAGE(E75:E124)</f>
        <v>58.386651800000003</v>
      </c>
      <c r="W7" s="14">
        <f>STDEV(E75:E124)</f>
        <v>2.3320082693170728E-2</v>
      </c>
      <c r="X7" s="15">
        <f>AVERAGE(F75:F124)</f>
        <v>42.136053279999999</v>
      </c>
      <c r="Y7" s="16">
        <f>STDEV(F75:F124)</f>
        <v>0.26596162827554887</v>
      </c>
      <c r="Z7" s="17">
        <f>AVERAGE(G75:G124)</f>
        <v>29.970423480000004</v>
      </c>
      <c r="AA7" s="18">
        <f>AVERAGE(H75:H124)</f>
        <v>30.499308999999997</v>
      </c>
      <c r="AB7" s="6">
        <f t="shared" ref="AB7:AB30" si="0">(T7-R7)/(R7-P7)</f>
        <v>1.0701552151001277</v>
      </c>
      <c r="AC7" s="6">
        <f>(3*P7- 4*R7 +T7)/(2*0.005)</f>
        <v>-138.85971200000569</v>
      </c>
      <c r="AD7" s="6">
        <f t="shared" ref="AD7:AD30" si="1">-(E$3)*AC7*(1/10000)</f>
        <v>5.4294147392002232</v>
      </c>
      <c r="AE7" s="6">
        <f>(V7)-((0.006*AD7)/(0.0001*391))</f>
        <v>57.553493527999969</v>
      </c>
      <c r="AF7" s="19">
        <v>88</v>
      </c>
      <c r="AG7" s="19">
        <v>49</v>
      </c>
      <c r="AH7" s="6">
        <f t="shared" ref="AH7:AH30" si="2">AG7-X7</f>
        <v>6.8639467200000013</v>
      </c>
      <c r="AI7" s="6">
        <f t="shared" ref="AI7:AI30" si="3">AE7-AG7</f>
        <v>8.5534935279999686</v>
      </c>
      <c r="AJ7" s="6">
        <f t="shared" ref="AJ7:AJ30" si="4">ABS(AD7*10/AI7)</f>
        <v>6.3475990499401975</v>
      </c>
      <c r="AK7" s="6">
        <f t="shared" ref="AK7:AK30" si="5">(AE7-30)</f>
        <v>27.553493527999969</v>
      </c>
      <c r="AL7" s="6">
        <f t="shared" ref="AL7:AL30" si="6">AD7*3.45*3.2</f>
        <v>59.940738720770469</v>
      </c>
      <c r="AM7" s="6">
        <f t="shared" ref="AM7:AM30" si="7">AK7/AL7</f>
        <v>0.45967891147214412</v>
      </c>
      <c r="AN7" s="6">
        <f t="shared" ref="AN7:AN30" si="8">AA7-Z7</f>
        <v>0.52888551999999223</v>
      </c>
      <c r="AO7" s="6">
        <f>L$5</f>
        <v>3.8800000000000001E-2</v>
      </c>
      <c r="AP7" s="6">
        <f t="shared" ref="AP7:AP30" si="9">AO7*AN7*K$8</f>
        <v>85.920414482910729</v>
      </c>
      <c r="AQ7" s="6">
        <f t="shared" ref="AQ7:AQ30" si="10">SQRT((($E$2^2)/($E$3^2))+(($E$4^2)/($E$1^2))+(9*($E$5^2)/(AR7^2))+(16*($E$6^2)/(AR7^2))+(($E$7^2)/(AR7^2)))</f>
        <v>0.17001100775739564</v>
      </c>
      <c r="AR7" s="6">
        <f t="shared" ref="AR7:AR30" si="11">3*P7- 4*R7 +T7</f>
        <v>-1.3885971200000569</v>
      </c>
      <c r="AS7" s="6">
        <f t="shared" ref="AS7:AS30" si="12">SQRT((($E$2^2)/(E$3^2))+(($E$4^2)/($E$1^2))+(9*(Q7^2)/(AR7^2))+(16*(S7^2)/(AR7^2))+((U7^2)/(AR7^2)))</f>
        <v>4.075479402261202E-2</v>
      </c>
      <c r="AT7" s="6">
        <f t="shared" ref="AT7:AT30" si="13">SQRT(AS7^2 + AQ7^2)</f>
        <v>0.17482761793981744</v>
      </c>
      <c r="AU7" s="6">
        <f t="shared" ref="AU7:AU30" si="14">AT7*100</f>
        <v>17.482761793981744</v>
      </c>
      <c r="AV7" s="6">
        <f t="shared" ref="AV7:AV30" si="15">AT7*AD7</f>
        <v>0.94921164566171012</v>
      </c>
      <c r="AW7" s="6">
        <f t="shared" ref="AW7:AW30" si="16">AT7*AL7</f>
        <v>10.479296568105282</v>
      </c>
      <c r="AX7" s="20">
        <f t="shared" ref="AX7:AX30" si="17" xml:space="preserve"> (AE7-X7)/ AL7</f>
        <v>0.25721138205888627</v>
      </c>
      <c r="AY7" s="20">
        <f t="shared" ref="AY7:AY30" si="18">(X7-(AVERAGE(Z7:AA7)))/AL7</f>
        <v>0.19854922201477701</v>
      </c>
      <c r="AZ7" s="20">
        <f t="shared" ref="AZ7:AZ30" si="19" xml:space="preserve"> SUM(AX7:AY7)</f>
        <v>0.45576060407366326</v>
      </c>
    </row>
    <row r="8" spans="1:52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6">
        <v>3</v>
      </c>
      <c r="P8" s="7">
        <f>AVERAGE(B125:B174)</f>
        <v>76.988908659999993</v>
      </c>
      <c r="Q8" s="8">
        <f>STDEV(B125:B174)</f>
        <v>1.1491182636798606E-2</v>
      </c>
      <c r="R8" s="9">
        <f>AVERAGE(C125:C174)</f>
        <v>77.995784880000016</v>
      </c>
      <c r="S8" s="10">
        <f>STDEV(C125:C174)</f>
        <v>1.2346505898580539E-2</v>
      </c>
      <c r="T8" s="11">
        <f>AVERAGE(D125:D174)</f>
        <v>79.050993699999978</v>
      </c>
      <c r="U8" s="12">
        <f>STDEV(D125:D174)</f>
        <v>9.676408397726129E-3</v>
      </c>
      <c r="V8" s="13">
        <f>AVERAGE(E125:E174)</f>
        <v>63.094352359999995</v>
      </c>
      <c r="W8" s="14">
        <f>STDEV(E125:E174)</f>
        <v>3.491877707536753E-2</v>
      </c>
      <c r="X8" s="15">
        <f>AVERAGE(F125:F174)</f>
        <v>43.851190479999985</v>
      </c>
      <c r="Y8" s="16">
        <f>STDEV(F125:F174)</f>
        <v>0.22813518776743646</v>
      </c>
      <c r="Z8" s="17">
        <f>AVERAGE(G125:G174)</f>
        <v>30.00075042000001</v>
      </c>
      <c r="AA8" s="18">
        <f>AVERAGE(H125:H174)</f>
        <v>30.70085894</v>
      </c>
      <c r="AB8" s="6">
        <f t="shared" si="0"/>
        <v>1.0480025240837816</v>
      </c>
      <c r="AC8" s="6">
        <f t="shared" ref="AC8:AC30" si="20">(3*P8- 4*R8 +T8)/(2*0.005)</f>
        <v>-196.54198400001093</v>
      </c>
      <c r="AD8" s="6">
        <f t="shared" si="1"/>
        <v>7.6847915744004283</v>
      </c>
      <c r="AE8" s="6">
        <f>(V8)-((0.006*AD8)/(0.0001*391))</f>
        <v>61.915100455999927</v>
      </c>
      <c r="AF8" s="19">
        <v>88</v>
      </c>
      <c r="AG8" s="19">
        <v>49</v>
      </c>
      <c r="AH8" s="6">
        <f t="shared" si="2"/>
        <v>5.1488095200000146</v>
      </c>
      <c r="AI8" s="6">
        <f t="shared" si="3"/>
        <v>12.915100455999927</v>
      </c>
      <c r="AJ8" s="6">
        <f t="shared" si="4"/>
        <v>5.9502375537701138</v>
      </c>
      <c r="AK8" s="6">
        <f t="shared" si="5"/>
        <v>31.915100455999927</v>
      </c>
      <c r="AL8" s="6">
        <f t="shared" si="6"/>
        <v>84.840098981380734</v>
      </c>
      <c r="AM8" s="6">
        <f t="shared" si="7"/>
        <v>0.37617943447949198</v>
      </c>
      <c r="AN8" s="6">
        <f t="shared" si="8"/>
        <v>0.70010851999998991</v>
      </c>
      <c r="AO8" s="6">
        <f t="shared" ref="AO8:AO30" si="21">L$5</f>
        <v>3.8800000000000001E-2</v>
      </c>
      <c r="AP8" s="6">
        <f t="shared" si="9"/>
        <v>113.73654968171037</v>
      </c>
      <c r="AQ8" s="6">
        <f t="shared" si="10"/>
        <v>0.12122301828453869</v>
      </c>
      <c r="AR8" s="6">
        <f t="shared" si="11"/>
        <v>-1.9654198400001093</v>
      </c>
      <c r="AS8" s="6">
        <f t="shared" si="12"/>
        <v>3.8692450812927839E-2</v>
      </c>
      <c r="AT8" s="6">
        <f t="shared" si="13"/>
        <v>0.12724828451466227</v>
      </c>
      <c r="AU8" s="6">
        <f t="shared" si="14"/>
        <v>12.724828451466227</v>
      </c>
      <c r="AV8" s="6">
        <f t="shared" si="15"/>
        <v>0.97787654469518515</v>
      </c>
      <c r="AW8" s="6">
        <f t="shared" si="16"/>
        <v>10.795757053434844</v>
      </c>
      <c r="AX8" s="20">
        <f t="shared" si="17"/>
        <v>0.21291712519058117</v>
      </c>
      <c r="AY8" s="20">
        <f t="shared" si="18"/>
        <v>0.1591274168947259</v>
      </c>
      <c r="AZ8" s="20">
        <f t="shared" si="19"/>
        <v>0.37204454208530707</v>
      </c>
    </row>
    <row r="9" spans="1:52" x14ac:dyDescent="0.25">
      <c r="O9" s="6">
        <v>4</v>
      </c>
      <c r="P9" s="7">
        <f>AVERAGE(B175:B224)</f>
        <v>85.394594240000004</v>
      </c>
      <c r="Q9" s="8">
        <f>STDEV(B175:B224)</f>
        <v>1.129747273266451E-2</v>
      </c>
      <c r="R9" s="9">
        <f>AVERAGE(C175:C224)</f>
        <v>86.753658879999989</v>
      </c>
      <c r="S9" s="10">
        <f>STDEV(C175:C224)</f>
        <v>7.766671344999118E-3</v>
      </c>
      <c r="T9" s="11">
        <f>AVERAGE(D175:D224)</f>
        <v>88.169612119999982</v>
      </c>
      <c r="U9" s="12">
        <f>STDEV(D175:D224)</f>
        <v>1.252905527757715E-2</v>
      </c>
      <c r="V9" s="13">
        <f>AVERAGE(E175:E224)</f>
        <v>67.418774160000012</v>
      </c>
      <c r="W9" s="14">
        <f>STDEV(E175:E224)</f>
        <v>4.4303720883658929E-2</v>
      </c>
      <c r="X9" s="15">
        <f>AVERAGE(F175:F224)</f>
        <v>46.156239200000002</v>
      </c>
      <c r="Y9" s="16">
        <f>STDEV(F175:F224)</f>
        <v>0.85467492501442255</v>
      </c>
      <c r="Z9" s="17">
        <f>AVERAGE(G175:G224)</f>
        <v>30.029272640000023</v>
      </c>
      <c r="AA9" s="18">
        <f>AVERAGE(H175:H224)</f>
        <v>30.938721839999989</v>
      </c>
      <c r="AB9" s="6">
        <f t="shared" si="0"/>
        <v>1.0418586418376747</v>
      </c>
      <c r="AC9" s="6">
        <f t="shared" si="20"/>
        <v>-266.12406799999633</v>
      </c>
      <c r="AD9" s="6">
        <f t="shared" si="1"/>
        <v>10.405451058799857</v>
      </c>
      <c r="AE9" s="6">
        <f t="shared" ref="AE9:AE30" si="22">(V9)-((0.006*AD9)/(0.0001*391))</f>
        <v>65.822029752000034</v>
      </c>
      <c r="AF9" s="19">
        <v>88</v>
      </c>
      <c r="AG9" s="19">
        <v>49</v>
      </c>
      <c r="AH9" s="6">
        <f t="shared" si="2"/>
        <v>2.8437607999999983</v>
      </c>
      <c r="AI9" s="6">
        <f t="shared" si="3"/>
        <v>16.822029752000034</v>
      </c>
      <c r="AJ9" s="6">
        <f t="shared" si="4"/>
        <v>6.1856097107203807</v>
      </c>
      <c r="AK9" s="6">
        <f t="shared" si="5"/>
        <v>35.822029752000034</v>
      </c>
      <c r="AL9" s="6">
        <f t="shared" si="6"/>
        <v>114.87617968915043</v>
      </c>
      <c r="AM9" s="6">
        <f t="shared" si="7"/>
        <v>0.31183165952186753</v>
      </c>
      <c r="AN9" s="6">
        <f t="shared" si="8"/>
        <v>0.90944919999996543</v>
      </c>
      <c r="AO9" s="6">
        <f t="shared" si="21"/>
        <v>3.8800000000000001E-2</v>
      </c>
      <c r="AP9" s="6">
        <f t="shared" si="9"/>
        <v>147.74511545551437</v>
      </c>
      <c r="AQ9" s="6">
        <f t="shared" si="10"/>
        <v>9.0872573470779275E-2</v>
      </c>
      <c r="AR9" s="6">
        <f t="shared" si="11"/>
        <v>-2.6612406799999633</v>
      </c>
      <c r="AS9" s="6">
        <f t="shared" si="12"/>
        <v>2.9231153104657584E-2</v>
      </c>
      <c r="AT9" s="6">
        <f t="shared" si="13"/>
        <v>9.5458288906883876E-2</v>
      </c>
      <c r="AU9" s="6">
        <f t="shared" si="14"/>
        <v>9.5458288906883872</v>
      </c>
      <c r="AV9" s="6">
        <f t="shared" si="15"/>
        <v>0.9932865533773575</v>
      </c>
      <c r="AW9" s="6">
        <f t="shared" si="16"/>
        <v>10.965883549286028</v>
      </c>
      <c r="AX9" s="20">
        <f t="shared" si="17"/>
        <v>0.17119119564399463</v>
      </c>
      <c r="AY9" s="20">
        <f t="shared" si="18"/>
        <v>0.1364272558715684</v>
      </c>
      <c r="AZ9" s="20">
        <f t="shared" si="19"/>
        <v>0.307618451515563</v>
      </c>
    </row>
    <row r="10" spans="1:52" x14ac:dyDescent="0.25">
      <c r="O10" s="6">
        <v>5</v>
      </c>
      <c r="P10" s="7">
        <f>AVERAGE(B225:B274)</f>
        <v>92.576697440000004</v>
      </c>
      <c r="Q10" s="8">
        <f>STDEV(B225:B274)</f>
        <v>1.890796608079896E-2</v>
      </c>
      <c r="R10" s="9">
        <f>AVERAGE(C225:C274)</f>
        <v>94.362926080000022</v>
      </c>
      <c r="S10" s="10">
        <f>STDEV(C225:C274)</f>
        <v>1.47769782885549E-2</v>
      </c>
      <c r="T10" s="11">
        <f>AVERAGE(D225:D274)</f>
        <v>96.186529300000032</v>
      </c>
      <c r="U10" s="12">
        <f>STDEV(D225:D274)</f>
        <v>1.2970344681351968E-2</v>
      </c>
      <c r="V10" s="13">
        <f>AVERAGE(E225:E274)</f>
        <v>70.317752439999978</v>
      </c>
      <c r="W10" s="14">
        <f>STDEV(E225:E274)</f>
        <v>0.24201635660663431</v>
      </c>
      <c r="X10" s="15">
        <f>AVERAGE(F225:F274)</f>
        <v>46.942265740000003</v>
      </c>
      <c r="Y10" s="16">
        <f>STDEV(F225:F274)</f>
        <v>0.74741495199342844</v>
      </c>
      <c r="Z10" s="17">
        <f>AVERAGE(G225:G274)</f>
        <v>29.999454879999998</v>
      </c>
      <c r="AA10" s="18">
        <f>AVERAGE(H225:H274)</f>
        <v>31.126496239999998</v>
      </c>
      <c r="AB10" s="6">
        <f t="shared" si="0"/>
        <v>1.0209237379599907</v>
      </c>
      <c r="AC10" s="6">
        <f t="shared" si="20"/>
        <v>-353.5082700000018</v>
      </c>
      <c r="AD10" s="6">
        <f t="shared" si="1"/>
        <v>13.822173357000072</v>
      </c>
      <c r="AE10" s="6">
        <f t="shared" si="22"/>
        <v>68.19670281999997</v>
      </c>
      <c r="AF10" s="19">
        <v>88</v>
      </c>
      <c r="AG10" s="19">
        <v>49</v>
      </c>
      <c r="AH10" s="6">
        <f t="shared" si="2"/>
        <v>2.0577342599999966</v>
      </c>
      <c r="AI10" s="6">
        <f t="shared" si="3"/>
        <v>19.19670281999997</v>
      </c>
      <c r="AJ10" s="6">
        <f t="shared" si="4"/>
        <v>7.2002851148997955</v>
      </c>
      <c r="AK10" s="6">
        <f t="shared" si="5"/>
        <v>38.19670281999997</v>
      </c>
      <c r="AL10" s="6">
        <f t="shared" si="6"/>
        <v>152.59679386128082</v>
      </c>
      <c r="AM10" s="6">
        <f t="shared" si="7"/>
        <v>0.25031130637464738</v>
      </c>
      <c r="AN10" s="6">
        <f t="shared" si="8"/>
        <v>1.1270413599999998</v>
      </c>
      <c r="AO10" s="6">
        <f t="shared" si="21"/>
        <v>3.8800000000000001E-2</v>
      </c>
      <c r="AP10" s="6">
        <f t="shared" si="9"/>
        <v>183.09418036361595</v>
      </c>
      <c r="AQ10" s="6">
        <f t="shared" si="10"/>
        <v>7.0079781107123526E-2</v>
      </c>
      <c r="AR10" s="6">
        <f t="shared" si="11"/>
        <v>-3.535082700000018</v>
      </c>
      <c r="AS10" s="6">
        <f t="shared" si="12"/>
        <v>3.2929172814211781E-2</v>
      </c>
      <c r="AT10" s="6">
        <f t="shared" si="13"/>
        <v>7.7430653763548782E-2</v>
      </c>
      <c r="AU10" s="6">
        <f t="shared" si="14"/>
        <v>7.7430653763548785</v>
      </c>
      <c r="AV10" s="6">
        <f t="shared" si="15"/>
        <v>1.0702599194656213</v>
      </c>
      <c r="AW10" s="6">
        <f t="shared" si="16"/>
        <v>11.815669510900461</v>
      </c>
      <c r="AX10" s="20">
        <f t="shared" si="17"/>
        <v>0.13928495181439698</v>
      </c>
      <c r="AY10" s="20">
        <f t="shared" si="18"/>
        <v>0.10733705319451019</v>
      </c>
      <c r="AZ10" s="20">
        <f t="shared" si="19"/>
        <v>0.24662200500890719</v>
      </c>
    </row>
    <row r="11" spans="1:52" x14ac:dyDescent="0.25">
      <c r="O11" s="6">
        <v>6</v>
      </c>
      <c r="P11" s="7">
        <f>AVERAGE(B275:B324)</f>
        <v>98.805598420000024</v>
      </c>
      <c r="Q11" s="8">
        <f>STDEV(B275:B324)</f>
        <v>1.7179621460146122E-2</v>
      </c>
      <c r="R11" s="9">
        <f>AVERAGE(C275:C324)</f>
        <v>100.98366023999999</v>
      </c>
      <c r="S11" s="10">
        <f>STDEV(C275:C324)</f>
        <v>1.5702266777163604E-2</v>
      </c>
      <c r="T11" s="11">
        <f>AVERAGE(D275:D324)</f>
        <v>103.17346958</v>
      </c>
      <c r="U11" s="12">
        <f>STDEV(D275:D324)</f>
        <v>1.264464329608867E-2</v>
      </c>
      <c r="V11" s="13">
        <f>AVERAGE(E275:E324)</f>
        <v>72.252134079999976</v>
      </c>
      <c r="W11" s="14">
        <f>STDEV(E275:E324)</f>
        <v>0.11500177302782831</v>
      </c>
      <c r="X11" s="15">
        <f>AVERAGE(F275:F324)</f>
        <v>47.402103220000008</v>
      </c>
      <c r="Y11" s="16">
        <f>STDEV(F275:F324)</f>
        <v>0.60517848494298743</v>
      </c>
      <c r="Z11" s="17">
        <f>AVERAGE(G275:G324)</f>
        <v>30.08556114000001</v>
      </c>
      <c r="AA11" s="18">
        <f>AVERAGE(H275:H324)</f>
        <v>31.451701780000008</v>
      </c>
      <c r="AB11" s="6">
        <f t="shared" si="0"/>
        <v>1.0053935659181807</v>
      </c>
      <c r="AC11" s="6">
        <f t="shared" si="20"/>
        <v>-434.43761199998931</v>
      </c>
      <c r="AD11" s="6">
        <f t="shared" si="1"/>
        <v>16.986510629199582</v>
      </c>
      <c r="AE11" s="6">
        <f t="shared" si="22"/>
        <v>69.64550840800004</v>
      </c>
      <c r="AF11" s="19">
        <v>88</v>
      </c>
      <c r="AG11" s="19">
        <v>49</v>
      </c>
      <c r="AH11" s="6">
        <f t="shared" si="2"/>
        <v>1.5978967799999921</v>
      </c>
      <c r="AI11" s="6">
        <f t="shared" si="3"/>
        <v>20.64550840800004</v>
      </c>
      <c r="AJ11" s="6">
        <f t="shared" si="4"/>
        <v>8.2277027494355082</v>
      </c>
      <c r="AK11" s="6">
        <f t="shared" si="5"/>
        <v>39.64550840800004</v>
      </c>
      <c r="AL11" s="6">
        <f t="shared" si="6"/>
        <v>187.53107734636342</v>
      </c>
      <c r="AM11" s="6">
        <f t="shared" si="7"/>
        <v>0.21140767156569018</v>
      </c>
      <c r="AN11" s="6">
        <f t="shared" si="8"/>
        <v>1.3661406399999976</v>
      </c>
      <c r="AO11" s="6">
        <f t="shared" si="21"/>
        <v>3.8800000000000001E-2</v>
      </c>
      <c r="AP11" s="6">
        <f t="shared" si="9"/>
        <v>221.93719735558361</v>
      </c>
      <c r="AQ11" s="6">
        <f t="shared" si="10"/>
        <v>5.8585039779811554E-2</v>
      </c>
      <c r="AR11" s="6">
        <f t="shared" si="11"/>
        <v>-4.3443761199998931</v>
      </c>
      <c r="AS11" s="6">
        <f t="shared" si="12"/>
        <v>2.9867296572745488E-2</v>
      </c>
      <c r="AT11" s="6">
        <f t="shared" si="13"/>
        <v>6.5759123249678711E-2</v>
      </c>
      <c r="AU11" s="6">
        <f t="shared" si="14"/>
        <v>6.575912324967871</v>
      </c>
      <c r="AV11" s="6">
        <f t="shared" si="15"/>
        <v>1.1170180460475128</v>
      </c>
      <c r="AW11" s="6">
        <f t="shared" si="16"/>
        <v>12.331879228364544</v>
      </c>
      <c r="AX11" s="20">
        <f t="shared" si="17"/>
        <v>0.11861183491692544</v>
      </c>
      <c r="AY11" s="20">
        <f t="shared" si="18"/>
        <v>8.8697148202687232E-2</v>
      </c>
      <c r="AZ11" s="20">
        <f t="shared" si="19"/>
        <v>0.20730898311961266</v>
      </c>
    </row>
    <row r="12" spans="1:52" x14ac:dyDescent="0.25">
      <c r="O12" s="6">
        <v>7</v>
      </c>
      <c r="P12" s="7">
        <f>AVERAGE(B325:B374)</f>
        <v>106.57445412000001</v>
      </c>
      <c r="Q12" s="8">
        <f>STDEV(B325:B374)</f>
        <v>1.4114911085972643E-2</v>
      </c>
      <c r="R12" s="9">
        <f>AVERAGE(C325:C374)</f>
        <v>109.35560914000001</v>
      </c>
      <c r="S12" s="10">
        <f>STDEV(C325:C374)</f>
        <v>1.4628371339326544E-2</v>
      </c>
      <c r="T12" s="11">
        <f>AVERAGE(D325:D374)</f>
        <v>112.10049205999999</v>
      </c>
      <c r="U12" s="12">
        <f>STDEV(D325:D374)</f>
        <v>1.115536561921626E-2</v>
      </c>
      <c r="V12" s="13">
        <f>AVERAGE(E325:E374)</f>
        <v>74.411077219999996</v>
      </c>
      <c r="W12" s="14">
        <f>STDEV(E325:E374)</f>
        <v>0.10600104495505147</v>
      </c>
      <c r="X12" s="15">
        <f>AVERAGE(F325:F374)</f>
        <v>48.239389659999986</v>
      </c>
      <c r="Y12" s="16">
        <f>STDEV(F325:F374)</f>
        <v>0.50482580819027401</v>
      </c>
      <c r="Z12" s="17">
        <f>AVERAGE(G325:G374)</f>
        <v>30.056149040000001</v>
      </c>
      <c r="AA12" s="18">
        <f>AVERAGE(H325:H374)</f>
        <v>31.681990199999984</v>
      </c>
      <c r="AB12" s="6">
        <f t="shared" si="0"/>
        <v>0.98695790067825162</v>
      </c>
      <c r="AC12" s="6">
        <f t="shared" si="20"/>
        <v>-559.85821400000475</v>
      </c>
      <c r="AD12" s="6">
        <f t="shared" si="1"/>
        <v>21.890456167400188</v>
      </c>
      <c r="AE12" s="6">
        <f t="shared" si="22"/>
        <v>71.05192793599997</v>
      </c>
      <c r="AF12" s="19">
        <v>85</v>
      </c>
      <c r="AG12" s="19">
        <v>54</v>
      </c>
      <c r="AH12" s="6">
        <f t="shared" si="2"/>
        <v>5.7606103400000137</v>
      </c>
      <c r="AI12" s="6">
        <f t="shared" si="3"/>
        <v>17.05192793599997</v>
      </c>
      <c r="AJ12" s="6">
        <f t="shared" si="4"/>
        <v>12.837525615613901</v>
      </c>
      <c r="AK12" s="6">
        <f t="shared" si="5"/>
        <v>41.05192793599997</v>
      </c>
      <c r="AL12" s="6">
        <f t="shared" si="6"/>
        <v>241.67063608809809</v>
      </c>
      <c r="AM12" s="6">
        <f t="shared" si="7"/>
        <v>0.16986725652939891</v>
      </c>
      <c r="AN12" s="6">
        <f t="shared" si="8"/>
        <v>1.6258411599999825</v>
      </c>
      <c r="AO12" s="6">
        <f t="shared" si="21"/>
        <v>3.8800000000000001E-2</v>
      </c>
      <c r="AP12" s="6">
        <f t="shared" si="9"/>
        <v>264.12700115249316</v>
      </c>
      <c r="AQ12" s="6">
        <f t="shared" si="10"/>
        <v>4.7739514336086267E-2</v>
      </c>
      <c r="AR12" s="6">
        <f t="shared" si="11"/>
        <v>-5.5985821400000475</v>
      </c>
      <c r="AS12" s="6">
        <f t="shared" si="12"/>
        <v>2.653740158187665E-2</v>
      </c>
      <c r="AT12" s="6">
        <f t="shared" si="13"/>
        <v>5.4619546975081874E-2</v>
      </c>
      <c r="AU12" s="6">
        <f t="shared" si="14"/>
        <v>5.4619546975081876</v>
      </c>
      <c r="AV12" s="6">
        <f t="shared" si="15"/>
        <v>1.1956467989412853</v>
      </c>
      <c r="AW12" s="6">
        <f t="shared" si="16"/>
        <v>13.199940660311791</v>
      </c>
      <c r="AX12" s="20">
        <f t="shared" si="17"/>
        <v>9.4395159648952759E-2</v>
      </c>
      <c r="AY12" s="20">
        <f t="shared" si="18"/>
        <v>7.1876005795209044E-2</v>
      </c>
      <c r="AZ12" s="20">
        <f t="shared" si="19"/>
        <v>0.16627116544416182</v>
      </c>
    </row>
    <row r="13" spans="1:52" x14ac:dyDescent="0.25">
      <c r="O13" s="6">
        <v>8</v>
      </c>
      <c r="P13" s="7">
        <f>AVERAGE(B375:B424)</f>
        <v>114.69687511999999</v>
      </c>
      <c r="Q13" s="8">
        <f>STDEV(B375:B424)</f>
        <v>1.3827595736891414E-2</v>
      </c>
      <c r="R13" s="9">
        <f>AVERAGE(C375:C424)</f>
        <v>118.01457163999996</v>
      </c>
      <c r="S13" s="10">
        <f>STDEV(C375:C424)</f>
        <v>8.9401790553225568E-3</v>
      </c>
      <c r="T13" s="11">
        <f>AVERAGE(D375:D424)</f>
        <v>121.31274796000001</v>
      </c>
      <c r="U13" s="12">
        <f>STDEV(D375:D424)</f>
        <v>1.3631337648228232E-2</v>
      </c>
      <c r="V13" s="13">
        <f>AVERAGE(E375:E424)</f>
        <v>76.779167760000007</v>
      </c>
      <c r="W13" s="14">
        <f>STDEV(E375:E424)</f>
        <v>9.9805717752564069E-2</v>
      </c>
      <c r="X13" s="15">
        <f>AVERAGE(F375:F424)</f>
        <v>49.320261919999993</v>
      </c>
      <c r="Y13" s="16">
        <f>STDEV(F375:F424)</f>
        <v>0.52540108728707635</v>
      </c>
      <c r="Z13" s="17">
        <f>AVERAGE(G375:G424)</f>
        <v>30.059158920000012</v>
      </c>
      <c r="AA13" s="18">
        <f>AVERAGE(H375:H424)</f>
        <v>31.96697408</v>
      </c>
      <c r="AB13" s="6">
        <f t="shared" si="0"/>
        <v>0.99411633948968992</v>
      </c>
      <c r="AC13" s="6">
        <f t="shared" si="20"/>
        <v>-665.4913239999828</v>
      </c>
      <c r="AD13" s="6">
        <f t="shared" si="1"/>
        <v>26.020710768399329</v>
      </c>
      <c r="AE13" s="6">
        <f t="shared" si="22"/>
        <v>72.786219816000113</v>
      </c>
      <c r="AF13" s="19">
        <v>81</v>
      </c>
      <c r="AG13" s="19">
        <v>58</v>
      </c>
      <c r="AH13" s="6">
        <f t="shared" si="2"/>
        <v>8.679738080000007</v>
      </c>
      <c r="AI13" s="6">
        <f t="shared" si="3"/>
        <v>14.786219816000113</v>
      </c>
      <c r="AJ13" s="6">
        <f t="shared" si="4"/>
        <v>17.597946663989408</v>
      </c>
      <c r="AK13" s="6">
        <f t="shared" si="5"/>
        <v>42.786219816000113</v>
      </c>
      <c r="AL13" s="6">
        <f t="shared" si="6"/>
        <v>287.26864688312861</v>
      </c>
      <c r="AM13" s="6">
        <f t="shared" si="7"/>
        <v>0.14894148832541099</v>
      </c>
      <c r="AN13" s="6">
        <f t="shared" si="8"/>
        <v>1.9078151599999877</v>
      </c>
      <c r="AO13" s="6">
        <f t="shared" si="21"/>
        <v>3.8800000000000001E-2</v>
      </c>
      <c r="AP13" s="6">
        <f t="shared" si="9"/>
        <v>309.93525650689406</v>
      </c>
      <c r="AQ13" s="6">
        <f t="shared" si="10"/>
        <v>4.2059377606537079E-2</v>
      </c>
      <c r="AR13" s="6">
        <f t="shared" si="11"/>
        <v>-6.6549132399998285</v>
      </c>
      <c r="AS13" s="6">
        <f t="shared" si="12"/>
        <v>2.4611992537698177E-2</v>
      </c>
      <c r="AT13" s="6">
        <f t="shared" si="13"/>
        <v>4.8731318690601669E-2</v>
      </c>
      <c r="AU13" s="6">
        <f t="shared" si="14"/>
        <v>4.8731318690601668</v>
      </c>
      <c r="AV13" s="6">
        <f t="shared" si="15"/>
        <v>1.2680235490108382</v>
      </c>
      <c r="AW13" s="6">
        <f t="shared" si="16"/>
        <v>13.998979981079657</v>
      </c>
      <c r="AX13" s="20">
        <f t="shared" si="17"/>
        <v>8.1686456738687976E-2</v>
      </c>
      <c r="AY13" s="20">
        <f t="shared" si="18"/>
        <v>6.3728484185912648E-2</v>
      </c>
      <c r="AZ13" s="20">
        <f t="shared" si="19"/>
        <v>0.14541494092460061</v>
      </c>
    </row>
    <row r="14" spans="1:52" x14ac:dyDescent="0.25">
      <c r="O14" s="6">
        <v>9</v>
      </c>
      <c r="P14" s="7">
        <f>AVERAGE(B425:B474)</f>
        <v>123.13623279999997</v>
      </c>
      <c r="Q14" s="8">
        <f>STDEV(B425:B474)</f>
        <v>1.4651486496988567E-2</v>
      </c>
      <c r="R14" s="9">
        <f>AVERAGE(C425:C474)</f>
        <v>127.09255574000002</v>
      </c>
      <c r="S14" s="10">
        <f>STDEV(C425:C474)</f>
        <v>1.2408137262248879E-2</v>
      </c>
      <c r="T14" s="11">
        <f>AVERAGE(D425:D474)</f>
        <v>130.94528756000003</v>
      </c>
      <c r="U14" s="12">
        <f>STDEV(D425:D474)</f>
        <v>1.0387471140772243E-2</v>
      </c>
      <c r="V14" s="13">
        <f>AVERAGE(E425:E474)</f>
        <v>79.030855039999992</v>
      </c>
      <c r="W14" s="14">
        <f>STDEV(E425:E474)</f>
        <v>9.466610746712914E-2</v>
      </c>
      <c r="X14" s="15">
        <f>AVERAGE(F425:F474)</f>
        <v>52.536843140000009</v>
      </c>
      <c r="Y14" s="16">
        <f>STDEV(F425:F474)</f>
        <v>0.32357966043190156</v>
      </c>
      <c r="Z14" s="17">
        <f>AVERAGE(G425:G474)</f>
        <v>30.070964560000004</v>
      </c>
      <c r="AA14" s="18">
        <f>AVERAGE(H425:H474)</f>
        <v>32.293114580000001</v>
      </c>
      <c r="AB14" s="6">
        <f t="shared" si="0"/>
        <v>0.97381631338718633</v>
      </c>
      <c r="AC14" s="6">
        <f t="shared" si="20"/>
        <v>-801.62370000001317</v>
      </c>
      <c r="AD14" s="6">
        <f t="shared" si="1"/>
        <v>31.343486670000516</v>
      </c>
      <c r="AE14" s="6">
        <f t="shared" si="22"/>
        <v>74.221112839999918</v>
      </c>
      <c r="AF14" s="19">
        <v>81</v>
      </c>
      <c r="AG14" s="19">
        <v>58</v>
      </c>
      <c r="AH14" s="6">
        <f t="shared" si="2"/>
        <v>5.4631568599999909</v>
      </c>
      <c r="AI14" s="6">
        <f t="shared" si="3"/>
        <v>16.221112839999918</v>
      </c>
      <c r="AJ14" s="6">
        <f t="shared" si="4"/>
        <v>19.322648809094083</v>
      </c>
      <c r="AK14" s="6">
        <f t="shared" si="5"/>
        <v>44.221112839999918</v>
      </c>
      <c r="AL14" s="6">
        <f t="shared" si="6"/>
        <v>346.03209283680576</v>
      </c>
      <c r="AM14" s="6">
        <f t="shared" si="7"/>
        <v>0.12779483104434275</v>
      </c>
      <c r="AN14" s="6">
        <f t="shared" si="8"/>
        <v>2.2221500199999973</v>
      </c>
      <c r="AO14" s="6">
        <f t="shared" si="21"/>
        <v>3.8800000000000001E-2</v>
      </c>
      <c r="AP14" s="6">
        <f t="shared" si="9"/>
        <v>361.00071478911156</v>
      </c>
      <c r="AQ14" s="6">
        <f t="shared" si="10"/>
        <v>3.7216906651821799E-2</v>
      </c>
      <c r="AR14" s="6">
        <f t="shared" si="11"/>
        <v>-8.0162370000001317</v>
      </c>
      <c r="AS14" s="6">
        <f t="shared" si="12"/>
        <v>2.4574436009678579E-2</v>
      </c>
      <c r="AT14" s="6">
        <f t="shared" si="13"/>
        <v>4.4598217968033267E-2</v>
      </c>
      <c r="AU14" s="6">
        <f t="shared" si="14"/>
        <v>4.4598217968033271</v>
      </c>
      <c r="AV14" s="6">
        <f t="shared" si="15"/>
        <v>1.3978636503868282</v>
      </c>
      <c r="AW14" s="6">
        <f t="shared" si="16"/>
        <v>15.432414700270586</v>
      </c>
      <c r="AX14" s="20">
        <f t="shared" si="17"/>
        <v>6.266548724492603E-2</v>
      </c>
      <c r="AY14" s="20">
        <f t="shared" si="18"/>
        <v>6.171336130973052E-2</v>
      </c>
      <c r="AZ14" s="20">
        <f t="shared" si="19"/>
        <v>0.12437884855465656</v>
      </c>
    </row>
    <row r="15" spans="1:52" ht="21" x14ac:dyDescent="0.25">
      <c r="A15" s="21" t="s">
        <v>47</v>
      </c>
      <c r="O15" s="6">
        <v>10</v>
      </c>
      <c r="P15" s="7">
        <f>AVERAGE(B475:B524)</f>
        <v>132.39028744000004</v>
      </c>
      <c r="Q15" s="8">
        <f>STDEV(B475:B524)</f>
        <v>1.425432845991872E-2</v>
      </c>
      <c r="R15" s="9">
        <f>AVERAGE(C475:C524)</f>
        <v>136.99843454000001</v>
      </c>
      <c r="S15" s="10">
        <f>STDEV(C475:C524)</f>
        <v>1.2066506538736702E-2</v>
      </c>
      <c r="T15" s="11">
        <f>AVERAGE(D475:D524)</f>
        <v>141.45508630000003</v>
      </c>
      <c r="U15" s="12">
        <f>STDEV(D475:D524)</f>
        <v>1.2345972257774156E-2</v>
      </c>
      <c r="V15" s="13">
        <f>AVERAGE(E475:E524)</f>
        <v>81.558262040000002</v>
      </c>
      <c r="W15" s="14">
        <f>STDEV(E475:E524)</f>
        <v>6.2935774993229804E-2</v>
      </c>
      <c r="X15" s="15">
        <f>AVERAGE(F475:F524)</f>
        <v>54.12236094</v>
      </c>
      <c r="Y15" s="16">
        <f>STDEV(F475:F524)</f>
        <v>0.35550589866942001</v>
      </c>
      <c r="Z15" s="17">
        <f>AVERAGE(G475:G524)</f>
        <v>29.897592799999995</v>
      </c>
      <c r="AA15" s="18">
        <f>AVERAGE(H475:H524)</f>
        <v>32.417027940000004</v>
      </c>
      <c r="AB15" s="6">
        <f t="shared" si="0"/>
        <v>0.96712445659559332</v>
      </c>
      <c r="AC15" s="6">
        <f t="shared" si="20"/>
        <v>-936.77895399999045</v>
      </c>
      <c r="AD15" s="6">
        <f t="shared" si="1"/>
        <v>36.628057101399627</v>
      </c>
      <c r="AE15" s="6">
        <f t="shared" si="22"/>
        <v>75.93758831600006</v>
      </c>
      <c r="AF15" s="19">
        <v>81</v>
      </c>
      <c r="AG15" s="19">
        <v>58</v>
      </c>
      <c r="AH15" s="6">
        <f t="shared" si="2"/>
        <v>3.8776390599999999</v>
      </c>
      <c r="AI15" s="6">
        <f t="shared" si="3"/>
        <v>17.93758831600006</v>
      </c>
      <c r="AJ15" s="6">
        <f t="shared" si="4"/>
        <v>20.419722236978732</v>
      </c>
      <c r="AK15" s="6">
        <f t="shared" si="5"/>
        <v>45.93758831600006</v>
      </c>
      <c r="AL15" s="6">
        <f t="shared" si="6"/>
        <v>404.37375039945192</v>
      </c>
      <c r="AM15" s="6">
        <f t="shared" si="7"/>
        <v>0.11360180592983991</v>
      </c>
      <c r="AN15" s="6">
        <f t="shared" si="8"/>
        <v>2.5194351400000095</v>
      </c>
      <c r="AO15" s="6">
        <f t="shared" si="21"/>
        <v>3.8800000000000001E-2</v>
      </c>
      <c r="AP15" s="6">
        <f t="shared" si="9"/>
        <v>409.29634732978553</v>
      </c>
      <c r="AQ15" s="6">
        <f t="shared" si="10"/>
        <v>3.4017350959132775E-2</v>
      </c>
      <c r="AR15" s="6">
        <f t="shared" si="11"/>
        <v>-9.3677895399999045</v>
      </c>
      <c r="AS15" s="6">
        <f t="shared" si="12"/>
        <v>2.4144266973879527E-2</v>
      </c>
      <c r="AT15" s="6">
        <f t="shared" si="13"/>
        <v>4.1714815041934215E-2</v>
      </c>
      <c r="AU15" s="6">
        <f t="shared" si="14"/>
        <v>4.1714815041934212</v>
      </c>
      <c r="AV15" s="6">
        <f t="shared" si="15"/>
        <v>1.5279326273302904</v>
      </c>
      <c r="AW15" s="6">
        <f t="shared" si="16"/>
        <v>16.86837620572641</v>
      </c>
      <c r="AX15" s="20">
        <f t="shared" si="17"/>
        <v>5.39481787688997E-2</v>
      </c>
      <c r="AY15" s="20">
        <f t="shared" si="18"/>
        <v>5.6791645222555795E-2</v>
      </c>
      <c r="AZ15" s="20">
        <f t="shared" si="19"/>
        <v>0.11073982399145549</v>
      </c>
    </row>
    <row r="16" spans="1:52" x14ac:dyDescent="0.25">
      <c r="O16" s="6">
        <v>11</v>
      </c>
      <c r="P16" s="7">
        <f>AVERAGE(B525:B574)</f>
        <v>142.59942831999996</v>
      </c>
      <c r="Q16" s="8">
        <f>STDEV(B525:B574)</f>
        <v>1.490554229676881E-2</v>
      </c>
      <c r="R16" s="9">
        <f>AVERAGE(C525:C574)</f>
        <v>147.93124071999998</v>
      </c>
      <c r="S16" s="10">
        <f>STDEV(C525:C574)</f>
        <v>1.4853976837174251E-2</v>
      </c>
      <c r="T16" s="11">
        <f>AVERAGE(D525:D574)</f>
        <v>153.00941204</v>
      </c>
      <c r="U16" s="12">
        <f>STDEV(D525:D574)</f>
        <v>1.36529344815545E-2</v>
      </c>
      <c r="V16" s="13">
        <f>AVERAGE(E525:E574)</f>
        <v>84.448288000000034</v>
      </c>
      <c r="W16" s="14">
        <f>STDEV(E525:E574)</f>
        <v>9.1378701599664117E-2</v>
      </c>
      <c r="X16" s="15">
        <f>AVERAGE(F525:F574)</f>
        <v>55.647846000000008</v>
      </c>
      <c r="Y16" s="16">
        <f>STDEV(F525:F574)</f>
        <v>0.3786833689510023</v>
      </c>
      <c r="Z16" s="17">
        <f>AVERAGE(G525:G574)</f>
        <v>29.948276800000002</v>
      </c>
      <c r="AA16" s="18">
        <f>AVERAGE(H525:H574)</f>
        <v>32.826152959999995</v>
      </c>
      <c r="AB16" s="6">
        <f t="shared" si="0"/>
        <v>0.95242873136346784</v>
      </c>
      <c r="AC16" s="6">
        <f t="shared" si="20"/>
        <v>-1091.7265880000029</v>
      </c>
      <c r="AD16" s="6">
        <f t="shared" si="1"/>
        <v>42.686509590800121</v>
      </c>
      <c r="AE16" s="6">
        <f t="shared" si="22"/>
        <v>77.897928472000018</v>
      </c>
      <c r="AF16" s="19">
        <v>78</v>
      </c>
      <c r="AG16" s="19">
        <v>62</v>
      </c>
      <c r="AH16" s="6">
        <f t="shared" si="2"/>
        <v>6.3521539999999916</v>
      </c>
      <c r="AI16" s="6">
        <f t="shared" si="3"/>
        <v>15.897928472000018</v>
      </c>
      <c r="AJ16" s="6">
        <f t="shared" si="4"/>
        <v>26.850359571047939</v>
      </c>
      <c r="AK16" s="6">
        <f t="shared" si="5"/>
        <v>47.897928472000018</v>
      </c>
      <c r="AL16" s="6">
        <f t="shared" si="6"/>
        <v>471.25906588243333</v>
      </c>
      <c r="AM16" s="6">
        <f t="shared" si="7"/>
        <v>0.10163821120833202</v>
      </c>
      <c r="AN16" s="6">
        <f t="shared" si="8"/>
        <v>2.8778761599999925</v>
      </c>
      <c r="AO16" s="6">
        <f t="shared" si="21"/>
        <v>3.8800000000000001E-2</v>
      </c>
      <c r="AP16" s="6">
        <f t="shared" si="9"/>
        <v>467.52709829849482</v>
      </c>
      <c r="AQ16" s="6">
        <f t="shared" si="10"/>
        <v>3.1508606886126216E-2</v>
      </c>
      <c r="AR16" s="6">
        <f t="shared" si="11"/>
        <v>-10.917265880000031</v>
      </c>
      <c r="AS16" s="6">
        <f t="shared" si="12"/>
        <v>2.4120202072336065E-2</v>
      </c>
      <c r="AT16" s="6">
        <f t="shared" si="13"/>
        <v>3.9680933153276088E-2</v>
      </c>
      <c r="AU16" s="6">
        <f t="shared" si="14"/>
        <v>3.968093315327609</v>
      </c>
      <c r="AV16" s="6">
        <f t="shared" si="15"/>
        <v>1.6938405336192182</v>
      </c>
      <c r="AW16" s="6">
        <f t="shared" si="16"/>
        <v>18.69999949115617</v>
      </c>
      <c r="AX16" s="20">
        <f t="shared" si="17"/>
        <v>4.7214120815557564E-2</v>
      </c>
      <c r="AY16" s="20">
        <f t="shared" si="18"/>
        <v>5.1480454969225771E-2</v>
      </c>
      <c r="AZ16" s="20">
        <f t="shared" si="19"/>
        <v>9.8694575784783328E-2</v>
      </c>
    </row>
    <row r="17" spans="1:52" x14ac:dyDescent="0.25">
      <c r="O17" s="6">
        <v>12</v>
      </c>
      <c r="P17" s="7">
        <f>AVERAGE(B575:B624)</f>
        <v>152.30262915999995</v>
      </c>
      <c r="Q17" s="8">
        <f>STDEV(B575:B624)</f>
        <v>1.6432889789414897E-2</v>
      </c>
      <c r="R17" s="9">
        <f>AVERAGE(C575:C624)</f>
        <v>158.33137023999998</v>
      </c>
      <c r="S17" s="10">
        <f>STDEV(C575:C624)</f>
        <v>1.2151074517970062E-2</v>
      </c>
      <c r="T17" s="11">
        <f>AVERAGE(D575:D624)</f>
        <v>164.00263579999995</v>
      </c>
      <c r="U17" s="12">
        <f>STDEV(D575:D624)</f>
        <v>1.6037199208369386E-2</v>
      </c>
      <c r="V17" s="13">
        <f>AVERAGE(E575:E624)</f>
        <v>87.336928640000011</v>
      </c>
      <c r="W17" s="14">
        <f>STDEV(E575:E624)</f>
        <v>7.8970176152400706E-2</v>
      </c>
      <c r="X17" s="15">
        <f>AVERAGE(F575:F624)</f>
        <v>57.590450000000011</v>
      </c>
      <c r="Y17" s="16">
        <f>STDEV(F575:F624)</f>
        <v>0.28644992653387952</v>
      </c>
      <c r="Z17" s="17">
        <f>AVERAGE(G575:G624)</f>
        <v>29.93523119999999</v>
      </c>
      <c r="AA17" s="18">
        <f>AVERAGE(H575:H624)</f>
        <v>33.171109999999992</v>
      </c>
      <c r="AB17" s="6">
        <f t="shared" si="0"/>
        <v>0.94070478143671354</v>
      </c>
      <c r="AC17" s="6">
        <f t="shared" si="20"/>
        <v>-1241.49576800001</v>
      </c>
      <c r="AD17" s="6">
        <f t="shared" si="1"/>
        <v>48.542484528800394</v>
      </c>
      <c r="AE17" s="6">
        <f t="shared" si="22"/>
        <v>79.887954031999953</v>
      </c>
      <c r="AF17" s="19">
        <v>74</v>
      </c>
      <c r="AG17" s="19">
        <v>65</v>
      </c>
      <c r="AH17" s="6">
        <f t="shared" si="2"/>
        <v>7.4095499999999888</v>
      </c>
      <c r="AI17" s="6">
        <f t="shared" si="3"/>
        <v>14.887954031999953</v>
      </c>
      <c r="AJ17" s="6">
        <f t="shared" si="4"/>
        <v>32.60520849571666</v>
      </c>
      <c r="AK17" s="6">
        <f t="shared" si="5"/>
        <v>49.887954031999953</v>
      </c>
      <c r="AL17" s="6">
        <f t="shared" si="6"/>
        <v>535.90902919795633</v>
      </c>
      <c r="AM17" s="6">
        <f t="shared" si="7"/>
        <v>9.3090340550265535E-2</v>
      </c>
      <c r="AN17" s="6">
        <f t="shared" si="8"/>
        <v>3.2358788000000018</v>
      </c>
      <c r="AO17" s="6">
        <f t="shared" si="21"/>
        <v>3.8800000000000001E-2</v>
      </c>
      <c r="AP17" s="6">
        <f t="shared" si="9"/>
        <v>525.68663198128024</v>
      </c>
      <c r="AQ17" s="6">
        <f t="shared" si="10"/>
        <v>2.9811665430468988E-2</v>
      </c>
      <c r="AR17" s="6">
        <f t="shared" si="11"/>
        <v>-12.4149576800001</v>
      </c>
      <c r="AS17" s="6">
        <f t="shared" si="12"/>
        <v>2.3803102421025655E-2</v>
      </c>
      <c r="AT17" s="6">
        <f t="shared" si="13"/>
        <v>3.8148696971247356E-2</v>
      </c>
      <c r="AU17" s="6">
        <f t="shared" si="14"/>
        <v>3.8148696971247356</v>
      </c>
      <c r="AV17" s="6">
        <f t="shared" si="15"/>
        <v>1.8518325325206693</v>
      </c>
      <c r="AW17" s="6">
        <f t="shared" si="16"/>
        <v>20.444231159028188</v>
      </c>
      <c r="AX17" s="20">
        <f t="shared" si="17"/>
        <v>4.1606882543797553E-2</v>
      </c>
      <c r="AY17" s="20">
        <f t="shared" si="18"/>
        <v>4.8585259776211497E-2</v>
      </c>
      <c r="AZ17" s="20">
        <f t="shared" si="19"/>
        <v>9.019214232000905E-2</v>
      </c>
    </row>
    <row r="18" spans="1:52" x14ac:dyDescent="0.25">
      <c r="O18" s="6">
        <v>13</v>
      </c>
      <c r="P18" s="7">
        <f>AVERAGE(B625:B674)</f>
        <v>162.49996852000004</v>
      </c>
      <c r="Q18" s="8">
        <f>STDEV(B625:B674)</f>
        <v>1.5098880526471532E-2</v>
      </c>
      <c r="R18" s="9">
        <f>AVERAGE(C625:C674)</f>
        <v>169.16204848000001</v>
      </c>
      <c r="S18" s="10">
        <f>STDEV(C625:C674)</f>
        <v>1.2359485740311956E-2</v>
      </c>
      <c r="T18" s="11">
        <f>AVERAGE(D625:D674)</f>
        <v>175.49644008000004</v>
      </c>
      <c r="U18" s="12">
        <f>STDEV(D625:D674)</f>
        <v>9.6531370936369567E-3</v>
      </c>
      <c r="V18" s="13">
        <f>AVERAGE(E625:E674)</f>
        <v>90.64390711999998</v>
      </c>
      <c r="W18" s="14">
        <f>STDEV(E625:E674)</f>
        <v>4.7299493454008253E-2</v>
      </c>
      <c r="X18" s="15">
        <f>AVERAGE(F625:F674)</f>
        <v>58.923408119999976</v>
      </c>
      <c r="Y18" s="16">
        <f>STDEV(F625:F674)</f>
        <v>0.21171524482688395</v>
      </c>
      <c r="Z18" s="17">
        <f>AVERAGE(G625:G674)</f>
        <v>30.020278199999993</v>
      </c>
      <c r="AA18" s="18">
        <f>AVERAGE(H625:H674)</f>
        <v>33.655781640000015</v>
      </c>
      <c r="AB18" s="6">
        <f t="shared" si="0"/>
        <v>0.95081290498351501</v>
      </c>
      <c r="AC18" s="6">
        <f t="shared" si="20"/>
        <v>-1365.1848279999881</v>
      </c>
      <c r="AD18" s="6">
        <f t="shared" si="1"/>
        <v>53.378726774799539</v>
      </c>
      <c r="AE18" s="6">
        <f t="shared" si="22"/>
        <v>82.452798152000057</v>
      </c>
      <c r="AF18" s="19">
        <v>74</v>
      </c>
      <c r="AG18" s="19">
        <v>65</v>
      </c>
      <c r="AH18" s="6">
        <f t="shared" si="2"/>
        <v>6.0765918800000236</v>
      </c>
      <c r="AI18" s="6">
        <f t="shared" si="3"/>
        <v>17.452798152000057</v>
      </c>
      <c r="AJ18" s="6">
        <f t="shared" si="4"/>
        <v>30.58462391526739</v>
      </c>
      <c r="AK18" s="6">
        <f t="shared" si="5"/>
        <v>52.452798152000057</v>
      </c>
      <c r="AL18" s="6">
        <f t="shared" si="6"/>
        <v>589.30114359378695</v>
      </c>
      <c r="AM18" s="6">
        <f t="shared" si="7"/>
        <v>8.9008478470146091E-2</v>
      </c>
      <c r="AN18" s="6">
        <f t="shared" si="8"/>
        <v>3.6355034400000221</v>
      </c>
      <c r="AO18" s="6">
        <f t="shared" si="21"/>
        <v>3.8800000000000001E-2</v>
      </c>
      <c r="AP18" s="6">
        <f t="shared" si="9"/>
        <v>590.60789264726759</v>
      </c>
      <c r="AQ18" s="6">
        <f t="shared" si="10"/>
        <v>2.8763468116854863E-2</v>
      </c>
      <c r="AR18" s="6">
        <f t="shared" si="11"/>
        <v>-13.651848279999882</v>
      </c>
      <c r="AS18" s="6">
        <f t="shared" si="12"/>
        <v>2.3631482056503679E-2</v>
      </c>
      <c r="AT18" s="6">
        <f t="shared" si="13"/>
        <v>3.7226120430366924E-2</v>
      </c>
      <c r="AU18" s="6">
        <f t="shared" si="14"/>
        <v>3.7226120430366922</v>
      </c>
      <c r="AV18" s="6">
        <f t="shared" si="15"/>
        <v>1.987082911338339</v>
      </c>
      <c r="AW18" s="6">
        <f t="shared" si="16"/>
        <v>21.937395341175264</v>
      </c>
      <c r="AX18" s="20">
        <f t="shared" si="17"/>
        <v>3.9927616444978768E-2</v>
      </c>
      <c r="AY18" s="20">
        <f t="shared" si="18"/>
        <v>4.5961862613778132E-2</v>
      </c>
      <c r="AZ18" s="20">
        <f t="shared" si="19"/>
        <v>8.5889479058756907E-2</v>
      </c>
    </row>
    <row r="19" spans="1:52" x14ac:dyDescent="0.25">
      <c r="O19" s="6">
        <v>14</v>
      </c>
      <c r="P19" s="7">
        <f>AVERAGE(B675:B724)</f>
        <v>172.09850144000006</v>
      </c>
      <c r="Q19" s="8">
        <f>STDEV(B675:B724)</f>
        <v>1.3988909108554734E-2</v>
      </c>
      <c r="R19" s="9">
        <f>AVERAGE(C675:C724)</f>
        <v>179.49256972000003</v>
      </c>
      <c r="S19" s="10">
        <f>STDEV(C675:C724)</f>
        <v>1.8121715545941487E-2</v>
      </c>
      <c r="T19" s="11">
        <f>AVERAGE(D675:D724)</f>
        <v>186.5188847199999</v>
      </c>
      <c r="U19" s="12">
        <f>STDEV(D675:D724)</f>
        <v>1.1920977577775277E-2</v>
      </c>
      <c r="V19" s="13">
        <f>AVERAGE(E675:E724)</f>
        <v>93.335978920000002</v>
      </c>
      <c r="W19" s="14">
        <f>STDEV(E675:E724)</f>
        <v>3.8244415680842025E-2</v>
      </c>
      <c r="X19" s="15">
        <f>AVERAGE(F675:F724)</f>
        <v>60.140900240000022</v>
      </c>
      <c r="Y19" s="16">
        <f>STDEV(F675:F724)</f>
        <v>0.28035428450026428</v>
      </c>
      <c r="Z19" s="17">
        <f>AVERAGE(G675:G724)</f>
        <v>30.01453028000001</v>
      </c>
      <c r="AA19" s="18">
        <f>AVERAGE(H675:H724)</f>
        <v>34.062277079999987</v>
      </c>
      <c r="AB19" s="6">
        <f t="shared" si="0"/>
        <v>0.95026374303374661</v>
      </c>
      <c r="AC19" s="6">
        <f t="shared" si="20"/>
        <v>-1515.5889840000043</v>
      </c>
      <c r="AD19" s="6">
        <f t="shared" si="1"/>
        <v>59.259529274400172</v>
      </c>
      <c r="AE19" s="6">
        <f t="shared" si="22"/>
        <v>84.242445015999976</v>
      </c>
      <c r="AF19" s="19">
        <v>74</v>
      </c>
      <c r="AG19" s="19">
        <v>65</v>
      </c>
      <c r="AH19" s="6">
        <f t="shared" si="2"/>
        <v>4.8590997599999781</v>
      </c>
      <c r="AI19" s="6">
        <f t="shared" si="3"/>
        <v>19.242445015999976</v>
      </c>
      <c r="AJ19" s="6">
        <f t="shared" si="4"/>
        <v>30.796257557252332</v>
      </c>
      <c r="AK19" s="6">
        <f t="shared" si="5"/>
        <v>54.242445015999976</v>
      </c>
      <c r="AL19" s="6">
        <f t="shared" si="6"/>
        <v>654.22520318937802</v>
      </c>
      <c r="AM19" s="6">
        <f t="shared" si="7"/>
        <v>8.2910968198054061E-2</v>
      </c>
      <c r="AN19" s="6">
        <f t="shared" si="8"/>
        <v>4.0477467999999774</v>
      </c>
      <c r="AO19" s="6">
        <f t="shared" si="21"/>
        <v>3.8800000000000001E-2</v>
      </c>
      <c r="AP19" s="6">
        <f t="shared" si="9"/>
        <v>657.57913504207636</v>
      </c>
      <c r="AQ19" s="6">
        <f t="shared" si="10"/>
        <v>2.7784389260182819E-2</v>
      </c>
      <c r="AR19" s="6">
        <f t="shared" si="11"/>
        <v>-15.155889840000043</v>
      </c>
      <c r="AS19" s="6">
        <f t="shared" si="12"/>
        <v>2.3769405230290475E-2</v>
      </c>
      <c r="AT19" s="6">
        <f t="shared" si="13"/>
        <v>3.6564421389694145E-2</v>
      </c>
      <c r="AU19" s="6">
        <f t="shared" si="14"/>
        <v>3.6564421389694144</v>
      </c>
      <c r="AV19" s="6">
        <f t="shared" si="15"/>
        <v>2.1667903997440838</v>
      </c>
      <c r="AW19" s="6">
        <f t="shared" si="16"/>
        <v>23.921366013174691</v>
      </c>
      <c r="AX19" s="20">
        <f t="shared" si="17"/>
        <v>3.6839829249169571E-2</v>
      </c>
      <c r="AY19" s="20">
        <f t="shared" si="18"/>
        <v>4.2955386651261758E-2</v>
      </c>
      <c r="AZ19" s="20">
        <f t="shared" si="19"/>
        <v>7.9795215900431329E-2</v>
      </c>
    </row>
    <row r="20" spans="1:52" x14ac:dyDescent="0.25">
      <c r="O20" s="6">
        <v>15</v>
      </c>
      <c r="P20" s="7">
        <f>AVERAGE(B725:B774)</f>
        <v>182.02787509999996</v>
      </c>
      <c r="Q20" s="8">
        <f>STDEV(B725:B774)</f>
        <v>1.2590207931773841E-2</v>
      </c>
      <c r="R20" s="9">
        <f>AVERAGE(C725:C774)</f>
        <v>190.11185428000002</v>
      </c>
      <c r="S20" s="10">
        <f>STDEV(C725:C774)</f>
        <v>1.3913083836389834E-2</v>
      </c>
      <c r="T20" s="11">
        <f>AVERAGE(D725:D774)</f>
        <v>197.93369397999996</v>
      </c>
      <c r="U20" s="12">
        <f>STDEV(D725:D774)</f>
        <v>1.1551624731540793E-2</v>
      </c>
      <c r="V20" s="13">
        <f>AVERAGE(E725:E774)</f>
        <v>95.905466139999987</v>
      </c>
      <c r="W20" s="14">
        <f>STDEV(E725:E774)</f>
        <v>8.4791454948274683E-2</v>
      </c>
      <c r="X20" s="15">
        <f>AVERAGE(F725:F774)</f>
        <v>61.130276059999986</v>
      </c>
      <c r="Y20" s="16">
        <f>STDEV(F725:F774)</f>
        <v>0.36426565382846293</v>
      </c>
      <c r="Z20" s="17">
        <f>AVERAGE(G725:G774)</f>
        <v>29.992786980000016</v>
      </c>
      <c r="AA20" s="18">
        <f>AVERAGE(H725:H774)</f>
        <v>34.478445059999991</v>
      </c>
      <c r="AB20" s="6">
        <f t="shared" si="0"/>
        <v>0.96757296448156938</v>
      </c>
      <c r="AC20" s="6">
        <f t="shared" si="20"/>
        <v>-1643.0097840000228</v>
      </c>
      <c r="AD20" s="6">
        <f t="shared" si="1"/>
        <v>64.241682554400896</v>
      </c>
      <c r="AE20" s="6">
        <f t="shared" si="22"/>
        <v>86.047407435999844</v>
      </c>
      <c r="AF20" s="19">
        <v>74</v>
      </c>
      <c r="AG20" s="19">
        <v>65</v>
      </c>
      <c r="AH20" s="6">
        <f t="shared" si="2"/>
        <v>3.8697239400000143</v>
      </c>
      <c r="AI20" s="6">
        <f t="shared" si="3"/>
        <v>21.047407435999844</v>
      </c>
      <c r="AJ20" s="6">
        <f t="shared" si="4"/>
        <v>30.522373242283905</v>
      </c>
      <c r="AK20" s="6">
        <f t="shared" si="5"/>
        <v>56.047407435999844</v>
      </c>
      <c r="AL20" s="6">
        <f t="shared" si="6"/>
        <v>709.228175400586</v>
      </c>
      <c r="AM20" s="6">
        <f t="shared" si="7"/>
        <v>7.9025917722943206E-2</v>
      </c>
      <c r="AN20" s="6">
        <f t="shared" si="8"/>
        <v>4.4856580799999755</v>
      </c>
      <c r="AO20" s="6">
        <f t="shared" si="21"/>
        <v>3.8800000000000001E-2</v>
      </c>
      <c r="AP20" s="6">
        <f t="shared" si="9"/>
        <v>728.72027478124403</v>
      </c>
      <c r="AQ20" s="6">
        <f t="shared" si="10"/>
        <v>2.7137911630244715E-2</v>
      </c>
      <c r="AR20" s="6">
        <f t="shared" si="11"/>
        <v>-16.430097840000229</v>
      </c>
      <c r="AS20" s="6">
        <f t="shared" si="12"/>
        <v>2.3475012491815463E-2</v>
      </c>
      <c r="AT20" s="6">
        <f t="shared" si="13"/>
        <v>3.58823418848584E-2</v>
      </c>
      <c r="AU20" s="6">
        <f t="shared" si="14"/>
        <v>3.5882341884858402</v>
      </c>
      <c r="AV20" s="6">
        <f t="shared" si="15"/>
        <v>2.3051420166755565</v>
      </c>
      <c r="AW20" s="6">
        <f t="shared" si="16"/>
        <v>25.448767864098148</v>
      </c>
      <c r="AX20" s="20">
        <f t="shared" si="17"/>
        <v>3.5132743227419265E-2</v>
      </c>
      <c r="AY20" s="20">
        <f t="shared" si="18"/>
        <v>4.0740992873950208E-2</v>
      </c>
      <c r="AZ20" s="20">
        <f t="shared" si="19"/>
        <v>7.5873736101369466E-2</v>
      </c>
    </row>
    <row r="21" spans="1:52" x14ac:dyDescent="0.25">
      <c r="O21" s="6">
        <v>16</v>
      </c>
      <c r="P21" s="7">
        <f>AVERAGE(B775:B824)</f>
        <v>192.70824244000002</v>
      </c>
      <c r="Q21" s="8">
        <f>STDEV(B775:B824)</f>
        <v>8.9830318143694059E-3</v>
      </c>
      <c r="R21" s="9">
        <f>AVERAGE(C775:C824)</f>
        <v>201.49551865999999</v>
      </c>
      <c r="S21" s="10">
        <f>STDEV(C775:C824)</f>
        <v>1.1139770467370027E-2</v>
      </c>
      <c r="T21" s="11">
        <f>AVERAGE(D775:D824)</f>
        <v>210.08960939999997</v>
      </c>
      <c r="U21" s="12">
        <f>STDEV(D775:D824)</f>
        <v>1.2675348870134415E-2</v>
      </c>
      <c r="V21" s="13">
        <f>AVERAGE(E775:E824)</f>
        <v>98.503757999999976</v>
      </c>
      <c r="W21" s="14">
        <f>STDEV(E775:E824)</f>
        <v>7.1151601172627671E-2</v>
      </c>
      <c r="X21" s="15">
        <f>AVERAGE(F775:F824)</f>
        <v>62.210676199999995</v>
      </c>
      <c r="Y21" s="16">
        <f>STDEV(F775:F824)</f>
        <v>0.34250063529010039</v>
      </c>
      <c r="Z21" s="17">
        <f>AVERAGE(G775:G824)</f>
        <v>30.009760680000003</v>
      </c>
      <c r="AA21" s="18">
        <f>AVERAGE(H775:H824)</f>
        <v>34.965794940000009</v>
      </c>
      <c r="AB21" s="6">
        <f t="shared" si="0"/>
        <v>0.97801531724241353</v>
      </c>
      <c r="AC21" s="6">
        <f t="shared" si="20"/>
        <v>-1776.7737919999945</v>
      </c>
      <c r="AD21" s="6">
        <f t="shared" si="1"/>
        <v>69.471855267199786</v>
      </c>
      <c r="AE21" s="6">
        <f t="shared" si="22"/>
        <v>87.843115248000004</v>
      </c>
      <c r="AF21" s="19">
        <v>71</v>
      </c>
      <c r="AG21" s="19">
        <v>68</v>
      </c>
      <c r="AH21" s="6">
        <f t="shared" si="2"/>
        <v>5.7893238000000053</v>
      </c>
      <c r="AI21" s="6">
        <f t="shared" si="3"/>
        <v>19.843115248000004</v>
      </c>
      <c r="AJ21" s="6">
        <f t="shared" si="4"/>
        <v>35.010558775140858</v>
      </c>
      <c r="AK21" s="6">
        <f t="shared" si="5"/>
        <v>57.843115248000004</v>
      </c>
      <c r="AL21" s="6">
        <f t="shared" si="6"/>
        <v>766.96928214988566</v>
      </c>
      <c r="AM21" s="6">
        <f t="shared" si="7"/>
        <v>7.5417773037611643E-2</v>
      </c>
      <c r="AN21" s="6">
        <f t="shared" si="8"/>
        <v>4.9560342600000062</v>
      </c>
      <c r="AO21" s="6">
        <f t="shared" si="21"/>
        <v>3.8800000000000001E-2</v>
      </c>
      <c r="AP21" s="6">
        <f t="shared" si="9"/>
        <v>805.13551932885707</v>
      </c>
      <c r="AQ21" s="6">
        <f t="shared" si="10"/>
        <v>2.6591408585628012E-2</v>
      </c>
      <c r="AR21" s="6">
        <f t="shared" si="11"/>
        <v>-17.767737919999945</v>
      </c>
      <c r="AS21" s="6">
        <f t="shared" si="12"/>
        <v>2.3300701105624995E-2</v>
      </c>
      <c r="AT21" s="6">
        <f t="shared" si="13"/>
        <v>3.5355702264012308E-2</v>
      </c>
      <c r="AU21" s="6">
        <f t="shared" si="14"/>
        <v>3.535570226401231</v>
      </c>
      <c r="AV21" s="6">
        <f t="shared" si="15"/>
        <v>2.456226230555671</v>
      </c>
      <c r="AW21" s="6">
        <f t="shared" si="16"/>
        <v>27.116737585334608</v>
      </c>
      <c r="AX21" s="20">
        <f t="shared" si="17"/>
        <v>3.3420424578348061E-2</v>
      </c>
      <c r="AY21" s="20">
        <f t="shared" si="18"/>
        <v>3.8753701199980221E-2</v>
      </c>
      <c r="AZ21" s="20">
        <f t="shared" si="19"/>
        <v>7.2174125778328282E-2</v>
      </c>
    </row>
    <row r="22" spans="1:52" x14ac:dyDescent="0.25">
      <c r="O22" s="6">
        <v>17</v>
      </c>
      <c r="P22" s="7">
        <f>AVERAGE(B825:B874)</f>
        <v>203.75732704000006</v>
      </c>
      <c r="Q22" s="8">
        <f>STDEV(B825:B874)</f>
        <v>2.2850541814644399E-2</v>
      </c>
      <c r="R22" s="9">
        <f>AVERAGE(C825:C874)</f>
        <v>213.24426323999995</v>
      </c>
      <c r="S22" s="10">
        <f>STDEV(C825:C874)</f>
        <v>1.9515542488878077E-2</v>
      </c>
      <c r="T22" s="11">
        <f>AVERAGE(D825:D874)</f>
        <v>222.6594477400001</v>
      </c>
      <c r="U22" s="12">
        <f>STDEV(D825:D874)</f>
        <v>1.4272021962223531E-2</v>
      </c>
      <c r="V22" s="13">
        <f>AVERAGE(E825:E874)</f>
        <v>101.13712188000001</v>
      </c>
      <c r="W22" s="14">
        <f>STDEV(E825:E874)</f>
        <v>8.6889180874998459E-2</v>
      </c>
      <c r="X22" s="15">
        <f>AVERAGE(F825:F874)</f>
        <v>63.384121840000034</v>
      </c>
      <c r="Y22" s="16">
        <f>STDEV(F825:F874)</f>
        <v>0.4111464124470704</v>
      </c>
      <c r="Z22" s="17">
        <f>AVERAGE(G825:G874)</f>
        <v>29.59509259999999</v>
      </c>
      <c r="AA22" s="18">
        <f>AVERAGE(H825:H874)</f>
        <v>35.019472479999997</v>
      </c>
      <c r="AB22" s="6">
        <f t="shared" si="0"/>
        <v>0.99243678902365362</v>
      </c>
      <c r="AC22" s="6">
        <f t="shared" si="20"/>
        <v>-1904.5624099999513</v>
      </c>
      <c r="AD22" s="6">
        <f t="shared" si="1"/>
        <v>74.468390230998097</v>
      </c>
      <c r="AE22" s="6">
        <f t="shared" si="22"/>
        <v>89.709747420000298</v>
      </c>
      <c r="AF22" s="19">
        <v>67</v>
      </c>
      <c r="AG22" s="19">
        <v>70.7</v>
      </c>
      <c r="AH22" s="6">
        <f t="shared" si="2"/>
        <v>7.3158781599999685</v>
      </c>
      <c r="AI22" s="6">
        <f t="shared" si="3"/>
        <v>19.009747420000295</v>
      </c>
      <c r="AJ22" s="6">
        <f t="shared" si="4"/>
        <v>39.173792573724235</v>
      </c>
      <c r="AK22" s="6">
        <f t="shared" si="5"/>
        <v>59.709747420000298</v>
      </c>
      <c r="AL22" s="6">
        <f t="shared" si="6"/>
        <v>822.13102815021909</v>
      </c>
      <c r="AM22" s="6">
        <f t="shared" si="7"/>
        <v>7.2628018376032125E-2</v>
      </c>
      <c r="AN22" s="6">
        <f t="shared" si="8"/>
        <v>5.4243798800000071</v>
      </c>
      <c r="AO22" s="6">
        <f t="shared" si="21"/>
        <v>3.8800000000000001E-2</v>
      </c>
      <c r="AP22" s="6">
        <f t="shared" si="9"/>
        <v>881.22088803332917</v>
      </c>
      <c r="AQ22" s="6">
        <f t="shared" si="10"/>
        <v>2.6165442811606449E-2</v>
      </c>
      <c r="AR22" s="6">
        <f t="shared" si="11"/>
        <v>-19.045624099999515</v>
      </c>
      <c r="AS22" s="6">
        <f t="shared" si="12"/>
        <v>2.375162951891064E-2</v>
      </c>
      <c r="AT22" s="6">
        <f t="shared" si="13"/>
        <v>3.5337944228987554E-2</v>
      </c>
      <c r="AU22" s="6">
        <f t="shared" si="14"/>
        <v>3.5337944228987554</v>
      </c>
      <c r="AV22" s="6">
        <f t="shared" si="15"/>
        <v>2.6315598208054922</v>
      </c>
      <c r="AW22" s="6">
        <f t="shared" si="16"/>
        <v>29.052420421692638</v>
      </c>
      <c r="AX22" s="20">
        <f t="shared" si="17"/>
        <v>3.202120425892753E-2</v>
      </c>
      <c r="AY22" s="20">
        <f t="shared" si="18"/>
        <v>3.7800348406655325E-2</v>
      </c>
      <c r="AZ22" s="20">
        <f t="shared" si="19"/>
        <v>6.9821552665582848E-2</v>
      </c>
    </row>
    <row r="23" spans="1:52" x14ac:dyDescent="0.25">
      <c r="O23" s="6">
        <v>18</v>
      </c>
      <c r="P23" s="7" t="e">
        <f>AVERAGE(B875:B924)</f>
        <v>#DIV/0!</v>
      </c>
      <c r="Q23" s="8" t="e">
        <f>STDEV(B875:B924)</f>
        <v>#DIV/0!</v>
      </c>
      <c r="R23" s="9" t="e">
        <f>AVERAGE(C875:C924)</f>
        <v>#DIV/0!</v>
      </c>
      <c r="S23" s="10" t="e">
        <f>STDEV(C875:C924)</f>
        <v>#DIV/0!</v>
      </c>
      <c r="T23" s="11" t="e">
        <f>AVERAGE(D875:D924)</f>
        <v>#DIV/0!</v>
      </c>
      <c r="U23" s="12" t="e">
        <f>STDEV(D875:D924)</f>
        <v>#DIV/0!</v>
      </c>
      <c r="V23" s="13" t="e">
        <f>AVERAGE(E875:E924)</f>
        <v>#DIV/0!</v>
      </c>
      <c r="W23" s="14" t="e">
        <f>STDEV(E875:E924)</f>
        <v>#DIV/0!</v>
      </c>
      <c r="X23" s="15" t="e">
        <f>AVERAGE(F875:F924)</f>
        <v>#DIV/0!</v>
      </c>
      <c r="Y23" s="16" t="e">
        <f>STDEV(F875:F924)</f>
        <v>#DIV/0!</v>
      </c>
      <c r="Z23" s="17" t="e">
        <f>AVERAGE(G875:G924)</f>
        <v>#DIV/0!</v>
      </c>
      <c r="AA23" s="18" t="e">
        <f>AVERAGE(H875:H924)</f>
        <v>#DIV/0!</v>
      </c>
      <c r="AB23" s="6" t="e">
        <f t="shared" si="0"/>
        <v>#DIV/0!</v>
      </c>
      <c r="AC23" s="6" t="e">
        <f t="shared" si="20"/>
        <v>#DIV/0!</v>
      </c>
      <c r="AD23" s="6" t="e">
        <f t="shared" si="1"/>
        <v>#DIV/0!</v>
      </c>
      <c r="AE23" s="6" t="e">
        <f t="shared" si="22"/>
        <v>#DIV/0!</v>
      </c>
      <c r="AF23" s="19"/>
      <c r="AG23" s="19"/>
      <c r="AH23" s="6" t="e">
        <f t="shared" si="2"/>
        <v>#DIV/0!</v>
      </c>
      <c r="AI23" s="6" t="e">
        <f t="shared" si="3"/>
        <v>#DIV/0!</v>
      </c>
      <c r="AJ23" s="6" t="e">
        <f t="shared" si="4"/>
        <v>#DIV/0!</v>
      </c>
      <c r="AK23" s="6" t="e">
        <f t="shared" si="5"/>
        <v>#DIV/0!</v>
      </c>
      <c r="AL23" s="6" t="e">
        <f t="shared" si="6"/>
        <v>#DIV/0!</v>
      </c>
      <c r="AM23" s="6" t="e">
        <f t="shared" si="7"/>
        <v>#DIV/0!</v>
      </c>
      <c r="AN23" s="6" t="e">
        <f t="shared" si="8"/>
        <v>#DIV/0!</v>
      </c>
      <c r="AO23" s="6">
        <f t="shared" si="21"/>
        <v>3.8800000000000001E-2</v>
      </c>
      <c r="AP23" s="6" t="e">
        <f t="shared" si="9"/>
        <v>#DIV/0!</v>
      </c>
      <c r="AQ23" s="6" t="e">
        <f t="shared" si="10"/>
        <v>#DIV/0!</v>
      </c>
      <c r="AR23" s="6" t="e">
        <f t="shared" si="11"/>
        <v>#DIV/0!</v>
      </c>
      <c r="AS23" s="6" t="e">
        <f t="shared" si="12"/>
        <v>#DIV/0!</v>
      </c>
      <c r="AT23" s="6" t="e">
        <f t="shared" si="13"/>
        <v>#DIV/0!</v>
      </c>
      <c r="AU23" s="6" t="e">
        <f t="shared" si="14"/>
        <v>#DIV/0!</v>
      </c>
      <c r="AV23" s="6" t="e">
        <f t="shared" si="15"/>
        <v>#DIV/0!</v>
      </c>
      <c r="AW23" s="6" t="e">
        <f t="shared" si="16"/>
        <v>#DIV/0!</v>
      </c>
      <c r="AX23" s="20" t="e">
        <f t="shared" si="17"/>
        <v>#DIV/0!</v>
      </c>
      <c r="AY23" s="20" t="e">
        <f t="shared" si="18"/>
        <v>#DIV/0!</v>
      </c>
      <c r="AZ23" s="20" t="e">
        <f t="shared" si="19"/>
        <v>#DIV/0!</v>
      </c>
    </row>
    <row r="24" spans="1:52" x14ac:dyDescent="0.3">
      <c r="A24" s="1" t="s">
        <v>48</v>
      </c>
      <c r="B24" s="1" t="s">
        <v>10</v>
      </c>
      <c r="C24" s="1" t="s">
        <v>14</v>
      </c>
      <c r="D24" s="1" t="s">
        <v>15</v>
      </c>
      <c r="E24" s="1" t="s">
        <v>16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54</v>
      </c>
      <c r="L24" s="1" t="s">
        <v>55</v>
      </c>
      <c r="O24" s="6">
        <v>19</v>
      </c>
      <c r="P24" s="7" t="e">
        <f>AVERAGE(B925:B974)</f>
        <v>#DIV/0!</v>
      </c>
      <c r="Q24" s="8" t="e">
        <f>STDEV(B925:B974)</f>
        <v>#DIV/0!</v>
      </c>
      <c r="R24" s="9" t="e">
        <f>AVERAGE(C925:C974)</f>
        <v>#DIV/0!</v>
      </c>
      <c r="S24" s="10" t="e">
        <f>STDEV(C925:C974)</f>
        <v>#DIV/0!</v>
      </c>
      <c r="T24" s="11" t="e">
        <f>AVERAGE(D925:D974)</f>
        <v>#DIV/0!</v>
      </c>
      <c r="U24" s="12" t="e">
        <f>STDEV(D925:D974)</f>
        <v>#DIV/0!</v>
      </c>
      <c r="V24" s="13" t="e">
        <f>AVERAGE(E925:E974)</f>
        <v>#DIV/0!</v>
      </c>
      <c r="W24" s="14" t="e">
        <f>STDEV(E925:E974)</f>
        <v>#DIV/0!</v>
      </c>
      <c r="X24" s="15" t="e">
        <f>AVERAGE(F925:F974)</f>
        <v>#DIV/0!</v>
      </c>
      <c r="Y24" s="16" t="e">
        <f>STDEV(F925:F974)</f>
        <v>#DIV/0!</v>
      </c>
      <c r="Z24" s="17" t="e">
        <f>AVERAGE(G925:G974)</f>
        <v>#DIV/0!</v>
      </c>
      <c r="AA24" s="18" t="e">
        <f>AVERAGE(H925:H974)</f>
        <v>#DIV/0!</v>
      </c>
      <c r="AB24" s="6" t="e">
        <f t="shared" si="0"/>
        <v>#DIV/0!</v>
      </c>
      <c r="AC24" s="6" t="e">
        <f t="shared" si="20"/>
        <v>#DIV/0!</v>
      </c>
      <c r="AD24" s="6" t="e">
        <f t="shared" si="1"/>
        <v>#DIV/0!</v>
      </c>
      <c r="AE24" s="6" t="e">
        <f t="shared" si="22"/>
        <v>#DIV/0!</v>
      </c>
      <c r="AF24" s="22"/>
      <c r="AG24" s="22"/>
      <c r="AH24" s="6" t="e">
        <f t="shared" si="2"/>
        <v>#DIV/0!</v>
      </c>
      <c r="AI24" s="6" t="e">
        <f t="shared" si="3"/>
        <v>#DIV/0!</v>
      </c>
      <c r="AJ24" s="6" t="e">
        <f t="shared" si="4"/>
        <v>#DIV/0!</v>
      </c>
      <c r="AK24" s="6" t="e">
        <f t="shared" si="5"/>
        <v>#DIV/0!</v>
      </c>
      <c r="AL24" s="6" t="e">
        <f t="shared" si="6"/>
        <v>#DIV/0!</v>
      </c>
      <c r="AM24" s="6" t="e">
        <f t="shared" si="7"/>
        <v>#DIV/0!</v>
      </c>
      <c r="AN24" s="6" t="e">
        <f t="shared" si="8"/>
        <v>#DIV/0!</v>
      </c>
      <c r="AO24" s="6">
        <f t="shared" si="21"/>
        <v>3.8800000000000001E-2</v>
      </c>
      <c r="AP24" s="6" t="e">
        <f t="shared" si="9"/>
        <v>#DIV/0!</v>
      </c>
      <c r="AQ24" s="6" t="e">
        <f t="shared" si="10"/>
        <v>#DIV/0!</v>
      </c>
      <c r="AR24" s="6" t="e">
        <f t="shared" si="11"/>
        <v>#DIV/0!</v>
      </c>
      <c r="AS24" s="6" t="e">
        <f t="shared" si="12"/>
        <v>#DIV/0!</v>
      </c>
      <c r="AT24" s="6" t="e">
        <f t="shared" si="13"/>
        <v>#DIV/0!</v>
      </c>
      <c r="AU24" s="6" t="e">
        <f t="shared" si="14"/>
        <v>#DIV/0!</v>
      </c>
      <c r="AV24" s="6" t="e">
        <f t="shared" si="15"/>
        <v>#DIV/0!</v>
      </c>
      <c r="AW24" s="6" t="e">
        <f t="shared" si="16"/>
        <v>#DIV/0!</v>
      </c>
      <c r="AX24" s="20" t="e">
        <f t="shared" si="17"/>
        <v>#DIV/0!</v>
      </c>
      <c r="AY24" s="20" t="e">
        <f t="shared" si="18"/>
        <v>#DIV/0!</v>
      </c>
      <c r="AZ24" s="20" t="e">
        <f t="shared" si="19"/>
        <v>#DIV/0!</v>
      </c>
    </row>
    <row r="25" spans="1:52" x14ac:dyDescent="0.3">
      <c r="A25">
        <v>946</v>
      </c>
      <c r="B25">
        <v>55.655864999999999</v>
      </c>
      <c r="C25">
        <v>56.137464000000001</v>
      </c>
      <c r="D25">
        <v>56.688710999999998</v>
      </c>
      <c r="E25">
        <v>47.898673000000002</v>
      </c>
      <c r="F25">
        <v>36.098902000000002</v>
      </c>
      <c r="G25">
        <v>30.083213000000001</v>
      </c>
      <c r="H25">
        <v>30.499431000000001</v>
      </c>
      <c r="I25" t="s">
        <v>56</v>
      </c>
      <c r="O25" s="6">
        <v>20</v>
      </c>
      <c r="P25" s="7" t="e">
        <f>AVERAGE(B975:B1024)</f>
        <v>#DIV/0!</v>
      </c>
      <c r="Q25" s="8" t="e">
        <f>STDEV(B975:B1024)</f>
        <v>#DIV/0!</v>
      </c>
      <c r="R25" s="9" t="e">
        <f>AVERAGE(C975:C1024)</f>
        <v>#DIV/0!</v>
      </c>
      <c r="S25" s="10" t="e">
        <f>STDEV(C975:C1024)</f>
        <v>#DIV/0!</v>
      </c>
      <c r="T25" s="11" t="e">
        <f>AVERAGE(D975:D1024)</f>
        <v>#DIV/0!</v>
      </c>
      <c r="U25" s="12" t="e">
        <f>STDEV(D975:D1024)</f>
        <v>#DIV/0!</v>
      </c>
      <c r="V25" s="13" t="e">
        <f>AVERAGE(E975:E1024)</f>
        <v>#DIV/0!</v>
      </c>
      <c r="W25" s="14" t="e">
        <f>STDEV(E975:E1024)</f>
        <v>#DIV/0!</v>
      </c>
      <c r="X25" s="15" t="e">
        <f>AVERAGE(F975:F1024)</f>
        <v>#DIV/0!</v>
      </c>
      <c r="Y25" s="16" t="e">
        <f>STDEV(F975:F1024)</f>
        <v>#DIV/0!</v>
      </c>
      <c r="Z25" s="17" t="e">
        <f>AVERAGE(G975:G1024)</f>
        <v>#DIV/0!</v>
      </c>
      <c r="AA25" s="18" t="e">
        <f>AVERAGE(H975:H1024)</f>
        <v>#DIV/0!</v>
      </c>
      <c r="AB25" s="6" t="e">
        <f t="shared" si="0"/>
        <v>#DIV/0!</v>
      </c>
      <c r="AC25" s="6" t="e">
        <f t="shared" si="20"/>
        <v>#DIV/0!</v>
      </c>
      <c r="AD25" s="6" t="e">
        <f t="shared" si="1"/>
        <v>#DIV/0!</v>
      </c>
      <c r="AE25" s="6" t="e">
        <f t="shared" si="22"/>
        <v>#DIV/0!</v>
      </c>
      <c r="AF25" s="22"/>
      <c r="AG25" s="22"/>
      <c r="AH25" s="6" t="e">
        <f t="shared" si="2"/>
        <v>#DIV/0!</v>
      </c>
      <c r="AI25" s="6" t="e">
        <f t="shared" si="3"/>
        <v>#DIV/0!</v>
      </c>
      <c r="AJ25" s="6" t="e">
        <f t="shared" si="4"/>
        <v>#DIV/0!</v>
      </c>
      <c r="AK25" s="6" t="e">
        <f t="shared" si="5"/>
        <v>#DIV/0!</v>
      </c>
      <c r="AL25" s="6" t="e">
        <f t="shared" si="6"/>
        <v>#DIV/0!</v>
      </c>
      <c r="AM25" s="6" t="e">
        <f t="shared" si="7"/>
        <v>#DIV/0!</v>
      </c>
      <c r="AN25" s="6" t="e">
        <f t="shared" si="8"/>
        <v>#DIV/0!</v>
      </c>
      <c r="AO25" s="6">
        <f t="shared" si="21"/>
        <v>3.8800000000000001E-2</v>
      </c>
      <c r="AP25" s="6" t="e">
        <f t="shared" si="9"/>
        <v>#DIV/0!</v>
      </c>
      <c r="AQ25" s="6" t="e">
        <f t="shared" si="10"/>
        <v>#DIV/0!</v>
      </c>
      <c r="AR25" s="6" t="e">
        <f t="shared" si="11"/>
        <v>#DIV/0!</v>
      </c>
      <c r="AS25" s="6" t="e">
        <f t="shared" si="12"/>
        <v>#DIV/0!</v>
      </c>
      <c r="AT25" s="6" t="e">
        <f t="shared" si="13"/>
        <v>#DIV/0!</v>
      </c>
      <c r="AU25" s="6" t="e">
        <f t="shared" si="14"/>
        <v>#DIV/0!</v>
      </c>
      <c r="AV25" s="6" t="e">
        <f t="shared" si="15"/>
        <v>#DIV/0!</v>
      </c>
      <c r="AW25" s="6" t="e">
        <f t="shared" si="16"/>
        <v>#DIV/0!</v>
      </c>
      <c r="AX25" s="20" t="e">
        <f t="shared" si="17"/>
        <v>#DIV/0!</v>
      </c>
      <c r="AY25" s="20" t="e">
        <f t="shared" si="18"/>
        <v>#DIV/0!</v>
      </c>
      <c r="AZ25" s="20" t="e">
        <f t="shared" si="19"/>
        <v>#DIV/0!</v>
      </c>
    </row>
    <row r="26" spans="1:52" x14ac:dyDescent="0.3">
      <c r="A26">
        <v>946.2</v>
      </c>
      <c r="B26">
        <v>55.676079000000001</v>
      </c>
      <c r="C26">
        <v>56.165215000000003</v>
      </c>
      <c r="D26">
        <v>56.695301999999998</v>
      </c>
      <c r="E26">
        <v>47.871343000000003</v>
      </c>
      <c r="F26">
        <v>36.102615999999998</v>
      </c>
      <c r="G26">
        <v>30.093924000000001</v>
      </c>
      <c r="H26">
        <v>30.482410000000002</v>
      </c>
      <c r="I26"/>
      <c r="O26" s="6">
        <v>21</v>
      </c>
      <c r="P26" s="7" t="e">
        <f>AVERAGE(B1025:B1074)</f>
        <v>#DIV/0!</v>
      </c>
      <c r="Q26" s="8" t="e">
        <f>STDEV(C1025:C1074)</f>
        <v>#DIV/0!</v>
      </c>
      <c r="R26" s="9" t="e">
        <f>AVERAGE(C1025:C1074)</f>
        <v>#DIV/0!</v>
      </c>
      <c r="S26" s="10" t="e">
        <f>STDEV(E1025:E1074)</f>
        <v>#DIV/0!</v>
      </c>
      <c r="T26" s="11" t="e">
        <f>AVERAGE(D1025:D1074)</f>
        <v>#DIV/0!</v>
      </c>
      <c r="U26" s="12" t="e">
        <f>STDEV(D1025:D1074)</f>
        <v>#DIV/0!</v>
      </c>
      <c r="V26" s="13" t="e">
        <f>AVERAGE(E1025:E1074)</f>
        <v>#DIV/0!</v>
      </c>
      <c r="W26" s="14" t="e">
        <f>STDEV(E1025:E1074)</f>
        <v>#DIV/0!</v>
      </c>
      <c r="X26" s="15" t="e">
        <f>AVERAGE(F1025:F1074)</f>
        <v>#DIV/0!</v>
      </c>
      <c r="Y26" s="16" t="e">
        <f>STDEV(F1025:F1074)</f>
        <v>#DIV/0!</v>
      </c>
      <c r="Z26" s="17" t="e">
        <f>AVERAGE(G1025:G1074)</f>
        <v>#DIV/0!</v>
      </c>
      <c r="AA26" s="18" t="e">
        <f>AVERAGE(H1025:H1074)</f>
        <v>#DIV/0!</v>
      </c>
      <c r="AB26" s="6" t="e">
        <f t="shared" si="0"/>
        <v>#DIV/0!</v>
      </c>
      <c r="AC26" s="6" t="e">
        <f t="shared" si="20"/>
        <v>#DIV/0!</v>
      </c>
      <c r="AD26" s="6" t="e">
        <f t="shared" si="1"/>
        <v>#DIV/0!</v>
      </c>
      <c r="AE26" s="6" t="e">
        <f t="shared" si="22"/>
        <v>#DIV/0!</v>
      </c>
      <c r="AF26" s="22"/>
      <c r="AG26" s="22"/>
      <c r="AH26" s="6" t="e">
        <f t="shared" si="2"/>
        <v>#DIV/0!</v>
      </c>
      <c r="AI26" s="6" t="e">
        <f t="shared" si="3"/>
        <v>#DIV/0!</v>
      </c>
      <c r="AJ26" s="6" t="e">
        <f t="shared" si="4"/>
        <v>#DIV/0!</v>
      </c>
      <c r="AK26" s="6" t="e">
        <f t="shared" si="5"/>
        <v>#DIV/0!</v>
      </c>
      <c r="AL26" s="6" t="e">
        <f t="shared" si="6"/>
        <v>#DIV/0!</v>
      </c>
      <c r="AM26" s="6" t="e">
        <f t="shared" si="7"/>
        <v>#DIV/0!</v>
      </c>
      <c r="AN26" s="6" t="e">
        <f t="shared" si="8"/>
        <v>#DIV/0!</v>
      </c>
      <c r="AO26" s="6">
        <f t="shared" si="21"/>
        <v>3.8800000000000001E-2</v>
      </c>
      <c r="AP26" s="6" t="e">
        <f t="shared" si="9"/>
        <v>#DIV/0!</v>
      </c>
      <c r="AQ26" s="6" t="e">
        <f t="shared" si="10"/>
        <v>#DIV/0!</v>
      </c>
      <c r="AR26" s="6" t="e">
        <f t="shared" si="11"/>
        <v>#DIV/0!</v>
      </c>
      <c r="AS26" s="6" t="e">
        <f t="shared" si="12"/>
        <v>#DIV/0!</v>
      </c>
      <c r="AT26" s="6" t="e">
        <f t="shared" si="13"/>
        <v>#DIV/0!</v>
      </c>
      <c r="AU26" s="6" t="e">
        <f t="shared" si="14"/>
        <v>#DIV/0!</v>
      </c>
      <c r="AV26" s="6" t="e">
        <f t="shared" si="15"/>
        <v>#DIV/0!</v>
      </c>
      <c r="AW26" s="6" t="e">
        <f t="shared" si="16"/>
        <v>#DIV/0!</v>
      </c>
      <c r="AX26" s="20" t="e">
        <f t="shared" si="17"/>
        <v>#DIV/0!</v>
      </c>
      <c r="AY26" s="20" t="e">
        <f t="shared" si="18"/>
        <v>#DIV/0!</v>
      </c>
      <c r="AZ26" s="20" t="e">
        <f t="shared" si="19"/>
        <v>#DIV/0!</v>
      </c>
    </row>
    <row r="27" spans="1:52" x14ac:dyDescent="0.3">
      <c r="A27">
        <v>946.4</v>
      </c>
      <c r="B27">
        <v>55.676079000000001</v>
      </c>
      <c r="C27">
        <v>56.165215000000003</v>
      </c>
      <c r="D27">
        <v>56.695301999999998</v>
      </c>
      <c r="E27">
        <v>47.871343000000003</v>
      </c>
      <c r="F27">
        <v>36.102615999999998</v>
      </c>
      <c r="G27">
        <v>30.093924000000001</v>
      </c>
      <c r="H27">
        <v>30.482410000000002</v>
      </c>
      <c r="I27"/>
      <c r="O27" s="6">
        <v>22</v>
      </c>
      <c r="P27" s="7" t="e">
        <f>AVERAGE(B1075:B1124)</f>
        <v>#DIV/0!</v>
      </c>
      <c r="Q27" s="23" t="e">
        <f>STDEV(C1075:C1124)</f>
        <v>#DIV/0!</v>
      </c>
      <c r="R27" s="9" t="e">
        <f>AVERAGE(C1075:C1124)</f>
        <v>#DIV/0!</v>
      </c>
      <c r="S27" s="10" t="e">
        <f>STDEV(E1075:E1124)</f>
        <v>#DIV/0!</v>
      </c>
      <c r="T27" s="11" t="e">
        <f>AVERAGE(D1075:D1124)</f>
        <v>#DIV/0!</v>
      </c>
      <c r="U27" s="12" t="e">
        <f>STDEV(D1075:D1124)</f>
        <v>#DIV/0!</v>
      </c>
      <c r="V27" s="13" t="e">
        <f>AVERAGE(E1075:E1124)</f>
        <v>#DIV/0!</v>
      </c>
      <c r="W27" s="14" t="e">
        <f>STDEV(E1075:E1124)</f>
        <v>#DIV/0!</v>
      </c>
      <c r="X27" s="15" t="e">
        <f>AVERAGE(F1075:F1124)</f>
        <v>#DIV/0!</v>
      </c>
      <c r="Y27" s="16" t="e">
        <f>STDEV(F1075:F1124)</f>
        <v>#DIV/0!</v>
      </c>
      <c r="Z27" s="17" t="e">
        <f>AVERAGE(G1075:G1124)</f>
        <v>#DIV/0!</v>
      </c>
      <c r="AA27" s="18" t="e">
        <f>AVERAGE(H1075:H1124)</f>
        <v>#DIV/0!</v>
      </c>
      <c r="AB27" s="6" t="e">
        <f t="shared" si="0"/>
        <v>#DIV/0!</v>
      </c>
      <c r="AC27" s="6" t="e">
        <f t="shared" si="20"/>
        <v>#DIV/0!</v>
      </c>
      <c r="AD27" s="6" t="e">
        <f t="shared" si="1"/>
        <v>#DIV/0!</v>
      </c>
      <c r="AE27" s="6" t="e">
        <f t="shared" si="22"/>
        <v>#DIV/0!</v>
      </c>
      <c r="AF27" s="22"/>
      <c r="AG27" s="22"/>
      <c r="AH27" s="6" t="e">
        <f t="shared" si="2"/>
        <v>#DIV/0!</v>
      </c>
      <c r="AI27" s="6" t="e">
        <f t="shared" si="3"/>
        <v>#DIV/0!</v>
      </c>
      <c r="AJ27" s="6" t="e">
        <f t="shared" si="4"/>
        <v>#DIV/0!</v>
      </c>
      <c r="AK27" s="6" t="e">
        <f t="shared" si="5"/>
        <v>#DIV/0!</v>
      </c>
      <c r="AL27" s="6" t="e">
        <f t="shared" si="6"/>
        <v>#DIV/0!</v>
      </c>
      <c r="AM27" s="6" t="e">
        <f t="shared" si="7"/>
        <v>#DIV/0!</v>
      </c>
      <c r="AN27" s="6" t="e">
        <f t="shared" si="8"/>
        <v>#DIV/0!</v>
      </c>
      <c r="AO27" s="6">
        <f t="shared" si="21"/>
        <v>3.8800000000000001E-2</v>
      </c>
      <c r="AP27" s="6" t="e">
        <f t="shared" si="9"/>
        <v>#DIV/0!</v>
      </c>
      <c r="AQ27" s="6" t="e">
        <f t="shared" si="10"/>
        <v>#DIV/0!</v>
      </c>
      <c r="AR27" s="6" t="e">
        <f t="shared" si="11"/>
        <v>#DIV/0!</v>
      </c>
      <c r="AS27" s="6" t="e">
        <f t="shared" si="12"/>
        <v>#DIV/0!</v>
      </c>
      <c r="AT27" s="6" t="e">
        <f t="shared" si="13"/>
        <v>#DIV/0!</v>
      </c>
      <c r="AU27" s="6" t="e">
        <f t="shared" si="14"/>
        <v>#DIV/0!</v>
      </c>
      <c r="AV27" s="6" t="e">
        <f t="shared" si="15"/>
        <v>#DIV/0!</v>
      </c>
      <c r="AW27" s="6" t="e">
        <f t="shared" si="16"/>
        <v>#DIV/0!</v>
      </c>
      <c r="AX27" s="20" t="e">
        <f t="shared" si="17"/>
        <v>#DIV/0!</v>
      </c>
      <c r="AY27" s="20" t="e">
        <f t="shared" si="18"/>
        <v>#DIV/0!</v>
      </c>
      <c r="AZ27" s="20" t="e">
        <f t="shared" si="19"/>
        <v>#DIV/0!</v>
      </c>
    </row>
    <row r="28" spans="1:52" x14ac:dyDescent="0.3">
      <c r="A28">
        <v>946.6</v>
      </c>
      <c r="B28">
        <v>55.680196000000002</v>
      </c>
      <c r="C28">
        <v>56.143452000000003</v>
      </c>
      <c r="D28">
        <v>56.703012999999999</v>
      </c>
      <c r="E28">
        <v>47.858710000000002</v>
      </c>
      <c r="F28">
        <v>36.256362000000003</v>
      </c>
      <c r="G28">
        <v>30.066279999999999</v>
      </c>
      <c r="H28">
        <v>30.47804</v>
      </c>
      <c r="I28"/>
      <c r="O28" s="6">
        <v>23</v>
      </c>
      <c r="P28" s="7" t="e">
        <f>AVERAGE(B1125:B1174)</f>
        <v>#DIV/0!</v>
      </c>
      <c r="Q28" s="23" t="e">
        <f>STDEV(C1125:C1174)</f>
        <v>#DIV/0!</v>
      </c>
      <c r="R28" s="9" t="e">
        <f>AVERAGE(C1125:C1174)</f>
        <v>#DIV/0!</v>
      </c>
      <c r="S28" s="10" t="e">
        <f>STDEV(E1125:E1174)</f>
        <v>#DIV/0!</v>
      </c>
      <c r="T28" s="11" t="e">
        <f>AVERAGE(D1125:D1174)</f>
        <v>#DIV/0!</v>
      </c>
      <c r="U28" s="12" t="e">
        <f>STDEV(D1125:D1174)</f>
        <v>#DIV/0!</v>
      </c>
      <c r="V28" s="13" t="e">
        <f>AVERAGE(E1125:E1174)</f>
        <v>#DIV/0!</v>
      </c>
      <c r="W28" s="14" t="e">
        <f>STDEV(E1125:E1174)</f>
        <v>#DIV/0!</v>
      </c>
      <c r="X28" s="15" t="e">
        <f>AVERAGE(F1125:F1174)</f>
        <v>#DIV/0!</v>
      </c>
      <c r="Y28" s="16" t="e">
        <f>STDEV(F1125:F1174)</f>
        <v>#DIV/0!</v>
      </c>
      <c r="Z28" s="17" t="e">
        <f>AVERAGE(G1125:G1174)</f>
        <v>#DIV/0!</v>
      </c>
      <c r="AA28" s="18" t="e">
        <f>AVERAGE(H1125:H1174)</f>
        <v>#DIV/0!</v>
      </c>
      <c r="AB28" s="6" t="e">
        <f t="shared" si="0"/>
        <v>#DIV/0!</v>
      </c>
      <c r="AC28" s="6" t="e">
        <f t="shared" si="20"/>
        <v>#DIV/0!</v>
      </c>
      <c r="AD28" s="6" t="e">
        <f t="shared" si="1"/>
        <v>#DIV/0!</v>
      </c>
      <c r="AE28" s="6" t="e">
        <f t="shared" si="22"/>
        <v>#DIV/0!</v>
      </c>
      <c r="AF28" s="22"/>
      <c r="AG28" s="22"/>
      <c r="AH28" s="6" t="e">
        <f t="shared" si="2"/>
        <v>#DIV/0!</v>
      </c>
      <c r="AI28" s="6" t="e">
        <f t="shared" si="3"/>
        <v>#DIV/0!</v>
      </c>
      <c r="AJ28" s="6" t="e">
        <f t="shared" si="4"/>
        <v>#DIV/0!</v>
      </c>
      <c r="AK28" s="6" t="e">
        <f t="shared" si="5"/>
        <v>#DIV/0!</v>
      </c>
      <c r="AL28" s="6" t="e">
        <f t="shared" si="6"/>
        <v>#DIV/0!</v>
      </c>
      <c r="AM28" s="6" t="e">
        <f t="shared" si="7"/>
        <v>#DIV/0!</v>
      </c>
      <c r="AN28" s="6" t="e">
        <f t="shared" si="8"/>
        <v>#DIV/0!</v>
      </c>
      <c r="AO28" s="6">
        <f t="shared" si="21"/>
        <v>3.8800000000000001E-2</v>
      </c>
      <c r="AP28" s="6" t="e">
        <f t="shared" si="9"/>
        <v>#DIV/0!</v>
      </c>
      <c r="AQ28" s="6" t="e">
        <f t="shared" si="10"/>
        <v>#DIV/0!</v>
      </c>
      <c r="AR28" s="6" t="e">
        <f t="shared" si="11"/>
        <v>#DIV/0!</v>
      </c>
      <c r="AS28" s="6" t="e">
        <f t="shared" si="12"/>
        <v>#DIV/0!</v>
      </c>
      <c r="AT28" s="6" t="e">
        <f t="shared" si="13"/>
        <v>#DIV/0!</v>
      </c>
      <c r="AU28" s="6" t="e">
        <f t="shared" si="14"/>
        <v>#DIV/0!</v>
      </c>
      <c r="AV28" s="6" t="e">
        <f t="shared" si="15"/>
        <v>#DIV/0!</v>
      </c>
      <c r="AW28" s="6" t="e">
        <f t="shared" si="16"/>
        <v>#DIV/0!</v>
      </c>
      <c r="AX28" s="20" t="e">
        <f t="shared" si="17"/>
        <v>#DIV/0!</v>
      </c>
      <c r="AY28" s="20" t="e">
        <f t="shared" si="18"/>
        <v>#DIV/0!</v>
      </c>
      <c r="AZ28" s="20" t="e">
        <f t="shared" si="19"/>
        <v>#DIV/0!</v>
      </c>
    </row>
    <row r="29" spans="1:52" x14ac:dyDescent="0.3">
      <c r="A29">
        <v>946.8</v>
      </c>
      <c r="B29">
        <v>55.680196000000002</v>
      </c>
      <c r="C29">
        <v>56.143452000000003</v>
      </c>
      <c r="D29">
        <v>56.703012999999999</v>
      </c>
      <c r="E29">
        <v>47.858710000000002</v>
      </c>
      <c r="F29">
        <v>36.256362000000003</v>
      </c>
      <c r="G29">
        <v>30.066279999999999</v>
      </c>
      <c r="H29">
        <v>30.47804</v>
      </c>
      <c r="I29"/>
      <c r="O29" s="6">
        <v>24</v>
      </c>
      <c r="P29" s="7" t="e">
        <f>AVERAGE(B1175:B1224)</f>
        <v>#DIV/0!</v>
      </c>
      <c r="Q29" s="23" t="e">
        <f>STDEV(C1175:C1224)</f>
        <v>#DIV/0!</v>
      </c>
      <c r="R29" s="9" t="e">
        <f>AVERAGE(C1175:C1224)</f>
        <v>#DIV/0!</v>
      </c>
      <c r="S29" s="10" t="e">
        <f>STDEV(E1175:E1224)</f>
        <v>#DIV/0!</v>
      </c>
      <c r="T29" s="11" t="e">
        <f>AVERAGE(D1175:D1224)</f>
        <v>#DIV/0!</v>
      </c>
      <c r="U29" s="12" t="e">
        <f>STDEV(D1175:D1224)</f>
        <v>#DIV/0!</v>
      </c>
      <c r="V29" s="13" t="e">
        <f>AVERAGE(E1175:E1224)</f>
        <v>#DIV/0!</v>
      </c>
      <c r="W29" s="14" t="e">
        <f>STDEV(E1175:E1224)</f>
        <v>#DIV/0!</v>
      </c>
      <c r="X29" s="15" t="e">
        <f>AVERAGE(F1175:F1224)</f>
        <v>#DIV/0!</v>
      </c>
      <c r="Y29" s="16" t="e">
        <f>STDEV(F1175:F1224)</f>
        <v>#DIV/0!</v>
      </c>
      <c r="Z29" s="17" t="e">
        <f>AVERAGE(G1175:G1224)</f>
        <v>#DIV/0!</v>
      </c>
      <c r="AA29" s="18" t="e">
        <f>AVERAGE(H1175:H1224)</f>
        <v>#DIV/0!</v>
      </c>
      <c r="AB29" s="6" t="e">
        <f t="shared" si="0"/>
        <v>#DIV/0!</v>
      </c>
      <c r="AC29" s="6" t="e">
        <f t="shared" si="20"/>
        <v>#DIV/0!</v>
      </c>
      <c r="AD29" s="6" t="e">
        <f t="shared" si="1"/>
        <v>#DIV/0!</v>
      </c>
      <c r="AE29" s="6" t="e">
        <f t="shared" si="22"/>
        <v>#DIV/0!</v>
      </c>
      <c r="AF29" s="22"/>
      <c r="AG29" s="22"/>
      <c r="AH29" s="6" t="e">
        <f t="shared" si="2"/>
        <v>#DIV/0!</v>
      </c>
      <c r="AI29" s="6" t="e">
        <f t="shared" si="3"/>
        <v>#DIV/0!</v>
      </c>
      <c r="AJ29" s="6" t="e">
        <f t="shared" si="4"/>
        <v>#DIV/0!</v>
      </c>
      <c r="AK29" s="6" t="e">
        <f t="shared" si="5"/>
        <v>#DIV/0!</v>
      </c>
      <c r="AL29" s="6" t="e">
        <f t="shared" si="6"/>
        <v>#DIV/0!</v>
      </c>
      <c r="AM29" s="6" t="e">
        <f t="shared" si="7"/>
        <v>#DIV/0!</v>
      </c>
      <c r="AN29" s="6" t="e">
        <f t="shared" si="8"/>
        <v>#DIV/0!</v>
      </c>
      <c r="AO29" s="6">
        <f t="shared" si="21"/>
        <v>3.8800000000000001E-2</v>
      </c>
      <c r="AP29" s="6" t="e">
        <f t="shared" si="9"/>
        <v>#DIV/0!</v>
      </c>
      <c r="AQ29" s="6" t="e">
        <f t="shared" si="10"/>
        <v>#DIV/0!</v>
      </c>
      <c r="AR29" s="6" t="e">
        <f t="shared" si="11"/>
        <v>#DIV/0!</v>
      </c>
      <c r="AS29" s="6" t="e">
        <f t="shared" si="12"/>
        <v>#DIV/0!</v>
      </c>
      <c r="AT29" s="6" t="e">
        <f t="shared" si="13"/>
        <v>#DIV/0!</v>
      </c>
      <c r="AU29" s="6" t="e">
        <f t="shared" si="14"/>
        <v>#DIV/0!</v>
      </c>
      <c r="AV29" s="6" t="e">
        <f t="shared" si="15"/>
        <v>#DIV/0!</v>
      </c>
      <c r="AW29" s="6" t="e">
        <f t="shared" si="16"/>
        <v>#DIV/0!</v>
      </c>
      <c r="AX29" s="20" t="e">
        <f t="shared" si="17"/>
        <v>#DIV/0!</v>
      </c>
      <c r="AY29" s="20" t="e">
        <f t="shared" si="18"/>
        <v>#DIV/0!</v>
      </c>
      <c r="AZ29" s="20" t="e">
        <f t="shared" si="19"/>
        <v>#DIV/0!</v>
      </c>
    </row>
    <row r="30" spans="1:52" x14ac:dyDescent="0.3">
      <c r="A30">
        <v>947</v>
      </c>
      <c r="B30">
        <v>55.674554999999998</v>
      </c>
      <c r="C30">
        <v>56.138480000000001</v>
      </c>
      <c r="D30">
        <v>56.689945999999999</v>
      </c>
      <c r="E30">
        <v>47.874797999999998</v>
      </c>
      <c r="F30">
        <v>36.465474</v>
      </c>
      <c r="G30">
        <v>30.104735999999999</v>
      </c>
      <c r="H30">
        <v>30.469721</v>
      </c>
      <c r="I30" t="s">
        <v>56</v>
      </c>
      <c r="O30" s="6">
        <v>25</v>
      </c>
      <c r="P30" s="7" t="e">
        <f>AVERAGE(B1225:B1274)</f>
        <v>#DIV/0!</v>
      </c>
      <c r="Q30" s="23" t="e">
        <f>STDEV(C1225:C1274)</f>
        <v>#DIV/0!</v>
      </c>
      <c r="R30" s="9" t="e">
        <f>AVERAGE(C1225:C1274)</f>
        <v>#DIV/0!</v>
      </c>
      <c r="S30" s="10" t="e">
        <f>STDEV(E1225:E1274)</f>
        <v>#DIV/0!</v>
      </c>
      <c r="T30" s="11" t="e">
        <f>AVERAGE(D1225:D1274)</f>
        <v>#DIV/0!</v>
      </c>
      <c r="U30" s="12" t="e">
        <f>STDEV(D1225:D1274)</f>
        <v>#DIV/0!</v>
      </c>
      <c r="V30" s="13" t="e">
        <f>AVERAGE(E1225:E1274)</f>
        <v>#DIV/0!</v>
      </c>
      <c r="W30" s="14" t="e">
        <f>STDEV(E1225:E1274)</f>
        <v>#DIV/0!</v>
      </c>
      <c r="X30" s="15" t="e">
        <f>AVERAGE(F1225:F1274)</f>
        <v>#DIV/0!</v>
      </c>
      <c r="Y30" s="16" t="e">
        <f>STDEV(F1225:F1274)</f>
        <v>#DIV/0!</v>
      </c>
      <c r="Z30" s="17" t="e">
        <f>AVERAGE(G1225:G1274)</f>
        <v>#DIV/0!</v>
      </c>
      <c r="AA30" s="18" t="e">
        <f>AVERAGE(H1225:H1274)</f>
        <v>#DIV/0!</v>
      </c>
      <c r="AB30" s="6" t="e">
        <f t="shared" si="0"/>
        <v>#DIV/0!</v>
      </c>
      <c r="AC30" s="6" t="e">
        <f t="shared" si="20"/>
        <v>#DIV/0!</v>
      </c>
      <c r="AD30" s="6" t="e">
        <f t="shared" si="1"/>
        <v>#DIV/0!</v>
      </c>
      <c r="AE30" s="6" t="e">
        <f t="shared" si="22"/>
        <v>#DIV/0!</v>
      </c>
      <c r="AF30" s="22"/>
      <c r="AG30" s="22"/>
      <c r="AH30" s="6" t="e">
        <f t="shared" si="2"/>
        <v>#DIV/0!</v>
      </c>
      <c r="AI30" s="6" t="e">
        <f t="shared" si="3"/>
        <v>#DIV/0!</v>
      </c>
      <c r="AJ30" s="6" t="e">
        <f t="shared" si="4"/>
        <v>#DIV/0!</v>
      </c>
      <c r="AK30" s="6" t="e">
        <f t="shared" si="5"/>
        <v>#DIV/0!</v>
      </c>
      <c r="AL30" s="6" t="e">
        <f t="shared" si="6"/>
        <v>#DIV/0!</v>
      </c>
      <c r="AM30" s="6" t="e">
        <f t="shared" si="7"/>
        <v>#DIV/0!</v>
      </c>
      <c r="AN30" s="6" t="e">
        <f t="shared" si="8"/>
        <v>#DIV/0!</v>
      </c>
      <c r="AO30" s="6">
        <f t="shared" si="21"/>
        <v>3.8800000000000001E-2</v>
      </c>
      <c r="AP30" s="6" t="e">
        <f t="shared" si="9"/>
        <v>#DIV/0!</v>
      </c>
      <c r="AQ30" s="6" t="e">
        <f t="shared" si="10"/>
        <v>#DIV/0!</v>
      </c>
      <c r="AR30" s="6" t="e">
        <f t="shared" si="11"/>
        <v>#DIV/0!</v>
      </c>
      <c r="AS30" s="6" t="e">
        <f t="shared" si="12"/>
        <v>#DIV/0!</v>
      </c>
      <c r="AT30" s="6" t="e">
        <f t="shared" si="13"/>
        <v>#DIV/0!</v>
      </c>
      <c r="AU30" s="6" t="e">
        <f t="shared" si="14"/>
        <v>#DIV/0!</v>
      </c>
      <c r="AV30" s="6" t="e">
        <f t="shared" si="15"/>
        <v>#DIV/0!</v>
      </c>
      <c r="AW30" s="6" t="e">
        <f t="shared" si="16"/>
        <v>#DIV/0!</v>
      </c>
      <c r="AX30" s="20" t="e">
        <f t="shared" si="17"/>
        <v>#DIV/0!</v>
      </c>
      <c r="AY30" s="20" t="e">
        <f t="shared" si="18"/>
        <v>#DIV/0!</v>
      </c>
      <c r="AZ30" s="20" t="e">
        <f t="shared" si="19"/>
        <v>#DIV/0!</v>
      </c>
    </row>
    <row r="31" spans="1:52" x14ac:dyDescent="0.3">
      <c r="A31">
        <v>947.2</v>
      </c>
      <c r="B31">
        <v>55.674554999999998</v>
      </c>
      <c r="C31">
        <v>56.138480000000001</v>
      </c>
      <c r="D31">
        <v>56.689945999999999</v>
      </c>
      <c r="E31">
        <v>47.874797999999998</v>
      </c>
      <c r="F31">
        <v>36.465474</v>
      </c>
      <c r="G31">
        <v>30.104735999999999</v>
      </c>
      <c r="H31">
        <v>30.469721</v>
      </c>
      <c r="I31"/>
      <c r="N31"/>
      <c r="O31"/>
    </row>
    <row r="32" spans="1:52" x14ac:dyDescent="0.3">
      <c r="A32">
        <v>947.4</v>
      </c>
      <c r="B32">
        <v>55.663727000000002</v>
      </c>
      <c r="C32">
        <v>56.134895999999998</v>
      </c>
      <c r="D32">
        <v>56.707149999999999</v>
      </c>
      <c r="E32">
        <v>47.873263999999999</v>
      </c>
      <c r="F32">
        <v>36.564115999999999</v>
      </c>
      <c r="G32">
        <v>30.095936999999999</v>
      </c>
      <c r="H32">
        <v>30.482543</v>
      </c>
      <c r="I32"/>
      <c r="N32"/>
      <c r="O32"/>
    </row>
    <row r="33" spans="1:19" x14ac:dyDescent="0.3">
      <c r="A33">
        <v>947.6</v>
      </c>
      <c r="B33">
        <v>55.663727000000002</v>
      </c>
      <c r="C33">
        <v>56.134895999999998</v>
      </c>
      <c r="D33">
        <v>56.707149999999999</v>
      </c>
      <c r="E33">
        <v>47.873263999999999</v>
      </c>
      <c r="F33">
        <v>36.564115999999999</v>
      </c>
      <c r="G33">
        <v>30.095936999999999</v>
      </c>
      <c r="H33">
        <v>30.482543</v>
      </c>
      <c r="I33"/>
      <c r="N33"/>
      <c r="O33"/>
    </row>
    <row r="34" spans="1:19" x14ac:dyDescent="0.3">
      <c r="A34">
        <v>947.8</v>
      </c>
      <c r="B34">
        <v>55.667372999999998</v>
      </c>
      <c r="C34">
        <v>56.127650000000003</v>
      </c>
      <c r="D34">
        <v>56.706719</v>
      </c>
      <c r="E34">
        <v>47.882334</v>
      </c>
      <c r="F34">
        <v>36.625059</v>
      </c>
      <c r="G34">
        <v>30.087833</v>
      </c>
      <c r="H34">
        <v>30.477967</v>
      </c>
      <c r="I34"/>
      <c r="N34"/>
      <c r="O34"/>
    </row>
    <row r="35" spans="1:19" x14ac:dyDescent="0.3">
      <c r="A35">
        <v>948</v>
      </c>
      <c r="B35">
        <v>55.667372999999998</v>
      </c>
      <c r="C35">
        <v>56.127650000000003</v>
      </c>
      <c r="D35">
        <v>56.706719</v>
      </c>
      <c r="E35">
        <v>47.882334</v>
      </c>
      <c r="F35">
        <v>36.625059</v>
      </c>
      <c r="G35">
        <v>30.087833</v>
      </c>
      <c r="H35">
        <v>30.477967</v>
      </c>
      <c r="I35" t="s">
        <v>56</v>
      </c>
      <c r="N35"/>
      <c r="P35" s="24" t="s">
        <v>57</v>
      </c>
      <c r="Q35" s="24" t="s">
        <v>58</v>
      </c>
    </row>
    <row r="36" spans="1:19" x14ac:dyDescent="0.3">
      <c r="A36">
        <v>948.2</v>
      </c>
      <c r="B36">
        <v>55.660595000000001</v>
      </c>
      <c r="C36">
        <v>56.146518999999998</v>
      </c>
      <c r="D36">
        <v>56.715316999999999</v>
      </c>
      <c r="E36">
        <v>47.874436000000003</v>
      </c>
      <c r="F36">
        <v>36.68018</v>
      </c>
      <c r="G36">
        <v>30.073288999999999</v>
      </c>
      <c r="H36">
        <v>30.473061999999999</v>
      </c>
      <c r="I36"/>
      <c r="N36"/>
      <c r="O36" s="24" t="s">
        <v>10</v>
      </c>
      <c r="P36" s="7">
        <v>0.98399999999999999</v>
      </c>
      <c r="Q36" s="7">
        <v>0.78649999999999998</v>
      </c>
    </row>
    <row r="37" spans="1:19" x14ac:dyDescent="0.3">
      <c r="A37">
        <v>948.4</v>
      </c>
      <c r="B37">
        <v>55.660595000000001</v>
      </c>
      <c r="C37">
        <v>56.146518999999998</v>
      </c>
      <c r="D37">
        <v>56.715316999999999</v>
      </c>
      <c r="E37">
        <v>47.874436000000003</v>
      </c>
      <c r="F37">
        <v>36.68018</v>
      </c>
      <c r="G37">
        <v>30.073288999999999</v>
      </c>
      <c r="H37">
        <v>30.473061999999999</v>
      </c>
      <c r="I37"/>
      <c r="N37"/>
      <c r="O37" s="24" t="s">
        <v>14</v>
      </c>
      <c r="P37" s="7">
        <v>0.98629999999999995</v>
      </c>
      <c r="Q37" s="7">
        <v>0.68220000000000003</v>
      </c>
    </row>
    <row r="38" spans="1:19" x14ac:dyDescent="0.3">
      <c r="A38">
        <v>948.6</v>
      </c>
      <c r="B38">
        <v>55.671193000000002</v>
      </c>
      <c r="C38">
        <v>56.138517999999998</v>
      </c>
      <c r="D38">
        <v>56.703074999999998</v>
      </c>
      <c r="E38">
        <v>47.903115999999997</v>
      </c>
      <c r="F38">
        <v>36.559505999999999</v>
      </c>
      <c r="G38">
        <v>30.077760000000001</v>
      </c>
      <c r="H38">
        <v>30.478000999999999</v>
      </c>
      <c r="I38"/>
      <c r="N38"/>
      <c r="O38" s="24" t="s">
        <v>15</v>
      </c>
      <c r="P38" s="7">
        <v>0.98070000000000002</v>
      </c>
      <c r="Q38" s="7">
        <v>0.81030000000000002</v>
      </c>
    </row>
    <row r="39" spans="1:19" x14ac:dyDescent="0.3">
      <c r="A39">
        <v>948.8</v>
      </c>
      <c r="B39">
        <v>55.671193000000002</v>
      </c>
      <c r="C39">
        <v>56.138517999999998</v>
      </c>
      <c r="D39">
        <v>56.703074999999998</v>
      </c>
      <c r="E39">
        <v>47.903115999999997</v>
      </c>
      <c r="F39">
        <v>36.559505999999999</v>
      </c>
      <c r="G39">
        <v>30.077760000000001</v>
      </c>
      <c r="H39">
        <v>30.478000999999999</v>
      </c>
      <c r="I39"/>
      <c r="N39"/>
      <c r="O39" s="24" t="s">
        <v>16</v>
      </c>
      <c r="P39" s="7">
        <v>0.97760000000000002</v>
      </c>
      <c r="Q39" s="7">
        <v>0.92379999999999995</v>
      </c>
    </row>
    <row r="40" spans="1:19" x14ac:dyDescent="0.3">
      <c r="A40">
        <v>949</v>
      </c>
      <c r="B40">
        <v>55.656615000000002</v>
      </c>
      <c r="C40">
        <v>56.163423000000002</v>
      </c>
      <c r="D40">
        <v>56.686523000000001</v>
      </c>
      <c r="E40">
        <v>47.904851000000001</v>
      </c>
      <c r="F40">
        <v>36.258854999999997</v>
      </c>
      <c r="G40">
        <v>30.078374</v>
      </c>
      <c r="H40">
        <v>30.481670000000001</v>
      </c>
      <c r="I40" t="s">
        <v>56</v>
      </c>
      <c r="N40"/>
      <c r="O40"/>
    </row>
    <row r="41" spans="1:19" x14ac:dyDescent="0.3">
      <c r="A41">
        <v>949.2</v>
      </c>
      <c r="B41">
        <v>55.656615000000002</v>
      </c>
      <c r="C41">
        <v>56.163423000000002</v>
      </c>
      <c r="D41">
        <v>56.686523000000001</v>
      </c>
      <c r="E41">
        <v>47.904851000000001</v>
      </c>
      <c r="F41">
        <v>36.258854999999997</v>
      </c>
      <c r="G41">
        <v>30.078374</v>
      </c>
      <c r="H41">
        <v>30.481670000000001</v>
      </c>
      <c r="I41"/>
      <c r="N41"/>
      <c r="O41"/>
      <c r="P41" s="25" t="s">
        <v>59</v>
      </c>
      <c r="Q41" s="25"/>
      <c r="R41" s="25"/>
      <c r="S41" s="25"/>
    </row>
    <row r="42" spans="1:19" x14ac:dyDescent="0.3">
      <c r="A42">
        <v>949.4</v>
      </c>
      <c r="B42">
        <v>55.686124999999997</v>
      </c>
      <c r="C42">
        <v>56.138719999999999</v>
      </c>
      <c r="D42">
        <v>56.697633000000003</v>
      </c>
      <c r="E42">
        <v>47.912140000000001</v>
      </c>
      <c r="F42">
        <v>36.290385000000001</v>
      </c>
      <c r="G42">
        <v>30.079823000000001</v>
      </c>
      <c r="H42">
        <v>30.478183999999999</v>
      </c>
      <c r="I42"/>
      <c r="N42"/>
      <c r="O42"/>
      <c r="P42" s="6" t="s">
        <v>10</v>
      </c>
      <c r="Q42" s="6" t="s">
        <v>14</v>
      </c>
      <c r="R42" s="6" t="s">
        <v>15</v>
      </c>
      <c r="S42" s="6" t="s">
        <v>16</v>
      </c>
    </row>
    <row r="43" spans="1:19" x14ac:dyDescent="0.3">
      <c r="A43">
        <v>949.6</v>
      </c>
      <c r="B43">
        <v>55.686124999999997</v>
      </c>
      <c r="C43">
        <v>56.138719999999999</v>
      </c>
      <c r="D43">
        <v>56.697633000000003</v>
      </c>
      <c r="E43">
        <v>47.912140000000001</v>
      </c>
      <c r="F43">
        <v>36.290385000000001</v>
      </c>
      <c r="G43">
        <v>30.079823000000001</v>
      </c>
      <c r="H43">
        <v>30.478183999999999</v>
      </c>
      <c r="I43"/>
      <c r="N43"/>
      <c r="O43"/>
      <c r="P43" s="1">
        <f>(B25+Q$36)/P$36</f>
        <v>57.360127032520325</v>
      </c>
      <c r="Q43" s="1">
        <f>(C25+Q$36)/P$36</f>
        <v>57.849556910569106</v>
      </c>
      <c r="R43" s="1">
        <f>(D25+Q$38)/P$38</f>
        <v>58.630581217497699</v>
      </c>
      <c r="S43" s="1">
        <f>(E25+Q$39)/P$39</f>
        <v>49.941154869067105</v>
      </c>
    </row>
    <row r="44" spans="1:19" x14ac:dyDescent="0.3">
      <c r="A44">
        <v>949.8</v>
      </c>
      <c r="B44">
        <v>55.663314999999997</v>
      </c>
      <c r="C44">
        <v>56.140841999999999</v>
      </c>
      <c r="D44">
        <v>56.690261999999997</v>
      </c>
      <c r="E44">
        <v>47.912897000000001</v>
      </c>
      <c r="F44">
        <v>36.228091999999997</v>
      </c>
      <c r="G44">
        <v>30.084029000000001</v>
      </c>
      <c r="H44">
        <v>30.475574000000002</v>
      </c>
      <c r="I44"/>
      <c r="N44"/>
      <c r="O44"/>
      <c r="P44" s="1">
        <f t="shared" ref="P44:P107" si="23">(B26+Q$36)/P$36</f>
        <v>57.380669715447155</v>
      </c>
      <c r="Q44" s="1">
        <f t="shared" ref="Q44:Q107" si="24">(C26+Q$36)/P$36</f>
        <v>57.877759146341461</v>
      </c>
      <c r="R44" s="1">
        <f t="shared" ref="R44:R107" si="25">(D26+Q$38)/P$38</f>
        <v>58.637301927194855</v>
      </c>
      <c r="S44" s="1">
        <f t="shared" ref="S44:S107" si="26">(E26+Q$39)/P$39</f>
        <v>49.913198649754506</v>
      </c>
    </row>
    <row r="45" spans="1:19" x14ac:dyDescent="0.3">
      <c r="A45">
        <v>950</v>
      </c>
      <c r="B45">
        <v>55.663314999999997</v>
      </c>
      <c r="C45">
        <v>56.140841999999999</v>
      </c>
      <c r="D45">
        <v>56.690261999999997</v>
      </c>
      <c r="E45">
        <v>47.912897000000001</v>
      </c>
      <c r="F45">
        <v>36.228091999999997</v>
      </c>
      <c r="G45">
        <v>30.084029000000001</v>
      </c>
      <c r="H45">
        <v>30.475574000000002</v>
      </c>
      <c r="I45" t="s">
        <v>56</v>
      </c>
      <c r="N45"/>
      <c r="O45"/>
      <c r="P45" s="1">
        <f t="shared" si="23"/>
        <v>57.380669715447155</v>
      </c>
      <c r="Q45" s="1">
        <f t="shared" si="24"/>
        <v>57.877759146341461</v>
      </c>
      <c r="R45" s="1">
        <f t="shared" si="25"/>
        <v>58.637301927194855</v>
      </c>
      <c r="S45" s="1">
        <f t="shared" si="26"/>
        <v>49.913198649754506</v>
      </c>
    </row>
    <row r="46" spans="1:19" x14ac:dyDescent="0.3">
      <c r="A46">
        <v>950.2</v>
      </c>
      <c r="B46">
        <v>55.669421999999997</v>
      </c>
      <c r="C46">
        <v>56.159678999999997</v>
      </c>
      <c r="D46">
        <v>56.707630999999999</v>
      </c>
      <c r="E46">
        <v>47.904515000000004</v>
      </c>
      <c r="F46">
        <v>36.188217999999999</v>
      </c>
      <c r="G46">
        <v>30.099278000000002</v>
      </c>
      <c r="H46">
        <v>30.472019</v>
      </c>
      <c r="I46"/>
      <c r="N46"/>
      <c r="O46"/>
      <c r="P46" s="1">
        <f t="shared" si="23"/>
        <v>57.384853658536585</v>
      </c>
      <c r="Q46" s="1">
        <f t="shared" si="24"/>
        <v>57.855642276422763</v>
      </c>
      <c r="R46" s="1">
        <f t="shared" si="25"/>
        <v>58.64516467829101</v>
      </c>
      <c r="S46" s="1">
        <f t="shared" si="26"/>
        <v>49.900276186579376</v>
      </c>
    </row>
    <row r="47" spans="1:19" x14ac:dyDescent="0.3">
      <c r="A47">
        <v>950.4</v>
      </c>
      <c r="B47">
        <v>55.669421999999997</v>
      </c>
      <c r="C47">
        <v>56.159678999999997</v>
      </c>
      <c r="D47">
        <v>56.707630999999999</v>
      </c>
      <c r="E47">
        <v>47.904515000000004</v>
      </c>
      <c r="F47">
        <v>36.188217999999999</v>
      </c>
      <c r="G47">
        <v>30.099278000000002</v>
      </c>
      <c r="H47">
        <v>30.472019</v>
      </c>
      <c r="I47"/>
      <c r="N47"/>
      <c r="O47"/>
      <c r="P47" s="1">
        <f t="shared" si="23"/>
        <v>57.384853658536585</v>
      </c>
      <c r="Q47" s="1">
        <f t="shared" si="24"/>
        <v>57.855642276422763</v>
      </c>
      <c r="R47" s="1">
        <f t="shared" si="25"/>
        <v>58.64516467829101</v>
      </c>
      <c r="S47" s="1">
        <f t="shared" si="26"/>
        <v>49.900276186579376</v>
      </c>
    </row>
    <row r="48" spans="1:19" x14ac:dyDescent="0.3">
      <c r="A48">
        <v>950.6</v>
      </c>
      <c r="B48">
        <v>55.663331999999997</v>
      </c>
      <c r="C48">
        <v>56.142902999999997</v>
      </c>
      <c r="D48">
        <v>56.709238999999997</v>
      </c>
      <c r="E48">
        <v>47.899340000000002</v>
      </c>
      <c r="F48">
        <v>36.217092000000001</v>
      </c>
      <c r="G48">
        <v>30.083532999999999</v>
      </c>
      <c r="H48">
        <v>30.488942000000002</v>
      </c>
      <c r="I48"/>
      <c r="N48"/>
      <c r="O48"/>
      <c r="P48" s="1">
        <f t="shared" si="23"/>
        <v>57.379120934959346</v>
      </c>
      <c r="Q48" s="1">
        <f t="shared" si="24"/>
        <v>57.85058943089431</v>
      </c>
      <c r="R48" s="1">
        <f t="shared" si="25"/>
        <v>58.631840522076061</v>
      </c>
      <c r="S48" s="1">
        <f t="shared" si="26"/>
        <v>49.91673281505728</v>
      </c>
    </row>
    <row r="49" spans="1:19" x14ac:dyDescent="0.3">
      <c r="A49">
        <v>950.8</v>
      </c>
      <c r="B49">
        <v>55.663331999999997</v>
      </c>
      <c r="C49">
        <v>56.142902999999997</v>
      </c>
      <c r="D49">
        <v>56.709238999999997</v>
      </c>
      <c r="E49">
        <v>47.899340000000002</v>
      </c>
      <c r="F49">
        <v>36.217092000000001</v>
      </c>
      <c r="G49">
        <v>30.083532999999999</v>
      </c>
      <c r="H49">
        <v>30.488942000000002</v>
      </c>
      <c r="I49"/>
      <c r="N49"/>
      <c r="O49"/>
      <c r="P49" s="1">
        <f t="shared" si="23"/>
        <v>57.379120934959346</v>
      </c>
      <c r="Q49" s="1">
        <f t="shared" si="24"/>
        <v>57.85058943089431</v>
      </c>
      <c r="R49" s="1">
        <f t="shared" si="25"/>
        <v>58.631840522076061</v>
      </c>
      <c r="S49" s="1">
        <f t="shared" si="26"/>
        <v>49.91673281505728</v>
      </c>
    </row>
    <row r="50" spans="1:19" x14ac:dyDescent="0.3">
      <c r="A50">
        <v>951</v>
      </c>
      <c r="B50">
        <v>55.675798999999998</v>
      </c>
      <c r="C50">
        <v>56.151763000000003</v>
      </c>
      <c r="D50">
        <v>56.681027999999998</v>
      </c>
      <c r="E50">
        <v>47.900022</v>
      </c>
      <c r="F50">
        <v>36.166811000000003</v>
      </c>
      <c r="G50">
        <v>30.081712</v>
      </c>
      <c r="H50">
        <v>30.480072</v>
      </c>
      <c r="I50" t="s">
        <v>56</v>
      </c>
      <c r="N50"/>
      <c r="O50"/>
      <c r="P50" s="1">
        <f t="shared" si="23"/>
        <v>57.368116869918701</v>
      </c>
      <c r="Q50" s="1">
        <f t="shared" si="24"/>
        <v>57.846947154471543</v>
      </c>
      <c r="R50" s="1">
        <f t="shared" si="25"/>
        <v>58.649383093708572</v>
      </c>
      <c r="S50" s="1">
        <f t="shared" si="26"/>
        <v>49.91516366612111</v>
      </c>
    </row>
    <row r="51" spans="1:19" x14ac:dyDescent="0.3">
      <c r="A51">
        <v>951.2</v>
      </c>
      <c r="B51">
        <v>55.675798999999998</v>
      </c>
      <c r="C51">
        <v>56.151763000000003</v>
      </c>
      <c r="D51">
        <v>56.681027999999998</v>
      </c>
      <c r="E51">
        <v>47.900022</v>
      </c>
      <c r="F51">
        <v>36.166811000000003</v>
      </c>
      <c r="G51">
        <v>30.081712</v>
      </c>
      <c r="H51">
        <v>30.480072</v>
      </c>
      <c r="I51"/>
      <c r="N51"/>
      <c r="O51"/>
      <c r="P51" s="1">
        <f t="shared" si="23"/>
        <v>57.368116869918701</v>
      </c>
      <c r="Q51" s="1">
        <f t="shared" si="24"/>
        <v>57.846947154471543</v>
      </c>
      <c r="R51" s="1">
        <f t="shared" si="25"/>
        <v>58.649383093708572</v>
      </c>
      <c r="S51" s="1">
        <f t="shared" si="26"/>
        <v>49.91516366612111</v>
      </c>
    </row>
    <row r="52" spans="1:19" x14ac:dyDescent="0.3">
      <c r="A52">
        <v>951.4</v>
      </c>
      <c r="B52">
        <v>55.667422999999999</v>
      </c>
      <c r="C52">
        <v>56.145186000000002</v>
      </c>
      <c r="D52">
        <v>56.702931</v>
      </c>
      <c r="E52">
        <v>47.927405999999998</v>
      </c>
      <c r="F52">
        <v>36.234282</v>
      </c>
      <c r="G52">
        <v>30.097885000000002</v>
      </c>
      <c r="H52">
        <v>30.476735999999999</v>
      </c>
      <c r="I52"/>
      <c r="N52"/>
      <c r="O52"/>
      <c r="P52" s="1">
        <f t="shared" si="23"/>
        <v>57.371822154471538</v>
      </c>
      <c r="Q52" s="1">
        <f t="shared" si="24"/>
        <v>57.83958333333333</v>
      </c>
      <c r="R52" s="1">
        <f t="shared" si="25"/>
        <v>58.648943611705924</v>
      </c>
      <c r="S52" s="1">
        <f t="shared" si="26"/>
        <v>49.924441489361698</v>
      </c>
    </row>
    <row r="53" spans="1:19" x14ac:dyDescent="0.3">
      <c r="A53">
        <v>951.6</v>
      </c>
      <c r="B53">
        <v>55.667422999999999</v>
      </c>
      <c r="C53">
        <v>56.145186000000002</v>
      </c>
      <c r="D53">
        <v>56.702931</v>
      </c>
      <c r="E53">
        <v>47.927405999999998</v>
      </c>
      <c r="F53">
        <v>36.234282</v>
      </c>
      <c r="G53">
        <v>30.097885000000002</v>
      </c>
      <c r="H53">
        <v>30.476735999999999</v>
      </c>
      <c r="I53"/>
      <c r="N53"/>
      <c r="O53"/>
      <c r="P53" s="1">
        <f t="shared" si="23"/>
        <v>57.371822154471538</v>
      </c>
      <c r="Q53" s="1">
        <f t="shared" si="24"/>
        <v>57.83958333333333</v>
      </c>
      <c r="R53" s="1">
        <f t="shared" si="25"/>
        <v>58.648943611705924</v>
      </c>
      <c r="S53" s="1">
        <f t="shared" si="26"/>
        <v>49.924441489361698</v>
      </c>
    </row>
    <row r="54" spans="1:19" x14ac:dyDescent="0.3">
      <c r="A54">
        <v>951.8</v>
      </c>
      <c r="B54">
        <v>55.680328000000003</v>
      </c>
      <c r="C54">
        <v>56.136090000000003</v>
      </c>
      <c r="D54">
        <v>56.702919000000001</v>
      </c>
      <c r="E54">
        <v>47.921511000000002</v>
      </c>
      <c r="F54">
        <v>36.265483000000003</v>
      </c>
      <c r="G54">
        <v>30.084434999999999</v>
      </c>
      <c r="H54">
        <v>30.503236999999999</v>
      </c>
      <c r="I54"/>
      <c r="N54"/>
      <c r="O54"/>
      <c r="P54" s="1">
        <f t="shared" si="23"/>
        <v>57.364933943089426</v>
      </c>
      <c r="Q54" s="1">
        <f t="shared" si="24"/>
        <v>57.858759146341455</v>
      </c>
      <c r="R54" s="1">
        <f t="shared" si="25"/>
        <v>58.65771081880289</v>
      </c>
      <c r="S54" s="1">
        <f t="shared" si="26"/>
        <v>49.916362520458264</v>
      </c>
    </row>
    <row r="55" spans="1:19" x14ac:dyDescent="0.3">
      <c r="A55">
        <v>952</v>
      </c>
      <c r="B55">
        <v>55.680328000000003</v>
      </c>
      <c r="C55">
        <v>56.136090000000003</v>
      </c>
      <c r="D55">
        <v>56.702919000000001</v>
      </c>
      <c r="E55">
        <v>47.921511000000002</v>
      </c>
      <c r="F55">
        <v>36.265483000000003</v>
      </c>
      <c r="G55">
        <v>30.084434999999999</v>
      </c>
      <c r="H55">
        <v>30.503236999999999</v>
      </c>
      <c r="I55" t="s">
        <v>56</v>
      </c>
      <c r="N55"/>
      <c r="O55"/>
      <c r="P55" s="1">
        <f t="shared" si="23"/>
        <v>57.364933943089426</v>
      </c>
      <c r="Q55" s="1">
        <f t="shared" si="24"/>
        <v>57.858759146341455</v>
      </c>
      <c r="R55" s="1">
        <f t="shared" si="25"/>
        <v>58.65771081880289</v>
      </c>
      <c r="S55" s="1">
        <f t="shared" si="26"/>
        <v>49.916362520458264</v>
      </c>
    </row>
    <row r="56" spans="1:19" x14ac:dyDescent="0.3">
      <c r="A56">
        <v>952.2</v>
      </c>
      <c r="B56">
        <v>55.664110000000001</v>
      </c>
      <c r="C56">
        <v>56.147089999999999</v>
      </c>
      <c r="D56">
        <v>56.710692000000002</v>
      </c>
      <c r="E56">
        <v>47.915275000000001</v>
      </c>
      <c r="F56">
        <v>36.319498000000003</v>
      </c>
      <c r="G56">
        <v>30.091584999999998</v>
      </c>
      <c r="H56">
        <v>30.476782</v>
      </c>
      <c r="I56"/>
      <c r="N56"/>
      <c r="O56"/>
      <c r="P56" s="1">
        <f t="shared" si="23"/>
        <v>57.375704268292679</v>
      </c>
      <c r="Q56" s="1">
        <f t="shared" si="24"/>
        <v>57.850628048780486</v>
      </c>
      <c r="R56" s="1">
        <f t="shared" si="25"/>
        <v>58.645227898439884</v>
      </c>
      <c r="S56" s="1">
        <f t="shared" si="26"/>
        <v>49.94569967266775</v>
      </c>
    </row>
    <row r="57" spans="1:19" x14ac:dyDescent="0.3">
      <c r="A57">
        <v>952.4</v>
      </c>
      <c r="B57">
        <v>55.664110000000001</v>
      </c>
      <c r="C57">
        <v>56.147089999999999</v>
      </c>
      <c r="D57">
        <v>56.710692000000002</v>
      </c>
      <c r="E57">
        <v>47.915275000000001</v>
      </c>
      <c r="F57">
        <v>36.319498000000003</v>
      </c>
      <c r="G57">
        <v>30.091584999999998</v>
      </c>
      <c r="H57">
        <v>30.476782</v>
      </c>
      <c r="I57"/>
      <c r="N57"/>
      <c r="O57"/>
      <c r="P57" s="1">
        <f t="shared" si="23"/>
        <v>57.375704268292679</v>
      </c>
      <c r="Q57" s="1">
        <f t="shared" si="24"/>
        <v>57.850628048780486</v>
      </c>
      <c r="R57" s="1">
        <f t="shared" si="25"/>
        <v>58.645227898439884</v>
      </c>
      <c r="S57" s="1">
        <f t="shared" si="26"/>
        <v>49.94569967266775</v>
      </c>
    </row>
    <row r="58" spans="1:19" x14ac:dyDescent="0.3">
      <c r="A58">
        <v>952.6</v>
      </c>
      <c r="B58">
        <v>55.674601000000003</v>
      </c>
      <c r="C58">
        <v>56.152379000000003</v>
      </c>
      <c r="D58">
        <v>56.680286000000002</v>
      </c>
      <c r="E58">
        <v>47.939095999999999</v>
      </c>
      <c r="F58">
        <v>36.224192000000002</v>
      </c>
      <c r="G58">
        <v>30.081831999999999</v>
      </c>
      <c r="H58">
        <v>30.485126000000001</v>
      </c>
      <c r="I58"/>
      <c r="N58"/>
      <c r="O58"/>
      <c r="P58" s="1">
        <f t="shared" si="23"/>
        <v>57.360889227642275</v>
      </c>
      <c r="Q58" s="1">
        <f t="shared" si="24"/>
        <v>57.875938008130078</v>
      </c>
      <c r="R58" s="1">
        <f t="shared" si="25"/>
        <v>58.628350158050374</v>
      </c>
      <c r="S58" s="1">
        <f t="shared" si="26"/>
        <v>49.947474427168572</v>
      </c>
    </row>
    <row r="59" spans="1:19" x14ac:dyDescent="0.3">
      <c r="A59">
        <v>952.8</v>
      </c>
      <c r="B59">
        <v>55.674601000000003</v>
      </c>
      <c r="C59">
        <v>56.152379000000003</v>
      </c>
      <c r="D59">
        <v>56.680286000000002</v>
      </c>
      <c r="E59">
        <v>47.939095999999999</v>
      </c>
      <c r="F59">
        <v>36.224192000000002</v>
      </c>
      <c r="G59">
        <v>30.081831999999999</v>
      </c>
      <c r="H59">
        <v>30.485126000000001</v>
      </c>
      <c r="I59"/>
      <c r="N59"/>
      <c r="O59"/>
      <c r="P59" s="1">
        <f t="shared" si="23"/>
        <v>57.360889227642275</v>
      </c>
      <c r="Q59" s="1">
        <f t="shared" si="24"/>
        <v>57.875938008130078</v>
      </c>
      <c r="R59" s="1">
        <f t="shared" si="25"/>
        <v>58.628350158050374</v>
      </c>
      <c r="S59" s="1">
        <f t="shared" si="26"/>
        <v>49.947474427168572</v>
      </c>
    </row>
    <row r="60" spans="1:19" x14ac:dyDescent="0.3">
      <c r="A60">
        <v>953</v>
      </c>
      <c r="B60">
        <v>55.669972999999999</v>
      </c>
      <c r="C60">
        <v>56.166136000000002</v>
      </c>
      <c r="D60">
        <v>56.700279999999999</v>
      </c>
      <c r="E60">
        <v>47.928367999999999</v>
      </c>
      <c r="F60">
        <v>36.142465999999999</v>
      </c>
      <c r="G60">
        <v>30.104505</v>
      </c>
      <c r="H60">
        <v>30.487348000000001</v>
      </c>
      <c r="I60" t="s">
        <v>56</v>
      </c>
      <c r="N60"/>
      <c r="O60"/>
      <c r="P60" s="1">
        <f t="shared" si="23"/>
        <v>57.390879065040643</v>
      </c>
      <c r="Q60" s="1">
        <f t="shared" si="24"/>
        <v>57.850833333333327</v>
      </c>
      <c r="R60" s="1">
        <f t="shared" si="25"/>
        <v>58.63967880085653</v>
      </c>
      <c r="S60" s="1">
        <f t="shared" si="26"/>
        <v>49.954930441898526</v>
      </c>
    </row>
    <row r="61" spans="1:19" x14ac:dyDescent="0.3">
      <c r="A61">
        <v>953.2</v>
      </c>
      <c r="B61">
        <v>55.669972999999999</v>
      </c>
      <c r="C61">
        <v>56.166136000000002</v>
      </c>
      <c r="D61">
        <v>56.700279999999999</v>
      </c>
      <c r="E61">
        <v>47.928367999999999</v>
      </c>
      <c r="F61">
        <v>36.142465999999999</v>
      </c>
      <c r="G61">
        <v>30.104505</v>
      </c>
      <c r="H61">
        <v>30.487348000000001</v>
      </c>
      <c r="I61"/>
      <c r="N61"/>
      <c r="O61"/>
      <c r="P61" s="1">
        <f t="shared" si="23"/>
        <v>57.390879065040643</v>
      </c>
      <c r="Q61" s="1">
        <f t="shared" si="24"/>
        <v>57.850833333333327</v>
      </c>
      <c r="R61" s="1">
        <f t="shared" si="25"/>
        <v>58.63967880085653</v>
      </c>
      <c r="S61" s="1">
        <f t="shared" si="26"/>
        <v>49.954930441898526</v>
      </c>
    </row>
    <row r="62" spans="1:19" x14ac:dyDescent="0.3">
      <c r="A62">
        <v>953.4</v>
      </c>
      <c r="B62">
        <v>55.669780000000003</v>
      </c>
      <c r="C62">
        <v>56.150500000000001</v>
      </c>
      <c r="D62">
        <v>56.705052999999999</v>
      </c>
      <c r="E62">
        <v>47.953285999999999</v>
      </c>
      <c r="F62">
        <v>36.097791000000001</v>
      </c>
      <c r="G62">
        <v>30.104213999999999</v>
      </c>
      <c r="H62">
        <v>30.480948000000001</v>
      </c>
      <c r="I62"/>
      <c r="N62"/>
      <c r="O62"/>
      <c r="P62" s="1">
        <f t="shared" si="23"/>
        <v>57.3676981707317</v>
      </c>
      <c r="Q62" s="1">
        <f t="shared" si="24"/>
        <v>57.852989837398368</v>
      </c>
      <c r="R62" s="1">
        <f t="shared" si="25"/>
        <v>58.632162740899354</v>
      </c>
      <c r="S62" s="1">
        <f t="shared" si="26"/>
        <v>49.955704787234041</v>
      </c>
    </row>
    <row r="63" spans="1:19" x14ac:dyDescent="0.3">
      <c r="A63">
        <v>953.6</v>
      </c>
      <c r="B63">
        <v>55.669780000000003</v>
      </c>
      <c r="C63">
        <v>56.150500000000001</v>
      </c>
      <c r="D63">
        <v>56.705052999999999</v>
      </c>
      <c r="E63">
        <v>47.953285999999999</v>
      </c>
      <c r="F63">
        <v>36.097791000000001</v>
      </c>
      <c r="G63">
        <v>30.104213999999999</v>
      </c>
      <c r="H63">
        <v>30.480948000000001</v>
      </c>
      <c r="I63"/>
      <c r="N63"/>
      <c r="O63"/>
      <c r="P63" s="1">
        <f t="shared" si="23"/>
        <v>57.3676981707317</v>
      </c>
      <c r="Q63" s="1">
        <f t="shared" si="24"/>
        <v>57.852989837398368</v>
      </c>
      <c r="R63" s="1">
        <f t="shared" si="25"/>
        <v>58.632162740899354</v>
      </c>
      <c r="S63" s="1">
        <f t="shared" si="26"/>
        <v>49.955704787234041</v>
      </c>
    </row>
    <row r="64" spans="1:19" x14ac:dyDescent="0.3">
      <c r="A64">
        <v>953.8</v>
      </c>
      <c r="B64">
        <v>55.674605</v>
      </c>
      <c r="C64">
        <v>56.147841</v>
      </c>
      <c r="D64">
        <v>56.704216000000002</v>
      </c>
      <c r="E64">
        <v>47.948602000000001</v>
      </c>
      <c r="F64">
        <v>36.116349999999997</v>
      </c>
      <c r="G64">
        <v>30.102046999999999</v>
      </c>
      <c r="H64">
        <v>30.468678000000001</v>
      </c>
      <c r="I64"/>
      <c r="N64"/>
      <c r="O64"/>
      <c r="P64" s="1">
        <f t="shared" si="23"/>
        <v>57.373904471544712</v>
      </c>
      <c r="Q64" s="1">
        <f t="shared" si="24"/>
        <v>57.872133130081295</v>
      </c>
      <c r="R64" s="1">
        <f t="shared" si="25"/>
        <v>58.64987355970225</v>
      </c>
      <c r="S64" s="1">
        <f t="shared" si="26"/>
        <v>49.947130728314242</v>
      </c>
    </row>
    <row r="65" spans="1:19" x14ac:dyDescent="0.3">
      <c r="A65">
        <v>954</v>
      </c>
      <c r="B65">
        <v>55.674605</v>
      </c>
      <c r="C65">
        <v>56.147841</v>
      </c>
      <c r="D65">
        <v>56.704216000000002</v>
      </c>
      <c r="E65">
        <v>47.948602000000001</v>
      </c>
      <c r="F65">
        <v>36.116349999999997</v>
      </c>
      <c r="G65">
        <v>30.102046999999999</v>
      </c>
      <c r="H65">
        <v>30.468678000000001</v>
      </c>
      <c r="I65" t="s">
        <v>56</v>
      </c>
      <c r="N65"/>
      <c r="O65"/>
      <c r="P65" s="1">
        <f t="shared" si="23"/>
        <v>57.373904471544712</v>
      </c>
      <c r="Q65" s="1">
        <f t="shared" si="24"/>
        <v>57.872133130081295</v>
      </c>
      <c r="R65" s="1">
        <f t="shared" si="25"/>
        <v>58.64987355970225</v>
      </c>
      <c r="S65" s="1">
        <f t="shared" si="26"/>
        <v>49.947130728314242</v>
      </c>
    </row>
    <row r="66" spans="1:19" x14ac:dyDescent="0.3">
      <c r="A66">
        <v>954.2</v>
      </c>
      <c r="B66">
        <v>55.658271999999997</v>
      </c>
      <c r="C66">
        <v>56.151004</v>
      </c>
      <c r="D66">
        <v>56.709164999999999</v>
      </c>
      <c r="E66">
        <v>47.940213999999997</v>
      </c>
      <c r="F66">
        <v>36.195745000000002</v>
      </c>
      <c r="G66">
        <v>30.082011000000001</v>
      </c>
      <c r="H66">
        <v>30.469092</v>
      </c>
      <c r="I66"/>
      <c r="N66"/>
      <c r="O66"/>
      <c r="P66" s="1">
        <f t="shared" si="23"/>
        <v>57.367715447154467</v>
      </c>
      <c r="Q66" s="1">
        <f t="shared" si="24"/>
        <v>57.85508434959349</v>
      </c>
      <c r="R66" s="1">
        <f t="shared" si="25"/>
        <v>58.651513204853671</v>
      </c>
      <c r="S66" s="1">
        <f t="shared" si="26"/>
        <v>49.941837152209494</v>
      </c>
    </row>
    <row r="67" spans="1:19" x14ac:dyDescent="0.3">
      <c r="A67">
        <v>954.4</v>
      </c>
      <c r="B67">
        <v>55.658271999999997</v>
      </c>
      <c r="C67">
        <v>56.151004</v>
      </c>
      <c r="D67">
        <v>56.709164999999999</v>
      </c>
      <c r="E67">
        <v>47.940213999999997</v>
      </c>
      <c r="F67">
        <v>36.195745000000002</v>
      </c>
      <c r="G67">
        <v>30.082011000000001</v>
      </c>
      <c r="H67">
        <v>30.469092</v>
      </c>
      <c r="I67"/>
      <c r="N67"/>
      <c r="O67"/>
      <c r="P67" s="1">
        <f t="shared" si="23"/>
        <v>57.367715447154467</v>
      </c>
      <c r="Q67" s="1">
        <f t="shared" si="24"/>
        <v>57.85508434959349</v>
      </c>
      <c r="R67" s="1">
        <f t="shared" si="25"/>
        <v>58.651513204853671</v>
      </c>
      <c r="S67" s="1">
        <f t="shared" si="26"/>
        <v>49.941837152209494</v>
      </c>
    </row>
    <row r="68" spans="1:19" x14ac:dyDescent="0.3">
      <c r="A68">
        <v>954.6</v>
      </c>
      <c r="B68">
        <v>55.663578999999999</v>
      </c>
      <c r="C68">
        <v>56.155414</v>
      </c>
      <c r="D68">
        <v>56.698877000000003</v>
      </c>
      <c r="E68">
        <v>47.923794000000001</v>
      </c>
      <c r="F68">
        <v>36.300691</v>
      </c>
      <c r="G68">
        <v>30.084336</v>
      </c>
      <c r="H68">
        <v>30.489979000000002</v>
      </c>
      <c r="I68"/>
      <c r="N68"/>
      <c r="O68"/>
      <c r="P68" s="1">
        <f t="shared" si="23"/>
        <v>57.38038516260162</v>
      </c>
      <c r="Q68" s="1">
        <f t="shared" si="24"/>
        <v>57.864088414634146</v>
      </c>
      <c r="R68" s="1">
        <f t="shared" si="25"/>
        <v>58.622747017436517</v>
      </c>
      <c r="S68" s="1">
        <f t="shared" si="26"/>
        <v>49.942534779050732</v>
      </c>
    </row>
    <row r="69" spans="1:19" x14ac:dyDescent="0.3">
      <c r="A69">
        <v>954.8</v>
      </c>
      <c r="B69">
        <v>55.663578999999999</v>
      </c>
      <c r="C69">
        <v>56.155414</v>
      </c>
      <c r="D69">
        <v>56.698877000000003</v>
      </c>
      <c r="E69">
        <v>47.923794000000001</v>
      </c>
      <c r="F69">
        <v>36.300691</v>
      </c>
      <c r="G69">
        <v>30.084336</v>
      </c>
      <c r="H69">
        <v>30.489979000000002</v>
      </c>
      <c r="I69"/>
      <c r="N69"/>
      <c r="O69"/>
      <c r="P69" s="1">
        <f t="shared" si="23"/>
        <v>57.38038516260162</v>
      </c>
      <c r="Q69" s="1">
        <f t="shared" si="24"/>
        <v>57.864088414634146</v>
      </c>
      <c r="R69" s="1">
        <f t="shared" si="25"/>
        <v>58.622747017436517</v>
      </c>
      <c r="S69" s="1">
        <f t="shared" si="26"/>
        <v>49.942534779050732</v>
      </c>
    </row>
    <row r="70" spans="1:19" x14ac:dyDescent="0.3">
      <c r="A70">
        <v>955</v>
      </c>
      <c r="B70">
        <v>55.690170999999999</v>
      </c>
      <c r="C70">
        <v>56.165256999999997</v>
      </c>
      <c r="D70">
        <v>56.713852000000003</v>
      </c>
      <c r="E70">
        <v>47.928396999999997</v>
      </c>
      <c r="F70">
        <v>36.305089000000002</v>
      </c>
      <c r="G70">
        <v>30.100422999999999</v>
      </c>
      <c r="H70">
        <v>30.490787000000001</v>
      </c>
      <c r="I70" t="s">
        <v>56</v>
      </c>
      <c r="N70"/>
      <c r="O70"/>
      <c r="P70" s="1">
        <f t="shared" si="23"/>
        <v>57.371872967479675</v>
      </c>
      <c r="Q70" s="1">
        <f t="shared" si="24"/>
        <v>57.857404471544719</v>
      </c>
      <c r="R70" s="1">
        <f t="shared" si="25"/>
        <v>58.645081064545728</v>
      </c>
      <c r="S70" s="1">
        <f t="shared" si="26"/>
        <v>49.970546235679208</v>
      </c>
    </row>
    <row r="71" spans="1:19" x14ac:dyDescent="0.3">
      <c r="A71">
        <v>955.2</v>
      </c>
      <c r="B71">
        <v>55.690170999999999</v>
      </c>
      <c r="C71">
        <v>56.165256999999997</v>
      </c>
      <c r="D71">
        <v>56.713852000000003</v>
      </c>
      <c r="E71">
        <v>47.928396999999997</v>
      </c>
      <c r="F71">
        <v>36.305089000000002</v>
      </c>
      <c r="G71">
        <v>30.100422999999999</v>
      </c>
      <c r="H71">
        <v>30.490787000000001</v>
      </c>
      <c r="I71"/>
      <c r="N71"/>
      <c r="O71"/>
      <c r="P71" s="1">
        <f t="shared" si="23"/>
        <v>57.371872967479675</v>
      </c>
      <c r="Q71" s="1">
        <f t="shared" si="24"/>
        <v>57.857404471544719</v>
      </c>
      <c r="R71" s="1">
        <f t="shared" si="25"/>
        <v>58.645081064545728</v>
      </c>
      <c r="S71" s="1">
        <f t="shared" si="26"/>
        <v>49.970546235679208</v>
      </c>
    </row>
    <row r="72" spans="1:19" x14ac:dyDescent="0.3">
      <c r="A72">
        <v>955.4</v>
      </c>
      <c r="B72">
        <v>55.684880999999997</v>
      </c>
      <c r="C72">
        <v>56.150872</v>
      </c>
      <c r="D72">
        <v>56.718966000000002</v>
      </c>
      <c r="E72">
        <v>47.928092999999997</v>
      </c>
      <c r="F72">
        <v>36.292354000000003</v>
      </c>
      <c r="G72">
        <v>30.062252999999998</v>
      </c>
      <c r="H72">
        <v>30.480592999999999</v>
      </c>
      <c r="I72"/>
      <c r="N72"/>
      <c r="O72"/>
      <c r="P72" s="1">
        <f t="shared" si="23"/>
        <v>57.384987804878051</v>
      </c>
      <c r="Q72" s="1">
        <f t="shared" si="24"/>
        <v>57.848160569105694</v>
      </c>
      <c r="R72" s="1">
        <f t="shared" si="25"/>
        <v>58.645068828387885</v>
      </c>
      <c r="S72" s="1">
        <f t="shared" si="26"/>
        <v>49.964516162029462</v>
      </c>
    </row>
    <row r="73" spans="1:19" x14ac:dyDescent="0.3">
      <c r="A73">
        <v>955.6</v>
      </c>
      <c r="B73">
        <v>55.684880999999997</v>
      </c>
      <c r="C73">
        <v>56.150872</v>
      </c>
      <c r="D73">
        <v>56.718966000000002</v>
      </c>
      <c r="E73">
        <v>47.928092999999997</v>
      </c>
      <c r="F73">
        <v>36.292354000000003</v>
      </c>
      <c r="G73">
        <v>30.062252999999998</v>
      </c>
      <c r="H73">
        <v>30.480592999999999</v>
      </c>
      <c r="I73"/>
      <c r="N73"/>
      <c r="O73"/>
      <c r="P73" s="1">
        <f t="shared" si="23"/>
        <v>57.384987804878051</v>
      </c>
      <c r="Q73" s="1">
        <f t="shared" si="24"/>
        <v>57.848160569105694</v>
      </c>
      <c r="R73" s="1">
        <f t="shared" si="25"/>
        <v>58.645068828387885</v>
      </c>
      <c r="S73" s="1">
        <f t="shared" si="26"/>
        <v>49.964516162029462</v>
      </c>
    </row>
    <row r="74" spans="1:19" x14ac:dyDescent="0.3">
      <c r="A74">
        <v>955.8</v>
      </c>
      <c r="B74">
        <v>55.685285</v>
      </c>
      <c r="C74">
        <v>56.136743000000003</v>
      </c>
      <c r="D74">
        <v>56.730428000000003</v>
      </c>
      <c r="E74">
        <v>47.921256</v>
      </c>
      <c r="F74">
        <v>36.252868999999997</v>
      </c>
      <c r="G74">
        <v>30.086345000000001</v>
      </c>
      <c r="H74">
        <v>30.484233</v>
      </c>
      <c r="I74"/>
      <c r="N74"/>
      <c r="O74"/>
      <c r="P74" s="1">
        <f t="shared" si="23"/>
        <v>57.368506097560974</v>
      </c>
      <c r="Q74" s="1">
        <f t="shared" si="24"/>
        <v>57.859339430894302</v>
      </c>
      <c r="R74" s="1">
        <f t="shared" si="25"/>
        <v>58.652994799632914</v>
      </c>
      <c r="S74" s="1">
        <f t="shared" si="26"/>
        <v>49.958137274959086</v>
      </c>
    </row>
    <row r="75" spans="1:19" x14ac:dyDescent="0.3">
      <c r="A75">
        <v>4605</v>
      </c>
      <c r="B75">
        <v>69.066860000000005</v>
      </c>
      <c r="C75">
        <v>69.770985999999994</v>
      </c>
      <c r="D75">
        <v>70.531283000000002</v>
      </c>
      <c r="E75">
        <v>58.397685000000003</v>
      </c>
      <c r="F75">
        <v>41.802104999999997</v>
      </c>
      <c r="G75">
        <v>29.965398</v>
      </c>
      <c r="H75">
        <v>30.491166</v>
      </c>
      <c r="I75" t="s">
        <v>56</v>
      </c>
      <c r="N75"/>
      <c r="O75"/>
      <c r="P75" s="1">
        <f t="shared" si="23"/>
        <v>57.368506097560974</v>
      </c>
      <c r="Q75" s="1">
        <f t="shared" si="24"/>
        <v>57.859339430894302</v>
      </c>
      <c r="R75" s="1">
        <f t="shared" si="25"/>
        <v>58.652994799632914</v>
      </c>
      <c r="S75" s="1">
        <f t="shared" si="26"/>
        <v>49.958137274959086</v>
      </c>
    </row>
    <row r="76" spans="1:19" x14ac:dyDescent="0.3">
      <c r="A76">
        <v>4605.2</v>
      </c>
      <c r="B76">
        <v>69.066860000000005</v>
      </c>
      <c r="C76">
        <v>69.770985999999994</v>
      </c>
      <c r="D76">
        <v>70.531283000000002</v>
      </c>
      <c r="E76">
        <v>58.397685000000003</v>
      </c>
      <c r="F76">
        <v>41.802104999999997</v>
      </c>
      <c r="G76">
        <v>29.965398</v>
      </c>
      <c r="H76">
        <v>30.491166</v>
      </c>
      <c r="I76"/>
      <c r="N76"/>
      <c r="O76"/>
      <c r="P76" s="1">
        <f t="shared" si="23"/>
        <v>57.379167682926827</v>
      </c>
      <c r="Q76" s="1">
        <f t="shared" si="24"/>
        <v>57.86471443089431</v>
      </c>
      <c r="R76" s="1">
        <f t="shared" si="25"/>
        <v>58.621990415009684</v>
      </c>
      <c r="S76" s="1">
        <f t="shared" si="26"/>
        <v>49.982504091653027</v>
      </c>
    </row>
    <row r="77" spans="1:19" x14ac:dyDescent="0.3">
      <c r="A77">
        <v>4605.3999999999996</v>
      </c>
      <c r="B77">
        <v>69.049262999999996</v>
      </c>
      <c r="C77">
        <v>69.768721999999997</v>
      </c>
      <c r="D77">
        <v>70.532178999999999</v>
      </c>
      <c r="E77">
        <v>58.413868999999998</v>
      </c>
      <c r="F77">
        <v>41.953752999999999</v>
      </c>
      <c r="G77">
        <v>29.948407</v>
      </c>
      <c r="H77">
        <v>30.504494000000001</v>
      </c>
      <c r="I77"/>
      <c r="N77"/>
      <c r="O77"/>
      <c r="P77" s="1">
        <f t="shared" si="23"/>
        <v>57.379167682926827</v>
      </c>
      <c r="Q77" s="1">
        <f t="shared" si="24"/>
        <v>57.86471443089431</v>
      </c>
      <c r="R77" s="1">
        <f t="shared" si="25"/>
        <v>58.621990415009684</v>
      </c>
      <c r="S77" s="1">
        <f t="shared" si="26"/>
        <v>49.982504091653027</v>
      </c>
    </row>
    <row r="78" spans="1:19" x14ac:dyDescent="0.3">
      <c r="A78">
        <v>4605.6000000000004</v>
      </c>
      <c r="B78">
        <v>69.049262999999996</v>
      </c>
      <c r="C78">
        <v>69.768721999999997</v>
      </c>
      <c r="D78">
        <v>70.532178999999999</v>
      </c>
      <c r="E78">
        <v>58.413868999999998</v>
      </c>
      <c r="F78">
        <v>41.953752999999999</v>
      </c>
      <c r="G78">
        <v>29.948407</v>
      </c>
      <c r="H78">
        <v>30.504494000000001</v>
      </c>
      <c r="I78"/>
      <c r="N78"/>
      <c r="O78"/>
      <c r="P78" s="1">
        <f t="shared" si="23"/>
        <v>57.374464430894307</v>
      </c>
      <c r="Q78" s="1">
        <f t="shared" si="24"/>
        <v>57.878695121951218</v>
      </c>
      <c r="R78" s="1">
        <f t="shared" si="25"/>
        <v>58.642377893341489</v>
      </c>
      <c r="S78" s="1">
        <f t="shared" si="26"/>
        <v>49.9715302782324</v>
      </c>
    </row>
    <row r="79" spans="1:19" x14ac:dyDescent="0.3">
      <c r="A79">
        <v>4605.8</v>
      </c>
      <c r="B79">
        <v>69.046357999999998</v>
      </c>
      <c r="C79">
        <v>69.792936999999995</v>
      </c>
      <c r="D79">
        <v>70.554006000000001</v>
      </c>
      <c r="E79">
        <v>58.405127</v>
      </c>
      <c r="F79">
        <v>41.96143</v>
      </c>
      <c r="G79">
        <v>29.96941</v>
      </c>
      <c r="H79">
        <v>30.489066000000001</v>
      </c>
      <c r="I79"/>
      <c r="N79"/>
      <c r="O79"/>
      <c r="P79" s="1">
        <f t="shared" si="23"/>
        <v>57.374464430894307</v>
      </c>
      <c r="Q79" s="1">
        <f t="shared" si="24"/>
        <v>57.878695121951218</v>
      </c>
      <c r="R79" s="1">
        <f t="shared" si="25"/>
        <v>58.642377893341489</v>
      </c>
      <c r="S79" s="1">
        <f t="shared" si="26"/>
        <v>49.9715302782324</v>
      </c>
    </row>
    <row r="80" spans="1:19" x14ac:dyDescent="0.3">
      <c r="A80">
        <v>4606</v>
      </c>
      <c r="B80">
        <v>69.046357999999998</v>
      </c>
      <c r="C80">
        <v>69.792936999999995</v>
      </c>
      <c r="D80">
        <v>70.554006000000001</v>
      </c>
      <c r="E80">
        <v>58.405127</v>
      </c>
      <c r="F80">
        <v>41.96143</v>
      </c>
      <c r="G80">
        <v>29.96941</v>
      </c>
      <c r="H80">
        <v>30.489066000000001</v>
      </c>
      <c r="I80" t="s">
        <v>56</v>
      </c>
      <c r="N80"/>
      <c r="O80"/>
      <c r="P80" s="1">
        <f t="shared" si="23"/>
        <v>57.374268292682927</v>
      </c>
      <c r="Q80" s="1">
        <f t="shared" si="24"/>
        <v>57.862804878048777</v>
      </c>
      <c r="R80" s="1">
        <f t="shared" si="25"/>
        <v>58.647244825124908</v>
      </c>
      <c r="S80" s="1">
        <f t="shared" si="26"/>
        <v>49.997019230769226</v>
      </c>
    </row>
    <row r="81" spans="1:19" x14ac:dyDescent="0.3">
      <c r="A81">
        <v>4606.2</v>
      </c>
      <c r="B81">
        <v>69.042721</v>
      </c>
      <c r="C81">
        <v>69.754478000000006</v>
      </c>
      <c r="D81">
        <v>70.560271</v>
      </c>
      <c r="E81">
        <v>58.398355000000002</v>
      </c>
      <c r="F81">
        <v>41.771261000000003</v>
      </c>
      <c r="G81">
        <v>29.975531</v>
      </c>
      <c r="H81">
        <v>30.497299000000002</v>
      </c>
      <c r="I81"/>
      <c r="N81"/>
      <c r="O81"/>
      <c r="P81" s="1">
        <f t="shared" si="23"/>
        <v>57.374268292682927</v>
      </c>
      <c r="Q81" s="1">
        <f t="shared" si="24"/>
        <v>57.862804878048777</v>
      </c>
      <c r="R81" s="1">
        <f t="shared" si="25"/>
        <v>58.647244825124908</v>
      </c>
      <c r="S81" s="1">
        <f t="shared" si="26"/>
        <v>49.997019230769226</v>
      </c>
    </row>
    <row r="82" spans="1:19" x14ac:dyDescent="0.3">
      <c r="A82">
        <v>4606.3999999999996</v>
      </c>
      <c r="B82">
        <v>69.042721</v>
      </c>
      <c r="C82">
        <v>69.754478000000006</v>
      </c>
      <c r="D82">
        <v>70.560271</v>
      </c>
      <c r="E82">
        <v>58.398355000000002</v>
      </c>
      <c r="F82">
        <v>41.771261000000003</v>
      </c>
      <c r="G82">
        <v>29.975531</v>
      </c>
      <c r="H82">
        <v>30.497299000000002</v>
      </c>
      <c r="I82"/>
      <c r="N82"/>
      <c r="O82"/>
      <c r="P82" s="1">
        <f t="shared" si="23"/>
        <v>57.379171747967476</v>
      </c>
      <c r="Q82" s="1">
        <f t="shared" si="24"/>
        <v>57.860102642276416</v>
      </c>
      <c r="R82" s="1">
        <f t="shared" si="25"/>
        <v>58.646391353115121</v>
      </c>
      <c r="S82" s="1">
        <f t="shared" si="26"/>
        <v>49.992227905073648</v>
      </c>
    </row>
    <row r="83" spans="1:19" x14ac:dyDescent="0.3">
      <c r="A83">
        <v>4606.6000000000004</v>
      </c>
      <c r="B83">
        <v>69.056381999999999</v>
      </c>
      <c r="C83">
        <v>69.778569000000005</v>
      </c>
      <c r="D83">
        <v>70.524888000000004</v>
      </c>
      <c r="E83">
        <v>58.379598000000001</v>
      </c>
      <c r="F83">
        <v>41.728974000000001</v>
      </c>
      <c r="G83">
        <v>29.957407</v>
      </c>
      <c r="H83">
        <v>30.495397000000001</v>
      </c>
      <c r="I83"/>
      <c r="N83"/>
      <c r="O83"/>
      <c r="P83" s="1">
        <f t="shared" si="23"/>
        <v>57.379171747967476</v>
      </c>
      <c r="Q83" s="1">
        <f t="shared" si="24"/>
        <v>57.860102642276416</v>
      </c>
      <c r="R83" s="1">
        <f t="shared" si="25"/>
        <v>58.646391353115121</v>
      </c>
      <c r="S83" s="1">
        <f t="shared" si="26"/>
        <v>49.992227905073648</v>
      </c>
    </row>
    <row r="84" spans="1:19" x14ac:dyDescent="0.3">
      <c r="A84">
        <v>4606.8</v>
      </c>
      <c r="B84">
        <v>69.056381999999999</v>
      </c>
      <c r="C84">
        <v>69.778569000000005</v>
      </c>
      <c r="D84">
        <v>70.524888000000004</v>
      </c>
      <c r="E84">
        <v>58.379598000000001</v>
      </c>
      <c r="F84">
        <v>41.728974000000001</v>
      </c>
      <c r="G84">
        <v>29.957407</v>
      </c>
      <c r="H84">
        <v>30.495397000000001</v>
      </c>
      <c r="I84"/>
      <c r="N84"/>
      <c r="O84"/>
      <c r="P84" s="1">
        <f t="shared" si="23"/>
        <v>57.3625731707317</v>
      </c>
      <c r="Q84" s="1">
        <f t="shared" si="24"/>
        <v>57.863317073170727</v>
      </c>
      <c r="R84" s="1">
        <f t="shared" si="25"/>
        <v>58.651437748546954</v>
      </c>
      <c r="S84" s="1">
        <f t="shared" si="26"/>
        <v>49.983647708674297</v>
      </c>
    </row>
    <row r="85" spans="1:19" x14ac:dyDescent="0.3">
      <c r="A85">
        <v>4607</v>
      </c>
      <c r="B85">
        <v>69.036984000000004</v>
      </c>
      <c r="C85">
        <v>69.772238999999999</v>
      </c>
      <c r="D85">
        <v>70.541070000000005</v>
      </c>
      <c r="E85">
        <v>58.382745999999997</v>
      </c>
      <c r="F85">
        <v>42.146881999999998</v>
      </c>
      <c r="G85">
        <v>29.970870000000001</v>
      </c>
      <c r="H85">
        <v>30.502039</v>
      </c>
      <c r="I85" t="s">
        <v>56</v>
      </c>
      <c r="N85"/>
      <c r="O85"/>
      <c r="P85" s="1">
        <f t="shared" si="23"/>
        <v>57.3625731707317</v>
      </c>
      <c r="Q85" s="1">
        <f t="shared" si="24"/>
        <v>57.863317073170727</v>
      </c>
      <c r="R85" s="1">
        <f t="shared" si="25"/>
        <v>58.651437748546954</v>
      </c>
      <c r="S85" s="1">
        <f t="shared" si="26"/>
        <v>49.983647708674297</v>
      </c>
    </row>
    <row r="86" spans="1:19" x14ac:dyDescent="0.3">
      <c r="A86">
        <v>4607.2</v>
      </c>
      <c r="B86">
        <v>69.036984000000004</v>
      </c>
      <c r="C86">
        <v>69.772238999999999</v>
      </c>
      <c r="D86">
        <v>70.541070000000005</v>
      </c>
      <c r="E86">
        <v>58.382745999999997</v>
      </c>
      <c r="F86">
        <v>42.146881999999998</v>
      </c>
      <c r="G86">
        <v>29.970870000000001</v>
      </c>
      <c r="H86">
        <v>30.502039</v>
      </c>
      <c r="I86"/>
      <c r="N86"/>
      <c r="O86"/>
      <c r="P86" s="1">
        <f t="shared" si="23"/>
        <v>57.367966463414632</v>
      </c>
      <c r="Q86" s="1">
        <f t="shared" si="24"/>
        <v>57.867798780487803</v>
      </c>
      <c r="R86" s="1">
        <f t="shared" si="25"/>
        <v>58.640947282553277</v>
      </c>
      <c r="S86" s="1">
        <f t="shared" si="26"/>
        <v>49.966851472995089</v>
      </c>
    </row>
    <row r="87" spans="1:19" x14ac:dyDescent="0.3">
      <c r="A87">
        <v>4607.3999999999996</v>
      </c>
      <c r="B87">
        <v>69.078908999999996</v>
      </c>
      <c r="C87">
        <v>69.769949999999994</v>
      </c>
      <c r="D87">
        <v>70.548682999999997</v>
      </c>
      <c r="E87">
        <v>58.375073999999998</v>
      </c>
      <c r="F87">
        <v>41.987003000000001</v>
      </c>
      <c r="G87">
        <v>29.966992000000001</v>
      </c>
      <c r="H87">
        <v>30.482420000000001</v>
      </c>
      <c r="I87"/>
      <c r="N87"/>
      <c r="O87"/>
      <c r="P87" s="1">
        <f t="shared" si="23"/>
        <v>57.367966463414632</v>
      </c>
      <c r="Q87" s="1">
        <f t="shared" si="24"/>
        <v>57.867798780487803</v>
      </c>
      <c r="R87" s="1">
        <f t="shared" si="25"/>
        <v>58.640947282553277</v>
      </c>
      <c r="S87" s="1">
        <f t="shared" si="26"/>
        <v>49.966851472995089</v>
      </c>
    </row>
    <row r="88" spans="1:19" x14ac:dyDescent="0.3">
      <c r="A88">
        <v>4607.6000000000004</v>
      </c>
      <c r="B88">
        <v>69.078908999999996</v>
      </c>
      <c r="C88">
        <v>69.769949999999994</v>
      </c>
      <c r="D88">
        <v>70.548682999999997</v>
      </c>
      <c r="E88">
        <v>58.375073999999998</v>
      </c>
      <c r="F88">
        <v>41.987003000000001</v>
      </c>
      <c r="G88">
        <v>29.966992000000001</v>
      </c>
      <c r="H88">
        <v>30.482420000000001</v>
      </c>
      <c r="I88"/>
      <c r="N88"/>
      <c r="O88"/>
      <c r="P88" s="1">
        <f t="shared" si="23"/>
        <v>57.394990853658534</v>
      </c>
      <c r="Q88" s="1">
        <f t="shared" si="24"/>
        <v>57.877801829268286</v>
      </c>
      <c r="R88" s="1">
        <f t="shared" si="25"/>
        <v>58.656216987865811</v>
      </c>
      <c r="S88" s="1">
        <f t="shared" si="26"/>
        <v>49.971559942716851</v>
      </c>
    </row>
    <row r="89" spans="1:19" x14ac:dyDescent="0.3">
      <c r="A89">
        <v>4607.8</v>
      </c>
      <c r="B89">
        <v>69.049914000000001</v>
      </c>
      <c r="C89">
        <v>69.773443</v>
      </c>
      <c r="D89">
        <v>70.545412999999996</v>
      </c>
      <c r="E89">
        <v>58.368206000000001</v>
      </c>
      <c r="F89">
        <v>42.167006000000001</v>
      </c>
      <c r="G89">
        <v>29.968467</v>
      </c>
      <c r="H89">
        <v>30.497523000000001</v>
      </c>
      <c r="I89"/>
      <c r="N89"/>
      <c r="O89"/>
      <c r="P89" s="1">
        <f t="shared" si="23"/>
        <v>57.394990853658534</v>
      </c>
      <c r="Q89" s="1">
        <f t="shared" si="24"/>
        <v>57.877801829268286</v>
      </c>
      <c r="R89" s="1">
        <f t="shared" si="25"/>
        <v>58.656216987865811</v>
      </c>
      <c r="S89" s="1">
        <f t="shared" si="26"/>
        <v>49.971559942716851</v>
      </c>
    </row>
    <row r="90" spans="1:19" x14ac:dyDescent="0.3">
      <c r="A90">
        <v>4608</v>
      </c>
      <c r="B90">
        <v>69.049914000000001</v>
      </c>
      <c r="C90">
        <v>69.773443</v>
      </c>
      <c r="D90">
        <v>70.545412999999996</v>
      </c>
      <c r="E90">
        <v>58.368206000000001</v>
      </c>
      <c r="F90">
        <v>42.167006000000001</v>
      </c>
      <c r="G90">
        <v>29.968467</v>
      </c>
      <c r="H90">
        <v>30.497523000000001</v>
      </c>
      <c r="I90" t="s">
        <v>56</v>
      </c>
      <c r="N90"/>
      <c r="O90"/>
      <c r="P90" s="1">
        <f t="shared" si="23"/>
        <v>57.389614837398369</v>
      </c>
      <c r="Q90" s="1">
        <f t="shared" si="24"/>
        <v>57.863182926829268</v>
      </c>
      <c r="R90" s="1">
        <f t="shared" si="25"/>
        <v>58.66143163046803</v>
      </c>
      <c r="S90" s="1">
        <f t="shared" si="26"/>
        <v>49.971248977086738</v>
      </c>
    </row>
    <row r="91" spans="1:19" x14ac:dyDescent="0.3">
      <c r="A91">
        <v>4608.2</v>
      </c>
      <c r="B91">
        <v>69.047856999999993</v>
      </c>
      <c r="C91">
        <v>69.766859999999994</v>
      </c>
      <c r="D91">
        <v>70.558645999999996</v>
      </c>
      <c r="E91">
        <v>58.372000999999997</v>
      </c>
      <c r="F91">
        <v>42.192678000000001</v>
      </c>
      <c r="G91">
        <v>30.001180999999999</v>
      </c>
      <c r="H91">
        <v>30.498968999999999</v>
      </c>
      <c r="I91"/>
      <c r="N91"/>
      <c r="O91"/>
      <c r="P91" s="1">
        <f t="shared" si="23"/>
        <v>57.389614837398369</v>
      </c>
      <c r="Q91" s="1">
        <f t="shared" si="24"/>
        <v>57.863182926829268</v>
      </c>
      <c r="R91" s="1">
        <f t="shared" si="25"/>
        <v>58.66143163046803</v>
      </c>
      <c r="S91" s="1">
        <f t="shared" si="26"/>
        <v>49.971248977086738</v>
      </c>
    </row>
    <row r="92" spans="1:19" x14ac:dyDescent="0.3">
      <c r="A92">
        <v>4608.3999999999996</v>
      </c>
      <c r="B92">
        <v>69.047856999999993</v>
      </c>
      <c r="C92">
        <v>69.766859999999994</v>
      </c>
      <c r="D92">
        <v>70.558645999999996</v>
      </c>
      <c r="E92">
        <v>58.372000999999997</v>
      </c>
      <c r="F92">
        <v>42.192678000000001</v>
      </c>
      <c r="G92">
        <v>30.001180999999999</v>
      </c>
      <c r="H92">
        <v>30.498968999999999</v>
      </c>
      <c r="I92"/>
      <c r="N92"/>
      <c r="O92"/>
      <c r="P92" s="1">
        <f t="shared" si="23"/>
        <v>57.390025406504066</v>
      </c>
      <c r="Q92" s="1">
        <f t="shared" si="24"/>
        <v>57.84882418699187</v>
      </c>
      <c r="R92" s="1">
        <f t="shared" si="25"/>
        <v>58.673119200571023</v>
      </c>
      <c r="S92" s="1">
        <f t="shared" si="26"/>
        <v>49.964255319148933</v>
      </c>
    </row>
    <row r="93" spans="1:19" x14ac:dyDescent="0.3">
      <c r="A93">
        <v>4608.6000000000004</v>
      </c>
      <c r="B93">
        <v>69.060839999999999</v>
      </c>
      <c r="C93">
        <v>69.771281999999999</v>
      </c>
      <c r="D93">
        <v>70.528880000000001</v>
      </c>
      <c r="E93">
        <v>58.395282000000002</v>
      </c>
      <c r="F93">
        <v>41.992660999999998</v>
      </c>
      <c r="G93">
        <v>29.961545999999998</v>
      </c>
      <c r="H93">
        <v>30.496479000000001</v>
      </c>
      <c r="I93"/>
      <c r="N93"/>
      <c r="O93"/>
      <c r="P93" s="1">
        <f t="shared" si="23"/>
        <v>70.989186991869929</v>
      </c>
      <c r="Q93" s="1">
        <f t="shared" si="24"/>
        <v>71.704762195121944</v>
      </c>
      <c r="R93" s="1">
        <f t="shared" si="25"/>
        <v>72.745572550219237</v>
      </c>
      <c r="S93" s="1">
        <f t="shared" si="26"/>
        <v>60.68073342880524</v>
      </c>
    </row>
    <row r="94" spans="1:19" x14ac:dyDescent="0.3">
      <c r="A94">
        <v>4608.8</v>
      </c>
      <c r="B94">
        <v>69.060839999999999</v>
      </c>
      <c r="C94">
        <v>69.771281999999999</v>
      </c>
      <c r="D94">
        <v>70.528880000000001</v>
      </c>
      <c r="E94">
        <v>58.395282000000002</v>
      </c>
      <c r="F94">
        <v>41.992660999999998</v>
      </c>
      <c r="G94">
        <v>29.961545999999998</v>
      </c>
      <c r="H94">
        <v>30.496479000000001</v>
      </c>
      <c r="I94"/>
      <c r="N94"/>
      <c r="O94"/>
      <c r="P94" s="1">
        <f t="shared" si="23"/>
        <v>70.989186991869929</v>
      </c>
      <c r="Q94" s="1">
        <f t="shared" si="24"/>
        <v>71.704762195121944</v>
      </c>
      <c r="R94" s="1">
        <f t="shared" si="25"/>
        <v>72.745572550219237</v>
      </c>
      <c r="S94" s="1">
        <f t="shared" si="26"/>
        <v>60.68073342880524</v>
      </c>
    </row>
    <row r="95" spans="1:19" x14ac:dyDescent="0.3">
      <c r="A95">
        <v>4609</v>
      </c>
      <c r="B95">
        <v>69.050013000000007</v>
      </c>
      <c r="C95">
        <v>69.779420000000002</v>
      </c>
      <c r="D95">
        <v>70.539219000000003</v>
      </c>
      <c r="E95">
        <v>58.414166000000002</v>
      </c>
      <c r="F95">
        <v>42.023747</v>
      </c>
      <c r="G95">
        <v>29.967410000000001</v>
      </c>
      <c r="H95">
        <v>30.499521000000001</v>
      </c>
      <c r="I95" t="s">
        <v>56</v>
      </c>
      <c r="N95"/>
      <c r="O95"/>
      <c r="P95" s="1">
        <f t="shared" si="23"/>
        <v>70.971303861788613</v>
      </c>
      <c r="Q95" s="1">
        <f t="shared" si="24"/>
        <v>71.702461382113825</v>
      </c>
      <c r="R95" s="1">
        <f t="shared" si="25"/>
        <v>72.746486183338433</v>
      </c>
      <c r="S95" s="1">
        <f t="shared" si="26"/>
        <v>60.697288256955808</v>
      </c>
    </row>
    <row r="96" spans="1:19" x14ac:dyDescent="0.3">
      <c r="A96">
        <v>4609.2</v>
      </c>
      <c r="B96">
        <v>69.050013000000007</v>
      </c>
      <c r="C96">
        <v>69.779420000000002</v>
      </c>
      <c r="D96">
        <v>70.539219000000003</v>
      </c>
      <c r="E96">
        <v>58.414166000000002</v>
      </c>
      <c r="F96">
        <v>42.023747</v>
      </c>
      <c r="G96">
        <v>29.967410000000001</v>
      </c>
      <c r="H96">
        <v>30.499521000000001</v>
      </c>
      <c r="I96"/>
      <c r="N96"/>
      <c r="O96"/>
      <c r="P96" s="1">
        <f t="shared" si="23"/>
        <v>70.971303861788613</v>
      </c>
      <c r="Q96" s="1">
        <f t="shared" si="24"/>
        <v>71.702461382113825</v>
      </c>
      <c r="R96" s="1">
        <f t="shared" si="25"/>
        <v>72.746486183338433</v>
      </c>
      <c r="S96" s="1">
        <f t="shared" si="26"/>
        <v>60.697288256955808</v>
      </c>
    </row>
    <row r="97" spans="1:19" x14ac:dyDescent="0.3">
      <c r="A97">
        <v>4609.3999999999996</v>
      </c>
      <c r="B97">
        <v>69.058611999999997</v>
      </c>
      <c r="C97">
        <v>69.764527999999999</v>
      </c>
      <c r="D97">
        <v>70.535651000000001</v>
      </c>
      <c r="E97">
        <v>58.404302999999999</v>
      </c>
      <c r="F97">
        <v>42.090096000000003</v>
      </c>
      <c r="G97">
        <v>29.967997</v>
      </c>
      <c r="H97">
        <v>30.510211000000002</v>
      </c>
      <c r="I97"/>
      <c r="N97"/>
      <c r="O97"/>
      <c r="P97" s="1">
        <f t="shared" si="23"/>
        <v>70.968351626016258</v>
      </c>
      <c r="Q97" s="1">
        <f t="shared" si="24"/>
        <v>71.727070121951215</v>
      </c>
      <c r="R97" s="1">
        <f t="shared" si="25"/>
        <v>72.76874273478127</v>
      </c>
      <c r="S97" s="1">
        <f t="shared" si="26"/>
        <v>60.6883459492635</v>
      </c>
    </row>
    <row r="98" spans="1:19" x14ac:dyDescent="0.3">
      <c r="A98">
        <v>4609.6000000000004</v>
      </c>
      <c r="B98">
        <v>69.058611999999997</v>
      </c>
      <c r="C98">
        <v>69.764527999999999</v>
      </c>
      <c r="D98">
        <v>70.535651000000001</v>
      </c>
      <c r="E98">
        <v>58.404302999999999</v>
      </c>
      <c r="F98">
        <v>42.090096000000003</v>
      </c>
      <c r="G98">
        <v>29.967997</v>
      </c>
      <c r="H98">
        <v>30.510211000000002</v>
      </c>
      <c r="I98"/>
      <c r="N98"/>
      <c r="O98"/>
      <c r="P98" s="1">
        <f t="shared" si="23"/>
        <v>70.968351626016258</v>
      </c>
      <c r="Q98" s="1">
        <f t="shared" si="24"/>
        <v>71.727070121951215</v>
      </c>
      <c r="R98" s="1">
        <f t="shared" si="25"/>
        <v>72.76874273478127</v>
      </c>
      <c r="S98" s="1">
        <f t="shared" si="26"/>
        <v>60.6883459492635</v>
      </c>
    </row>
    <row r="99" spans="1:19" x14ac:dyDescent="0.3">
      <c r="A99">
        <v>4609.8</v>
      </c>
      <c r="B99">
        <v>69.054979000000003</v>
      </c>
      <c r="C99">
        <v>69.783491999999995</v>
      </c>
      <c r="D99">
        <v>70.548212000000007</v>
      </c>
      <c r="E99">
        <v>58.401130000000002</v>
      </c>
      <c r="F99">
        <v>42.213396000000003</v>
      </c>
      <c r="G99">
        <v>29.974917999999999</v>
      </c>
      <c r="H99">
        <v>30.504206</v>
      </c>
      <c r="I99"/>
      <c r="N99"/>
      <c r="O99"/>
      <c r="P99" s="1">
        <f t="shared" si="23"/>
        <v>70.964655487804876</v>
      </c>
      <c r="Q99" s="1">
        <f t="shared" si="24"/>
        <v>71.687985772357735</v>
      </c>
      <c r="R99" s="1">
        <f t="shared" si="25"/>
        <v>72.775131028856933</v>
      </c>
      <c r="S99" s="1">
        <f t="shared" si="26"/>
        <v>60.681418780687402</v>
      </c>
    </row>
    <row r="100" spans="1:19" x14ac:dyDescent="0.3">
      <c r="A100">
        <v>4610</v>
      </c>
      <c r="B100">
        <v>69.054979000000003</v>
      </c>
      <c r="C100">
        <v>69.783491999999995</v>
      </c>
      <c r="D100">
        <v>70.548212000000007</v>
      </c>
      <c r="E100">
        <v>58.401130000000002</v>
      </c>
      <c r="F100">
        <v>42.213396000000003</v>
      </c>
      <c r="G100">
        <v>29.974917999999999</v>
      </c>
      <c r="H100">
        <v>30.504206</v>
      </c>
      <c r="I100" t="s">
        <v>56</v>
      </c>
      <c r="N100"/>
      <c r="O100"/>
      <c r="P100" s="1">
        <f t="shared" si="23"/>
        <v>70.964655487804876</v>
      </c>
      <c r="Q100" s="1">
        <f t="shared" si="24"/>
        <v>71.687985772357735</v>
      </c>
      <c r="R100" s="1">
        <f t="shared" si="25"/>
        <v>72.775131028856933</v>
      </c>
      <c r="S100" s="1">
        <f t="shared" si="26"/>
        <v>60.681418780687402</v>
      </c>
    </row>
    <row r="101" spans="1:19" x14ac:dyDescent="0.3">
      <c r="A101">
        <v>4610.2</v>
      </c>
      <c r="B101">
        <v>69.051316999999997</v>
      </c>
      <c r="C101">
        <v>69.772136000000003</v>
      </c>
      <c r="D101">
        <v>70.554002999999994</v>
      </c>
      <c r="E101">
        <v>58.392085000000002</v>
      </c>
      <c r="F101">
        <v>42.573745000000002</v>
      </c>
      <c r="G101">
        <v>29.978770000000001</v>
      </c>
      <c r="H101">
        <v>30.493957000000002</v>
      </c>
      <c r="I101"/>
      <c r="N101"/>
      <c r="O101"/>
      <c r="P101" s="1">
        <f t="shared" si="23"/>
        <v>70.978538617886187</v>
      </c>
      <c r="Q101" s="1">
        <f t="shared" si="24"/>
        <v>71.712468495934971</v>
      </c>
      <c r="R101" s="1">
        <f t="shared" si="25"/>
        <v>72.739051697766897</v>
      </c>
      <c r="S101" s="1">
        <f t="shared" si="26"/>
        <v>60.662231996726675</v>
      </c>
    </row>
    <row r="102" spans="1:19" x14ac:dyDescent="0.3">
      <c r="A102">
        <v>4610.3999999999996</v>
      </c>
      <c r="B102">
        <v>69.051316999999997</v>
      </c>
      <c r="C102">
        <v>69.772136000000003</v>
      </c>
      <c r="D102">
        <v>70.554002999999994</v>
      </c>
      <c r="E102">
        <v>58.392085000000002</v>
      </c>
      <c r="F102">
        <v>42.573745000000002</v>
      </c>
      <c r="G102">
        <v>29.978770000000001</v>
      </c>
      <c r="H102">
        <v>30.493957000000002</v>
      </c>
      <c r="I102"/>
      <c r="N102"/>
      <c r="O102"/>
      <c r="P102" s="1">
        <f t="shared" si="23"/>
        <v>70.978538617886187</v>
      </c>
      <c r="Q102" s="1">
        <f t="shared" si="24"/>
        <v>71.712468495934971</v>
      </c>
      <c r="R102" s="1">
        <f t="shared" si="25"/>
        <v>72.739051697766897</v>
      </c>
      <c r="S102" s="1">
        <f t="shared" si="26"/>
        <v>60.662231996726675</v>
      </c>
    </row>
    <row r="103" spans="1:19" x14ac:dyDescent="0.3">
      <c r="A103">
        <v>4610.6000000000004</v>
      </c>
      <c r="B103">
        <v>69.053596999999996</v>
      </c>
      <c r="C103">
        <v>69.761309999999995</v>
      </c>
      <c r="D103">
        <v>70.551329999999993</v>
      </c>
      <c r="E103">
        <v>58.410994000000002</v>
      </c>
      <c r="F103">
        <v>42.578415</v>
      </c>
      <c r="G103">
        <v>29.959416999999998</v>
      </c>
      <c r="H103">
        <v>30.515498999999998</v>
      </c>
      <c r="I103"/>
      <c r="N103"/>
      <c r="O103"/>
      <c r="P103" s="1">
        <f t="shared" si="23"/>
        <v>70.958825203252047</v>
      </c>
      <c r="Q103" s="1">
        <f t="shared" si="24"/>
        <v>71.706035569105694</v>
      </c>
      <c r="R103" s="1">
        <f t="shared" si="25"/>
        <v>72.755552156622826</v>
      </c>
      <c r="S103" s="1">
        <f t="shared" si="26"/>
        <v>60.66545212765957</v>
      </c>
    </row>
    <row r="104" spans="1:19" x14ac:dyDescent="0.3">
      <c r="A104">
        <v>4610.8</v>
      </c>
      <c r="B104">
        <v>69.053596999999996</v>
      </c>
      <c r="C104">
        <v>69.761309999999995</v>
      </c>
      <c r="D104">
        <v>70.551329999999993</v>
      </c>
      <c r="E104">
        <v>58.410994000000002</v>
      </c>
      <c r="F104">
        <v>42.578415</v>
      </c>
      <c r="G104">
        <v>29.959416999999998</v>
      </c>
      <c r="H104">
        <v>30.515498999999998</v>
      </c>
      <c r="I104"/>
      <c r="N104"/>
      <c r="O104"/>
      <c r="P104" s="1">
        <f t="shared" si="23"/>
        <v>70.958825203252047</v>
      </c>
      <c r="Q104" s="1">
        <f t="shared" si="24"/>
        <v>71.706035569105694</v>
      </c>
      <c r="R104" s="1">
        <f t="shared" si="25"/>
        <v>72.755552156622826</v>
      </c>
      <c r="S104" s="1">
        <f t="shared" si="26"/>
        <v>60.66545212765957</v>
      </c>
    </row>
    <row r="105" spans="1:19" x14ac:dyDescent="0.3">
      <c r="A105">
        <v>4611</v>
      </c>
      <c r="B105">
        <v>69.047078999999997</v>
      </c>
      <c r="C105">
        <v>69.771506000000002</v>
      </c>
      <c r="D105">
        <v>70.539891999999995</v>
      </c>
      <c r="E105">
        <v>58.370327000000003</v>
      </c>
      <c r="F105">
        <v>42.467886</v>
      </c>
      <c r="G105">
        <v>29.965581</v>
      </c>
      <c r="H105">
        <v>30.513435999999999</v>
      </c>
      <c r="I105" t="s">
        <v>56</v>
      </c>
      <c r="N105"/>
      <c r="O105"/>
      <c r="P105" s="1">
        <f t="shared" si="23"/>
        <v>71.00143191056911</v>
      </c>
      <c r="Q105" s="1">
        <f t="shared" si="24"/>
        <v>71.703709349593495</v>
      </c>
      <c r="R105" s="1">
        <f t="shared" si="25"/>
        <v>72.763314979096563</v>
      </c>
      <c r="S105" s="1">
        <f t="shared" si="26"/>
        <v>60.657604337152208</v>
      </c>
    </row>
    <row r="106" spans="1:19" x14ac:dyDescent="0.3">
      <c r="A106">
        <v>4611.2</v>
      </c>
      <c r="B106">
        <v>69.047078999999997</v>
      </c>
      <c r="C106">
        <v>69.771506000000002</v>
      </c>
      <c r="D106">
        <v>70.539891999999995</v>
      </c>
      <c r="E106">
        <v>58.370327000000003</v>
      </c>
      <c r="F106">
        <v>42.467886</v>
      </c>
      <c r="G106">
        <v>29.965581</v>
      </c>
      <c r="H106">
        <v>30.513435999999999</v>
      </c>
      <c r="I106"/>
      <c r="N106"/>
      <c r="O106"/>
      <c r="P106" s="1">
        <f t="shared" si="23"/>
        <v>71.00143191056911</v>
      </c>
      <c r="Q106" s="1">
        <f t="shared" si="24"/>
        <v>71.703709349593495</v>
      </c>
      <c r="R106" s="1">
        <f t="shared" si="25"/>
        <v>72.763314979096563</v>
      </c>
      <c r="S106" s="1">
        <f t="shared" si="26"/>
        <v>60.657604337152208</v>
      </c>
    </row>
    <row r="107" spans="1:19" x14ac:dyDescent="0.3">
      <c r="A107">
        <v>4611.3999999999996</v>
      </c>
      <c r="B107">
        <v>69.046201999999994</v>
      </c>
      <c r="C107">
        <v>69.771530999999996</v>
      </c>
      <c r="D107">
        <v>70.539017000000001</v>
      </c>
      <c r="E107">
        <v>58.397778000000002</v>
      </c>
      <c r="F107">
        <v>42.455753999999999</v>
      </c>
      <c r="G107">
        <v>29.982479999999999</v>
      </c>
      <c r="H107">
        <v>30.498840000000001</v>
      </c>
      <c r="I107"/>
      <c r="N107"/>
      <c r="O107"/>
      <c r="P107" s="1">
        <f t="shared" si="23"/>
        <v>70.971965447154474</v>
      </c>
      <c r="Q107" s="1">
        <f t="shared" si="24"/>
        <v>71.707259146341471</v>
      </c>
      <c r="R107" s="1">
        <f t="shared" si="25"/>
        <v>72.759980626083404</v>
      </c>
      <c r="S107" s="1">
        <f t="shared" si="26"/>
        <v>60.650578968903439</v>
      </c>
    </row>
    <row r="108" spans="1:19" x14ac:dyDescent="0.3">
      <c r="A108">
        <v>4611.6000000000004</v>
      </c>
      <c r="B108">
        <v>69.046201999999994</v>
      </c>
      <c r="C108">
        <v>69.771530999999996</v>
      </c>
      <c r="D108">
        <v>70.539017000000001</v>
      </c>
      <c r="E108">
        <v>58.397778000000002</v>
      </c>
      <c r="F108">
        <v>42.455753999999999</v>
      </c>
      <c r="G108">
        <v>29.982479999999999</v>
      </c>
      <c r="H108">
        <v>30.498840000000001</v>
      </c>
      <c r="I108"/>
      <c r="N108"/>
      <c r="O108"/>
      <c r="P108" s="1">
        <f t="shared" ref="P108:P171" si="27">(B90+Q$36)/P$36</f>
        <v>70.971965447154474</v>
      </c>
      <c r="Q108" s="1">
        <f t="shared" ref="Q108:Q171" si="28">(C90+Q$36)/P$36</f>
        <v>71.707259146341471</v>
      </c>
      <c r="R108" s="1">
        <f t="shared" ref="R108:R171" si="29">(D90+Q$38)/P$38</f>
        <v>72.759980626083404</v>
      </c>
      <c r="S108" s="1">
        <f t="shared" ref="S108:S171" si="30">(E90+Q$39)/P$39</f>
        <v>60.650578968903439</v>
      </c>
    </row>
    <row r="109" spans="1:19" x14ac:dyDescent="0.3">
      <c r="A109">
        <v>4611.8</v>
      </c>
      <c r="B109">
        <v>69.070740000000001</v>
      </c>
      <c r="C109">
        <v>69.759953999999993</v>
      </c>
      <c r="D109">
        <v>70.540992000000003</v>
      </c>
      <c r="E109">
        <v>58.416839000000003</v>
      </c>
      <c r="F109">
        <v>42.402791000000001</v>
      </c>
      <c r="G109">
        <v>29.967628000000001</v>
      </c>
      <c r="H109">
        <v>30.492925</v>
      </c>
      <c r="I109"/>
      <c r="N109"/>
      <c r="O109"/>
      <c r="P109" s="1">
        <f t="shared" si="27"/>
        <v>70.969875000000002</v>
      </c>
      <c r="Q109" s="1">
        <f t="shared" si="28"/>
        <v>71.700569105691059</v>
      </c>
      <c r="R109" s="1">
        <f t="shared" si="29"/>
        <v>72.773474049148561</v>
      </c>
      <c r="S109" s="1">
        <f t="shared" si="30"/>
        <v>60.654460924713582</v>
      </c>
    </row>
    <row r="110" spans="1:19" x14ac:dyDescent="0.3">
      <c r="A110">
        <v>4612</v>
      </c>
      <c r="B110">
        <v>69.070740000000001</v>
      </c>
      <c r="C110">
        <v>69.759953999999993</v>
      </c>
      <c r="D110">
        <v>70.540992000000003</v>
      </c>
      <c r="E110">
        <v>58.416839000000003</v>
      </c>
      <c r="F110">
        <v>42.402791000000001</v>
      </c>
      <c r="G110">
        <v>29.967628000000001</v>
      </c>
      <c r="H110">
        <v>30.492925</v>
      </c>
      <c r="I110" t="s">
        <v>56</v>
      </c>
      <c r="N110"/>
      <c r="O110"/>
      <c r="P110" s="1">
        <f t="shared" si="27"/>
        <v>70.969875000000002</v>
      </c>
      <c r="Q110" s="1">
        <f t="shared" si="28"/>
        <v>71.700569105691059</v>
      </c>
      <c r="R110" s="1">
        <f t="shared" si="29"/>
        <v>72.773474049148561</v>
      </c>
      <c r="S110" s="1">
        <f t="shared" si="30"/>
        <v>60.654460924713582</v>
      </c>
    </row>
    <row r="111" spans="1:19" x14ac:dyDescent="0.3">
      <c r="A111">
        <v>4612.2</v>
      </c>
      <c r="B111">
        <v>69.050088000000002</v>
      </c>
      <c r="C111">
        <v>69.788537000000005</v>
      </c>
      <c r="D111">
        <v>70.542889000000002</v>
      </c>
      <c r="E111">
        <v>58.423682999999997</v>
      </c>
      <c r="F111">
        <v>42.453301000000003</v>
      </c>
      <c r="G111">
        <v>29.977228</v>
      </c>
      <c r="H111">
        <v>30.501110000000001</v>
      </c>
      <c r="I111"/>
      <c r="N111"/>
      <c r="O111"/>
      <c r="P111" s="1">
        <f t="shared" si="27"/>
        <v>70.983069105691058</v>
      </c>
      <c r="Q111" s="1">
        <f t="shared" si="28"/>
        <v>71.705063008130082</v>
      </c>
      <c r="R111" s="1">
        <f t="shared" si="29"/>
        <v>72.743122259610473</v>
      </c>
      <c r="S111" s="1">
        <f t="shared" si="30"/>
        <v>60.678275368248769</v>
      </c>
    </row>
    <row r="112" spans="1:19" x14ac:dyDescent="0.3">
      <c r="A112">
        <v>4612.3999999999996</v>
      </c>
      <c r="B112">
        <v>69.050088000000002</v>
      </c>
      <c r="C112">
        <v>69.788537000000005</v>
      </c>
      <c r="D112">
        <v>70.542889000000002</v>
      </c>
      <c r="E112">
        <v>58.423682999999997</v>
      </c>
      <c r="F112">
        <v>42.453301000000003</v>
      </c>
      <c r="G112">
        <v>29.977228</v>
      </c>
      <c r="H112">
        <v>30.501110000000001</v>
      </c>
      <c r="I112"/>
      <c r="N112"/>
      <c r="O112"/>
      <c r="P112" s="1">
        <f t="shared" si="27"/>
        <v>70.983069105691058</v>
      </c>
      <c r="Q112" s="1">
        <f t="shared" si="28"/>
        <v>71.705063008130082</v>
      </c>
      <c r="R112" s="1">
        <f t="shared" si="29"/>
        <v>72.743122259610473</v>
      </c>
      <c r="S112" s="1">
        <f t="shared" si="30"/>
        <v>60.678275368248769</v>
      </c>
    </row>
    <row r="113" spans="1:19" x14ac:dyDescent="0.3">
      <c r="A113">
        <v>4612.6000000000004</v>
      </c>
      <c r="B113">
        <v>69.038383999999994</v>
      </c>
      <c r="C113">
        <v>69.765051999999997</v>
      </c>
      <c r="D113">
        <v>70.546509999999998</v>
      </c>
      <c r="E113">
        <v>58.380544</v>
      </c>
      <c r="F113">
        <v>42.385030999999998</v>
      </c>
      <c r="G113">
        <v>29.962495000000001</v>
      </c>
      <c r="H113">
        <v>30.487559000000001</v>
      </c>
      <c r="I113"/>
      <c r="N113"/>
      <c r="O113"/>
      <c r="P113" s="1">
        <f t="shared" si="27"/>
        <v>70.972066056910577</v>
      </c>
      <c r="Q113" s="1">
        <f t="shared" si="28"/>
        <v>71.713333333333338</v>
      </c>
      <c r="R113" s="1">
        <f t="shared" si="29"/>
        <v>72.753664729275002</v>
      </c>
      <c r="S113" s="1">
        <f t="shared" si="30"/>
        <v>60.697592062193124</v>
      </c>
    </row>
    <row r="114" spans="1:19" x14ac:dyDescent="0.3">
      <c r="A114">
        <v>4612.8</v>
      </c>
      <c r="B114">
        <v>69.038383999999994</v>
      </c>
      <c r="C114">
        <v>69.765051999999997</v>
      </c>
      <c r="D114">
        <v>70.546509999999998</v>
      </c>
      <c r="E114">
        <v>58.380544</v>
      </c>
      <c r="F114">
        <v>42.385030999999998</v>
      </c>
      <c r="G114">
        <v>29.962495000000001</v>
      </c>
      <c r="H114">
        <v>30.487559000000001</v>
      </c>
      <c r="I114"/>
      <c r="N114"/>
      <c r="O114"/>
      <c r="P114" s="1">
        <f t="shared" si="27"/>
        <v>70.972066056910577</v>
      </c>
      <c r="Q114" s="1">
        <f t="shared" si="28"/>
        <v>71.713333333333338</v>
      </c>
      <c r="R114" s="1">
        <f t="shared" si="29"/>
        <v>72.753664729275002</v>
      </c>
      <c r="S114" s="1">
        <f t="shared" si="30"/>
        <v>60.697592062193124</v>
      </c>
    </row>
    <row r="115" spans="1:19" x14ac:dyDescent="0.3">
      <c r="A115">
        <v>4613</v>
      </c>
      <c r="B115">
        <v>69.071539000000001</v>
      </c>
      <c r="C115">
        <v>69.777484000000001</v>
      </c>
      <c r="D115">
        <v>70.546733000000003</v>
      </c>
      <c r="E115">
        <v>58.338951999999999</v>
      </c>
      <c r="F115">
        <v>42.27467</v>
      </c>
      <c r="G115">
        <v>29.970488</v>
      </c>
      <c r="H115">
        <v>30.498367999999999</v>
      </c>
      <c r="I115" t="s">
        <v>56</v>
      </c>
      <c r="N115"/>
      <c r="O115"/>
      <c r="P115" s="1">
        <f t="shared" si="27"/>
        <v>70.980804878048787</v>
      </c>
      <c r="Q115" s="1">
        <f t="shared" si="28"/>
        <v>71.698199186991872</v>
      </c>
      <c r="R115" s="1">
        <f t="shared" si="29"/>
        <v>72.75002651167533</v>
      </c>
      <c r="S115" s="1">
        <f t="shared" si="30"/>
        <v>60.687503068739765</v>
      </c>
    </row>
    <row r="116" spans="1:19" x14ac:dyDescent="0.3">
      <c r="A116">
        <v>4613.2</v>
      </c>
      <c r="B116">
        <v>69.071539000000001</v>
      </c>
      <c r="C116">
        <v>69.777484000000001</v>
      </c>
      <c r="D116">
        <v>70.546733000000003</v>
      </c>
      <c r="E116">
        <v>58.338951999999999</v>
      </c>
      <c r="F116">
        <v>42.27467</v>
      </c>
      <c r="G116">
        <v>29.970488</v>
      </c>
      <c r="H116">
        <v>30.498367999999999</v>
      </c>
      <c r="I116"/>
      <c r="N116"/>
      <c r="O116"/>
      <c r="P116" s="1">
        <f t="shared" si="27"/>
        <v>70.980804878048787</v>
      </c>
      <c r="Q116" s="1">
        <f t="shared" si="28"/>
        <v>71.698199186991872</v>
      </c>
      <c r="R116" s="1">
        <f t="shared" si="29"/>
        <v>72.75002651167533</v>
      </c>
      <c r="S116" s="1">
        <f t="shared" si="30"/>
        <v>60.687503068739765</v>
      </c>
    </row>
    <row r="117" spans="1:19" x14ac:dyDescent="0.3">
      <c r="A117">
        <v>4613.3999999999996</v>
      </c>
      <c r="B117">
        <v>69.047455999999997</v>
      </c>
      <c r="C117">
        <v>69.766006000000004</v>
      </c>
      <c r="D117">
        <v>70.543413000000001</v>
      </c>
      <c r="E117">
        <v>58.340127000000003</v>
      </c>
      <c r="F117">
        <v>42.161779000000003</v>
      </c>
      <c r="G117">
        <v>29.968933</v>
      </c>
      <c r="H117">
        <v>30.502217999999999</v>
      </c>
      <c r="I117"/>
      <c r="N117"/>
      <c r="O117"/>
      <c r="P117" s="1">
        <f t="shared" si="27"/>
        <v>70.977112804878061</v>
      </c>
      <c r="Q117" s="1">
        <f t="shared" si="28"/>
        <v>71.717471544715451</v>
      </c>
      <c r="R117" s="1">
        <f t="shared" si="29"/>
        <v>72.762834709901099</v>
      </c>
      <c r="S117" s="1">
        <f t="shared" si="30"/>
        <v>60.684257364975451</v>
      </c>
    </row>
    <row r="118" spans="1:19" x14ac:dyDescent="0.3">
      <c r="A118">
        <v>4613.6000000000004</v>
      </c>
      <c r="B118">
        <v>69.047455999999997</v>
      </c>
      <c r="C118">
        <v>69.766006000000004</v>
      </c>
      <c r="D118">
        <v>70.543413000000001</v>
      </c>
      <c r="E118">
        <v>58.340127000000003</v>
      </c>
      <c r="F118">
        <v>42.161779000000003</v>
      </c>
      <c r="G118">
        <v>29.968933</v>
      </c>
      <c r="H118">
        <v>30.502217999999999</v>
      </c>
      <c r="I118"/>
      <c r="N118"/>
      <c r="O118"/>
      <c r="P118" s="1">
        <f t="shared" si="27"/>
        <v>70.977112804878061</v>
      </c>
      <c r="Q118" s="1">
        <f t="shared" si="28"/>
        <v>71.717471544715451</v>
      </c>
      <c r="R118" s="1">
        <f t="shared" si="29"/>
        <v>72.762834709901099</v>
      </c>
      <c r="S118" s="1">
        <f t="shared" si="30"/>
        <v>60.684257364975451</v>
      </c>
    </row>
    <row r="119" spans="1:19" x14ac:dyDescent="0.3">
      <c r="A119">
        <v>4613.8</v>
      </c>
      <c r="B119">
        <v>69.044422999999995</v>
      </c>
      <c r="C119">
        <v>69.773816999999994</v>
      </c>
      <c r="D119">
        <v>70.533647999999999</v>
      </c>
      <c r="E119">
        <v>58.348345000000002</v>
      </c>
      <c r="F119">
        <v>42.071337999999997</v>
      </c>
      <c r="G119">
        <v>29.963761000000002</v>
      </c>
      <c r="H119">
        <v>30.501042999999999</v>
      </c>
      <c r="I119"/>
      <c r="N119"/>
      <c r="O119"/>
      <c r="P119" s="1">
        <f t="shared" si="27"/>
        <v>70.9733912601626</v>
      </c>
      <c r="Q119" s="1">
        <f t="shared" si="28"/>
        <v>71.705930894308949</v>
      </c>
      <c r="R119" s="1">
        <f t="shared" si="29"/>
        <v>72.768739675741813</v>
      </c>
      <c r="S119" s="1">
        <f t="shared" si="30"/>
        <v>60.675005114566282</v>
      </c>
    </row>
    <row r="120" spans="1:19" x14ac:dyDescent="0.3">
      <c r="A120">
        <v>4614</v>
      </c>
      <c r="B120">
        <v>69.044422999999995</v>
      </c>
      <c r="C120">
        <v>69.773816999999994</v>
      </c>
      <c r="D120">
        <v>70.533647999999999</v>
      </c>
      <c r="E120">
        <v>58.348345000000002</v>
      </c>
      <c r="F120">
        <v>42.071337999999997</v>
      </c>
      <c r="G120">
        <v>29.963761000000002</v>
      </c>
      <c r="H120">
        <v>30.501042999999999</v>
      </c>
      <c r="I120" t="s">
        <v>56</v>
      </c>
      <c r="N120"/>
      <c r="O120"/>
      <c r="P120" s="1">
        <f t="shared" si="27"/>
        <v>70.9733912601626</v>
      </c>
      <c r="Q120" s="1">
        <f t="shared" si="28"/>
        <v>71.705930894308949</v>
      </c>
      <c r="R120" s="1">
        <f t="shared" si="29"/>
        <v>72.768739675741813</v>
      </c>
      <c r="S120" s="1">
        <f t="shared" si="30"/>
        <v>60.675005114566282</v>
      </c>
    </row>
    <row r="121" spans="1:19" x14ac:dyDescent="0.3">
      <c r="A121">
        <v>4614.2</v>
      </c>
      <c r="B121">
        <v>69.049785999999997</v>
      </c>
      <c r="C121">
        <v>69.774219000000002</v>
      </c>
      <c r="D121">
        <v>70.541690000000003</v>
      </c>
      <c r="E121">
        <v>58.364482000000002</v>
      </c>
      <c r="F121">
        <v>41.959775</v>
      </c>
      <c r="G121">
        <v>29.996216</v>
      </c>
      <c r="H121">
        <v>30.506225000000001</v>
      </c>
      <c r="I121"/>
      <c r="N121"/>
      <c r="O121"/>
      <c r="P121" s="1">
        <f t="shared" si="27"/>
        <v>70.97570833333333</v>
      </c>
      <c r="Q121" s="1">
        <f t="shared" si="28"/>
        <v>71.694928861788611</v>
      </c>
      <c r="R121" s="1">
        <f t="shared" si="29"/>
        <v>72.766014071581509</v>
      </c>
      <c r="S121" s="1">
        <f t="shared" si="30"/>
        <v>60.694347381342062</v>
      </c>
    </row>
    <row r="122" spans="1:19" x14ac:dyDescent="0.3">
      <c r="A122">
        <v>4614.3999999999996</v>
      </c>
      <c r="B122">
        <v>69.049785999999997</v>
      </c>
      <c r="C122">
        <v>69.774219000000002</v>
      </c>
      <c r="D122">
        <v>70.541690000000003</v>
      </c>
      <c r="E122">
        <v>58.364482000000002</v>
      </c>
      <c r="F122">
        <v>41.959775</v>
      </c>
      <c r="G122">
        <v>29.996216</v>
      </c>
      <c r="H122">
        <v>30.506225000000001</v>
      </c>
      <c r="I122"/>
      <c r="N122"/>
      <c r="O122"/>
      <c r="P122" s="1">
        <f t="shared" si="27"/>
        <v>70.97570833333333</v>
      </c>
      <c r="Q122" s="1">
        <f t="shared" si="28"/>
        <v>71.694928861788611</v>
      </c>
      <c r="R122" s="1">
        <f t="shared" si="29"/>
        <v>72.766014071581509</v>
      </c>
      <c r="S122" s="1">
        <f t="shared" si="30"/>
        <v>60.694347381342062</v>
      </c>
    </row>
    <row r="123" spans="1:19" x14ac:dyDescent="0.3">
      <c r="A123">
        <v>4614.6000000000004</v>
      </c>
      <c r="B123">
        <v>69.045499000000007</v>
      </c>
      <c r="C123">
        <v>69.775800000000004</v>
      </c>
      <c r="D123">
        <v>70.526179999999997</v>
      </c>
      <c r="E123">
        <v>58.374597000000001</v>
      </c>
      <c r="F123">
        <v>41.585855000000002</v>
      </c>
      <c r="G123">
        <v>29.972055999999998</v>
      </c>
      <c r="H123">
        <v>30.502755000000001</v>
      </c>
      <c r="I123"/>
      <c r="N123"/>
      <c r="O123"/>
      <c r="P123" s="1">
        <f t="shared" si="27"/>
        <v>70.969084349593501</v>
      </c>
      <c r="Q123" s="1">
        <f t="shared" si="28"/>
        <v>71.705290650406511</v>
      </c>
      <c r="R123" s="1">
        <f t="shared" si="29"/>
        <v>72.754350973794217</v>
      </c>
      <c r="S123" s="1">
        <f t="shared" si="30"/>
        <v>60.652748567921442</v>
      </c>
    </row>
    <row r="124" spans="1:19" x14ac:dyDescent="0.3">
      <c r="A124">
        <v>4614.8</v>
      </c>
      <c r="B124">
        <v>69.045499000000007</v>
      </c>
      <c r="C124">
        <v>69.775800000000004</v>
      </c>
      <c r="D124">
        <v>70.526179999999997</v>
      </c>
      <c r="E124">
        <v>58.374597000000001</v>
      </c>
      <c r="F124">
        <v>41.585855000000002</v>
      </c>
      <c r="G124">
        <v>29.972055999999998</v>
      </c>
      <c r="H124">
        <v>30.502755000000001</v>
      </c>
      <c r="I124"/>
      <c r="N124"/>
      <c r="O124"/>
      <c r="P124" s="1">
        <f t="shared" si="27"/>
        <v>70.969084349593501</v>
      </c>
      <c r="Q124" s="1">
        <f t="shared" si="28"/>
        <v>71.705290650406511</v>
      </c>
      <c r="R124" s="1">
        <f t="shared" si="29"/>
        <v>72.754350973794217</v>
      </c>
      <c r="S124" s="1">
        <f t="shared" si="30"/>
        <v>60.652748567921442</v>
      </c>
    </row>
    <row r="125" spans="1:19" x14ac:dyDescent="0.3">
      <c r="A125">
        <v>5990</v>
      </c>
      <c r="B125">
        <v>76.998312999999996</v>
      </c>
      <c r="C125">
        <v>77.993775999999997</v>
      </c>
      <c r="D125">
        <v>79.043026999999995</v>
      </c>
      <c r="E125">
        <v>63.090741999999999</v>
      </c>
      <c r="F125">
        <v>43.523477</v>
      </c>
      <c r="G125">
        <v>29.985337999999999</v>
      </c>
      <c r="H125">
        <v>30.688483000000002</v>
      </c>
      <c r="I125" t="s">
        <v>56</v>
      </c>
      <c r="N125"/>
      <c r="O125"/>
      <c r="P125" s="1">
        <f t="shared" si="27"/>
        <v>70.968193089430898</v>
      </c>
      <c r="Q125" s="1">
        <f t="shared" si="28"/>
        <v>71.705316056910576</v>
      </c>
      <c r="R125" s="1">
        <f t="shared" si="29"/>
        <v>72.753458753951264</v>
      </c>
      <c r="S125" s="1">
        <f t="shared" si="30"/>
        <v>60.680828559738138</v>
      </c>
    </row>
    <row r="126" spans="1:19" x14ac:dyDescent="0.3">
      <c r="A126">
        <v>5990.2</v>
      </c>
      <c r="B126">
        <v>76.989621</v>
      </c>
      <c r="C126">
        <v>77.992746999999994</v>
      </c>
      <c r="D126">
        <v>79.056387999999998</v>
      </c>
      <c r="E126">
        <v>63.057406999999998</v>
      </c>
      <c r="F126">
        <v>43.529691999999997</v>
      </c>
      <c r="G126">
        <v>30.012422999999998</v>
      </c>
      <c r="H126">
        <v>30.705918</v>
      </c>
      <c r="I126"/>
      <c r="N126"/>
      <c r="O126"/>
      <c r="P126" s="1">
        <f t="shared" si="27"/>
        <v>70.968193089430898</v>
      </c>
      <c r="Q126" s="1">
        <f t="shared" si="28"/>
        <v>71.705316056910576</v>
      </c>
      <c r="R126" s="1">
        <f t="shared" si="29"/>
        <v>72.753458753951264</v>
      </c>
      <c r="S126" s="1">
        <f t="shared" si="30"/>
        <v>60.680828559738138</v>
      </c>
    </row>
    <row r="127" spans="1:19" x14ac:dyDescent="0.3">
      <c r="A127">
        <v>5990.4</v>
      </c>
      <c r="B127">
        <v>76.989621</v>
      </c>
      <c r="C127">
        <v>77.992746999999994</v>
      </c>
      <c r="D127">
        <v>79.056387999999998</v>
      </c>
      <c r="E127">
        <v>63.057406999999998</v>
      </c>
      <c r="F127">
        <v>43.529691999999997</v>
      </c>
      <c r="G127">
        <v>30.012422999999998</v>
      </c>
      <c r="H127">
        <v>30.705918</v>
      </c>
      <c r="I127"/>
      <c r="N127"/>
      <c r="O127"/>
      <c r="P127" s="1">
        <f t="shared" si="27"/>
        <v>70.993130081300819</v>
      </c>
      <c r="Q127" s="1">
        <f t="shared" si="28"/>
        <v>71.69355081300813</v>
      </c>
      <c r="R127" s="1">
        <f t="shared" si="29"/>
        <v>72.755472621596823</v>
      </c>
      <c r="S127" s="1">
        <f t="shared" si="30"/>
        <v>60.700326309328972</v>
      </c>
    </row>
    <row r="128" spans="1:19" x14ac:dyDescent="0.3">
      <c r="A128">
        <v>5990.6</v>
      </c>
      <c r="B128">
        <v>76.985738999999995</v>
      </c>
      <c r="C128">
        <v>77.993827999999993</v>
      </c>
      <c r="D128">
        <v>79.041730000000001</v>
      </c>
      <c r="E128">
        <v>63.092140999999998</v>
      </c>
      <c r="F128">
        <v>43.822895000000003</v>
      </c>
      <c r="G128">
        <v>29.989553999999998</v>
      </c>
      <c r="H128">
        <v>30.704912</v>
      </c>
      <c r="I128"/>
      <c r="N128"/>
      <c r="O128"/>
      <c r="P128" s="1">
        <f t="shared" si="27"/>
        <v>70.993130081300819</v>
      </c>
      <c r="Q128" s="1">
        <f t="shared" si="28"/>
        <v>71.69355081300813</v>
      </c>
      <c r="R128" s="1">
        <f t="shared" si="29"/>
        <v>72.755472621596823</v>
      </c>
      <c r="S128" s="1">
        <f t="shared" si="30"/>
        <v>60.700326309328972</v>
      </c>
    </row>
    <row r="129" spans="1:19" x14ac:dyDescent="0.3">
      <c r="A129">
        <v>5990.8</v>
      </c>
      <c r="B129">
        <v>76.985738999999995</v>
      </c>
      <c r="C129">
        <v>77.993827999999993</v>
      </c>
      <c r="D129">
        <v>79.041730000000001</v>
      </c>
      <c r="E129">
        <v>63.092140999999998</v>
      </c>
      <c r="F129">
        <v>43.822895000000003</v>
      </c>
      <c r="G129">
        <v>29.989553999999998</v>
      </c>
      <c r="H129">
        <v>30.704912</v>
      </c>
      <c r="I129"/>
      <c r="N129"/>
      <c r="O129"/>
      <c r="P129" s="1">
        <f t="shared" si="27"/>
        <v>70.972142276422773</v>
      </c>
      <c r="Q129" s="1">
        <f t="shared" si="28"/>
        <v>71.722598577235786</v>
      </c>
      <c r="R129" s="1">
        <f t="shared" si="29"/>
        <v>72.757406954216378</v>
      </c>
      <c r="S129" s="1">
        <f t="shared" si="30"/>
        <v>60.707327127659568</v>
      </c>
    </row>
    <row r="130" spans="1:19" x14ac:dyDescent="0.3">
      <c r="A130">
        <v>5991</v>
      </c>
      <c r="B130">
        <v>76.990373000000005</v>
      </c>
      <c r="C130">
        <v>78.015649999999994</v>
      </c>
      <c r="D130">
        <v>79.043651999999994</v>
      </c>
      <c r="E130">
        <v>63.114704000000003</v>
      </c>
      <c r="F130">
        <v>44.003518999999997</v>
      </c>
      <c r="G130">
        <v>30.00272</v>
      </c>
      <c r="H130">
        <v>30.731929999999998</v>
      </c>
      <c r="I130" t="s">
        <v>56</v>
      </c>
      <c r="N130"/>
      <c r="O130"/>
      <c r="P130" s="1">
        <f t="shared" si="27"/>
        <v>70.972142276422773</v>
      </c>
      <c r="Q130" s="1">
        <f t="shared" si="28"/>
        <v>71.722598577235786</v>
      </c>
      <c r="R130" s="1">
        <f t="shared" si="29"/>
        <v>72.757406954216378</v>
      </c>
      <c r="S130" s="1">
        <f t="shared" si="30"/>
        <v>60.707327127659568</v>
      </c>
    </row>
    <row r="131" spans="1:19" x14ac:dyDescent="0.3">
      <c r="A131">
        <v>5991.2</v>
      </c>
      <c r="B131">
        <v>76.990373000000005</v>
      </c>
      <c r="C131">
        <v>78.015649999999994</v>
      </c>
      <c r="D131">
        <v>79.043651999999994</v>
      </c>
      <c r="E131">
        <v>63.114704000000003</v>
      </c>
      <c r="F131">
        <v>44.003518999999997</v>
      </c>
      <c r="G131">
        <v>30.00272</v>
      </c>
      <c r="H131">
        <v>30.731929999999998</v>
      </c>
      <c r="I131"/>
      <c r="N131"/>
      <c r="O131"/>
      <c r="P131" s="1">
        <f t="shared" si="27"/>
        <v>70.960247967479674</v>
      </c>
      <c r="Q131" s="1">
        <f t="shared" si="28"/>
        <v>71.69873170731708</v>
      </c>
      <c r="R131" s="1">
        <f t="shared" si="29"/>
        <v>72.761099214846539</v>
      </c>
      <c r="S131" s="1">
        <f t="shared" si="30"/>
        <v>60.663199672667758</v>
      </c>
    </row>
    <row r="132" spans="1:19" x14ac:dyDescent="0.3">
      <c r="A132">
        <v>5991.4</v>
      </c>
      <c r="B132">
        <v>76.983034000000004</v>
      </c>
      <c r="C132">
        <v>77.986596000000006</v>
      </c>
      <c r="D132">
        <v>79.048473000000001</v>
      </c>
      <c r="E132">
        <v>63.091242999999999</v>
      </c>
      <c r="F132">
        <v>44.113477000000003</v>
      </c>
      <c r="G132">
        <v>30.007877000000001</v>
      </c>
      <c r="H132">
        <v>30.702784000000001</v>
      </c>
      <c r="I132"/>
      <c r="N132"/>
      <c r="O132"/>
      <c r="P132" s="1">
        <f t="shared" si="27"/>
        <v>70.960247967479674</v>
      </c>
      <c r="Q132" s="1">
        <f t="shared" si="28"/>
        <v>71.69873170731708</v>
      </c>
      <c r="R132" s="1">
        <f t="shared" si="29"/>
        <v>72.761099214846539</v>
      </c>
      <c r="S132" s="1">
        <f t="shared" si="30"/>
        <v>60.663199672667758</v>
      </c>
    </row>
    <row r="133" spans="1:19" x14ac:dyDescent="0.3">
      <c r="A133">
        <v>5991.6</v>
      </c>
      <c r="B133">
        <v>76.983034000000004</v>
      </c>
      <c r="C133">
        <v>77.986596000000006</v>
      </c>
      <c r="D133">
        <v>79.048473000000001</v>
      </c>
      <c r="E133">
        <v>63.091242999999999</v>
      </c>
      <c r="F133">
        <v>44.113477000000003</v>
      </c>
      <c r="G133">
        <v>30.007877000000001</v>
      </c>
      <c r="H133">
        <v>30.702784000000001</v>
      </c>
      <c r="I133"/>
      <c r="N133"/>
      <c r="O133"/>
      <c r="P133" s="1">
        <f t="shared" si="27"/>
        <v>70.993942073170743</v>
      </c>
      <c r="Q133" s="1">
        <f t="shared" si="28"/>
        <v>71.711365853658549</v>
      </c>
      <c r="R133" s="1">
        <f t="shared" si="29"/>
        <v>72.76132660344652</v>
      </c>
      <c r="S133" s="1">
        <f t="shared" si="30"/>
        <v>60.620654664484448</v>
      </c>
    </row>
    <row r="134" spans="1:19" x14ac:dyDescent="0.3">
      <c r="A134">
        <v>5991.8</v>
      </c>
      <c r="B134">
        <v>76.983709000000005</v>
      </c>
      <c r="C134">
        <v>78.010099999999994</v>
      </c>
      <c r="D134">
        <v>79.035661000000005</v>
      </c>
      <c r="E134">
        <v>63.058703999999999</v>
      </c>
      <c r="F134">
        <v>44.066392999999998</v>
      </c>
      <c r="G134">
        <v>30.002314999999999</v>
      </c>
      <c r="H134">
        <v>30.717193999999999</v>
      </c>
      <c r="I134"/>
      <c r="N134"/>
      <c r="O134"/>
      <c r="P134" s="1">
        <f t="shared" si="27"/>
        <v>70.993942073170743</v>
      </c>
      <c r="Q134" s="1">
        <f t="shared" si="28"/>
        <v>71.711365853658549</v>
      </c>
      <c r="R134" s="1">
        <f t="shared" si="29"/>
        <v>72.76132660344652</v>
      </c>
      <c r="S134" s="1">
        <f t="shared" si="30"/>
        <v>60.620654664484448</v>
      </c>
    </row>
    <row r="135" spans="1:19" x14ac:dyDescent="0.3">
      <c r="A135">
        <v>5992</v>
      </c>
      <c r="B135">
        <v>76.983709000000005</v>
      </c>
      <c r="C135">
        <v>78.010099999999994</v>
      </c>
      <c r="D135">
        <v>79.035661000000005</v>
      </c>
      <c r="E135">
        <v>63.058703999999999</v>
      </c>
      <c r="F135">
        <v>44.066392999999998</v>
      </c>
      <c r="G135">
        <v>30.002314999999999</v>
      </c>
      <c r="H135">
        <v>30.717193999999999</v>
      </c>
      <c r="I135" t="s">
        <v>56</v>
      </c>
      <c r="N135"/>
      <c r="O135"/>
      <c r="P135" s="1">
        <f t="shared" si="27"/>
        <v>70.969467479674805</v>
      </c>
      <c r="Q135" s="1">
        <f t="shared" si="28"/>
        <v>71.699701219512207</v>
      </c>
      <c r="R135" s="1">
        <f t="shared" si="29"/>
        <v>72.75794126644233</v>
      </c>
      <c r="S135" s="1">
        <f t="shared" si="30"/>
        <v>60.621856587561375</v>
      </c>
    </row>
    <row r="136" spans="1:19" x14ac:dyDescent="0.3">
      <c r="A136">
        <v>5992.2</v>
      </c>
      <c r="B136">
        <v>76.985360999999997</v>
      </c>
      <c r="C136">
        <v>77.998873000000003</v>
      </c>
      <c r="D136">
        <v>79.038656000000003</v>
      </c>
      <c r="E136">
        <v>63.028931999999998</v>
      </c>
      <c r="F136">
        <v>43.876058999999998</v>
      </c>
      <c r="G136">
        <v>29.999492</v>
      </c>
      <c r="H136">
        <v>30.718837000000001</v>
      </c>
      <c r="I136"/>
      <c r="N136"/>
      <c r="O136"/>
      <c r="P136" s="1">
        <f t="shared" si="27"/>
        <v>70.969467479674805</v>
      </c>
      <c r="Q136" s="1">
        <f t="shared" si="28"/>
        <v>71.699701219512207</v>
      </c>
      <c r="R136" s="1">
        <f t="shared" si="29"/>
        <v>72.75794126644233</v>
      </c>
      <c r="S136" s="1">
        <f t="shared" si="30"/>
        <v>60.621856587561375</v>
      </c>
    </row>
    <row r="137" spans="1:19" x14ac:dyDescent="0.3">
      <c r="A137">
        <v>5992.4</v>
      </c>
      <c r="B137">
        <v>76.985360999999997</v>
      </c>
      <c r="C137">
        <v>77.998873000000003</v>
      </c>
      <c r="D137">
        <v>79.038656000000003</v>
      </c>
      <c r="E137">
        <v>63.028931999999998</v>
      </c>
      <c r="F137">
        <v>43.876058999999998</v>
      </c>
      <c r="G137">
        <v>29.999492</v>
      </c>
      <c r="H137">
        <v>30.718837000000001</v>
      </c>
      <c r="I137"/>
      <c r="N137"/>
      <c r="O137"/>
      <c r="P137" s="1">
        <f t="shared" si="27"/>
        <v>70.966385162601625</v>
      </c>
      <c r="Q137" s="1">
        <f t="shared" si="28"/>
        <v>71.707639227642275</v>
      </c>
      <c r="R137" s="1">
        <f t="shared" si="29"/>
        <v>72.747984092994798</v>
      </c>
      <c r="S137" s="1">
        <f t="shared" si="30"/>
        <v>60.630262888707037</v>
      </c>
    </row>
    <row r="138" spans="1:19" x14ac:dyDescent="0.3">
      <c r="A138">
        <v>5992.6</v>
      </c>
      <c r="B138">
        <v>76.971082999999993</v>
      </c>
      <c r="C138">
        <v>77.980945000000006</v>
      </c>
      <c r="D138">
        <v>79.046897999999999</v>
      </c>
      <c r="E138">
        <v>63.077105000000003</v>
      </c>
      <c r="F138">
        <v>43.703493999999999</v>
      </c>
      <c r="G138">
        <v>30.004207999999998</v>
      </c>
      <c r="H138">
        <v>30.698412999999999</v>
      </c>
      <c r="I138"/>
      <c r="N138"/>
      <c r="O138"/>
      <c r="P138" s="1">
        <f t="shared" si="27"/>
        <v>70.966385162601625</v>
      </c>
      <c r="Q138" s="1">
        <f t="shared" si="28"/>
        <v>71.707639227642275</v>
      </c>
      <c r="R138" s="1">
        <f t="shared" si="29"/>
        <v>72.747984092994798</v>
      </c>
      <c r="S138" s="1">
        <f t="shared" si="30"/>
        <v>60.630262888707037</v>
      </c>
    </row>
    <row r="139" spans="1:19" x14ac:dyDescent="0.3">
      <c r="A139">
        <v>5992.8</v>
      </c>
      <c r="B139">
        <v>76.971082999999993</v>
      </c>
      <c r="C139">
        <v>77.980945000000006</v>
      </c>
      <c r="D139">
        <v>79.046897999999999</v>
      </c>
      <c r="E139">
        <v>63.077105000000003</v>
      </c>
      <c r="F139">
        <v>43.703493999999999</v>
      </c>
      <c r="G139">
        <v>30.004207999999998</v>
      </c>
      <c r="H139">
        <v>30.698412999999999</v>
      </c>
      <c r="I139"/>
      <c r="N139"/>
      <c r="O139"/>
      <c r="P139" s="1">
        <f t="shared" si="27"/>
        <v>70.971835365853664</v>
      </c>
      <c r="Q139" s="1">
        <f t="shared" si="28"/>
        <v>71.708047764227643</v>
      </c>
      <c r="R139" s="1">
        <f t="shared" si="29"/>
        <v>72.756184358111554</v>
      </c>
      <c r="S139" s="1">
        <f t="shared" si="30"/>
        <v>60.646769639934533</v>
      </c>
    </row>
    <row r="140" spans="1:19" x14ac:dyDescent="0.3">
      <c r="A140">
        <v>5993</v>
      </c>
      <c r="B140">
        <v>76.987992000000006</v>
      </c>
      <c r="C140">
        <v>78.001962000000006</v>
      </c>
      <c r="D140">
        <v>79.043526</v>
      </c>
      <c r="E140">
        <v>63.063415999999997</v>
      </c>
      <c r="F140">
        <v>43.714053999999997</v>
      </c>
      <c r="G140">
        <v>29.988821000000002</v>
      </c>
      <c r="H140">
        <v>30.727436999999998</v>
      </c>
      <c r="I140" t="s">
        <v>56</v>
      </c>
      <c r="N140"/>
      <c r="O140"/>
      <c r="P140" s="1">
        <f t="shared" si="27"/>
        <v>70.971835365853664</v>
      </c>
      <c r="Q140" s="1">
        <f t="shared" si="28"/>
        <v>71.708047764227643</v>
      </c>
      <c r="R140" s="1">
        <f t="shared" si="29"/>
        <v>72.756184358111554</v>
      </c>
      <c r="S140" s="1">
        <f t="shared" si="30"/>
        <v>60.646769639934533</v>
      </c>
    </row>
    <row r="141" spans="1:19" x14ac:dyDescent="0.3">
      <c r="A141">
        <v>5993.2</v>
      </c>
      <c r="B141">
        <v>76.987992000000006</v>
      </c>
      <c r="C141">
        <v>78.001962000000006</v>
      </c>
      <c r="D141">
        <v>79.043526</v>
      </c>
      <c r="E141">
        <v>63.063415999999997</v>
      </c>
      <c r="F141">
        <v>43.714053999999997</v>
      </c>
      <c r="G141">
        <v>29.988821000000002</v>
      </c>
      <c r="H141">
        <v>30.727436999999998</v>
      </c>
      <c r="I141"/>
      <c r="N141"/>
      <c r="O141"/>
      <c r="P141" s="1">
        <f t="shared" si="27"/>
        <v>70.967478658536592</v>
      </c>
      <c r="Q141" s="1">
        <f t="shared" si="28"/>
        <v>71.709654471544724</v>
      </c>
      <c r="R141" s="1">
        <f t="shared" si="29"/>
        <v>72.740369124095025</v>
      </c>
      <c r="S141" s="1">
        <f t="shared" si="30"/>
        <v>60.65711640752864</v>
      </c>
    </row>
    <row r="142" spans="1:19" x14ac:dyDescent="0.3">
      <c r="A142">
        <v>5993.4</v>
      </c>
      <c r="B142">
        <v>76.990271000000007</v>
      </c>
      <c r="C142">
        <v>77.986166999999995</v>
      </c>
      <c r="D142">
        <v>79.063328999999996</v>
      </c>
      <c r="E142">
        <v>63.068826000000001</v>
      </c>
      <c r="F142">
        <v>43.639206000000001</v>
      </c>
      <c r="G142">
        <v>30.012397</v>
      </c>
      <c r="H142">
        <v>30.715288999999999</v>
      </c>
      <c r="I142"/>
      <c r="N142"/>
      <c r="O142"/>
      <c r="P142" s="1">
        <f t="shared" si="27"/>
        <v>70.967478658536592</v>
      </c>
      <c r="Q142" s="1">
        <f t="shared" si="28"/>
        <v>71.709654471544724</v>
      </c>
      <c r="R142" s="1">
        <f t="shared" si="29"/>
        <v>72.740369124095025</v>
      </c>
      <c r="S142" s="1">
        <f t="shared" si="30"/>
        <v>60.65711640752864</v>
      </c>
    </row>
    <row r="143" spans="1:19" x14ac:dyDescent="0.3">
      <c r="A143">
        <v>5993.6</v>
      </c>
      <c r="B143">
        <v>76.990271000000007</v>
      </c>
      <c r="C143">
        <v>77.986166999999995</v>
      </c>
      <c r="D143">
        <v>79.063328999999996</v>
      </c>
      <c r="E143">
        <v>63.068826000000001</v>
      </c>
      <c r="F143">
        <v>43.639206000000001</v>
      </c>
      <c r="G143">
        <v>30.012397</v>
      </c>
      <c r="H143">
        <v>30.715288999999999</v>
      </c>
      <c r="I143"/>
      <c r="N143"/>
      <c r="O143"/>
      <c r="P143" s="1">
        <f t="shared" si="27"/>
        <v>79.049606707317068</v>
      </c>
      <c r="Q143" s="1">
        <f t="shared" si="28"/>
        <v>80.061256097560971</v>
      </c>
      <c r="R143" s="1">
        <f t="shared" si="29"/>
        <v>81.424826144590597</v>
      </c>
      <c r="S143" s="1">
        <f t="shared" si="30"/>
        <v>65.481323649754501</v>
      </c>
    </row>
    <row r="144" spans="1:19" x14ac:dyDescent="0.3">
      <c r="A144">
        <v>5993.8</v>
      </c>
      <c r="B144">
        <v>76.972209000000007</v>
      </c>
      <c r="C144">
        <v>77.980717999999996</v>
      </c>
      <c r="D144">
        <v>79.050268000000003</v>
      </c>
      <c r="E144">
        <v>63.073289000000003</v>
      </c>
      <c r="F144">
        <v>43.844676999999997</v>
      </c>
      <c r="G144">
        <v>30.028081</v>
      </c>
      <c r="H144">
        <v>30.707000000000001</v>
      </c>
      <c r="I144"/>
      <c r="N144"/>
      <c r="O144"/>
      <c r="P144" s="1">
        <f t="shared" si="27"/>
        <v>79.04077337398374</v>
      </c>
      <c r="Q144" s="1">
        <f t="shared" si="28"/>
        <v>80.060210365853663</v>
      </c>
      <c r="R144" s="1">
        <f t="shared" si="29"/>
        <v>81.438450086672773</v>
      </c>
      <c r="S144" s="1">
        <f t="shared" si="30"/>
        <v>65.447224836333874</v>
      </c>
    </row>
    <row r="145" spans="1:19" x14ac:dyDescent="0.3">
      <c r="A145">
        <v>5994</v>
      </c>
      <c r="B145">
        <v>76.972209000000007</v>
      </c>
      <c r="C145">
        <v>77.980717999999996</v>
      </c>
      <c r="D145">
        <v>79.050268000000003</v>
      </c>
      <c r="E145">
        <v>63.073289000000003</v>
      </c>
      <c r="F145">
        <v>43.844676999999997</v>
      </c>
      <c r="G145">
        <v>30.028081</v>
      </c>
      <c r="H145">
        <v>30.707000000000001</v>
      </c>
      <c r="I145" t="s">
        <v>56</v>
      </c>
      <c r="N145"/>
      <c r="O145"/>
      <c r="P145" s="1">
        <f t="shared" si="27"/>
        <v>79.04077337398374</v>
      </c>
      <c r="Q145" s="1">
        <f t="shared" si="28"/>
        <v>80.060210365853663</v>
      </c>
      <c r="R145" s="1">
        <f t="shared" si="29"/>
        <v>81.438450086672773</v>
      </c>
      <c r="S145" s="1">
        <f t="shared" si="30"/>
        <v>65.447224836333874</v>
      </c>
    </row>
    <row r="146" spans="1:19" x14ac:dyDescent="0.3">
      <c r="A146">
        <v>5994.2</v>
      </c>
      <c r="B146">
        <v>76.983733999999998</v>
      </c>
      <c r="C146">
        <v>78.004926999999995</v>
      </c>
      <c r="D146">
        <v>79.058610000000002</v>
      </c>
      <c r="E146">
        <v>63.079374000000001</v>
      </c>
      <c r="F146">
        <v>43.848033999999998</v>
      </c>
      <c r="G146">
        <v>29.993091</v>
      </c>
      <c r="H146">
        <v>30.697405</v>
      </c>
      <c r="I146"/>
      <c r="N146"/>
      <c r="O146"/>
      <c r="P146" s="1">
        <f t="shared" si="27"/>
        <v>79.036828252032521</v>
      </c>
      <c r="Q146" s="1">
        <f t="shared" si="28"/>
        <v>80.061308943089429</v>
      </c>
      <c r="R146" s="1">
        <f t="shared" si="29"/>
        <v>81.423503619863354</v>
      </c>
      <c r="S146" s="1">
        <f t="shared" si="30"/>
        <v>65.482754705400978</v>
      </c>
    </row>
    <row r="147" spans="1:19" x14ac:dyDescent="0.3">
      <c r="A147">
        <v>5994.4</v>
      </c>
      <c r="B147">
        <v>76.983733999999998</v>
      </c>
      <c r="C147">
        <v>78.004926999999995</v>
      </c>
      <c r="D147">
        <v>79.058610000000002</v>
      </c>
      <c r="E147">
        <v>63.079374000000001</v>
      </c>
      <c r="F147">
        <v>43.848033999999998</v>
      </c>
      <c r="G147">
        <v>29.993091</v>
      </c>
      <c r="H147">
        <v>30.697405</v>
      </c>
      <c r="I147"/>
      <c r="N147"/>
      <c r="O147"/>
      <c r="P147" s="1">
        <f t="shared" si="27"/>
        <v>79.036828252032521</v>
      </c>
      <c r="Q147" s="1">
        <f t="shared" si="28"/>
        <v>80.061308943089429</v>
      </c>
      <c r="R147" s="1">
        <f t="shared" si="29"/>
        <v>81.423503619863354</v>
      </c>
      <c r="S147" s="1">
        <f t="shared" si="30"/>
        <v>65.482754705400978</v>
      </c>
    </row>
    <row r="148" spans="1:19" x14ac:dyDescent="0.3">
      <c r="A148">
        <v>5994.6</v>
      </c>
      <c r="B148">
        <v>76.974037999999993</v>
      </c>
      <c r="C148">
        <v>77.978031000000001</v>
      </c>
      <c r="D148">
        <v>79.057485</v>
      </c>
      <c r="E148">
        <v>63.049976000000001</v>
      </c>
      <c r="F148">
        <v>43.884748000000002</v>
      </c>
      <c r="G148">
        <v>30.003876999999999</v>
      </c>
      <c r="H148">
        <v>30.708183999999999</v>
      </c>
      <c r="I148"/>
      <c r="N148"/>
      <c r="O148"/>
      <c r="P148" s="1">
        <f t="shared" si="27"/>
        <v>79.041537601626032</v>
      </c>
      <c r="Q148" s="1">
        <f t="shared" si="28"/>
        <v>80.083485772357719</v>
      </c>
      <c r="R148" s="1">
        <f t="shared" si="29"/>
        <v>81.425463444478424</v>
      </c>
      <c r="S148" s="1">
        <f t="shared" si="30"/>
        <v>65.505834697217679</v>
      </c>
    </row>
    <row r="149" spans="1:19" x14ac:dyDescent="0.3">
      <c r="A149">
        <v>5994.8</v>
      </c>
      <c r="B149">
        <v>76.974037999999993</v>
      </c>
      <c r="C149">
        <v>77.978031000000001</v>
      </c>
      <c r="D149">
        <v>79.057485</v>
      </c>
      <c r="E149">
        <v>63.049976000000001</v>
      </c>
      <c r="F149">
        <v>43.884748000000002</v>
      </c>
      <c r="G149">
        <v>30.003876999999999</v>
      </c>
      <c r="H149">
        <v>30.708183999999999</v>
      </c>
      <c r="I149"/>
      <c r="N149"/>
      <c r="O149"/>
      <c r="P149" s="1">
        <f t="shared" si="27"/>
        <v>79.041537601626032</v>
      </c>
      <c r="Q149" s="1">
        <f t="shared" si="28"/>
        <v>80.083485772357719</v>
      </c>
      <c r="R149" s="1">
        <f t="shared" si="29"/>
        <v>81.425463444478424</v>
      </c>
      <c r="S149" s="1">
        <f t="shared" si="30"/>
        <v>65.505834697217679</v>
      </c>
    </row>
    <row r="150" spans="1:19" x14ac:dyDescent="0.3">
      <c r="A150">
        <v>5995</v>
      </c>
      <c r="B150">
        <v>76.967198999999994</v>
      </c>
      <c r="C150">
        <v>77.997392000000005</v>
      </c>
      <c r="D150">
        <v>79.055612999999994</v>
      </c>
      <c r="E150">
        <v>63.061121999999997</v>
      </c>
      <c r="F150">
        <v>43.703187999999997</v>
      </c>
      <c r="G150">
        <v>30.005786000000001</v>
      </c>
      <c r="H150">
        <v>30.715025000000001</v>
      </c>
      <c r="I150" t="s">
        <v>56</v>
      </c>
      <c r="N150"/>
      <c r="O150"/>
      <c r="P150" s="1">
        <f t="shared" si="27"/>
        <v>79.034079268292686</v>
      </c>
      <c r="Q150" s="1">
        <f t="shared" si="28"/>
        <v>80.053959349593512</v>
      </c>
      <c r="R150" s="1">
        <f t="shared" si="29"/>
        <v>81.430379320893238</v>
      </c>
      <c r="S150" s="1">
        <f t="shared" si="30"/>
        <v>65.481836129296227</v>
      </c>
    </row>
    <row r="151" spans="1:19" x14ac:dyDescent="0.3">
      <c r="A151">
        <v>5995.2</v>
      </c>
      <c r="B151">
        <v>76.967198999999994</v>
      </c>
      <c r="C151">
        <v>77.997392000000005</v>
      </c>
      <c r="D151">
        <v>79.055612999999994</v>
      </c>
      <c r="E151">
        <v>63.061121999999997</v>
      </c>
      <c r="F151">
        <v>43.703187999999997</v>
      </c>
      <c r="G151">
        <v>30.005786000000001</v>
      </c>
      <c r="H151">
        <v>30.715025000000001</v>
      </c>
      <c r="I151"/>
      <c r="N151"/>
      <c r="O151"/>
      <c r="P151" s="1">
        <f t="shared" si="27"/>
        <v>79.034079268292686</v>
      </c>
      <c r="Q151" s="1">
        <f t="shared" si="28"/>
        <v>80.053959349593512</v>
      </c>
      <c r="R151" s="1">
        <f t="shared" si="29"/>
        <v>81.430379320893238</v>
      </c>
      <c r="S151" s="1">
        <f t="shared" si="30"/>
        <v>65.481836129296227</v>
      </c>
    </row>
    <row r="152" spans="1:19" x14ac:dyDescent="0.3">
      <c r="A152">
        <v>5995.4</v>
      </c>
      <c r="B152">
        <v>76.974187000000001</v>
      </c>
      <c r="C152">
        <v>77.995356999999998</v>
      </c>
      <c r="D152">
        <v>79.045946999999998</v>
      </c>
      <c r="E152">
        <v>63.081541000000001</v>
      </c>
      <c r="F152">
        <v>43.590966000000002</v>
      </c>
      <c r="G152">
        <v>29.980081999999999</v>
      </c>
      <c r="H152">
        <v>30.711421000000001</v>
      </c>
      <c r="I152"/>
      <c r="N152"/>
      <c r="O152"/>
      <c r="P152" s="1">
        <f t="shared" si="27"/>
        <v>79.034765243902456</v>
      </c>
      <c r="Q152" s="1">
        <f t="shared" si="28"/>
        <v>80.077845528455285</v>
      </c>
      <c r="R152" s="1">
        <f t="shared" si="29"/>
        <v>81.417315183032528</v>
      </c>
      <c r="S152" s="1">
        <f t="shared" si="30"/>
        <v>65.448551554828143</v>
      </c>
    </row>
    <row r="153" spans="1:19" x14ac:dyDescent="0.3">
      <c r="A153">
        <v>5995.6</v>
      </c>
      <c r="B153">
        <v>76.974187000000001</v>
      </c>
      <c r="C153">
        <v>77.995356999999998</v>
      </c>
      <c r="D153">
        <v>79.045946999999998</v>
      </c>
      <c r="E153">
        <v>63.081541000000001</v>
      </c>
      <c r="F153">
        <v>43.590966000000002</v>
      </c>
      <c r="G153">
        <v>29.980081999999999</v>
      </c>
      <c r="H153">
        <v>30.711421000000001</v>
      </c>
      <c r="I153"/>
      <c r="N153"/>
      <c r="O153"/>
      <c r="P153" s="1">
        <f t="shared" si="27"/>
        <v>79.034765243902456</v>
      </c>
      <c r="Q153" s="1">
        <f t="shared" si="28"/>
        <v>80.077845528455285</v>
      </c>
      <c r="R153" s="1">
        <f t="shared" si="29"/>
        <v>81.417315183032528</v>
      </c>
      <c r="S153" s="1">
        <f t="shared" si="30"/>
        <v>65.448551554828143</v>
      </c>
    </row>
    <row r="154" spans="1:19" x14ac:dyDescent="0.3">
      <c r="A154">
        <v>5995.8</v>
      </c>
      <c r="B154">
        <v>76.983930999999998</v>
      </c>
      <c r="C154">
        <v>77.974386999999993</v>
      </c>
      <c r="D154">
        <v>79.054760999999999</v>
      </c>
      <c r="E154">
        <v>63.129835</v>
      </c>
      <c r="F154">
        <v>44.133279000000002</v>
      </c>
      <c r="G154">
        <v>29.993196999999999</v>
      </c>
      <c r="H154">
        <v>30.692812</v>
      </c>
      <c r="I154"/>
      <c r="N154"/>
      <c r="O154"/>
      <c r="P154" s="1">
        <f t="shared" si="27"/>
        <v>79.036444105691061</v>
      </c>
      <c r="Q154" s="1">
        <f t="shared" si="28"/>
        <v>80.066435975609764</v>
      </c>
      <c r="R154" s="1">
        <f t="shared" si="29"/>
        <v>81.420369124095032</v>
      </c>
      <c r="S154" s="1">
        <f t="shared" si="30"/>
        <v>65.418097381342065</v>
      </c>
    </row>
    <row r="155" spans="1:19" x14ac:dyDescent="0.3">
      <c r="A155">
        <v>5996</v>
      </c>
      <c r="B155">
        <v>76.983930999999998</v>
      </c>
      <c r="C155">
        <v>77.974386999999993</v>
      </c>
      <c r="D155">
        <v>79.054760999999999</v>
      </c>
      <c r="E155">
        <v>63.129835</v>
      </c>
      <c r="F155">
        <v>44.133279000000002</v>
      </c>
      <c r="G155">
        <v>29.993196999999999</v>
      </c>
      <c r="H155">
        <v>30.692812</v>
      </c>
      <c r="I155" t="s">
        <v>56</v>
      </c>
      <c r="N155"/>
      <c r="O155"/>
      <c r="P155" s="1">
        <f t="shared" si="27"/>
        <v>79.036444105691061</v>
      </c>
      <c r="Q155" s="1">
        <f t="shared" si="28"/>
        <v>80.066435975609764</v>
      </c>
      <c r="R155" s="1">
        <f t="shared" si="29"/>
        <v>81.420369124095032</v>
      </c>
      <c r="S155" s="1">
        <f t="shared" si="30"/>
        <v>65.418097381342065</v>
      </c>
    </row>
    <row r="156" spans="1:19" x14ac:dyDescent="0.3">
      <c r="A156">
        <v>5996.2</v>
      </c>
      <c r="B156">
        <v>76.990146999999993</v>
      </c>
      <c r="C156">
        <v>77.987397999999999</v>
      </c>
      <c r="D156">
        <v>79.037582999999998</v>
      </c>
      <c r="E156">
        <v>63.119414999999996</v>
      </c>
      <c r="F156">
        <v>43.922319000000002</v>
      </c>
      <c r="G156">
        <v>30.002115</v>
      </c>
      <c r="H156">
        <v>30.684809999999999</v>
      </c>
      <c r="I156"/>
      <c r="N156"/>
      <c r="O156"/>
      <c r="P156" s="1">
        <f t="shared" si="27"/>
        <v>79.021933943089422</v>
      </c>
      <c r="Q156" s="1">
        <f t="shared" si="28"/>
        <v>80.048216463414647</v>
      </c>
      <c r="R156" s="1">
        <f t="shared" si="29"/>
        <v>81.428773325175897</v>
      </c>
      <c r="S156" s="1">
        <f t="shared" si="30"/>
        <v>65.467374181669399</v>
      </c>
    </row>
    <row r="157" spans="1:19" x14ac:dyDescent="0.3">
      <c r="A157">
        <v>5996.4</v>
      </c>
      <c r="B157">
        <v>76.990146999999993</v>
      </c>
      <c r="C157">
        <v>77.987397999999999</v>
      </c>
      <c r="D157">
        <v>79.037582999999998</v>
      </c>
      <c r="E157">
        <v>63.119414999999996</v>
      </c>
      <c r="F157">
        <v>43.922319000000002</v>
      </c>
      <c r="G157">
        <v>30.002115</v>
      </c>
      <c r="H157">
        <v>30.684809999999999</v>
      </c>
      <c r="I157"/>
      <c r="N157"/>
      <c r="O157"/>
      <c r="P157" s="1">
        <f t="shared" si="27"/>
        <v>79.021933943089422</v>
      </c>
      <c r="Q157" s="1">
        <f t="shared" si="28"/>
        <v>80.048216463414647</v>
      </c>
      <c r="R157" s="1">
        <f t="shared" si="29"/>
        <v>81.428773325175897</v>
      </c>
      <c r="S157" s="1">
        <f t="shared" si="30"/>
        <v>65.467374181669399</v>
      </c>
    </row>
    <row r="158" spans="1:19" x14ac:dyDescent="0.3">
      <c r="A158">
        <v>5996.6</v>
      </c>
      <c r="B158">
        <v>77.002673000000001</v>
      </c>
      <c r="C158">
        <v>77.985489999999999</v>
      </c>
      <c r="D158">
        <v>79.040180000000007</v>
      </c>
      <c r="E158">
        <v>63.113481999999998</v>
      </c>
      <c r="F158">
        <v>43.588054999999997</v>
      </c>
      <c r="G158">
        <v>29.997178000000002</v>
      </c>
      <c r="H158">
        <v>30.687159000000001</v>
      </c>
      <c r="I158"/>
      <c r="N158"/>
      <c r="O158"/>
      <c r="P158" s="1">
        <f t="shared" si="27"/>
        <v>79.039117886178872</v>
      </c>
      <c r="Q158" s="1">
        <f t="shared" si="28"/>
        <v>80.069575203252043</v>
      </c>
      <c r="R158" s="1">
        <f t="shared" si="29"/>
        <v>81.425334964821047</v>
      </c>
      <c r="S158" s="1">
        <f t="shared" si="30"/>
        <v>65.453371522094926</v>
      </c>
    </row>
    <row r="159" spans="1:19" x14ac:dyDescent="0.3">
      <c r="A159">
        <v>5996.8</v>
      </c>
      <c r="B159">
        <v>77.002673000000001</v>
      </c>
      <c r="C159">
        <v>77.985489999999999</v>
      </c>
      <c r="D159">
        <v>79.040180000000007</v>
      </c>
      <c r="E159">
        <v>63.113481999999998</v>
      </c>
      <c r="F159">
        <v>43.588054999999997</v>
      </c>
      <c r="G159">
        <v>29.997178000000002</v>
      </c>
      <c r="H159">
        <v>30.687159000000001</v>
      </c>
      <c r="I159"/>
      <c r="N159"/>
      <c r="O159"/>
      <c r="P159" s="1">
        <f t="shared" si="27"/>
        <v>79.039117886178872</v>
      </c>
      <c r="Q159" s="1">
        <f t="shared" si="28"/>
        <v>80.069575203252043</v>
      </c>
      <c r="R159" s="1">
        <f t="shared" si="29"/>
        <v>81.425334964821047</v>
      </c>
      <c r="S159" s="1">
        <f t="shared" si="30"/>
        <v>65.453371522094926</v>
      </c>
    </row>
    <row r="160" spans="1:19" x14ac:dyDescent="0.3">
      <c r="A160">
        <v>5997</v>
      </c>
      <c r="B160">
        <v>76.991874999999993</v>
      </c>
      <c r="C160">
        <v>77.995007000000001</v>
      </c>
      <c r="D160">
        <v>79.065826999999999</v>
      </c>
      <c r="E160">
        <v>63.128765999999999</v>
      </c>
      <c r="F160">
        <v>43.449162999999999</v>
      </c>
      <c r="G160">
        <v>29.998172</v>
      </c>
      <c r="H160">
        <v>30.683454000000001</v>
      </c>
      <c r="I160" t="s">
        <v>56</v>
      </c>
      <c r="N160"/>
      <c r="O160"/>
      <c r="P160" s="1">
        <f t="shared" si="27"/>
        <v>79.041433943089444</v>
      </c>
      <c r="Q160" s="1">
        <f t="shared" si="28"/>
        <v>80.053523373983737</v>
      </c>
      <c r="R160" s="1">
        <f t="shared" si="29"/>
        <v>81.445527684307123</v>
      </c>
      <c r="S160" s="1">
        <f t="shared" si="30"/>
        <v>65.458905482815055</v>
      </c>
    </row>
    <row r="161" spans="1:19" x14ac:dyDescent="0.3">
      <c r="A161">
        <v>5997.2</v>
      </c>
      <c r="B161">
        <v>76.991874999999993</v>
      </c>
      <c r="C161">
        <v>77.995007000000001</v>
      </c>
      <c r="D161">
        <v>79.065826999999999</v>
      </c>
      <c r="E161">
        <v>63.128765999999999</v>
      </c>
      <c r="F161">
        <v>43.449162999999999</v>
      </c>
      <c r="G161">
        <v>29.998172</v>
      </c>
      <c r="H161">
        <v>30.683454000000001</v>
      </c>
      <c r="I161"/>
      <c r="N161"/>
      <c r="O161"/>
      <c r="P161" s="1">
        <f t="shared" si="27"/>
        <v>79.041433943089444</v>
      </c>
      <c r="Q161" s="1">
        <f t="shared" si="28"/>
        <v>80.053523373983737</v>
      </c>
      <c r="R161" s="1">
        <f t="shared" si="29"/>
        <v>81.445527684307123</v>
      </c>
      <c r="S161" s="1">
        <f t="shared" si="30"/>
        <v>65.458905482815055</v>
      </c>
    </row>
    <row r="162" spans="1:19" x14ac:dyDescent="0.3">
      <c r="A162">
        <v>5997.4</v>
      </c>
      <c r="B162">
        <v>76.998687000000004</v>
      </c>
      <c r="C162">
        <v>78.000930999999994</v>
      </c>
      <c r="D162">
        <v>79.046546000000006</v>
      </c>
      <c r="E162">
        <v>63.122081000000001</v>
      </c>
      <c r="F162">
        <v>43.611145</v>
      </c>
      <c r="G162">
        <v>30.009257999999999</v>
      </c>
      <c r="H162">
        <v>30.688424000000001</v>
      </c>
      <c r="I162"/>
      <c r="N162"/>
      <c r="O162"/>
      <c r="P162" s="1">
        <f t="shared" si="27"/>
        <v>79.023078252032533</v>
      </c>
      <c r="Q162" s="1">
        <f t="shared" si="28"/>
        <v>80.04798577235772</v>
      </c>
      <c r="R162" s="1">
        <f t="shared" si="29"/>
        <v>81.432209646171103</v>
      </c>
      <c r="S162" s="1">
        <f t="shared" si="30"/>
        <v>65.463470744680848</v>
      </c>
    </row>
    <row r="163" spans="1:19" x14ac:dyDescent="0.3">
      <c r="A163">
        <v>5997.6</v>
      </c>
      <c r="B163">
        <v>76.998687000000004</v>
      </c>
      <c r="C163">
        <v>78.000930999999994</v>
      </c>
      <c r="D163">
        <v>79.046546000000006</v>
      </c>
      <c r="E163">
        <v>63.122081000000001</v>
      </c>
      <c r="F163">
        <v>43.611145</v>
      </c>
      <c r="G163">
        <v>30.009257999999999</v>
      </c>
      <c r="H163">
        <v>30.688424000000001</v>
      </c>
      <c r="I163"/>
      <c r="N163"/>
      <c r="O163"/>
      <c r="P163" s="1">
        <f t="shared" si="27"/>
        <v>79.023078252032533</v>
      </c>
      <c r="Q163" s="1">
        <f t="shared" si="28"/>
        <v>80.04798577235772</v>
      </c>
      <c r="R163" s="1">
        <f t="shared" si="29"/>
        <v>81.432209646171103</v>
      </c>
      <c r="S163" s="1">
        <f t="shared" si="30"/>
        <v>65.463470744680848</v>
      </c>
    </row>
    <row r="164" spans="1:19" x14ac:dyDescent="0.3">
      <c r="A164">
        <v>5997.8</v>
      </c>
      <c r="B164">
        <v>77.002548000000004</v>
      </c>
      <c r="C164">
        <v>77.996664999999993</v>
      </c>
      <c r="D164">
        <v>79.057586999999998</v>
      </c>
      <c r="E164">
        <v>63.161827000000002</v>
      </c>
      <c r="F164">
        <v>43.858741999999999</v>
      </c>
      <c r="G164">
        <v>30.014994000000002</v>
      </c>
      <c r="H164">
        <v>30.694862000000001</v>
      </c>
      <c r="I164"/>
      <c r="N164"/>
      <c r="O164"/>
      <c r="P164" s="1">
        <f t="shared" si="27"/>
        <v>79.034790650406507</v>
      </c>
      <c r="Q164" s="1">
        <f t="shared" si="28"/>
        <v>80.07258841463414</v>
      </c>
      <c r="R164" s="1">
        <f t="shared" si="29"/>
        <v>81.440715815234014</v>
      </c>
      <c r="S164" s="1">
        <f t="shared" si="30"/>
        <v>65.469695171849423</v>
      </c>
    </row>
    <row r="165" spans="1:19" x14ac:dyDescent="0.3">
      <c r="A165">
        <v>5998</v>
      </c>
      <c r="B165">
        <v>77.002548000000004</v>
      </c>
      <c r="C165">
        <v>77.996664999999993</v>
      </c>
      <c r="D165">
        <v>79.057586999999998</v>
      </c>
      <c r="E165">
        <v>63.161827000000002</v>
      </c>
      <c r="F165">
        <v>43.858741999999999</v>
      </c>
      <c r="G165">
        <v>30.014994000000002</v>
      </c>
      <c r="H165">
        <v>30.694862000000001</v>
      </c>
      <c r="I165" t="s">
        <v>56</v>
      </c>
      <c r="N165"/>
      <c r="O165"/>
      <c r="P165" s="1">
        <f t="shared" si="27"/>
        <v>79.034790650406507</v>
      </c>
      <c r="Q165" s="1">
        <f t="shared" si="28"/>
        <v>80.07258841463414</v>
      </c>
      <c r="R165" s="1">
        <f t="shared" si="29"/>
        <v>81.440715815234014</v>
      </c>
      <c r="S165" s="1">
        <f t="shared" si="30"/>
        <v>65.469695171849423</v>
      </c>
    </row>
    <row r="166" spans="1:19" x14ac:dyDescent="0.3">
      <c r="A166">
        <v>5998.2</v>
      </c>
      <c r="B166">
        <v>77.010311999999999</v>
      </c>
      <c r="C166">
        <v>78.013940000000005</v>
      </c>
      <c r="D166">
        <v>79.054087999999993</v>
      </c>
      <c r="E166">
        <v>63.170451</v>
      </c>
      <c r="F166">
        <v>44.257824999999997</v>
      </c>
      <c r="G166">
        <v>30.007428999999998</v>
      </c>
      <c r="H166">
        <v>30.665217999999999</v>
      </c>
      <c r="I166"/>
      <c r="N166"/>
      <c r="O166"/>
      <c r="P166" s="1">
        <f t="shared" si="27"/>
        <v>79.024936991869922</v>
      </c>
      <c r="Q166" s="1">
        <f t="shared" si="28"/>
        <v>80.045255081300823</v>
      </c>
      <c r="R166" s="1">
        <f t="shared" si="29"/>
        <v>81.439568675435908</v>
      </c>
      <c r="S166" s="1">
        <f t="shared" si="30"/>
        <v>65.439623567921444</v>
      </c>
    </row>
    <row r="167" spans="1:19" x14ac:dyDescent="0.3">
      <c r="A167">
        <v>5998.4</v>
      </c>
      <c r="B167">
        <v>77.010311999999999</v>
      </c>
      <c r="C167">
        <v>78.013940000000005</v>
      </c>
      <c r="D167">
        <v>79.054087999999993</v>
      </c>
      <c r="E167">
        <v>63.170451</v>
      </c>
      <c r="F167">
        <v>44.257824999999997</v>
      </c>
      <c r="G167">
        <v>30.007428999999998</v>
      </c>
      <c r="H167">
        <v>30.665217999999999</v>
      </c>
      <c r="I167"/>
      <c r="N167"/>
      <c r="O167"/>
      <c r="P167" s="1">
        <f t="shared" si="27"/>
        <v>79.024936991869922</v>
      </c>
      <c r="Q167" s="1">
        <f t="shared" si="28"/>
        <v>80.045255081300823</v>
      </c>
      <c r="R167" s="1">
        <f t="shared" si="29"/>
        <v>81.439568675435908</v>
      </c>
      <c r="S167" s="1">
        <f t="shared" si="30"/>
        <v>65.439623567921444</v>
      </c>
    </row>
    <row r="168" spans="1:19" x14ac:dyDescent="0.3">
      <c r="A168">
        <v>5998.6</v>
      </c>
      <c r="B168">
        <v>77.005500999999995</v>
      </c>
      <c r="C168">
        <v>78.024034</v>
      </c>
      <c r="D168">
        <v>79.057383999999999</v>
      </c>
      <c r="E168">
        <v>63.090266999999997</v>
      </c>
      <c r="F168">
        <v>44.006264999999999</v>
      </c>
      <c r="G168">
        <v>29.999096000000002</v>
      </c>
      <c r="H168">
        <v>30.693069999999999</v>
      </c>
      <c r="I168"/>
      <c r="N168"/>
      <c r="O168"/>
      <c r="P168" s="1">
        <f t="shared" si="27"/>
        <v>79.01798678861789</v>
      </c>
      <c r="Q168" s="1">
        <f t="shared" si="28"/>
        <v>80.064930894308958</v>
      </c>
      <c r="R168" s="1">
        <f t="shared" si="29"/>
        <v>81.437659834811853</v>
      </c>
      <c r="S168" s="1">
        <f t="shared" si="30"/>
        <v>65.451024959083469</v>
      </c>
    </row>
    <row r="169" spans="1:19" x14ac:dyDescent="0.3">
      <c r="A169">
        <v>5998.8</v>
      </c>
      <c r="B169">
        <v>77.005500999999995</v>
      </c>
      <c r="C169">
        <v>78.024034</v>
      </c>
      <c r="D169">
        <v>79.057383999999999</v>
      </c>
      <c r="E169">
        <v>63.090266999999997</v>
      </c>
      <c r="F169">
        <v>44.006264999999999</v>
      </c>
      <c r="G169">
        <v>29.999096000000002</v>
      </c>
      <c r="H169">
        <v>30.693069999999999</v>
      </c>
      <c r="I169"/>
      <c r="N169"/>
      <c r="O169"/>
      <c r="P169" s="1">
        <f t="shared" si="27"/>
        <v>79.01798678861789</v>
      </c>
      <c r="Q169" s="1">
        <f t="shared" si="28"/>
        <v>80.064930894308958</v>
      </c>
      <c r="R169" s="1">
        <f t="shared" si="29"/>
        <v>81.437659834811853</v>
      </c>
      <c r="S169" s="1">
        <f t="shared" si="30"/>
        <v>65.451024959083469</v>
      </c>
    </row>
    <row r="170" spans="1:19" x14ac:dyDescent="0.3">
      <c r="A170">
        <v>5999</v>
      </c>
      <c r="B170">
        <v>76.997558999999995</v>
      </c>
      <c r="C170">
        <v>78.008840000000006</v>
      </c>
      <c r="D170">
        <v>79.056658999999996</v>
      </c>
      <c r="E170">
        <v>63.108392000000002</v>
      </c>
      <c r="F170">
        <v>44.006529999999998</v>
      </c>
      <c r="G170">
        <v>29.987839999999998</v>
      </c>
      <c r="H170">
        <v>30.685344000000001</v>
      </c>
      <c r="I170" t="s">
        <v>56</v>
      </c>
      <c r="N170"/>
      <c r="O170"/>
      <c r="P170" s="1">
        <f t="shared" si="27"/>
        <v>79.025088414634155</v>
      </c>
      <c r="Q170" s="1">
        <f t="shared" si="28"/>
        <v>80.062862804878051</v>
      </c>
      <c r="R170" s="1">
        <f t="shared" si="29"/>
        <v>81.427803609666555</v>
      </c>
      <c r="S170" s="1">
        <f t="shared" si="30"/>
        <v>65.471911824877253</v>
      </c>
    </row>
    <row r="171" spans="1:19" x14ac:dyDescent="0.3">
      <c r="A171">
        <v>5999.2</v>
      </c>
      <c r="B171">
        <v>76.997558999999995</v>
      </c>
      <c r="C171">
        <v>78.008840000000006</v>
      </c>
      <c r="D171">
        <v>79.056658999999996</v>
      </c>
      <c r="E171">
        <v>63.108392000000002</v>
      </c>
      <c r="F171">
        <v>44.006529999999998</v>
      </c>
      <c r="G171">
        <v>29.987839999999998</v>
      </c>
      <c r="H171">
        <v>30.685344000000001</v>
      </c>
      <c r="I171"/>
      <c r="N171"/>
      <c r="O171"/>
      <c r="P171" s="1">
        <f t="shared" si="27"/>
        <v>79.025088414634155</v>
      </c>
      <c r="Q171" s="1">
        <f t="shared" si="28"/>
        <v>80.062862804878051</v>
      </c>
      <c r="R171" s="1">
        <f t="shared" si="29"/>
        <v>81.427803609666555</v>
      </c>
      <c r="S171" s="1">
        <f t="shared" si="30"/>
        <v>65.471911824877253</v>
      </c>
    </row>
    <row r="172" spans="1:19" x14ac:dyDescent="0.3">
      <c r="A172">
        <v>5999.4</v>
      </c>
      <c r="B172">
        <v>76.998112000000006</v>
      </c>
      <c r="C172">
        <v>77.987245999999999</v>
      </c>
      <c r="D172">
        <v>79.075640000000007</v>
      </c>
      <c r="E172">
        <v>63.092785999999997</v>
      </c>
      <c r="F172">
        <v>44.243067000000003</v>
      </c>
      <c r="G172">
        <v>29.993729999999999</v>
      </c>
      <c r="H172">
        <v>30.692875000000001</v>
      </c>
      <c r="I172"/>
      <c r="N172"/>
      <c r="O172"/>
      <c r="P172" s="1">
        <f t="shared" ref="P172:P235" si="31">(B154+Q$36)/P$36</f>
        <v>79.034990853658542</v>
      </c>
      <c r="Q172" s="1">
        <f t="shared" ref="Q172:Q235" si="32">(C154+Q$36)/P$36</f>
        <v>80.041551829268286</v>
      </c>
      <c r="R172" s="1">
        <f t="shared" ref="R172:R235" si="33">(D154+Q$38)/P$38</f>
        <v>81.436791067604773</v>
      </c>
      <c r="S172" s="1">
        <f t="shared" ref="S172:S235" si="34">(E154+Q$39)/P$39</f>
        <v>65.52131239770867</v>
      </c>
    </row>
    <row r="173" spans="1:19" x14ac:dyDescent="0.3">
      <c r="A173">
        <v>5999.6</v>
      </c>
      <c r="B173">
        <v>76.998112000000006</v>
      </c>
      <c r="C173">
        <v>77.987245999999999</v>
      </c>
      <c r="D173">
        <v>79.075640000000007</v>
      </c>
      <c r="E173">
        <v>63.092785999999997</v>
      </c>
      <c r="F173">
        <v>44.243067000000003</v>
      </c>
      <c r="G173">
        <v>29.993729999999999</v>
      </c>
      <c r="H173">
        <v>30.692875000000001</v>
      </c>
      <c r="I173"/>
      <c r="N173"/>
      <c r="O173"/>
      <c r="P173" s="1">
        <f t="shared" si="31"/>
        <v>79.034990853658542</v>
      </c>
      <c r="Q173" s="1">
        <f t="shared" si="32"/>
        <v>80.041551829268286</v>
      </c>
      <c r="R173" s="1">
        <f t="shared" si="33"/>
        <v>81.436791067604773</v>
      </c>
      <c r="S173" s="1">
        <f t="shared" si="34"/>
        <v>65.52131239770867</v>
      </c>
    </row>
    <row r="174" spans="1:19" x14ac:dyDescent="0.3">
      <c r="A174">
        <v>5999.8</v>
      </c>
      <c r="B174">
        <v>77.007329999999996</v>
      </c>
      <c r="C174">
        <v>78.001006000000004</v>
      </c>
      <c r="D174">
        <v>79.041675999999995</v>
      </c>
      <c r="E174">
        <v>63.156711999999999</v>
      </c>
      <c r="F174">
        <v>44.202463000000002</v>
      </c>
      <c r="G174">
        <v>29.984717</v>
      </c>
      <c r="H174">
        <v>30.69491</v>
      </c>
      <c r="I174"/>
      <c r="N174"/>
      <c r="O174"/>
      <c r="P174" s="1">
        <f t="shared" si="31"/>
        <v>79.041307926829262</v>
      </c>
      <c r="Q174" s="1">
        <f t="shared" si="32"/>
        <v>80.054774390243907</v>
      </c>
      <c r="R174" s="1">
        <f t="shared" si="33"/>
        <v>81.419275007647599</v>
      </c>
      <c r="S174" s="1">
        <f t="shared" si="34"/>
        <v>65.510653641571196</v>
      </c>
    </row>
    <row r="175" spans="1:19" x14ac:dyDescent="0.3">
      <c r="A175">
        <v>7339</v>
      </c>
      <c r="B175">
        <v>85.399342000000004</v>
      </c>
      <c r="C175">
        <v>86.762050000000002</v>
      </c>
      <c r="D175">
        <v>88.149810000000002</v>
      </c>
      <c r="E175">
        <v>67.411895000000001</v>
      </c>
      <c r="F175">
        <v>46.333312999999997</v>
      </c>
      <c r="G175">
        <v>30.030757999999999</v>
      </c>
      <c r="H175">
        <v>30.943165</v>
      </c>
      <c r="I175" t="s">
        <v>56</v>
      </c>
      <c r="N175"/>
      <c r="O175"/>
      <c r="P175" s="1">
        <f t="shared" si="31"/>
        <v>79.041307926829262</v>
      </c>
      <c r="Q175" s="1">
        <f t="shared" si="32"/>
        <v>80.054774390243907</v>
      </c>
      <c r="R175" s="1">
        <f t="shared" si="33"/>
        <v>81.419275007647599</v>
      </c>
      <c r="S175" s="1">
        <f t="shared" si="34"/>
        <v>65.510653641571196</v>
      </c>
    </row>
    <row r="176" spans="1:19" x14ac:dyDescent="0.3">
      <c r="A176">
        <v>7339.2</v>
      </c>
      <c r="B176">
        <v>85.399342000000004</v>
      </c>
      <c r="C176">
        <v>86.762050000000002</v>
      </c>
      <c r="D176">
        <v>88.149810000000002</v>
      </c>
      <c r="E176">
        <v>67.411895000000001</v>
      </c>
      <c r="F176">
        <v>46.333312999999997</v>
      </c>
      <c r="G176">
        <v>30.030757999999999</v>
      </c>
      <c r="H176">
        <v>30.943165</v>
      </c>
      <c r="I176"/>
      <c r="N176"/>
      <c r="O176"/>
      <c r="P176" s="1">
        <f t="shared" si="31"/>
        <v>79.054037601626021</v>
      </c>
      <c r="Q176" s="1">
        <f t="shared" si="32"/>
        <v>80.052835365853667</v>
      </c>
      <c r="R176" s="1">
        <f t="shared" si="33"/>
        <v>81.421923116141528</v>
      </c>
      <c r="S176" s="1">
        <f t="shared" si="34"/>
        <v>65.50458469721768</v>
      </c>
    </row>
    <row r="177" spans="1:19" x14ac:dyDescent="0.3">
      <c r="A177">
        <v>7339.4</v>
      </c>
      <c r="B177">
        <v>85.379801</v>
      </c>
      <c r="C177">
        <v>86.741551999999999</v>
      </c>
      <c r="D177">
        <v>88.157342</v>
      </c>
      <c r="E177">
        <v>67.422529999999995</v>
      </c>
      <c r="F177">
        <v>46.497543</v>
      </c>
      <c r="G177">
        <v>30.033380999999999</v>
      </c>
      <c r="H177">
        <v>30.952127999999998</v>
      </c>
      <c r="I177"/>
      <c r="N177"/>
      <c r="O177"/>
      <c r="P177" s="1">
        <f t="shared" si="31"/>
        <v>79.054037601626021</v>
      </c>
      <c r="Q177" s="1">
        <f t="shared" si="32"/>
        <v>80.052835365853667</v>
      </c>
      <c r="R177" s="1">
        <f t="shared" si="33"/>
        <v>81.421923116141528</v>
      </c>
      <c r="S177" s="1">
        <f t="shared" si="34"/>
        <v>65.50458469721768</v>
      </c>
    </row>
    <row r="178" spans="1:19" x14ac:dyDescent="0.3">
      <c r="A178">
        <v>7339.6</v>
      </c>
      <c r="B178">
        <v>85.379801</v>
      </c>
      <c r="C178">
        <v>86.741551999999999</v>
      </c>
      <c r="D178">
        <v>88.157342</v>
      </c>
      <c r="E178">
        <v>67.422529999999995</v>
      </c>
      <c r="F178">
        <v>46.497543</v>
      </c>
      <c r="G178">
        <v>30.033380999999999</v>
      </c>
      <c r="H178">
        <v>30.952127999999998</v>
      </c>
      <c r="I178"/>
      <c r="N178"/>
      <c r="O178"/>
      <c r="P178" s="1">
        <f t="shared" si="31"/>
        <v>79.043064024390247</v>
      </c>
      <c r="Q178" s="1">
        <f t="shared" si="32"/>
        <v>80.062507113821141</v>
      </c>
      <c r="R178" s="1">
        <f t="shared" si="33"/>
        <v>81.448074844498819</v>
      </c>
      <c r="S178" s="1">
        <f t="shared" si="34"/>
        <v>65.520218903436984</v>
      </c>
    </row>
    <row r="179" spans="1:19" x14ac:dyDescent="0.3">
      <c r="A179">
        <v>7339.8</v>
      </c>
      <c r="B179">
        <v>85.390963999999997</v>
      </c>
      <c r="C179">
        <v>86.747765000000001</v>
      </c>
      <c r="D179">
        <v>88.176584000000005</v>
      </c>
      <c r="E179">
        <v>67.404250000000005</v>
      </c>
      <c r="F179">
        <v>47.207295000000002</v>
      </c>
      <c r="G179">
        <v>30.023719</v>
      </c>
      <c r="H179">
        <v>30.934488000000002</v>
      </c>
      <c r="I179"/>
      <c r="N179"/>
      <c r="O179"/>
      <c r="P179" s="1">
        <f t="shared" si="31"/>
        <v>79.043064024390247</v>
      </c>
      <c r="Q179" s="1">
        <f t="shared" si="32"/>
        <v>80.062507113821141</v>
      </c>
      <c r="R179" s="1">
        <f t="shared" si="33"/>
        <v>81.448074844498819</v>
      </c>
      <c r="S179" s="1">
        <f t="shared" si="34"/>
        <v>65.520218903436984</v>
      </c>
    </row>
    <row r="180" spans="1:19" x14ac:dyDescent="0.3">
      <c r="A180">
        <v>7340</v>
      </c>
      <c r="B180">
        <v>85.390963999999997</v>
      </c>
      <c r="C180">
        <v>86.747765000000001</v>
      </c>
      <c r="D180">
        <v>88.176584000000005</v>
      </c>
      <c r="E180">
        <v>67.404250000000005</v>
      </c>
      <c r="F180">
        <v>47.207295000000002</v>
      </c>
      <c r="G180">
        <v>30.023719</v>
      </c>
      <c r="H180">
        <v>30.934488000000002</v>
      </c>
      <c r="I180" t="s">
        <v>56</v>
      </c>
      <c r="N180"/>
      <c r="O180"/>
      <c r="P180" s="1">
        <f t="shared" si="31"/>
        <v>79.0499867886179</v>
      </c>
      <c r="Q180" s="1">
        <f t="shared" si="32"/>
        <v>80.068527439024393</v>
      </c>
      <c r="R180" s="1">
        <f t="shared" si="33"/>
        <v>81.428414397879067</v>
      </c>
      <c r="S180" s="1">
        <f t="shared" si="34"/>
        <v>65.513380728314246</v>
      </c>
    </row>
    <row r="181" spans="1:19" x14ac:dyDescent="0.3">
      <c r="A181">
        <v>7340.2</v>
      </c>
      <c r="B181">
        <v>85.388931999999997</v>
      </c>
      <c r="C181">
        <v>86.755459999999999</v>
      </c>
      <c r="D181">
        <v>88.176809000000006</v>
      </c>
      <c r="E181">
        <v>67.386989999999997</v>
      </c>
      <c r="F181">
        <v>47.506399999999999</v>
      </c>
      <c r="G181">
        <v>30.020686999999999</v>
      </c>
      <c r="H181">
        <v>30.941089000000002</v>
      </c>
      <c r="I181"/>
      <c r="N181"/>
      <c r="O181"/>
      <c r="P181" s="1">
        <f t="shared" si="31"/>
        <v>79.0499867886179</v>
      </c>
      <c r="Q181" s="1">
        <f t="shared" si="32"/>
        <v>80.068527439024393</v>
      </c>
      <c r="R181" s="1">
        <f t="shared" si="33"/>
        <v>81.428414397879067</v>
      </c>
      <c r="S181" s="1">
        <f t="shared" si="34"/>
        <v>65.513380728314246</v>
      </c>
    </row>
    <row r="182" spans="1:19" x14ac:dyDescent="0.3">
      <c r="A182">
        <v>7340.4</v>
      </c>
      <c r="B182">
        <v>85.388931999999997</v>
      </c>
      <c r="C182">
        <v>86.755459999999999</v>
      </c>
      <c r="D182">
        <v>88.176809000000006</v>
      </c>
      <c r="E182">
        <v>67.386989999999997</v>
      </c>
      <c r="F182">
        <v>47.506399999999999</v>
      </c>
      <c r="G182">
        <v>30.020686999999999</v>
      </c>
      <c r="H182">
        <v>30.941089000000002</v>
      </c>
      <c r="I182"/>
      <c r="N182"/>
      <c r="O182"/>
      <c r="P182" s="1">
        <f t="shared" si="31"/>
        <v>79.053910569105696</v>
      </c>
      <c r="Q182" s="1">
        <f t="shared" si="32"/>
        <v>80.06419207317073</v>
      </c>
      <c r="R182" s="1">
        <f t="shared" si="33"/>
        <v>81.439672682777598</v>
      </c>
      <c r="S182" s="1">
        <f t="shared" si="34"/>
        <v>65.554037438625201</v>
      </c>
    </row>
    <row r="183" spans="1:19" x14ac:dyDescent="0.3">
      <c r="A183">
        <v>7340.6</v>
      </c>
      <c r="B183">
        <v>85.384868999999995</v>
      </c>
      <c r="C183">
        <v>86.758403999999999</v>
      </c>
      <c r="D183">
        <v>88.168253000000007</v>
      </c>
      <c r="E183">
        <v>67.394613000000007</v>
      </c>
      <c r="F183">
        <v>47.502158999999999</v>
      </c>
      <c r="G183">
        <v>30.033866</v>
      </c>
      <c r="H183">
        <v>30.945095999999999</v>
      </c>
      <c r="I183"/>
      <c r="N183"/>
      <c r="O183"/>
      <c r="P183" s="1">
        <f t="shared" si="31"/>
        <v>79.053910569105696</v>
      </c>
      <c r="Q183" s="1">
        <f t="shared" si="32"/>
        <v>80.06419207317073</v>
      </c>
      <c r="R183" s="1">
        <f t="shared" si="33"/>
        <v>81.439672682777598</v>
      </c>
      <c r="S183" s="1">
        <f t="shared" si="34"/>
        <v>65.554037438625201</v>
      </c>
    </row>
    <row r="184" spans="1:19" x14ac:dyDescent="0.3">
      <c r="A184">
        <v>7340.8</v>
      </c>
      <c r="B184">
        <v>85.384868999999995</v>
      </c>
      <c r="C184">
        <v>86.758403999999999</v>
      </c>
      <c r="D184">
        <v>88.168253000000007</v>
      </c>
      <c r="E184">
        <v>67.394613000000007</v>
      </c>
      <c r="F184">
        <v>47.502158999999999</v>
      </c>
      <c r="G184">
        <v>30.033866</v>
      </c>
      <c r="H184">
        <v>30.945095999999999</v>
      </c>
      <c r="I184"/>
      <c r="N184"/>
      <c r="O184"/>
      <c r="P184" s="1">
        <f t="shared" si="31"/>
        <v>79.061800813008134</v>
      </c>
      <c r="Q184" s="1">
        <f t="shared" si="32"/>
        <v>80.081747967479686</v>
      </c>
      <c r="R184" s="1">
        <f t="shared" si="33"/>
        <v>81.436104823085543</v>
      </c>
      <c r="S184" s="1">
        <f t="shared" si="34"/>
        <v>65.562859042553185</v>
      </c>
    </row>
    <row r="185" spans="1:19" x14ac:dyDescent="0.3">
      <c r="A185">
        <v>7341</v>
      </c>
      <c r="B185">
        <v>85.394499999999994</v>
      </c>
      <c r="C185">
        <v>86.750856999999996</v>
      </c>
      <c r="D185">
        <v>88.170203000000001</v>
      </c>
      <c r="E185">
        <v>67.403726000000006</v>
      </c>
      <c r="F185">
        <v>47.231465999999998</v>
      </c>
      <c r="G185">
        <v>30.027062999999998</v>
      </c>
      <c r="H185">
        <v>30.934540999999999</v>
      </c>
      <c r="I185" t="s">
        <v>56</v>
      </c>
      <c r="N185"/>
      <c r="O185"/>
      <c r="P185" s="1">
        <f t="shared" si="31"/>
        <v>79.061800813008134</v>
      </c>
      <c r="Q185" s="1">
        <f t="shared" si="32"/>
        <v>80.081747967479686</v>
      </c>
      <c r="R185" s="1">
        <f t="shared" si="33"/>
        <v>81.436104823085543</v>
      </c>
      <c r="S185" s="1">
        <f t="shared" si="34"/>
        <v>65.562859042553185</v>
      </c>
    </row>
    <row r="186" spans="1:19" x14ac:dyDescent="0.3">
      <c r="A186">
        <v>7341.2</v>
      </c>
      <c r="B186">
        <v>85.394499999999994</v>
      </c>
      <c r="C186">
        <v>86.750856999999996</v>
      </c>
      <c r="D186">
        <v>88.170203000000001</v>
      </c>
      <c r="E186">
        <v>67.403726000000006</v>
      </c>
      <c r="F186">
        <v>47.231465999999998</v>
      </c>
      <c r="G186">
        <v>30.027062999999998</v>
      </c>
      <c r="H186">
        <v>30.934540999999999</v>
      </c>
      <c r="I186"/>
      <c r="N186"/>
      <c r="O186"/>
      <c r="P186" s="1">
        <f t="shared" si="31"/>
        <v>79.056911585365853</v>
      </c>
      <c r="Q186" s="1">
        <f t="shared" si="32"/>
        <v>80.092006097560983</v>
      </c>
      <c r="R186" s="1">
        <f t="shared" si="33"/>
        <v>81.439465687774032</v>
      </c>
      <c r="S186" s="1">
        <f t="shared" si="34"/>
        <v>65.480837765957446</v>
      </c>
    </row>
    <row r="187" spans="1:19" x14ac:dyDescent="0.3">
      <c r="A187">
        <v>7341.4</v>
      </c>
      <c r="B187">
        <v>85.392619999999994</v>
      </c>
      <c r="C187">
        <v>86.740370999999996</v>
      </c>
      <c r="D187">
        <v>88.166076000000004</v>
      </c>
      <c r="E187">
        <v>67.391997000000003</v>
      </c>
      <c r="F187">
        <v>46.915351000000001</v>
      </c>
      <c r="G187">
        <v>30.039809000000002</v>
      </c>
      <c r="H187">
        <v>30.924257999999998</v>
      </c>
      <c r="I187"/>
      <c r="N187"/>
      <c r="O187"/>
      <c r="P187" s="1">
        <f t="shared" si="31"/>
        <v>79.056911585365853</v>
      </c>
      <c r="Q187" s="1">
        <f t="shared" si="32"/>
        <v>80.092006097560983</v>
      </c>
      <c r="R187" s="1">
        <f t="shared" si="33"/>
        <v>81.439465687774032</v>
      </c>
      <c r="S187" s="1">
        <f t="shared" si="34"/>
        <v>65.480837765957446</v>
      </c>
    </row>
    <row r="188" spans="1:19" x14ac:dyDescent="0.3">
      <c r="A188">
        <v>7341.6</v>
      </c>
      <c r="B188">
        <v>85.392619999999994</v>
      </c>
      <c r="C188">
        <v>86.740370999999996</v>
      </c>
      <c r="D188">
        <v>88.166076000000004</v>
      </c>
      <c r="E188">
        <v>67.391997000000003</v>
      </c>
      <c r="F188">
        <v>46.915351000000001</v>
      </c>
      <c r="G188">
        <v>30.039809000000002</v>
      </c>
      <c r="H188">
        <v>30.924257999999998</v>
      </c>
      <c r="I188"/>
      <c r="N188"/>
      <c r="O188"/>
      <c r="P188" s="1">
        <f t="shared" si="31"/>
        <v>79.048840447154475</v>
      </c>
      <c r="Q188" s="1">
        <f t="shared" si="32"/>
        <v>80.076565040650422</v>
      </c>
      <c r="R188" s="1">
        <f t="shared" si="33"/>
        <v>81.438726419904143</v>
      </c>
      <c r="S188" s="1">
        <f t="shared" si="34"/>
        <v>65.499378068739773</v>
      </c>
    </row>
    <row r="189" spans="1:19" x14ac:dyDescent="0.3">
      <c r="A189">
        <v>7341.8</v>
      </c>
      <c r="B189">
        <v>85.388457000000002</v>
      </c>
      <c r="C189">
        <v>86.750230000000002</v>
      </c>
      <c r="D189">
        <v>88.165075000000002</v>
      </c>
      <c r="E189">
        <v>67.398173999999997</v>
      </c>
      <c r="F189">
        <v>46.969956000000003</v>
      </c>
      <c r="G189">
        <v>30.035786999999999</v>
      </c>
      <c r="H189">
        <v>30.948658999999999</v>
      </c>
      <c r="I189"/>
      <c r="N189"/>
      <c r="O189"/>
      <c r="P189" s="1">
        <f t="shared" si="31"/>
        <v>79.048840447154475</v>
      </c>
      <c r="Q189" s="1">
        <f t="shared" si="32"/>
        <v>80.076565040650422</v>
      </c>
      <c r="R189" s="1">
        <f t="shared" si="33"/>
        <v>81.438726419904143</v>
      </c>
      <c r="S189" s="1">
        <f t="shared" si="34"/>
        <v>65.499378068739773</v>
      </c>
    </row>
    <row r="190" spans="1:19" x14ac:dyDescent="0.3">
      <c r="A190">
        <v>7342</v>
      </c>
      <c r="B190">
        <v>85.388457000000002</v>
      </c>
      <c r="C190">
        <v>86.750230000000002</v>
      </c>
      <c r="D190">
        <v>88.165075000000002</v>
      </c>
      <c r="E190">
        <v>67.398173999999997</v>
      </c>
      <c r="F190">
        <v>46.969956000000003</v>
      </c>
      <c r="G190">
        <v>30.035786999999999</v>
      </c>
      <c r="H190">
        <v>30.948658999999999</v>
      </c>
      <c r="I190" t="s">
        <v>56</v>
      </c>
      <c r="N190"/>
      <c r="O190"/>
      <c r="P190" s="1">
        <f t="shared" si="31"/>
        <v>79.049402439024405</v>
      </c>
      <c r="Q190" s="1">
        <f t="shared" si="32"/>
        <v>80.054619918699188</v>
      </c>
      <c r="R190" s="1">
        <f t="shared" si="33"/>
        <v>81.458080962577753</v>
      </c>
      <c r="S190" s="1">
        <f t="shared" si="34"/>
        <v>65.4834144844517</v>
      </c>
    </row>
    <row r="191" spans="1:19" x14ac:dyDescent="0.3">
      <c r="A191">
        <v>7342.2</v>
      </c>
      <c r="B191">
        <v>85.397187000000002</v>
      </c>
      <c r="C191">
        <v>86.752645999999999</v>
      </c>
      <c r="D191">
        <v>88.160723000000004</v>
      </c>
      <c r="E191">
        <v>67.374565000000004</v>
      </c>
      <c r="F191">
        <v>47.116650999999997</v>
      </c>
      <c r="G191">
        <v>30.029516000000001</v>
      </c>
      <c r="H191">
        <v>30.934643000000001</v>
      </c>
      <c r="I191"/>
      <c r="N191"/>
      <c r="O191"/>
      <c r="P191" s="1">
        <f t="shared" si="31"/>
        <v>79.049402439024405</v>
      </c>
      <c r="Q191" s="1">
        <f t="shared" si="32"/>
        <v>80.054619918699188</v>
      </c>
      <c r="R191" s="1">
        <f t="shared" si="33"/>
        <v>81.458080962577753</v>
      </c>
      <c r="S191" s="1">
        <f t="shared" si="34"/>
        <v>65.4834144844517</v>
      </c>
    </row>
    <row r="192" spans="1:19" x14ac:dyDescent="0.3">
      <c r="A192">
        <v>7342.4</v>
      </c>
      <c r="B192">
        <v>85.397187000000002</v>
      </c>
      <c r="C192">
        <v>86.752645999999999</v>
      </c>
      <c r="D192">
        <v>88.160723000000004</v>
      </c>
      <c r="E192">
        <v>67.374565000000004</v>
      </c>
      <c r="F192">
        <v>47.116650999999997</v>
      </c>
      <c r="G192">
        <v>30.029516000000001</v>
      </c>
      <c r="H192">
        <v>30.934643000000001</v>
      </c>
      <c r="I192"/>
      <c r="N192"/>
      <c r="O192"/>
      <c r="P192" s="1">
        <f t="shared" si="31"/>
        <v>79.058770325203255</v>
      </c>
      <c r="Q192" s="1">
        <f t="shared" si="32"/>
        <v>80.068603658536588</v>
      </c>
      <c r="R192" s="1">
        <f t="shared" si="33"/>
        <v>81.423448557153051</v>
      </c>
      <c r="S192" s="1">
        <f t="shared" si="34"/>
        <v>65.548805237315875</v>
      </c>
    </row>
    <row r="193" spans="1:19" x14ac:dyDescent="0.3">
      <c r="A193">
        <v>7342.6</v>
      </c>
      <c r="B193">
        <v>85.400409999999994</v>
      </c>
      <c r="C193">
        <v>86.752256000000003</v>
      </c>
      <c r="D193">
        <v>88.160335000000003</v>
      </c>
      <c r="E193">
        <v>67.337194999999994</v>
      </c>
      <c r="F193">
        <v>47.045904</v>
      </c>
      <c r="G193">
        <v>30.010669</v>
      </c>
      <c r="H193">
        <v>30.933194</v>
      </c>
      <c r="I193"/>
      <c r="N193"/>
      <c r="O193"/>
      <c r="P193" s="1">
        <f t="shared" si="31"/>
        <v>87.587237804878058</v>
      </c>
      <c r="Q193" s="1">
        <f t="shared" si="32"/>
        <v>88.972103658536597</v>
      </c>
      <c r="R193" s="1">
        <f t="shared" si="33"/>
        <v>90.710828999694101</v>
      </c>
      <c r="S193" s="1">
        <f t="shared" si="34"/>
        <v>69.901488338788866</v>
      </c>
    </row>
    <row r="194" spans="1:19" x14ac:dyDescent="0.3">
      <c r="A194">
        <v>7342.8</v>
      </c>
      <c r="B194">
        <v>85.400409999999994</v>
      </c>
      <c r="C194">
        <v>86.752256000000003</v>
      </c>
      <c r="D194">
        <v>88.160335000000003</v>
      </c>
      <c r="E194">
        <v>67.337194999999994</v>
      </c>
      <c r="F194">
        <v>47.045904</v>
      </c>
      <c r="G194">
        <v>30.010669</v>
      </c>
      <c r="H194">
        <v>30.933194</v>
      </c>
      <c r="I194"/>
      <c r="N194"/>
      <c r="O194"/>
      <c r="P194" s="1">
        <f t="shared" si="31"/>
        <v>87.587237804878058</v>
      </c>
      <c r="Q194" s="1">
        <f t="shared" si="32"/>
        <v>88.972103658536597</v>
      </c>
      <c r="R194" s="1">
        <f t="shared" si="33"/>
        <v>90.710828999694101</v>
      </c>
      <c r="S194" s="1">
        <f t="shared" si="34"/>
        <v>69.901488338788866</v>
      </c>
    </row>
    <row r="195" spans="1:19" x14ac:dyDescent="0.3">
      <c r="A195">
        <v>7343</v>
      </c>
      <c r="B195">
        <v>85.377520000000004</v>
      </c>
      <c r="C195">
        <v>86.743791999999999</v>
      </c>
      <c r="D195">
        <v>88.156418000000002</v>
      </c>
      <c r="E195">
        <v>67.361315000000005</v>
      </c>
      <c r="F195">
        <v>46.417395999999997</v>
      </c>
      <c r="G195">
        <v>30.01886</v>
      </c>
      <c r="H195">
        <v>30.930337999999999</v>
      </c>
      <c r="I195" t="s">
        <v>56</v>
      </c>
      <c r="N195"/>
      <c r="O195"/>
      <c r="P195" s="1">
        <f t="shared" si="31"/>
        <v>87.567379065040654</v>
      </c>
      <c r="Q195" s="1">
        <f t="shared" si="32"/>
        <v>88.951272357723582</v>
      </c>
      <c r="R195" s="1">
        <f t="shared" si="33"/>
        <v>90.718509228102377</v>
      </c>
      <c r="S195" s="1">
        <f t="shared" si="34"/>
        <v>69.912367021276594</v>
      </c>
    </row>
    <row r="196" spans="1:19" x14ac:dyDescent="0.3">
      <c r="A196">
        <v>7343.2</v>
      </c>
      <c r="B196">
        <v>85.377520000000004</v>
      </c>
      <c r="C196">
        <v>86.743791999999999</v>
      </c>
      <c r="D196">
        <v>88.156418000000002</v>
      </c>
      <c r="E196">
        <v>67.361315000000005</v>
      </c>
      <c r="F196">
        <v>46.417395999999997</v>
      </c>
      <c r="G196">
        <v>30.01886</v>
      </c>
      <c r="H196">
        <v>30.930337999999999</v>
      </c>
      <c r="I196"/>
      <c r="N196"/>
      <c r="O196"/>
      <c r="P196" s="1">
        <f t="shared" si="31"/>
        <v>87.567379065040654</v>
      </c>
      <c r="Q196" s="1">
        <f t="shared" si="32"/>
        <v>88.951272357723582</v>
      </c>
      <c r="R196" s="1">
        <f t="shared" si="33"/>
        <v>90.718509228102377</v>
      </c>
      <c r="S196" s="1">
        <f t="shared" si="34"/>
        <v>69.912367021276594</v>
      </c>
    </row>
    <row r="197" spans="1:19" x14ac:dyDescent="0.3">
      <c r="A197">
        <v>7343.4</v>
      </c>
      <c r="B197">
        <v>85.374459999999999</v>
      </c>
      <c r="C197">
        <v>86.742534000000006</v>
      </c>
      <c r="D197">
        <v>88.189847</v>
      </c>
      <c r="E197">
        <v>67.399518999999998</v>
      </c>
      <c r="F197">
        <v>45.874478000000003</v>
      </c>
      <c r="G197">
        <v>30.036884000000001</v>
      </c>
      <c r="H197">
        <v>30.939890999999999</v>
      </c>
      <c r="I197"/>
      <c r="N197"/>
      <c r="O197"/>
      <c r="P197" s="1">
        <f t="shared" si="31"/>
        <v>87.578723577235777</v>
      </c>
      <c r="Q197" s="1">
        <f t="shared" si="32"/>
        <v>88.957586382113831</v>
      </c>
      <c r="R197" s="1">
        <f t="shared" si="33"/>
        <v>90.738129907209142</v>
      </c>
      <c r="S197" s="1">
        <f t="shared" si="34"/>
        <v>69.893668166939449</v>
      </c>
    </row>
    <row r="198" spans="1:19" x14ac:dyDescent="0.3">
      <c r="A198">
        <v>7343.6</v>
      </c>
      <c r="B198">
        <v>85.374459999999999</v>
      </c>
      <c r="C198">
        <v>86.742534000000006</v>
      </c>
      <c r="D198">
        <v>88.189847</v>
      </c>
      <c r="E198">
        <v>67.399518999999998</v>
      </c>
      <c r="F198">
        <v>45.874478000000003</v>
      </c>
      <c r="G198">
        <v>30.036884000000001</v>
      </c>
      <c r="H198">
        <v>30.939890999999999</v>
      </c>
      <c r="I198"/>
      <c r="N198"/>
      <c r="O198"/>
      <c r="P198" s="1">
        <f t="shared" si="31"/>
        <v>87.578723577235777</v>
      </c>
      <c r="Q198" s="1">
        <f t="shared" si="32"/>
        <v>88.957586382113831</v>
      </c>
      <c r="R198" s="1">
        <f t="shared" si="33"/>
        <v>90.738129907209142</v>
      </c>
      <c r="S198" s="1">
        <f t="shared" si="34"/>
        <v>69.893668166939449</v>
      </c>
    </row>
    <row r="199" spans="1:19" x14ac:dyDescent="0.3">
      <c r="A199">
        <v>7343.8</v>
      </c>
      <c r="B199">
        <v>85.403306999999998</v>
      </c>
      <c r="C199">
        <v>86.752443999999997</v>
      </c>
      <c r="D199">
        <v>88.149711999999994</v>
      </c>
      <c r="E199">
        <v>67.398124999999993</v>
      </c>
      <c r="F199">
        <v>45.641112999999997</v>
      </c>
      <c r="G199">
        <v>30.017631999999999</v>
      </c>
      <c r="H199">
        <v>30.928407</v>
      </c>
      <c r="I199"/>
      <c r="N199"/>
      <c r="O199"/>
      <c r="P199" s="1">
        <f t="shared" si="31"/>
        <v>87.57665853658537</v>
      </c>
      <c r="Q199" s="1">
        <f t="shared" si="32"/>
        <v>88.965406504065044</v>
      </c>
      <c r="R199" s="1">
        <f t="shared" si="33"/>
        <v>90.738359335168752</v>
      </c>
      <c r="S199" s="1">
        <f t="shared" si="34"/>
        <v>69.876012684124376</v>
      </c>
    </row>
    <row r="200" spans="1:19" x14ac:dyDescent="0.3">
      <c r="A200">
        <v>7344</v>
      </c>
      <c r="B200">
        <v>85.403306999999998</v>
      </c>
      <c r="C200">
        <v>86.752443999999997</v>
      </c>
      <c r="D200">
        <v>88.149711999999994</v>
      </c>
      <c r="E200">
        <v>67.398124999999993</v>
      </c>
      <c r="F200">
        <v>45.641112999999997</v>
      </c>
      <c r="G200">
        <v>30.017631999999999</v>
      </c>
      <c r="H200">
        <v>30.928407</v>
      </c>
      <c r="I200" t="s">
        <v>56</v>
      </c>
      <c r="N200"/>
      <c r="O200"/>
      <c r="P200" s="1">
        <f t="shared" si="31"/>
        <v>87.57665853658537</v>
      </c>
      <c r="Q200" s="1">
        <f t="shared" si="32"/>
        <v>88.965406504065044</v>
      </c>
      <c r="R200" s="1">
        <f t="shared" si="33"/>
        <v>90.738359335168752</v>
      </c>
      <c r="S200" s="1">
        <f t="shared" si="34"/>
        <v>69.876012684124376</v>
      </c>
    </row>
    <row r="201" spans="1:19" x14ac:dyDescent="0.3">
      <c r="A201">
        <v>7344.2</v>
      </c>
      <c r="B201">
        <v>85.397463000000002</v>
      </c>
      <c r="C201">
        <v>86.743189000000001</v>
      </c>
      <c r="D201">
        <v>88.143432000000004</v>
      </c>
      <c r="E201">
        <v>67.419443999999999</v>
      </c>
      <c r="F201">
        <v>45.860987000000002</v>
      </c>
      <c r="G201">
        <v>30.041585999999999</v>
      </c>
      <c r="H201">
        <v>30.946467999999999</v>
      </c>
      <c r="I201"/>
      <c r="N201"/>
      <c r="O201"/>
      <c r="P201" s="1">
        <f t="shared" si="31"/>
        <v>87.572529471544712</v>
      </c>
      <c r="Q201" s="1">
        <f t="shared" si="32"/>
        <v>88.968398373983746</v>
      </c>
      <c r="R201" s="1">
        <f t="shared" si="33"/>
        <v>90.729634954624245</v>
      </c>
      <c r="S201" s="1">
        <f t="shared" si="34"/>
        <v>69.883810351882161</v>
      </c>
    </row>
    <row r="202" spans="1:19" x14ac:dyDescent="0.3">
      <c r="A202">
        <v>7344.4</v>
      </c>
      <c r="B202">
        <v>85.397463000000002</v>
      </c>
      <c r="C202">
        <v>86.743189000000001</v>
      </c>
      <c r="D202">
        <v>88.143432000000004</v>
      </c>
      <c r="E202">
        <v>67.419443999999999</v>
      </c>
      <c r="F202">
        <v>45.860987000000002</v>
      </c>
      <c r="G202">
        <v>30.041585999999999</v>
      </c>
      <c r="H202">
        <v>30.946467999999999</v>
      </c>
      <c r="I202"/>
      <c r="N202"/>
      <c r="O202"/>
      <c r="P202" s="1">
        <f t="shared" si="31"/>
        <v>87.572529471544712</v>
      </c>
      <c r="Q202" s="1">
        <f t="shared" si="32"/>
        <v>88.968398373983746</v>
      </c>
      <c r="R202" s="1">
        <f t="shared" si="33"/>
        <v>90.729634954624245</v>
      </c>
      <c r="S202" s="1">
        <f t="shared" si="34"/>
        <v>69.883810351882161</v>
      </c>
    </row>
    <row r="203" spans="1:19" x14ac:dyDescent="0.3">
      <c r="A203">
        <v>7344.6</v>
      </c>
      <c r="B203">
        <v>85.384569999999997</v>
      </c>
      <c r="C203">
        <v>86.756292999999999</v>
      </c>
      <c r="D203">
        <v>88.177412000000004</v>
      </c>
      <c r="E203">
        <v>67.433763999999996</v>
      </c>
      <c r="F203">
        <v>45.643124</v>
      </c>
      <c r="G203">
        <v>30.042197000000002</v>
      </c>
      <c r="H203">
        <v>30.932751</v>
      </c>
      <c r="I203"/>
      <c r="N203"/>
      <c r="O203"/>
      <c r="P203" s="1">
        <f t="shared" si="31"/>
        <v>87.582317073170728</v>
      </c>
      <c r="Q203" s="1">
        <f t="shared" si="32"/>
        <v>88.960728658536581</v>
      </c>
      <c r="R203" s="1">
        <f t="shared" si="33"/>
        <v>90.731623330274289</v>
      </c>
      <c r="S203" s="1">
        <f t="shared" si="34"/>
        <v>69.89313216039281</v>
      </c>
    </row>
    <row r="204" spans="1:19" x14ac:dyDescent="0.3">
      <c r="A204">
        <v>7344.8</v>
      </c>
      <c r="B204">
        <v>85.384569999999997</v>
      </c>
      <c r="C204">
        <v>86.756292999999999</v>
      </c>
      <c r="D204">
        <v>88.177412000000004</v>
      </c>
      <c r="E204">
        <v>67.433763999999996</v>
      </c>
      <c r="F204">
        <v>45.643124</v>
      </c>
      <c r="G204">
        <v>30.042197000000002</v>
      </c>
      <c r="H204">
        <v>30.932751</v>
      </c>
      <c r="I204"/>
      <c r="N204"/>
      <c r="O204"/>
      <c r="P204" s="1">
        <f t="shared" si="31"/>
        <v>87.582317073170728</v>
      </c>
      <c r="Q204" s="1">
        <f t="shared" si="32"/>
        <v>88.960728658536581</v>
      </c>
      <c r="R204" s="1">
        <f t="shared" si="33"/>
        <v>90.731623330274289</v>
      </c>
      <c r="S204" s="1">
        <f t="shared" si="34"/>
        <v>69.89313216039281</v>
      </c>
    </row>
    <row r="205" spans="1:19" x14ac:dyDescent="0.3">
      <c r="A205">
        <v>7345</v>
      </c>
      <c r="B205">
        <v>85.392748999999995</v>
      </c>
      <c r="C205">
        <v>86.760872000000006</v>
      </c>
      <c r="D205">
        <v>88.170257000000007</v>
      </c>
      <c r="E205">
        <v>67.477746999999994</v>
      </c>
      <c r="F205">
        <v>44.761088999999998</v>
      </c>
      <c r="G205">
        <v>30.035433000000001</v>
      </c>
      <c r="H205">
        <v>30.944078999999999</v>
      </c>
      <c r="I205" t="s">
        <v>56</v>
      </c>
      <c r="N205"/>
      <c r="O205"/>
      <c r="P205" s="1">
        <f t="shared" si="31"/>
        <v>87.580406504065039</v>
      </c>
      <c r="Q205" s="1">
        <f t="shared" si="32"/>
        <v>88.950072154471542</v>
      </c>
      <c r="R205" s="1">
        <f t="shared" si="33"/>
        <v>90.727415111654935</v>
      </c>
      <c r="S205" s="1">
        <f t="shared" si="34"/>
        <v>69.881134410801963</v>
      </c>
    </row>
    <row r="206" spans="1:19" x14ac:dyDescent="0.3">
      <c r="A206">
        <v>7345.2</v>
      </c>
      <c r="B206">
        <v>85.392748999999995</v>
      </c>
      <c r="C206">
        <v>86.760872000000006</v>
      </c>
      <c r="D206">
        <v>88.170257000000007</v>
      </c>
      <c r="E206">
        <v>67.477746999999994</v>
      </c>
      <c r="F206">
        <v>44.761088999999998</v>
      </c>
      <c r="G206">
        <v>30.035433000000001</v>
      </c>
      <c r="H206">
        <v>30.944078999999999</v>
      </c>
      <c r="I206"/>
      <c r="N206"/>
      <c r="O206"/>
      <c r="P206" s="1">
        <f t="shared" si="31"/>
        <v>87.580406504065039</v>
      </c>
      <c r="Q206" s="1">
        <f t="shared" si="32"/>
        <v>88.950072154471542</v>
      </c>
      <c r="R206" s="1">
        <f t="shared" si="33"/>
        <v>90.727415111654935</v>
      </c>
      <c r="S206" s="1">
        <f t="shared" si="34"/>
        <v>69.881134410801963</v>
      </c>
    </row>
    <row r="207" spans="1:19" x14ac:dyDescent="0.3">
      <c r="A207">
        <v>7345.4</v>
      </c>
      <c r="B207">
        <v>85.403733000000003</v>
      </c>
      <c r="C207">
        <v>86.755134999999996</v>
      </c>
      <c r="D207">
        <v>88.187520000000006</v>
      </c>
      <c r="E207">
        <v>67.419618</v>
      </c>
      <c r="F207">
        <v>44.866365999999999</v>
      </c>
      <c r="G207">
        <v>30.025195</v>
      </c>
      <c r="H207">
        <v>30.942070000000001</v>
      </c>
      <c r="I207"/>
      <c r="N207"/>
      <c r="O207"/>
      <c r="P207" s="1">
        <f t="shared" si="31"/>
        <v>87.576175813008135</v>
      </c>
      <c r="Q207" s="1">
        <f t="shared" si="32"/>
        <v>88.960091463414642</v>
      </c>
      <c r="R207" s="1">
        <f t="shared" si="33"/>
        <v>90.726394412154576</v>
      </c>
      <c r="S207" s="1">
        <f t="shared" si="34"/>
        <v>69.887452945990177</v>
      </c>
    </row>
    <row r="208" spans="1:19" x14ac:dyDescent="0.3">
      <c r="A208">
        <v>7345.6</v>
      </c>
      <c r="B208">
        <v>85.403733000000003</v>
      </c>
      <c r="C208">
        <v>86.755134999999996</v>
      </c>
      <c r="D208">
        <v>88.187520000000006</v>
      </c>
      <c r="E208">
        <v>67.419618</v>
      </c>
      <c r="F208">
        <v>44.866365999999999</v>
      </c>
      <c r="G208">
        <v>30.025195</v>
      </c>
      <c r="H208">
        <v>30.942070000000001</v>
      </c>
      <c r="I208"/>
      <c r="N208"/>
      <c r="O208"/>
      <c r="P208" s="1">
        <f t="shared" si="31"/>
        <v>87.576175813008135</v>
      </c>
      <c r="Q208" s="1">
        <f t="shared" si="32"/>
        <v>88.960091463414642</v>
      </c>
      <c r="R208" s="1">
        <f t="shared" si="33"/>
        <v>90.726394412154576</v>
      </c>
      <c r="S208" s="1">
        <f t="shared" si="34"/>
        <v>69.887452945990177</v>
      </c>
    </row>
    <row r="209" spans="1:19" x14ac:dyDescent="0.3">
      <c r="A209">
        <v>7345.8</v>
      </c>
      <c r="B209">
        <v>85.387253999999999</v>
      </c>
      <c r="C209">
        <v>86.753551000000002</v>
      </c>
      <c r="D209">
        <v>88.181441000000007</v>
      </c>
      <c r="E209">
        <v>67.414911000000004</v>
      </c>
      <c r="F209">
        <v>44.710355999999997</v>
      </c>
      <c r="G209">
        <v>30.018469</v>
      </c>
      <c r="H209">
        <v>30.951556</v>
      </c>
      <c r="I209"/>
      <c r="N209"/>
      <c r="O209"/>
      <c r="P209" s="1">
        <f t="shared" si="31"/>
        <v>87.585047764227653</v>
      </c>
      <c r="Q209" s="1">
        <f t="shared" si="32"/>
        <v>88.96254674796748</v>
      </c>
      <c r="R209" s="1">
        <f t="shared" si="33"/>
        <v>90.721956765575612</v>
      </c>
      <c r="S209" s="1">
        <f t="shared" si="34"/>
        <v>69.863302986906717</v>
      </c>
    </row>
    <row r="210" spans="1:19" x14ac:dyDescent="0.3">
      <c r="A210">
        <v>7346</v>
      </c>
      <c r="B210">
        <v>85.387253999999999</v>
      </c>
      <c r="C210">
        <v>86.753551000000002</v>
      </c>
      <c r="D210">
        <v>88.181441000000007</v>
      </c>
      <c r="E210">
        <v>67.414911000000004</v>
      </c>
      <c r="F210">
        <v>44.710355999999997</v>
      </c>
      <c r="G210">
        <v>30.018469</v>
      </c>
      <c r="H210">
        <v>30.951556</v>
      </c>
      <c r="I210" t="s">
        <v>56</v>
      </c>
      <c r="N210"/>
      <c r="O210"/>
      <c r="P210" s="1">
        <f t="shared" si="31"/>
        <v>87.585047764227653</v>
      </c>
      <c r="Q210" s="1">
        <f t="shared" si="32"/>
        <v>88.96254674796748</v>
      </c>
      <c r="R210" s="1">
        <f t="shared" si="33"/>
        <v>90.721956765575612</v>
      </c>
      <c r="S210" s="1">
        <f t="shared" si="34"/>
        <v>69.863302986906717</v>
      </c>
    </row>
    <row r="211" spans="1:19" x14ac:dyDescent="0.3">
      <c r="A211">
        <v>7346.2</v>
      </c>
      <c r="B211">
        <v>85.389336</v>
      </c>
      <c r="C211">
        <v>86.75564</v>
      </c>
      <c r="D211">
        <v>88.178112999999996</v>
      </c>
      <c r="E211">
        <v>67.398599000000004</v>
      </c>
      <c r="F211">
        <v>44.907288000000001</v>
      </c>
      <c r="G211">
        <v>30.047238</v>
      </c>
      <c r="H211">
        <v>30.947887000000001</v>
      </c>
      <c r="I211"/>
      <c r="N211"/>
      <c r="O211"/>
      <c r="P211" s="1">
        <f t="shared" si="31"/>
        <v>87.588323170731712</v>
      </c>
      <c r="Q211" s="1">
        <f t="shared" si="32"/>
        <v>88.96215040650408</v>
      </c>
      <c r="R211" s="1">
        <f t="shared" si="33"/>
        <v>90.721561129805238</v>
      </c>
      <c r="S211" s="1">
        <f t="shared" si="34"/>
        <v>69.825076718494259</v>
      </c>
    </row>
    <row r="212" spans="1:19" x14ac:dyDescent="0.3">
      <c r="A212">
        <v>7346.4</v>
      </c>
      <c r="B212">
        <v>85.389336</v>
      </c>
      <c r="C212">
        <v>86.75564</v>
      </c>
      <c r="D212">
        <v>88.178112999999996</v>
      </c>
      <c r="E212">
        <v>67.398599000000004</v>
      </c>
      <c r="F212">
        <v>44.907288000000001</v>
      </c>
      <c r="G212">
        <v>30.047238</v>
      </c>
      <c r="H212">
        <v>30.947887000000001</v>
      </c>
      <c r="I212"/>
      <c r="N212"/>
      <c r="O212"/>
      <c r="P212" s="1">
        <f t="shared" si="31"/>
        <v>87.588323170731712</v>
      </c>
      <c r="Q212" s="1">
        <f t="shared" si="32"/>
        <v>88.96215040650408</v>
      </c>
      <c r="R212" s="1">
        <f t="shared" si="33"/>
        <v>90.721561129805238</v>
      </c>
      <c r="S212" s="1">
        <f t="shared" si="34"/>
        <v>69.825076718494259</v>
      </c>
    </row>
    <row r="213" spans="1:19" x14ac:dyDescent="0.3">
      <c r="A213">
        <v>7346.6</v>
      </c>
      <c r="B213">
        <v>85.399871000000005</v>
      </c>
      <c r="C213">
        <v>86.769372000000004</v>
      </c>
      <c r="D213">
        <v>88.162498999999997</v>
      </c>
      <c r="E213">
        <v>67.396057999999996</v>
      </c>
      <c r="F213">
        <v>45.685429999999997</v>
      </c>
      <c r="G213">
        <v>30.014862000000001</v>
      </c>
      <c r="H213">
        <v>30.946542999999998</v>
      </c>
      <c r="I213"/>
      <c r="N213"/>
      <c r="O213"/>
      <c r="P213" s="1">
        <f t="shared" si="31"/>
        <v>87.565060975609768</v>
      </c>
      <c r="Q213" s="1">
        <f t="shared" si="32"/>
        <v>88.953548780487807</v>
      </c>
      <c r="R213" s="1">
        <f t="shared" si="33"/>
        <v>90.717567043948193</v>
      </c>
      <c r="S213" s="1">
        <f t="shared" si="34"/>
        <v>69.849749386252043</v>
      </c>
    </row>
    <row r="214" spans="1:19" x14ac:dyDescent="0.3">
      <c r="A214">
        <v>7346.8</v>
      </c>
      <c r="B214">
        <v>85.399871000000005</v>
      </c>
      <c r="C214">
        <v>86.769372000000004</v>
      </c>
      <c r="D214">
        <v>88.162498999999997</v>
      </c>
      <c r="E214">
        <v>67.396057999999996</v>
      </c>
      <c r="F214">
        <v>45.685429999999997</v>
      </c>
      <c r="G214">
        <v>30.014862000000001</v>
      </c>
      <c r="H214">
        <v>30.946542999999998</v>
      </c>
      <c r="I214"/>
      <c r="N214"/>
      <c r="O214"/>
      <c r="P214" s="1">
        <f t="shared" si="31"/>
        <v>87.565060975609768</v>
      </c>
      <c r="Q214" s="1">
        <f t="shared" si="32"/>
        <v>88.953548780487807</v>
      </c>
      <c r="R214" s="1">
        <f t="shared" si="33"/>
        <v>90.717567043948193</v>
      </c>
      <c r="S214" s="1">
        <f t="shared" si="34"/>
        <v>69.849749386252043</v>
      </c>
    </row>
    <row r="215" spans="1:19" x14ac:dyDescent="0.3">
      <c r="A215">
        <v>7347</v>
      </c>
      <c r="B215">
        <v>85.406167999999994</v>
      </c>
      <c r="C215">
        <v>86.755538999999999</v>
      </c>
      <c r="D215">
        <v>88.181166000000005</v>
      </c>
      <c r="E215">
        <v>67.431673000000004</v>
      </c>
      <c r="F215">
        <v>46.115070000000003</v>
      </c>
      <c r="G215">
        <v>30.019866</v>
      </c>
      <c r="H215">
        <v>30.930873999999999</v>
      </c>
      <c r="I215" t="s">
        <v>56</v>
      </c>
      <c r="N215"/>
      <c r="O215"/>
      <c r="P215" s="1">
        <f t="shared" si="31"/>
        <v>87.561951219512196</v>
      </c>
      <c r="Q215" s="1">
        <f t="shared" si="32"/>
        <v>88.952270325203258</v>
      </c>
      <c r="R215" s="1">
        <f t="shared" si="33"/>
        <v>90.7516539206689</v>
      </c>
      <c r="S215" s="1">
        <f t="shared" si="34"/>
        <v>69.888828764320778</v>
      </c>
    </row>
    <row r="216" spans="1:19" x14ac:dyDescent="0.3">
      <c r="A216">
        <v>7347.2</v>
      </c>
      <c r="B216">
        <v>85.406167999999994</v>
      </c>
      <c r="C216">
        <v>86.755538999999999</v>
      </c>
      <c r="D216">
        <v>88.181166000000005</v>
      </c>
      <c r="E216">
        <v>67.431673000000004</v>
      </c>
      <c r="F216">
        <v>46.115070000000003</v>
      </c>
      <c r="G216">
        <v>30.019866</v>
      </c>
      <c r="H216">
        <v>30.930873999999999</v>
      </c>
      <c r="I216"/>
      <c r="N216"/>
      <c r="O216"/>
      <c r="P216" s="1">
        <f t="shared" si="31"/>
        <v>87.561951219512196</v>
      </c>
      <c r="Q216" s="1">
        <f t="shared" si="32"/>
        <v>88.952270325203258</v>
      </c>
      <c r="R216" s="1">
        <f t="shared" si="33"/>
        <v>90.7516539206689</v>
      </c>
      <c r="S216" s="1">
        <f t="shared" si="34"/>
        <v>69.888828764320778</v>
      </c>
    </row>
    <row r="217" spans="1:19" x14ac:dyDescent="0.3">
      <c r="A217">
        <v>7347.4</v>
      </c>
      <c r="B217">
        <v>85.387704999999997</v>
      </c>
      <c r="C217">
        <v>86.761700000000005</v>
      </c>
      <c r="D217">
        <v>88.189773000000002</v>
      </c>
      <c r="E217">
        <v>67.536844000000002</v>
      </c>
      <c r="F217">
        <v>45.970225999999997</v>
      </c>
      <c r="G217">
        <v>30.035135</v>
      </c>
      <c r="H217">
        <v>30.938144000000001</v>
      </c>
      <c r="I217"/>
      <c r="N217"/>
      <c r="O217"/>
      <c r="P217" s="1">
        <f t="shared" si="31"/>
        <v>87.591267276422769</v>
      </c>
      <c r="Q217" s="1">
        <f t="shared" si="32"/>
        <v>88.962341463414631</v>
      </c>
      <c r="R217" s="1">
        <f t="shared" si="33"/>
        <v>90.710729071071668</v>
      </c>
      <c r="S217" s="1">
        <f t="shared" si="34"/>
        <v>69.887402823240578</v>
      </c>
    </row>
    <row r="218" spans="1:19" x14ac:dyDescent="0.3">
      <c r="A218">
        <v>7347.6</v>
      </c>
      <c r="B218">
        <v>85.387704999999997</v>
      </c>
      <c r="C218">
        <v>86.761700000000005</v>
      </c>
      <c r="D218">
        <v>88.189773000000002</v>
      </c>
      <c r="E218">
        <v>67.536844000000002</v>
      </c>
      <c r="F218">
        <v>45.970225999999997</v>
      </c>
      <c r="G218">
        <v>30.035135</v>
      </c>
      <c r="H218">
        <v>30.938144000000001</v>
      </c>
      <c r="I218"/>
      <c r="N218"/>
      <c r="O218"/>
      <c r="P218" s="1">
        <f t="shared" si="31"/>
        <v>87.591267276422769</v>
      </c>
      <c r="Q218" s="1">
        <f t="shared" si="32"/>
        <v>88.962341463414631</v>
      </c>
      <c r="R218" s="1">
        <f t="shared" si="33"/>
        <v>90.710729071071668</v>
      </c>
      <c r="S218" s="1">
        <f t="shared" si="34"/>
        <v>69.887402823240578</v>
      </c>
    </row>
    <row r="219" spans="1:19" x14ac:dyDescent="0.3">
      <c r="A219">
        <v>7347.8</v>
      </c>
      <c r="B219">
        <v>85.422522000000001</v>
      </c>
      <c r="C219">
        <v>86.750432000000004</v>
      </c>
      <c r="D219">
        <v>88.181039999999996</v>
      </c>
      <c r="E219">
        <v>67.491617000000005</v>
      </c>
      <c r="F219">
        <v>45.718730000000001</v>
      </c>
      <c r="G219">
        <v>30.016196000000001</v>
      </c>
      <c r="H219">
        <v>30.939184999999998</v>
      </c>
      <c r="I219"/>
      <c r="N219"/>
      <c r="O219"/>
      <c r="P219" s="1">
        <f t="shared" si="31"/>
        <v>87.585328252032525</v>
      </c>
      <c r="Q219" s="1">
        <f t="shared" si="32"/>
        <v>88.952935975609762</v>
      </c>
      <c r="R219" s="1">
        <f t="shared" si="33"/>
        <v>90.704325481798719</v>
      </c>
      <c r="S219" s="1">
        <f t="shared" si="34"/>
        <v>69.909210310965634</v>
      </c>
    </row>
    <row r="220" spans="1:19" x14ac:dyDescent="0.3">
      <c r="A220">
        <v>7348</v>
      </c>
      <c r="B220">
        <v>85.422522000000001</v>
      </c>
      <c r="C220">
        <v>86.750432000000004</v>
      </c>
      <c r="D220">
        <v>88.181039999999996</v>
      </c>
      <c r="E220">
        <v>67.491617000000005</v>
      </c>
      <c r="F220">
        <v>45.718730000000001</v>
      </c>
      <c r="G220">
        <v>30.016196000000001</v>
      </c>
      <c r="H220">
        <v>30.939184999999998</v>
      </c>
      <c r="I220" t="s">
        <v>56</v>
      </c>
      <c r="N220"/>
      <c r="O220"/>
      <c r="P220" s="1">
        <f t="shared" si="31"/>
        <v>87.585328252032525</v>
      </c>
      <c r="Q220" s="1">
        <f t="shared" si="32"/>
        <v>88.952935975609762</v>
      </c>
      <c r="R220" s="1">
        <f t="shared" si="33"/>
        <v>90.704325481798719</v>
      </c>
      <c r="S220" s="1">
        <f t="shared" si="34"/>
        <v>69.909210310965634</v>
      </c>
    </row>
    <row r="221" spans="1:19" x14ac:dyDescent="0.3">
      <c r="A221">
        <v>7348.2</v>
      </c>
      <c r="B221">
        <v>85.402981999999994</v>
      </c>
      <c r="C221">
        <v>86.768868999999995</v>
      </c>
      <c r="D221">
        <v>88.166953000000007</v>
      </c>
      <c r="E221">
        <v>67.476027999999999</v>
      </c>
      <c r="F221">
        <v>45.606999999999999</v>
      </c>
      <c r="G221">
        <v>30.032418</v>
      </c>
      <c r="H221">
        <v>30.925564000000001</v>
      </c>
      <c r="I221"/>
      <c r="N221"/>
      <c r="O221"/>
      <c r="P221" s="1">
        <f t="shared" si="31"/>
        <v>87.572225609756103</v>
      </c>
      <c r="Q221" s="1">
        <f t="shared" si="32"/>
        <v>88.966253048780487</v>
      </c>
      <c r="R221" s="1">
        <f t="shared" si="33"/>
        <v>90.738974202100536</v>
      </c>
      <c r="S221" s="1">
        <f t="shared" si="34"/>
        <v>69.923858428805232</v>
      </c>
    </row>
    <row r="222" spans="1:19" x14ac:dyDescent="0.3">
      <c r="A222">
        <v>7348.4</v>
      </c>
      <c r="B222">
        <v>85.402981999999994</v>
      </c>
      <c r="C222">
        <v>86.768868999999995</v>
      </c>
      <c r="D222">
        <v>88.166953000000007</v>
      </c>
      <c r="E222">
        <v>67.476027999999999</v>
      </c>
      <c r="F222">
        <v>45.606999999999999</v>
      </c>
      <c r="G222">
        <v>30.032418</v>
      </c>
      <c r="H222">
        <v>30.925564000000001</v>
      </c>
      <c r="I222"/>
      <c r="N222"/>
      <c r="O222"/>
      <c r="P222" s="1">
        <f t="shared" si="31"/>
        <v>87.572225609756103</v>
      </c>
      <c r="Q222" s="1">
        <f t="shared" si="32"/>
        <v>88.966253048780487</v>
      </c>
      <c r="R222" s="1">
        <f t="shared" si="33"/>
        <v>90.738974202100536</v>
      </c>
      <c r="S222" s="1">
        <f t="shared" si="34"/>
        <v>69.923858428805232</v>
      </c>
    </row>
    <row r="223" spans="1:19" x14ac:dyDescent="0.3">
      <c r="A223">
        <v>7348.6</v>
      </c>
      <c r="B223">
        <v>85.418133999999995</v>
      </c>
      <c r="C223">
        <v>86.760519000000002</v>
      </c>
      <c r="D223">
        <v>88.173509999999993</v>
      </c>
      <c r="E223">
        <v>67.488157000000001</v>
      </c>
      <c r="F223">
        <v>45.801288999999997</v>
      </c>
      <c r="G223">
        <v>30.044589999999999</v>
      </c>
      <c r="H223">
        <v>30.933028</v>
      </c>
      <c r="I223"/>
      <c r="N223"/>
      <c r="O223"/>
      <c r="P223" s="1">
        <f t="shared" si="31"/>
        <v>87.58053760162602</v>
      </c>
      <c r="Q223" s="1">
        <f t="shared" si="32"/>
        <v>88.970906504065056</v>
      </c>
      <c r="R223" s="1">
        <f t="shared" si="33"/>
        <v>90.731678392984605</v>
      </c>
      <c r="S223" s="1">
        <f t="shared" si="34"/>
        <v>69.968849222585916</v>
      </c>
    </row>
    <row r="224" spans="1:19" x14ac:dyDescent="0.3">
      <c r="A224">
        <v>7348.8</v>
      </c>
      <c r="B224">
        <v>85.418133999999995</v>
      </c>
      <c r="C224">
        <v>86.760519000000002</v>
      </c>
      <c r="D224">
        <v>88.173509999999993</v>
      </c>
      <c r="E224">
        <v>67.488157000000001</v>
      </c>
      <c r="F224">
        <v>45.801288999999997</v>
      </c>
      <c r="G224">
        <v>30.044589999999999</v>
      </c>
      <c r="H224">
        <v>30.933028</v>
      </c>
      <c r="I224"/>
      <c r="N224"/>
      <c r="O224"/>
      <c r="P224" s="1">
        <f t="shared" si="31"/>
        <v>87.58053760162602</v>
      </c>
      <c r="Q224" s="1">
        <f t="shared" si="32"/>
        <v>88.970906504065056</v>
      </c>
      <c r="R224" s="1">
        <f t="shared" si="33"/>
        <v>90.731678392984605</v>
      </c>
      <c r="S224" s="1">
        <f t="shared" si="34"/>
        <v>69.968849222585916</v>
      </c>
    </row>
    <row r="225" spans="1:19" x14ac:dyDescent="0.3">
      <c r="A225">
        <v>8344</v>
      </c>
      <c r="B225">
        <v>92.54383</v>
      </c>
      <c r="C225">
        <v>94.351080999999994</v>
      </c>
      <c r="D225">
        <v>96.183449999999993</v>
      </c>
      <c r="E225">
        <v>70.628299999999996</v>
      </c>
      <c r="F225">
        <v>47.742449999999998</v>
      </c>
      <c r="G225">
        <v>30.010484000000002</v>
      </c>
      <c r="H225">
        <v>31.146018999999999</v>
      </c>
      <c r="I225" t="s">
        <v>56</v>
      </c>
      <c r="N225"/>
      <c r="O225"/>
      <c r="P225" s="1">
        <f t="shared" si="31"/>
        <v>87.591700203252046</v>
      </c>
      <c r="Q225" s="1">
        <f t="shared" si="32"/>
        <v>88.965076219512198</v>
      </c>
      <c r="R225" s="1">
        <f t="shared" si="33"/>
        <v>90.749281125726526</v>
      </c>
      <c r="S225" s="1">
        <f t="shared" si="34"/>
        <v>69.90938829787234</v>
      </c>
    </row>
    <row r="226" spans="1:19" x14ac:dyDescent="0.3">
      <c r="A226">
        <v>8344.2000000000007</v>
      </c>
      <c r="B226">
        <v>92.576363999999998</v>
      </c>
      <c r="C226">
        <v>94.360336000000004</v>
      </c>
      <c r="D226">
        <v>96.176171999999994</v>
      </c>
      <c r="E226">
        <v>70.601366999999996</v>
      </c>
      <c r="F226">
        <v>47.137008999999999</v>
      </c>
      <c r="G226">
        <v>29.982991999999999</v>
      </c>
      <c r="H226">
        <v>31.12114</v>
      </c>
      <c r="I226"/>
      <c r="N226"/>
      <c r="O226"/>
      <c r="P226" s="1">
        <f t="shared" si="31"/>
        <v>87.591700203252046</v>
      </c>
      <c r="Q226" s="1">
        <f t="shared" si="32"/>
        <v>88.965076219512198</v>
      </c>
      <c r="R226" s="1">
        <f t="shared" si="33"/>
        <v>90.749281125726526</v>
      </c>
      <c r="S226" s="1">
        <f t="shared" si="34"/>
        <v>69.90938829787234</v>
      </c>
    </row>
    <row r="227" spans="1:19" x14ac:dyDescent="0.3">
      <c r="A227">
        <v>8344.4</v>
      </c>
      <c r="B227">
        <v>92.576363999999998</v>
      </c>
      <c r="C227">
        <v>94.360336000000004</v>
      </c>
      <c r="D227">
        <v>96.176171999999994</v>
      </c>
      <c r="E227">
        <v>70.601366999999996</v>
      </c>
      <c r="F227">
        <v>47.137008999999999</v>
      </c>
      <c r="G227">
        <v>29.982991999999999</v>
      </c>
      <c r="H227">
        <v>31.12114</v>
      </c>
      <c r="I227"/>
      <c r="N227"/>
      <c r="O227"/>
      <c r="P227" s="1">
        <f t="shared" si="31"/>
        <v>87.574953252032529</v>
      </c>
      <c r="Q227" s="1">
        <f t="shared" si="32"/>
        <v>88.963466463414647</v>
      </c>
      <c r="R227" s="1">
        <f t="shared" si="33"/>
        <v>90.743082492097486</v>
      </c>
      <c r="S227" s="1">
        <f t="shared" si="34"/>
        <v>69.904573445171849</v>
      </c>
    </row>
    <row r="228" spans="1:19" x14ac:dyDescent="0.3">
      <c r="A228">
        <v>8344.6</v>
      </c>
      <c r="B228">
        <v>92.576288000000005</v>
      </c>
      <c r="C228">
        <v>94.383183000000002</v>
      </c>
      <c r="D228">
        <v>96.168415999999993</v>
      </c>
      <c r="E228">
        <v>70.379495000000006</v>
      </c>
      <c r="F228">
        <v>46.625399999999999</v>
      </c>
      <c r="G228">
        <v>29.986007000000001</v>
      </c>
      <c r="H228">
        <v>31.115462000000001</v>
      </c>
      <c r="I228"/>
      <c r="N228"/>
      <c r="O228"/>
      <c r="P228" s="1">
        <f t="shared" si="31"/>
        <v>87.574953252032529</v>
      </c>
      <c r="Q228" s="1">
        <f t="shared" si="32"/>
        <v>88.963466463414647</v>
      </c>
      <c r="R228" s="1">
        <f t="shared" si="33"/>
        <v>90.743082492097486</v>
      </c>
      <c r="S228" s="1">
        <f t="shared" si="34"/>
        <v>69.904573445171849</v>
      </c>
    </row>
    <row r="229" spans="1:19" x14ac:dyDescent="0.3">
      <c r="A229">
        <v>8344.7999999999993</v>
      </c>
      <c r="B229">
        <v>92.576288000000005</v>
      </c>
      <c r="C229">
        <v>94.383183000000002</v>
      </c>
      <c r="D229">
        <v>96.168415999999993</v>
      </c>
      <c r="E229">
        <v>70.379495000000006</v>
      </c>
      <c r="F229">
        <v>46.625399999999999</v>
      </c>
      <c r="G229">
        <v>29.986007000000001</v>
      </c>
      <c r="H229">
        <v>31.115462000000001</v>
      </c>
      <c r="I229"/>
      <c r="N229"/>
      <c r="O229"/>
      <c r="P229" s="1">
        <f t="shared" si="31"/>
        <v>87.577069105691066</v>
      </c>
      <c r="Q229" s="1">
        <f t="shared" si="32"/>
        <v>88.965589430894312</v>
      </c>
      <c r="R229" s="1">
        <f t="shared" si="33"/>
        <v>90.739688997654724</v>
      </c>
      <c r="S229" s="1">
        <f t="shared" si="34"/>
        <v>69.887887684124394</v>
      </c>
    </row>
    <row r="230" spans="1:19" x14ac:dyDescent="0.3">
      <c r="A230">
        <v>8345</v>
      </c>
      <c r="B230">
        <v>92.574717000000007</v>
      </c>
      <c r="C230">
        <v>94.364131</v>
      </c>
      <c r="D230">
        <v>96.179045000000002</v>
      </c>
      <c r="E230">
        <v>70.490629999999996</v>
      </c>
      <c r="F230">
        <v>46.873036999999997</v>
      </c>
      <c r="G230">
        <v>29.998925</v>
      </c>
      <c r="H230">
        <v>31.134473</v>
      </c>
      <c r="I230" t="s">
        <v>56</v>
      </c>
      <c r="N230"/>
      <c r="O230"/>
      <c r="P230" s="1">
        <f t="shared" si="31"/>
        <v>87.577069105691066</v>
      </c>
      <c r="Q230" s="1">
        <f t="shared" si="32"/>
        <v>88.965589430894312</v>
      </c>
      <c r="R230" s="1">
        <f t="shared" si="33"/>
        <v>90.739688997654724</v>
      </c>
      <c r="S230" s="1">
        <f t="shared" si="34"/>
        <v>69.887887684124394</v>
      </c>
    </row>
    <row r="231" spans="1:19" x14ac:dyDescent="0.3">
      <c r="A231">
        <v>8345.2000000000007</v>
      </c>
      <c r="B231">
        <v>92.574717000000007</v>
      </c>
      <c r="C231">
        <v>94.364131</v>
      </c>
      <c r="D231">
        <v>96.179045000000002</v>
      </c>
      <c r="E231">
        <v>70.490629999999996</v>
      </c>
      <c r="F231">
        <v>46.873036999999997</v>
      </c>
      <c r="G231">
        <v>29.998925</v>
      </c>
      <c r="H231">
        <v>31.134473</v>
      </c>
      <c r="I231"/>
      <c r="N231"/>
      <c r="O231"/>
      <c r="P231" s="1">
        <f t="shared" si="31"/>
        <v>87.587775406504079</v>
      </c>
      <c r="Q231" s="1">
        <f t="shared" si="32"/>
        <v>88.979544715447162</v>
      </c>
      <c r="R231" s="1">
        <f t="shared" si="33"/>
        <v>90.723767716936877</v>
      </c>
      <c r="S231" s="1">
        <f t="shared" si="34"/>
        <v>69.885288461538451</v>
      </c>
    </row>
    <row r="232" spans="1:19" x14ac:dyDescent="0.3">
      <c r="A232">
        <v>8345.4</v>
      </c>
      <c r="B232">
        <v>92.577218999999999</v>
      </c>
      <c r="C232">
        <v>94.367321000000004</v>
      </c>
      <c r="D232">
        <v>96.198258999999993</v>
      </c>
      <c r="E232">
        <v>70.327990999999997</v>
      </c>
      <c r="F232">
        <v>46.599182999999996</v>
      </c>
      <c r="G232">
        <v>29.999682</v>
      </c>
      <c r="H232">
        <v>31.130766999999999</v>
      </c>
      <c r="I232"/>
      <c r="N232"/>
      <c r="O232"/>
      <c r="P232" s="1">
        <f t="shared" si="31"/>
        <v>87.587775406504079</v>
      </c>
      <c r="Q232" s="1">
        <f t="shared" si="32"/>
        <v>88.979544715447162</v>
      </c>
      <c r="R232" s="1">
        <f t="shared" si="33"/>
        <v>90.723767716936877</v>
      </c>
      <c r="S232" s="1">
        <f t="shared" si="34"/>
        <v>69.885288461538451</v>
      </c>
    </row>
    <row r="233" spans="1:19" x14ac:dyDescent="0.3">
      <c r="A233">
        <v>8345.6</v>
      </c>
      <c r="B233">
        <v>92.577218999999999</v>
      </c>
      <c r="C233">
        <v>94.367321000000004</v>
      </c>
      <c r="D233">
        <v>96.198258999999993</v>
      </c>
      <c r="E233">
        <v>70.327990999999997</v>
      </c>
      <c r="F233">
        <v>46.599182999999996</v>
      </c>
      <c r="G233">
        <v>29.999682</v>
      </c>
      <c r="H233">
        <v>31.130766999999999</v>
      </c>
      <c r="I233"/>
      <c r="N233"/>
      <c r="O233"/>
      <c r="P233" s="1">
        <f t="shared" si="31"/>
        <v>87.594174796747964</v>
      </c>
      <c r="Q233" s="1">
        <f t="shared" si="32"/>
        <v>88.965486788617895</v>
      </c>
      <c r="R233" s="1">
        <f t="shared" si="33"/>
        <v>90.742802080146831</v>
      </c>
      <c r="S233" s="1">
        <f t="shared" si="34"/>
        <v>69.92171951718494</v>
      </c>
    </row>
    <row r="234" spans="1:19" x14ac:dyDescent="0.3">
      <c r="A234">
        <v>8345.7999999999993</v>
      </c>
      <c r="B234">
        <v>92.588558000000006</v>
      </c>
      <c r="C234">
        <v>94.375516000000005</v>
      </c>
      <c r="D234">
        <v>96.186537000000001</v>
      </c>
      <c r="E234">
        <v>70.204344000000006</v>
      </c>
      <c r="F234">
        <v>45.948391999999998</v>
      </c>
      <c r="G234">
        <v>30.004749</v>
      </c>
      <c r="H234">
        <v>31.115867999999999</v>
      </c>
      <c r="I234"/>
      <c r="N234"/>
      <c r="O234"/>
      <c r="P234" s="1">
        <f t="shared" si="31"/>
        <v>87.594174796747964</v>
      </c>
      <c r="Q234" s="1">
        <f t="shared" si="32"/>
        <v>88.965486788617895</v>
      </c>
      <c r="R234" s="1">
        <f t="shared" si="33"/>
        <v>90.742802080146831</v>
      </c>
      <c r="S234" s="1">
        <f t="shared" si="34"/>
        <v>69.92171951718494</v>
      </c>
    </row>
    <row r="235" spans="1:19" x14ac:dyDescent="0.3">
      <c r="A235">
        <v>8346</v>
      </c>
      <c r="B235">
        <v>92.588558000000006</v>
      </c>
      <c r="C235">
        <v>94.375516000000005</v>
      </c>
      <c r="D235">
        <v>96.186537000000001</v>
      </c>
      <c r="E235">
        <v>70.204344000000006</v>
      </c>
      <c r="F235">
        <v>45.948391999999998</v>
      </c>
      <c r="G235">
        <v>30.004749</v>
      </c>
      <c r="H235">
        <v>31.115867999999999</v>
      </c>
      <c r="I235" t="s">
        <v>56</v>
      </c>
      <c r="N235"/>
      <c r="O235"/>
      <c r="P235" s="1">
        <f t="shared" si="31"/>
        <v>87.575411585365856</v>
      </c>
      <c r="Q235" s="1">
        <f t="shared" si="32"/>
        <v>88.971747967479686</v>
      </c>
      <c r="R235" s="1">
        <f t="shared" si="33"/>
        <v>90.751578464362183</v>
      </c>
      <c r="S235" s="1">
        <f t="shared" si="34"/>
        <v>70.029300327332237</v>
      </c>
    </row>
    <row r="236" spans="1:19" x14ac:dyDescent="0.3">
      <c r="A236">
        <v>8346.2000000000007</v>
      </c>
      <c r="B236">
        <v>92.574552999999995</v>
      </c>
      <c r="C236">
        <v>94.359654000000006</v>
      </c>
      <c r="D236">
        <v>96.191079999999999</v>
      </c>
      <c r="E236">
        <v>69.924532999999997</v>
      </c>
      <c r="F236">
        <v>46.128999</v>
      </c>
      <c r="G236">
        <v>30.004318000000001</v>
      </c>
      <c r="H236">
        <v>31.127884000000002</v>
      </c>
      <c r="I236"/>
      <c r="N236"/>
      <c r="O236"/>
      <c r="P236" s="1">
        <f t="shared" ref="P236:P299" si="35">(B218+Q$36)/P$36</f>
        <v>87.575411585365856</v>
      </c>
      <c r="Q236" s="1">
        <f t="shared" ref="Q236:Q299" si="36">(C218+Q$36)/P$36</f>
        <v>88.971747967479686</v>
      </c>
      <c r="R236" s="1">
        <f t="shared" ref="R236:R299" si="37">(D218+Q$38)/P$38</f>
        <v>90.751578464362183</v>
      </c>
      <c r="S236" s="1">
        <f t="shared" ref="S236:S299" si="38">(E218+Q$39)/P$39</f>
        <v>70.029300327332237</v>
      </c>
    </row>
    <row r="237" spans="1:19" x14ac:dyDescent="0.3">
      <c r="A237">
        <v>8346.4</v>
      </c>
      <c r="B237">
        <v>92.574552999999995</v>
      </c>
      <c r="C237">
        <v>94.359654000000006</v>
      </c>
      <c r="D237">
        <v>96.191079999999999</v>
      </c>
      <c r="E237">
        <v>69.924532999999997</v>
      </c>
      <c r="F237">
        <v>46.128999</v>
      </c>
      <c r="G237">
        <v>30.004318000000001</v>
      </c>
      <c r="H237">
        <v>31.127884000000002</v>
      </c>
      <c r="I237"/>
      <c r="N237"/>
      <c r="O237"/>
      <c r="P237" s="1">
        <f t="shared" si="35"/>
        <v>87.610794715447156</v>
      </c>
      <c r="Q237" s="1">
        <f t="shared" si="36"/>
        <v>88.96029674796749</v>
      </c>
      <c r="R237" s="1">
        <f t="shared" si="37"/>
        <v>90.742673600489439</v>
      </c>
      <c r="S237" s="1">
        <f t="shared" si="38"/>
        <v>69.983037029459908</v>
      </c>
    </row>
    <row r="238" spans="1:19" x14ac:dyDescent="0.3">
      <c r="A238">
        <v>8346.6</v>
      </c>
      <c r="B238">
        <v>92.560171999999994</v>
      </c>
      <c r="C238">
        <v>94.346136999999999</v>
      </c>
      <c r="D238">
        <v>96.187113999999994</v>
      </c>
      <c r="E238">
        <v>70.296549999999996</v>
      </c>
      <c r="F238">
        <v>46.550871000000001</v>
      </c>
      <c r="G238">
        <v>29.988579999999999</v>
      </c>
      <c r="H238">
        <v>31.136115</v>
      </c>
      <c r="I238"/>
      <c r="N238"/>
      <c r="O238"/>
      <c r="P238" s="1">
        <f t="shared" si="35"/>
        <v>87.610794715447156</v>
      </c>
      <c r="Q238" s="1">
        <f t="shared" si="36"/>
        <v>88.96029674796749</v>
      </c>
      <c r="R238" s="1">
        <f t="shared" si="37"/>
        <v>90.742673600489439</v>
      </c>
      <c r="S238" s="1">
        <f t="shared" si="38"/>
        <v>69.983037029459908</v>
      </c>
    </row>
    <row r="239" spans="1:19" x14ac:dyDescent="0.3">
      <c r="A239">
        <v>8346.7999999999993</v>
      </c>
      <c r="B239">
        <v>92.560171999999994</v>
      </c>
      <c r="C239">
        <v>94.346136999999999</v>
      </c>
      <c r="D239">
        <v>96.187113999999994</v>
      </c>
      <c r="E239">
        <v>70.296549999999996</v>
      </c>
      <c r="F239">
        <v>46.550871000000001</v>
      </c>
      <c r="G239">
        <v>29.988579999999999</v>
      </c>
      <c r="H239">
        <v>31.136115</v>
      </c>
      <c r="I239"/>
      <c r="N239"/>
      <c r="O239"/>
      <c r="P239" s="1">
        <f t="shared" si="35"/>
        <v>87.590936991869924</v>
      </c>
      <c r="Q239" s="1">
        <f t="shared" si="36"/>
        <v>88.979033536585362</v>
      </c>
      <c r="R239" s="1">
        <f t="shared" si="37"/>
        <v>90.728309370857559</v>
      </c>
      <c r="S239" s="1">
        <f t="shared" si="38"/>
        <v>69.967090834697217</v>
      </c>
    </row>
    <row r="240" spans="1:19" x14ac:dyDescent="0.3">
      <c r="A240">
        <v>8347</v>
      </c>
      <c r="B240">
        <v>92.555066999999994</v>
      </c>
      <c r="C240">
        <v>94.340109999999996</v>
      </c>
      <c r="D240">
        <v>96.183824999999999</v>
      </c>
      <c r="E240">
        <v>70.526289000000006</v>
      </c>
      <c r="F240">
        <v>46.731110000000001</v>
      </c>
      <c r="G240">
        <v>30.00808</v>
      </c>
      <c r="H240">
        <v>31.133285000000001</v>
      </c>
      <c r="I240" t="s">
        <v>56</v>
      </c>
      <c r="N240"/>
      <c r="O240"/>
      <c r="P240" s="1">
        <f t="shared" si="35"/>
        <v>87.590936991869924</v>
      </c>
      <c r="Q240" s="1">
        <f t="shared" si="36"/>
        <v>88.979033536585362</v>
      </c>
      <c r="R240" s="1">
        <f t="shared" si="37"/>
        <v>90.728309370857559</v>
      </c>
      <c r="S240" s="1">
        <f t="shared" si="38"/>
        <v>69.967090834697217</v>
      </c>
    </row>
    <row r="241" spans="1:19" x14ac:dyDescent="0.3">
      <c r="A241">
        <v>8347.2000000000007</v>
      </c>
      <c r="B241">
        <v>92.555066999999994</v>
      </c>
      <c r="C241">
        <v>94.340109999999996</v>
      </c>
      <c r="D241">
        <v>96.183824999999999</v>
      </c>
      <c r="E241">
        <v>70.526289000000006</v>
      </c>
      <c r="F241">
        <v>46.731110000000001</v>
      </c>
      <c r="G241">
        <v>30.00808</v>
      </c>
      <c r="H241">
        <v>31.133285000000001</v>
      </c>
      <c r="I241"/>
      <c r="N241"/>
      <c r="O241"/>
      <c r="P241" s="1">
        <f t="shared" si="35"/>
        <v>87.606335365853653</v>
      </c>
      <c r="Q241" s="1">
        <f t="shared" si="36"/>
        <v>88.970547764227646</v>
      </c>
      <c r="R241" s="1">
        <f t="shared" si="37"/>
        <v>90.734995411440792</v>
      </c>
      <c r="S241" s="1">
        <f t="shared" si="38"/>
        <v>69.979497749590834</v>
      </c>
    </row>
    <row r="242" spans="1:19" x14ac:dyDescent="0.3">
      <c r="A242">
        <v>8347.4</v>
      </c>
      <c r="B242">
        <v>92.572466000000006</v>
      </c>
      <c r="C242">
        <v>94.341900999999993</v>
      </c>
      <c r="D242">
        <v>96.192159000000004</v>
      </c>
      <c r="E242">
        <v>70.722069000000005</v>
      </c>
      <c r="F242">
        <v>47.207298999999999</v>
      </c>
      <c r="G242">
        <v>29.993162000000002</v>
      </c>
      <c r="H242">
        <v>31.108989999999999</v>
      </c>
      <c r="I242"/>
      <c r="N242"/>
      <c r="O242"/>
      <c r="P242" s="1">
        <f t="shared" si="35"/>
        <v>87.606335365853653</v>
      </c>
      <c r="Q242" s="1">
        <f t="shared" si="36"/>
        <v>88.970547764227646</v>
      </c>
      <c r="R242" s="1">
        <f t="shared" si="37"/>
        <v>90.734995411440792</v>
      </c>
      <c r="S242" s="1">
        <f t="shared" si="38"/>
        <v>69.979497749590834</v>
      </c>
    </row>
    <row r="243" spans="1:19" x14ac:dyDescent="0.3">
      <c r="A243">
        <v>8347.6</v>
      </c>
      <c r="B243">
        <v>92.572466000000006</v>
      </c>
      <c r="C243">
        <v>94.341900999999993</v>
      </c>
      <c r="D243">
        <v>96.192159000000004</v>
      </c>
      <c r="E243">
        <v>70.722069000000005</v>
      </c>
      <c r="F243">
        <v>47.207298999999999</v>
      </c>
      <c r="G243">
        <v>29.993162000000002</v>
      </c>
      <c r="H243">
        <v>31.108989999999999</v>
      </c>
      <c r="I243"/>
      <c r="N243"/>
      <c r="O243"/>
      <c r="P243" s="1">
        <f t="shared" si="35"/>
        <v>94.847896341463425</v>
      </c>
      <c r="Q243" s="1">
        <f t="shared" si="36"/>
        <v>96.684533536585363</v>
      </c>
      <c r="R243" s="1">
        <f t="shared" si="37"/>
        <v>98.902569593147746</v>
      </c>
      <c r="S243" s="1">
        <f t="shared" si="38"/>
        <v>73.191591653027814</v>
      </c>
    </row>
    <row r="244" spans="1:19" x14ac:dyDescent="0.3">
      <c r="A244">
        <v>8347.7999999999993</v>
      </c>
      <c r="B244">
        <v>92.567890000000006</v>
      </c>
      <c r="C244">
        <v>94.367270000000005</v>
      </c>
      <c r="D244">
        <v>96.163421</v>
      </c>
      <c r="E244">
        <v>70.783179000000004</v>
      </c>
      <c r="F244">
        <v>46.771397</v>
      </c>
      <c r="G244">
        <v>30.014268999999999</v>
      </c>
      <c r="H244">
        <v>31.086395</v>
      </c>
      <c r="I244"/>
      <c r="N244"/>
      <c r="O244"/>
      <c r="P244" s="1">
        <f t="shared" si="35"/>
        <v>94.880959349593496</v>
      </c>
      <c r="Q244" s="1">
        <f t="shared" si="36"/>
        <v>96.693939024390247</v>
      </c>
      <c r="R244" s="1">
        <f t="shared" si="37"/>
        <v>98.895148363413881</v>
      </c>
      <c r="S244" s="1">
        <f t="shared" si="38"/>
        <v>73.164041530278226</v>
      </c>
    </row>
    <row r="245" spans="1:19" x14ac:dyDescent="0.3">
      <c r="A245">
        <v>8348</v>
      </c>
      <c r="B245">
        <v>92.567890000000006</v>
      </c>
      <c r="C245">
        <v>94.367270000000005</v>
      </c>
      <c r="D245">
        <v>96.163421</v>
      </c>
      <c r="E245">
        <v>70.783179000000004</v>
      </c>
      <c r="F245">
        <v>46.771397</v>
      </c>
      <c r="G245">
        <v>30.014268999999999</v>
      </c>
      <c r="H245">
        <v>31.086395</v>
      </c>
      <c r="I245" t="s">
        <v>56</v>
      </c>
      <c r="N245"/>
      <c r="O245"/>
      <c r="P245" s="1">
        <f t="shared" si="35"/>
        <v>94.880959349593496</v>
      </c>
      <c r="Q245" s="1">
        <f t="shared" si="36"/>
        <v>96.693939024390247</v>
      </c>
      <c r="R245" s="1">
        <f t="shared" si="37"/>
        <v>98.895148363413881</v>
      </c>
      <c r="S245" s="1">
        <f t="shared" si="38"/>
        <v>73.164041530278226</v>
      </c>
    </row>
    <row r="246" spans="1:19" x14ac:dyDescent="0.3">
      <c r="A246">
        <v>8348.2000000000007</v>
      </c>
      <c r="B246">
        <v>92.586634000000004</v>
      </c>
      <c r="C246">
        <v>94.351799</v>
      </c>
      <c r="D246">
        <v>96.173321999999999</v>
      </c>
      <c r="E246">
        <v>70.596299999999999</v>
      </c>
      <c r="F246">
        <v>46.795166000000002</v>
      </c>
      <c r="G246">
        <v>30.008977999999999</v>
      </c>
      <c r="H246">
        <v>31.097548</v>
      </c>
      <c r="I246"/>
      <c r="N246"/>
      <c r="O246"/>
      <c r="P246" s="1">
        <f t="shared" si="35"/>
        <v>94.880882113821144</v>
      </c>
      <c r="Q246" s="1">
        <f t="shared" si="36"/>
        <v>96.717157520325216</v>
      </c>
      <c r="R246" s="1">
        <f t="shared" si="37"/>
        <v>98.887239726725795</v>
      </c>
      <c r="S246" s="1">
        <f t="shared" si="38"/>
        <v>72.937085720130938</v>
      </c>
    </row>
    <row r="247" spans="1:19" x14ac:dyDescent="0.3">
      <c r="A247">
        <v>8348.4</v>
      </c>
      <c r="B247">
        <v>92.586634000000004</v>
      </c>
      <c r="C247">
        <v>94.351799</v>
      </c>
      <c r="D247">
        <v>96.173321999999999</v>
      </c>
      <c r="E247">
        <v>70.596299999999999</v>
      </c>
      <c r="F247">
        <v>46.795166000000002</v>
      </c>
      <c r="G247">
        <v>30.008977999999999</v>
      </c>
      <c r="H247">
        <v>31.097548</v>
      </c>
      <c r="I247"/>
      <c r="N247"/>
      <c r="O247"/>
      <c r="P247" s="1">
        <f t="shared" si="35"/>
        <v>94.880882113821144</v>
      </c>
      <c r="Q247" s="1">
        <f t="shared" si="36"/>
        <v>96.717157520325216</v>
      </c>
      <c r="R247" s="1">
        <f t="shared" si="37"/>
        <v>98.887239726725795</v>
      </c>
      <c r="S247" s="1">
        <f t="shared" si="38"/>
        <v>72.937085720130938</v>
      </c>
    </row>
    <row r="248" spans="1:19" x14ac:dyDescent="0.3">
      <c r="A248">
        <v>8348.6</v>
      </c>
      <c r="B248">
        <v>92.607551999999998</v>
      </c>
      <c r="C248">
        <v>94.362339000000006</v>
      </c>
      <c r="D248">
        <v>96.179520999999994</v>
      </c>
      <c r="E248">
        <v>70.265719000000004</v>
      </c>
      <c r="F248">
        <v>46.079287000000001</v>
      </c>
      <c r="G248">
        <v>30.002891999999999</v>
      </c>
      <c r="H248">
        <v>31.109784999999999</v>
      </c>
      <c r="I248"/>
      <c r="N248"/>
      <c r="O248"/>
      <c r="P248" s="1">
        <f t="shared" si="35"/>
        <v>94.879285569105704</v>
      </c>
      <c r="Q248" s="1">
        <f t="shared" si="36"/>
        <v>96.697795731707316</v>
      </c>
      <c r="R248" s="1">
        <f t="shared" si="37"/>
        <v>98.898077903538294</v>
      </c>
      <c r="S248" s="1">
        <f t="shared" si="38"/>
        <v>73.050767184942714</v>
      </c>
    </row>
    <row r="249" spans="1:19" x14ac:dyDescent="0.3">
      <c r="A249">
        <v>8348.7999999999993</v>
      </c>
      <c r="B249">
        <v>92.607551999999998</v>
      </c>
      <c r="C249">
        <v>94.362339000000006</v>
      </c>
      <c r="D249">
        <v>96.179520999999994</v>
      </c>
      <c r="E249">
        <v>70.265719000000004</v>
      </c>
      <c r="F249">
        <v>46.079287000000001</v>
      </c>
      <c r="G249">
        <v>30.002891999999999</v>
      </c>
      <c r="H249">
        <v>31.109784999999999</v>
      </c>
      <c r="I249"/>
      <c r="N249"/>
      <c r="O249"/>
      <c r="P249" s="1">
        <f t="shared" si="35"/>
        <v>94.879285569105704</v>
      </c>
      <c r="Q249" s="1">
        <f t="shared" si="36"/>
        <v>96.697795731707316</v>
      </c>
      <c r="R249" s="1">
        <f t="shared" si="37"/>
        <v>98.898077903538294</v>
      </c>
      <c r="S249" s="1">
        <f t="shared" si="38"/>
        <v>73.050767184942714</v>
      </c>
    </row>
    <row r="250" spans="1:19" x14ac:dyDescent="0.3">
      <c r="A250">
        <v>8349</v>
      </c>
      <c r="B250">
        <v>92.627302</v>
      </c>
      <c r="C250">
        <v>94.390319000000005</v>
      </c>
      <c r="D250">
        <v>96.209401</v>
      </c>
      <c r="E250">
        <v>70.098867999999996</v>
      </c>
      <c r="F250">
        <v>46.026251000000002</v>
      </c>
      <c r="G250">
        <v>30.005687000000002</v>
      </c>
      <c r="H250">
        <v>31.105063000000001</v>
      </c>
      <c r="I250" t="s">
        <v>56</v>
      </c>
      <c r="N250"/>
      <c r="O250"/>
      <c r="P250" s="1">
        <f t="shared" si="35"/>
        <v>94.88182825203252</v>
      </c>
      <c r="Q250" s="1">
        <f t="shared" si="36"/>
        <v>96.701037601626027</v>
      </c>
      <c r="R250" s="1">
        <f t="shared" si="37"/>
        <v>98.917670031610058</v>
      </c>
      <c r="S250" s="1">
        <f t="shared" si="38"/>
        <v>72.884401595744677</v>
      </c>
    </row>
    <row r="251" spans="1:19" x14ac:dyDescent="0.3">
      <c r="A251">
        <v>8349.2000000000007</v>
      </c>
      <c r="B251">
        <v>92.627302</v>
      </c>
      <c r="C251">
        <v>94.390319000000005</v>
      </c>
      <c r="D251">
        <v>96.209401</v>
      </c>
      <c r="E251">
        <v>70.098867999999996</v>
      </c>
      <c r="F251">
        <v>46.026251000000002</v>
      </c>
      <c r="G251">
        <v>30.005687000000002</v>
      </c>
      <c r="H251">
        <v>31.105063000000001</v>
      </c>
      <c r="I251"/>
      <c r="N251"/>
      <c r="O251"/>
      <c r="P251" s="1">
        <f t="shared" si="35"/>
        <v>94.88182825203252</v>
      </c>
      <c r="Q251" s="1">
        <f t="shared" si="36"/>
        <v>96.701037601626027</v>
      </c>
      <c r="R251" s="1">
        <f t="shared" si="37"/>
        <v>98.917670031610058</v>
      </c>
      <c r="S251" s="1">
        <f t="shared" si="38"/>
        <v>72.884401595744677</v>
      </c>
    </row>
    <row r="252" spans="1:19" x14ac:dyDescent="0.3">
      <c r="A252">
        <v>8349.4</v>
      </c>
      <c r="B252">
        <v>92.607941999999994</v>
      </c>
      <c r="C252">
        <v>94.381794999999997</v>
      </c>
      <c r="D252">
        <v>96.201369999999997</v>
      </c>
      <c r="E252">
        <v>70.057294999999996</v>
      </c>
      <c r="F252">
        <v>45.851953999999999</v>
      </c>
      <c r="G252">
        <v>29.989830000000001</v>
      </c>
      <c r="H252">
        <v>31.110593000000001</v>
      </c>
      <c r="I252"/>
      <c r="N252"/>
      <c r="O252"/>
      <c r="P252" s="1">
        <f t="shared" si="35"/>
        <v>94.893351626016269</v>
      </c>
      <c r="Q252" s="1">
        <f t="shared" si="36"/>
        <v>96.709365853658539</v>
      </c>
      <c r="R252" s="1">
        <f t="shared" si="37"/>
        <v>98.905717344753739</v>
      </c>
      <c r="S252" s="1">
        <f t="shared" si="38"/>
        <v>72.757921440261867</v>
      </c>
    </row>
    <row r="253" spans="1:19" x14ac:dyDescent="0.3">
      <c r="A253">
        <v>8349.6</v>
      </c>
      <c r="B253">
        <v>92.607941999999994</v>
      </c>
      <c r="C253">
        <v>94.381794999999997</v>
      </c>
      <c r="D253">
        <v>96.201369999999997</v>
      </c>
      <c r="E253">
        <v>70.057294999999996</v>
      </c>
      <c r="F253">
        <v>45.851953999999999</v>
      </c>
      <c r="G253">
        <v>29.989830000000001</v>
      </c>
      <c r="H253">
        <v>31.110593000000001</v>
      </c>
      <c r="I253"/>
      <c r="N253"/>
      <c r="O253"/>
      <c r="P253" s="1">
        <f t="shared" si="35"/>
        <v>94.893351626016269</v>
      </c>
      <c r="Q253" s="1">
        <f t="shared" si="36"/>
        <v>96.709365853658539</v>
      </c>
      <c r="R253" s="1">
        <f t="shared" si="37"/>
        <v>98.905717344753739</v>
      </c>
      <c r="S253" s="1">
        <f t="shared" si="38"/>
        <v>72.757921440261867</v>
      </c>
    </row>
    <row r="254" spans="1:19" x14ac:dyDescent="0.3">
      <c r="A254">
        <v>8349.7999999999993</v>
      </c>
      <c r="B254">
        <v>92.593986999999998</v>
      </c>
      <c r="C254">
        <v>94.395714999999996</v>
      </c>
      <c r="D254">
        <v>96.189698000000007</v>
      </c>
      <c r="E254">
        <v>70.122566000000006</v>
      </c>
      <c r="F254">
        <v>46.869103000000003</v>
      </c>
      <c r="G254">
        <v>29.996426</v>
      </c>
      <c r="H254">
        <v>31.133855000000001</v>
      </c>
      <c r="I254"/>
      <c r="N254"/>
      <c r="O254"/>
      <c r="P254" s="1">
        <f t="shared" si="35"/>
        <v>94.879118902439018</v>
      </c>
      <c r="Q254" s="1">
        <f t="shared" si="36"/>
        <v>96.693245934959364</v>
      </c>
      <c r="R254" s="1">
        <f t="shared" si="37"/>
        <v>98.91034975017844</v>
      </c>
      <c r="S254" s="1">
        <f t="shared" si="38"/>
        <v>72.471699058919796</v>
      </c>
    </row>
    <row r="255" spans="1:19" x14ac:dyDescent="0.3">
      <c r="A255">
        <v>8350</v>
      </c>
      <c r="B255">
        <v>92.593986999999998</v>
      </c>
      <c r="C255">
        <v>94.395714999999996</v>
      </c>
      <c r="D255">
        <v>96.189698000000007</v>
      </c>
      <c r="E255">
        <v>70.122566000000006</v>
      </c>
      <c r="F255">
        <v>46.869103000000003</v>
      </c>
      <c r="G255">
        <v>29.996426</v>
      </c>
      <c r="H255">
        <v>31.133855000000001</v>
      </c>
      <c r="I255" t="s">
        <v>56</v>
      </c>
      <c r="N255"/>
      <c r="O255"/>
      <c r="P255" s="1">
        <f t="shared" si="35"/>
        <v>94.879118902439018</v>
      </c>
      <c r="Q255" s="1">
        <f t="shared" si="36"/>
        <v>96.693245934959364</v>
      </c>
      <c r="R255" s="1">
        <f t="shared" si="37"/>
        <v>98.91034975017844</v>
      </c>
      <c r="S255" s="1">
        <f t="shared" si="38"/>
        <v>72.471699058919796</v>
      </c>
    </row>
    <row r="256" spans="1:19" x14ac:dyDescent="0.3">
      <c r="A256">
        <v>8350.2000000000007</v>
      </c>
      <c r="B256">
        <v>92.593636000000004</v>
      </c>
      <c r="C256">
        <v>94.372665999999995</v>
      </c>
      <c r="D256">
        <v>96.223230000000001</v>
      </c>
      <c r="E256">
        <v>70.418850000000006</v>
      </c>
      <c r="F256">
        <v>47.50253</v>
      </c>
      <c r="G256">
        <v>30.004614</v>
      </c>
      <c r="H256">
        <v>31.118082000000001</v>
      </c>
      <c r="I256"/>
      <c r="N256"/>
      <c r="O256"/>
      <c r="P256" s="1">
        <f t="shared" si="35"/>
        <v>94.864504065040649</v>
      </c>
      <c r="Q256" s="1">
        <f t="shared" si="36"/>
        <v>96.679509146341474</v>
      </c>
      <c r="R256" s="1">
        <f t="shared" si="37"/>
        <v>98.906305700010194</v>
      </c>
      <c r="S256" s="1">
        <f t="shared" si="38"/>
        <v>72.852240180032723</v>
      </c>
    </row>
    <row r="257" spans="1:19" x14ac:dyDescent="0.3">
      <c r="A257">
        <v>8350.4</v>
      </c>
      <c r="B257">
        <v>92.593636000000004</v>
      </c>
      <c r="C257">
        <v>94.372665999999995</v>
      </c>
      <c r="D257">
        <v>96.223230000000001</v>
      </c>
      <c r="E257">
        <v>70.418850000000006</v>
      </c>
      <c r="F257">
        <v>47.50253</v>
      </c>
      <c r="G257">
        <v>30.004614</v>
      </c>
      <c r="H257">
        <v>31.118082000000001</v>
      </c>
      <c r="I257"/>
      <c r="N257"/>
      <c r="O257"/>
      <c r="P257" s="1">
        <f t="shared" si="35"/>
        <v>94.864504065040649</v>
      </c>
      <c r="Q257" s="1">
        <f t="shared" si="36"/>
        <v>96.679509146341474</v>
      </c>
      <c r="R257" s="1">
        <f t="shared" si="37"/>
        <v>98.906305700010194</v>
      </c>
      <c r="S257" s="1">
        <f t="shared" si="38"/>
        <v>72.852240180032723</v>
      </c>
    </row>
    <row r="258" spans="1:19" x14ac:dyDescent="0.3">
      <c r="A258">
        <v>8350.6</v>
      </c>
      <c r="B258">
        <v>92.563792000000007</v>
      </c>
      <c r="C258">
        <v>94.357031000000006</v>
      </c>
      <c r="D258">
        <v>96.181691999999998</v>
      </c>
      <c r="E258">
        <v>70.580404999999999</v>
      </c>
      <c r="F258">
        <v>47.727344000000002</v>
      </c>
      <c r="G258">
        <v>29.982294</v>
      </c>
      <c r="H258">
        <v>31.135002</v>
      </c>
      <c r="I258"/>
      <c r="N258"/>
      <c r="O258"/>
      <c r="P258" s="1">
        <f t="shared" si="35"/>
        <v>94.859316056910572</v>
      </c>
      <c r="Q258" s="1">
        <f t="shared" si="36"/>
        <v>96.673384146341462</v>
      </c>
      <c r="R258" s="1">
        <f t="shared" si="37"/>
        <v>98.902951973080448</v>
      </c>
      <c r="S258" s="1">
        <f t="shared" si="38"/>
        <v>73.087243248772509</v>
      </c>
    </row>
    <row r="259" spans="1:19" x14ac:dyDescent="0.3">
      <c r="A259">
        <v>8350.7999999999993</v>
      </c>
      <c r="B259">
        <v>92.563792000000007</v>
      </c>
      <c r="C259">
        <v>94.357031000000006</v>
      </c>
      <c r="D259">
        <v>96.181691999999998</v>
      </c>
      <c r="E259">
        <v>70.580404999999999</v>
      </c>
      <c r="F259">
        <v>47.727344000000002</v>
      </c>
      <c r="G259">
        <v>29.982294</v>
      </c>
      <c r="H259">
        <v>31.135002</v>
      </c>
      <c r="I259"/>
      <c r="N259"/>
      <c r="O259"/>
      <c r="P259" s="1">
        <f t="shared" si="35"/>
        <v>94.859316056910572</v>
      </c>
      <c r="Q259" s="1">
        <f t="shared" si="36"/>
        <v>96.673384146341462</v>
      </c>
      <c r="R259" s="1">
        <f t="shared" si="37"/>
        <v>98.902951973080448</v>
      </c>
      <c r="S259" s="1">
        <f t="shared" si="38"/>
        <v>73.087243248772509</v>
      </c>
    </row>
    <row r="260" spans="1:19" x14ac:dyDescent="0.3">
      <c r="A260">
        <v>8351</v>
      </c>
      <c r="B260">
        <v>92.567285999999996</v>
      </c>
      <c r="C260">
        <v>94.375061000000002</v>
      </c>
      <c r="D260">
        <v>96.193989999999999</v>
      </c>
      <c r="E260">
        <v>70.229883999999998</v>
      </c>
      <c r="F260">
        <v>47.559317</v>
      </c>
      <c r="G260">
        <v>29.994558000000001</v>
      </c>
      <c r="H260">
        <v>31.121656000000002</v>
      </c>
      <c r="I260" t="s">
        <v>56</v>
      </c>
      <c r="N260"/>
      <c r="O260"/>
      <c r="P260" s="1">
        <f t="shared" si="35"/>
        <v>94.876997967479682</v>
      </c>
      <c r="Q260" s="1">
        <f t="shared" si="36"/>
        <v>96.675204268292674</v>
      </c>
      <c r="R260" s="1">
        <f t="shared" si="37"/>
        <v>98.911449984704802</v>
      </c>
      <c r="S260" s="1">
        <f t="shared" si="38"/>
        <v>73.287509206219312</v>
      </c>
    </row>
    <row r="261" spans="1:19" x14ac:dyDescent="0.3">
      <c r="A261">
        <v>8351.2000000000007</v>
      </c>
      <c r="B261">
        <v>92.567285999999996</v>
      </c>
      <c r="C261">
        <v>94.375061000000002</v>
      </c>
      <c r="D261">
        <v>96.193989999999999</v>
      </c>
      <c r="E261">
        <v>70.229883999999998</v>
      </c>
      <c r="F261">
        <v>47.559317</v>
      </c>
      <c r="G261">
        <v>29.994558000000001</v>
      </c>
      <c r="H261">
        <v>31.121656000000002</v>
      </c>
      <c r="I261"/>
      <c r="N261"/>
      <c r="O261"/>
      <c r="P261" s="1">
        <f t="shared" si="35"/>
        <v>94.876997967479682</v>
      </c>
      <c r="Q261" s="1">
        <f t="shared" si="36"/>
        <v>96.675204268292674</v>
      </c>
      <c r="R261" s="1">
        <f t="shared" si="37"/>
        <v>98.911449984704802</v>
      </c>
      <c r="S261" s="1">
        <f t="shared" si="38"/>
        <v>73.287509206219312</v>
      </c>
    </row>
    <row r="262" spans="1:19" x14ac:dyDescent="0.3">
      <c r="A262">
        <v>8351.4</v>
      </c>
      <c r="B262">
        <v>92.564268999999996</v>
      </c>
      <c r="C262">
        <v>94.369765000000001</v>
      </c>
      <c r="D262">
        <v>96.190299999999993</v>
      </c>
      <c r="E262">
        <v>70.185224000000005</v>
      </c>
      <c r="F262">
        <v>48.053398000000001</v>
      </c>
      <c r="G262">
        <v>30.009941999999999</v>
      </c>
      <c r="H262">
        <v>31.120585999999999</v>
      </c>
      <c r="I262"/>
      <c r="N262"/>
      <c r="O262"/>
      <c r="P262" s="1">
        <f t="shared" si="35"/>
        <v>94.872347560975626</v>
      </c>
      <c r="Q262" s="1">
        <f t="shared" si="36"/>
        <v>96.70098577235774</v>
      </c>
      <c r="R262" s="1">
        <f t="shared" si="37"/>
        <v>98.882146426022231</v>
      </c>
      <c r="S262" s="1">
        <f t="shared" si="38"/>
        <v>73.350019435351882</v>
      </c>
    </row>
    <row r="263" spans="1:19" x14ac:dyDescent="0.3">
      <c r="A263">
        <v>8351.6</v>
      </c>
      <c r="B263">
        <v>92.564268999999996</v>
      </c>
      <c r="C263">
        <v>94.369765000000001</v>
      </c>
      <c r="D263">
        <v>96.190299999999993</v>
      </c>
      <c r="E263">
        <v>70.185224000000005</v>
      </c>
      <c r="F263">
        <v>48.053398000000001</v>
      </c>
      <c r="G263">
        <v>30.009941999999999</v>
      </c>
      <c r="H263">
        <v>31.120585999999999</v>
      </c>
      <c r="I263"/>
      <c r="N263"/>
      <c r="O263"/>
      <c r="P263" s="1">
        <f t="shared" si="35"/>
        <v>94.872347560975626</v>
      </c>
      <c r="Q263" s="1">
        <f t="shared" si="36"/>
        <v>96.70098577235774</v>
      </c>
      <c r="R263" s="1">
        <f t="shared" si="37"/>
        <v>98.882146426022231</v>
      </c>
      <c r="S263" s="1">
        <f t="shared" si="38"/>
        <v>73.350019435351882</v>
      </c>
    </row>
    <row r="264" spans="1:19" x14ac:dyDescent="0.3">
      <c r="A264">
        <v>8351.7999999999993</v>
      </c>
      <c r="B264">
        <v>92.558700000000002</v>
      </c>
      <c r="C264">
        <v>94.350561999999996</v>
      </c>
      <c r="D264">
        <v>96.189032999999995</v>
      </c>
      <c r="E264">
        <v>70.298901000000001</v>
      </c>
      <c r="F264">
        <v>48.267609</v>
      </c>
      <c r="G264">
        <v>30.014067000000001</v>
      </c>
      <c r="H264">
        <v>31.155939</v>
      </c>
      <c r="I264"/>
      <c r="N264"/>
      <c r="O264"/>
      <c r="P264" s="1">
        <f t="shared" si="35"/>
        <v>94.89139634146342</v>
      </c>
      <c r="Q264" s="1">
        <f t="shared" si="36"/>
        <v>96.685263211382122</v>
      </c>
      <c r="R264" s="1">
        <f t="shared" si="37"/>
        <v>98.892242275925355</v>
      </c>
      <c r="S264" s="1">
        <f t="shared" si="38"/>
        <v>73.158858428805232</v>
      </c>
    </row>
    <row r="265" spans="1:19" x14ac:dyDescent="0.3">
      <c r="A265">
        <v>8352</v>
      </c>
      <c r="B265">
        <v>92.558700000000002</v>
      </c>
      <c r="C265">
        <v>94.350561999999996</v>
      </c>
      <c r="D265">
        <v>96.189032999999995</v>
      </c>
      <c r="E265">
        <v>70.298901000000001</v>
      </c>
      <c r="F265">
        <v>48.267609</v>
      </c>
      <c r="G265">
        <v>30.014067000000001</v>
      </c>
      <c r="H265">
        <v>31.155939</v>
      </c>
      <c r="I265" t="s">
        <v>56</v>
      </c>
      <c r="N265"/>
      <c r="O265"/>
      <c r="P265" s="1">
        <f t="shared" si="35"/>
        <v>94.89139634146342</v>
      </c>
      <c r="Q265" s="1">
        <f t="shared" si="36"/>
        <v>96.685263211382122</v>
      </c>
      <c r="R265" s="1">
        <f t="shared" si="37"/>
        <v>98.892242275925355</v>
      </c>
      <c r="S265" s="1">
        <f t="shared" si="38"/>
        <v>73.158858428805232</v>
      </c>
    </row>
    <row r="266" spans="1:19" x14ac:dyDescent="0.3">
      <c r="A266">
        <v>8352.2000000000007</v>
      </c>
      <c r="B266">
        <v>92.550667000000004</v>
      </c>
      <c r="C266">
        <v>94.355669000000006</v>
      </c>
      <c r="D266">
        <v>96.179884999999999</v>
      </c>
      <c r="E266">
        <v>70.053460999999999</v>
      </c>
      <c r="F266">
        <v>48.390377999999998</v>
      </c>
      <c r="G266">
        <v>29.995642</v>
      </c>
      <c r="H266">
        <v>31.139647</v>
      </c>
      <c r="I266"/>
      <c r="N266"/>
      <c r="O266"/>
      <c r="P266" s="1">
        <f t="shared" si="35"/>
        <v>94.912654471544712</v>
      </c>
      <c r="Q266" s="1">
        <f t="shared" si="36"/>
        <v>96.695974593495947</v>
      </c>
      <c r="R266" s="1">
        <f t="shared" si="37"/>
        <v>98.898563271132858</v>
      </c>
      <c r="S266" s="1">
        <f t="shared" si="38"/>
        <v>72.82070274140753</v>
      </c>
    </row>
    <row r="267" spans="1:19" x14ac:dyDescent="0.3">
      <c r="A267">
        <v>8352.4</v>
      </c>
      <c r="B267">
        <v>92.550667000000004</v>
      </c>
      <c r="C267">
        <v>94.355669000000006</v>
      </c>
      <c r="D267">
        <v>96.179884999999999</v>
      </c>
      <c r="E267">
        <v>70.053460999999999</v>
      </c>
      <c r="F267">
        <v>48.390377999999998</v>
      </c>
      <c r="G267">
        <v>29.995642</v>
      </c>
      <c r="H267">
        <v>31.139647</v>
      </c>
      <c r="I267"/>
      <c r="N267"/>
      <c r="O267"/>
      <c r="P267" s="1">
        <f t="shared" si="35"/>
        <v>94.912654471544712</v>
      </c>
      <c r="Q267" s="1">
        <f t="shared" si="36"/>
        <v>96.695974593495947</v>
      </c>
      <c r="R267" s="1">
        <f t="shared" si="37"/>
        <v>98.898563271132858</v>
      </c>
      <c r="S267" s="1">
        <f t="shared" si="38"/>
        <v>72.82070274140753</v>
      </c>
    </row>
    <row r="268" spans="1:19" x14ac:dyDescent="0.3">
      <c r="A268">
        <v>8352.6</v>
      </c>
      <c r="B268">
        <v>92.584306999999995</v>
      </c>
      <c r="C268">
        <v>94.346288000000001</v>
      </c>
      <c r="D268">
        <v>96.184100999999998</v>
      </c>
      <c r="E268">
        <v>69.970488000000003</v>
      </c>
      <c r="F268">
        <v>47.929474999999996</v>
      </c>
      <c r="G268">
        <v>30.013847999999999</v>
      </c>
      <c r="H268">
        <v>31.159711999999999</v>
      </c>
      <c r="I268"/>
      <c r="N268"/>
      <c r="O268"/>
      <c r="P268" s="1">
        <f t="shared" si="35"/>
        <v>94.932725609756105</v>
      </c>
      <c r="Q268" s="1">
        <f t="shared" si="36"/>
        <v>96.724409552845543</v>
      </c>
      <c r="R268" s="1">
        <f t="shared" si="37"/>
        <v>98.929031304170493</v>
      </c>
      <c r="S268" s="1">
        <f t="shared" si="38"/>
        <v>72.650028641571183</v>
      </c>
    </row>
    <row r="269" spans="1:19" x14ac:dyDescent="0.3">
      <c r="A269">
        <v>8352.7999999999993</v>
      </c>
      <c r="B269">
        <v>92.584306999999995</v>
      </c>
      <c r="C269">
        <v>94.346288000000001</v>
      </c>
      <c r="D269">
        <v>96.184100999999998</v>
      </c>
      <c r="E269">
        <v>69.970488000000003</v>
      </c>
      <c r="F269">
        <v>47.929474999999996</v>
      </c>
      <c r="G269">
        <v>30.013847999999999</v>
      </c>
      <c r="H269">
        <v>31.159711999999999</v>
      </c>
      <c r="I269"/>
      <c r="N269"/>
      <c r="O269"/>
      <c r="P269" s="1">
        <f t="shared" si="35"/>
        <v>94.932725609756105</v>
      </c>
      <c r="Q269" s="1">
        <f t="shared" si="36"/>
        <v>96.724409552845543</v>
      </c>
      <c r="R269" s="1">
        <f t="shared" si="37"/>
        <v>98.929031304170493</v>
      </c>
      <c r="S269" s="1">
        <f t="shared" si="38"/>
        <v>72.650028641571183</v>
      </c>
    </row>
    <row r="270" spans="1:19" x14ac:dyDescent="0.3">
      <c r="A270">
        <v>8353</v>
      </c>
      <c r="B270">
        <v>92.578800999999999</v>
      </c>
      <c r="C270">
        <v>94.356879000000006</v>
      </c>
      <c r="D270">
        <v>96.193512999999996</v>
      </c>
      <c r="E270">
        <v>69.961449999999999</v>
      </c>
      <c r="F270">
        <v>46.739829999999998</v>
      </c>
      <c r="G270">
        <v>29.987361</v>
      </c>
      <c r="H270">
        <v>31.135366999999999</v>
      </c>
      <c r="I270" t="s">
        <v>56</v>
      </c>
      <c r="N270"/>
      <c r="O270"/>
      <c r="P270" s="1">
        <f t="shared" si="35"/>
        <v>94.913050813008127</v>
      </c>
      <c r="Q270" s="1">
        <f t="shared" si="36"/>
        <v>96.715746951219515</v>
      </c>
      <c r="R270" s="1">
        <f t="shared" si="37"/>
        <v>98.920842255531753</v>
      </c>
      <c r="S270" s="1">
        <f t="shared" si="38"/>
        <v>72.60750306873976</v>
      </c>
    </row>
    <row r="271" spans="1:19" x14ac:dyDescent="0.3">
      <c r="A271">
        <v>8353.2000000000007</v>
      </c>
      <c r="B271">
        <v>92.578800999999999</v>
      </c>
      <c r="C271">
        <v>94.356879000000006</v>
      </c>
      <c r="D271">
        <v>96.193512999999996</v>
      </c>
      <c r="E271">
        <v>69.961449999999999</v>
      </c>
      <c r="F271">
        <v>46.739829999999998</v>
      </c>
      <c r="G271">
        <v>29.987361</v>
      </c>
      <c r="H271">
        <v>31.135366999999999</v>
      </c>
      <c r="I271"/>
      <c r="N271"/>
      <c r="O271"/>
      <c r="P271" s="1">
        <f t="shared" si="35"/>
        <v>94.913050813008127</v>
      </c>
      <c r="Q271" s="1">
        <f t="shared" si="36"/>
        <v>96.715746951219515</v>
      </c>
      <c r="R271" s="1">
        <f t="shared" si="37"/>
        <v>98.920842255531753</v>
      </c>
      <c r="S271" s="1">
        <f t="shared" si="38"/>
        <v>72.60750306873976</v>
      </c>
    </row>
    <row r="272" spans="1:19" x14ac:dyDescent="0.3">
      <c r="A272">
        <v>8353.4</v>
      </c>
      <c r="B272">
        <v>92.563213000000005</v>
      </c>
      <c r="C272">
        <v>94.354408000000006</v>
      </c>
      <c r="D272">
        <v>96.172529999999995</v>
      </c>
      <c r="E272">
        <v>70.269315000000006</v>
      </c>
      <c r="F272">
        <v>46.437116000000003</v>
      </c>
      <c r="G272">
        <v>29.987676</v>
      </c>
      <c r="H272">
        <v>31.156347</v>
      </c>
      <c r="I272"/>
      <c r="N272"/>
      <c r="O272"/>
      <c r="P272" s="1">
        <f t="shared" si="35"/>
        <v>94.898868902439034</v>
      </c>
      <c r="Q272" s="1">
        <f t="shared" si="36"/>
        <v>96.729893292682931</v>
      </c>
      <c r="R272" s="1">
        <f t="shared" si="37"/>
        <v>98.908940552666465</v>
      </c>
      <c r="S272" s="1">
        <f t="shared" si="38"/>
        <v>72.674269639934536</v>
      </c>
    </row>
    <row r="273" spans="1:19" x14ac:dyDescent="0.3">
      <c r="A273">
        <v>8353.6</v>
      </c>
      <c r="B273">
        <v>92.563213000000005</v>
      </c>
      <c r="C273">
        <v>94.354408000000006</v>
      </c>
      <c r="D273">
        <v>96.172529999999995</v>
      </c>
      <c r="E273">
        <v>70.269315000000006</v>
      </c>
      <c r="F273">
        <v>46.437116000000003</v>
      </c>
      <c r="G273">
        <v>29.987676</v>
      </c>
      <c r="H273">
        <v>31.156347</v>
      </c>
      <c r="I273"/>
      <c r="N273"/>
      <c r="O273"/>
      <c r="P273" s="1">
        <f t="shared" si="35"/>
        <v>94.898868902439034</v>
      </c>
      <c r="Q273" s="1">
        <f t="shared" si="36"/>
        <v>96.729893292682931</v>
      </c>
      <c r="R273" s="1">
        <f t="shared" si="37"/>
        <v>98.908940552666465</v>
      </c>
      <c r="S273" s="1">
        <f t="shared" si="38"/>
        <v>72.674269639934536</v>
      </c>
    </row>
    <row r="274" spans="1:19" x14ac:dyDescent="0.3">
      <c r="A274">
        <v>8353.7999999999993</v>
      </c>
      <c r="B274">
        <v>92.548277999999996</v>
      </c>
      <c r="C274">
        <v>94.343513000000002</v>
      </c>
      <c r="D274">
        <v>96.167787000000004</v>
      </c>
      <c r="E274">
        <v>70.528976</v>
      </c>
      <c r="F274">
        <v>45.767927</v>
      </c>
      <c r="G274">
        <v>30.013102</v>
      </c>
      <c r="H274">
        <v>31.159670999999999</v>
      </c>
      <c r="I274"/>
      <c r="N274"/>
      <c r="O274"/>
      <c r="P274" s="1">
        <f t="shared" si="35"/>
        <v>94.898512195121967</v>
      </c>
      <c r="Q274" s="1">
        <f t="shared" si="36"/>
        <v>96.706469512195127</v>
      </c>
      <c r="R274" s="1">
        <f t="shared" si="37"/>
        <v>98.943132456408691</v>
      </c>
      <c r="S274" s="1">
        <f t="shared" si="38"/>
        <v>72.977342471358426</v>
      </c>
    </row>
    <row r="275" spans="1:19" x14ac:dyDescent="0.3">
      <c r="A275">
        <v>9114</v>
      </c>
      <c r="B275">
        <v>98.785526000000004</v>
      </c>
      <c r="C275">
        <v>100.96625299999999</v>
      </c>
      <c r="D275">
        <v>103.152402</v>
      </c>
      <c r="E275">
        <v>72.309190999999998</v>
      </c>
      <c r="F275">
        <v>47.408645999999997</v>
      </c>
      <c r="G275">
        <v>30.089683000000001</v>
      </c>
      <c r="H275">
        <v>31.453109000000001</v>
      </c>
      <c r="I275" t="s">
        <v>56</v>
      </c>
      <c r="N275"/>
      <c r="O275"/>
      <c r="P275" s="1">
        <f t="shared" si="35"/>
        <v>94.898512195121967</v>
      </c>
      <c r="Q275" s="1">
        <f t="shared" si="36"/>
        <v>96.706469512195127</v>
      </c>
      <c r="R275" s="1">
        <f t="shared" si="37"/>
        <v>98.943132456408691</v>
      </c>
      <c r="S275" s="1">
        <f t="shared" si="38"/>
        <v>72.977342471358426</v>
      </c>
    </row>
    <row r="276" spans="1:19" x14ac:dyDescent="0.3">
      <c r="A276">
        <v>9114.2000000000007</v>
      </c>
      <c r="B276">
        <v>98.766013999999998</v>
      </c>
      <c r="C276">
        <v>100.963066</v>
      </c>
      <c r="D276">
        <v>103.15738899999999</v>
      </c>
      <c r="E276">
        <v>72.360039</v>
      </c>
      <c r="F276">
        <v>46.168419999999998</v>
      </c>
      <c r="G276">
        <v>30.090024</v>
      </c>
      <c r="H276">
        <v>31.444058999999999</v>
      </c>
      <c r="I276"/>
      <c r="N276"/>
      <c r="O276"/>
      <c r="P276" s="1">
        <f t="shared" si="35"/>
        <v>94.868182926829277</v>
      </c>
      <c r="Q276" s="1">
        <f t="shared" si="36"/>
        <v>96.690580284552851</v>
      </c>
      <c r="R276" s="1">
        <f t="shared" si="37"/>
        <v>98.900776996023239</v>
      </c>
      <c r="S276" s="1">
        <f t="shared" si="38"/>
        <v>73.142599222585915</v>
      </c>
    </row>
    <row r="277" spans="1:19" x14ac:dyDescent="0.3">
      <c r="A277">
        <v>9114.4</v>
      </c>
      <c r="B277">
        <v>98.766013999999998</v>
      </c>
      <c r="C277">
        <v>100.963066</v>
      </c>
      <c r="D277">
        <v>103.15738899999999</v>
      </c>
      <c r="E277">
        <v>72.360039</v>
      </c>
      <c r="F277">
        <v>46.168419999999998</v>
      </c>
      <c r="G277">
        <v>30.090024</v>
      </c>
      <c r="H277">
        <v>31.444058999999999</v>
      </c>
      <c r="I277"/>
      <c r="N277"/>
      <c r="O277"/>
      <c r="P277" s="1">
        <f t="shared" si="35"/>
        <v>94.868182926829277</v>
      </c>
      <c r="Q277" s="1">
        <f t="shared" si="36"/>
        <v>96.690580284552851</v>
      </c>
      <c r="R277" s="1">
        <f t="shared" si="37"/>
        <v>98.900776996023239</v>
      </c>
      <c r="S277" s="1">
        <f t="shared" si="38"/>
        <v>73.142599222585915</v>
      </c>
    </row>
    <row r="278" spans="1:19" x14ac:dyDescent="0.3">
      <c r="A278">
        <v>9114.6</v>
      </c>
      <c r="B278">
        <v>98.770979999999994</v>
      </c>
      <c r="C278">
        <v>100.95484500000001</v>
      </c>
      <c r="D278">
        <v>103.160764</v>
      </c>
      <c r="E278">
        <v>72.287437999999995</v>
      </c>
      <c r="F278">
        <v>45.955959999999997</v>
      </c>
      <c r="G278">
        <v>30.086784999999999</v>
      </c>
      <c r="H278">
        <v>31.436833</v>
      </c>
      <c r="I278"/>
      <c r="N278"/>
      <c r="O278"/>
      <c r="P278" s="1">
        <f t="shared" si="35"/>
        <v>94.871733739837396</v>
      </c>
      <c r="Q278" s="1">
        <f t="shared" si="36"/>
        <v>96.708903455284556</v>
      </c>
      <c r="R278" s="1">
        <f t="shared" si="37"/>
        <v>98.913317018456198</v>
      </c>
      <c r="S278" s="1">
        <f t="shared" si="38"/>
        <v>72.784046644844508</v>
      </c>
    </row>
    <row r="279" spans="1:19" x14ac:dyDescent="0.3">
      <c r="A279">
        <v>9114.7999999999993</v>
      </c>
      <c r="B279">
        <v>98.770979999999994</v>
      </c>
      <c r="C279">
        <v>100.95484500000001</v>
      </c>
      <c r="D279">
        <v>103.160764</v>
      </c>
      <c r="E279">
        <v>72.287437999999995</v>
      </c>
      <c r="F279">
        <v>45.955959999999997</v>
      </c>
      <c r="G279">
        <v>30.086784999999999</v>
      </c>
      <c r="H279">
        <v>31.436833</v>
      </c>
      <c r="I279"/>
      <c r="N279"/>
      <c r="O279"/>
      <c r="P279" s="1">
        <f t="shared" si="35"/>
        <v>94.871733739837396</v>
      </c>
      <c r="Q279" s="1">
        <f t="shared" si="36"/>
        <v>96.708903455284556</v>
      </c>
      <c r="R279" s="1">
        <f t="shared" si="37"/>
        <v>98.913317018456198</v>
      </c>
      <c r="S279" s="1">
        <f t="shared" si="38"/>
        <v>72.784046644844508</v>
      </c>
    </row>
    <row r="280" spans="1:19" x14ac:dyDescent="0.3">
      <c r="A280">
        <v>9115</v>
      </c>
      <c r="B280">
        <v>98.799240999999995</v>
      </c>
      <c r="C280">
        <v>100.955883</v>
      </c>
      <c r="D280">
        <v>103.157943</v>
      </c>
      <c r="E280">
        <v>72.347594999999998</v>
      </c>
      <c r="F280">
        <v>47.002814999999998</v>
      </c>
      <c r="G280">
        <v>30.063746999999999</v>
      </c>
      <c r="H280">
        <v>31.456551999999999</v>
      </c>
      <c r="I280" t="s">
        <v>56</v>
      </c>
      <c r="N280"/>
      <c r="O280"/>
      <c r="P280" s="1">
        <f t="shared" si="35"/>
        <v>94.868667682926827</v>
      </c>
      <c r="Q280" s="1">
        <f t="shared" si="36"/>
        <v>96.703521341463414</v>
      </c>
      <c r="R280" s="1">
        <f t="shared" si="37"/>
        <v>98.90955439991842</v>
      </c>
      <c r="S280" s="1">
        <f t="shared" si="38"/>
        <v>72.738363338788872</v>
      </c>
    </row>
    <row r="281" spans="1:19" x14ac:dyDescent="0.3">
      <c r="A281">
        <v>9115.2000000000007</v>
      </c>
      <c r="B281">
        <v>98.799240999999995</v>
      </c>
      <c r="C281">
        <v>100.955883</v>
      </c>
      <c r="D281">
        <v>103.157943</v>
      </c>
      <c r="E281">
        <v>72.347594999999998</v>
      </c>
      <c r="F281">
        <v>47.002814999999998</v>
      </c>
      <c r="G281">
        <v>30.063746999999999</v>
      </c>
      <c r="H281">
        <v>31.456551999999999</v>
      </c>
      <c r="I281"/>
      <c r="N281"/>
      <c r="O281"/>
      <c r="P281" s="1">
        <f t="shared" si="35"/>
        <v>94.868667682926827</v>
      </c>
      <c r="Q281" s="1">
        <f t="shared" si="36"/>
        <v>96.703521341463414</v>
      </c>
      <c r="R281" s="1">
        <f t="shared" si="37"/>
        <v>98.90955439991842</v>
      </c>
      <c r="S281" s="1">
        <f t="shared" si="38"/>
        <v>72.738363338788872</v>
      </c>
    </row>
    <row r="282" spans="1:19" x14ac:dyDescent="0.3">
      <c r="A282">
        <v>9115.4</v>
      </c>
      <c r="B282">
        <v>98.810660999999996</v>
      </c>
      <c r="C282">
        <v>100.970983</v>
      </c>
      <c r="D282">
        <v>103.165272</v>
      </c>
      <c r="E282">
        <v>72.281813</v>
      </c>
      <c r="F282">
        <v>47.564464999999998</v>
      </c>
      <c r="G282">
        <v>30.088768999999999</v>
      </c>
      <c r="H282">
        <v>31.445153999999999</v>
      </c>
      <c r="I282"/>
      <c r="N282"/>
      <c r="O282"/>
      <c r="P282" s="1">
        <f t="shared" si="35"/>
        <v>94.863008130081312</v>
      </c>
      <c r="Q282" s="1">
        <f t="shared" si="36"/>
        <v>96.684006097560982</v>
      </c>
      <c r="R282" s="1">
        <f t="shared" si="37"/>
        <v>98.908262465585793</v>
      </c>
      <c r="S282" s="1">
        <f t="shared" si="38"/>
        <v>72.85464504909983</v>
      </c>
    </row>
    <row r="283" spans="1:19" x14ac:dyDescent="0.3">
      <c r="A283">
        <v>9115.6</v>
      </c>
      <c r="B283">
        <v>98.810660999999996</v>
      </c>
      <c r="C283">
        <v>100.970983</v>
      </c>
      <c r="D283">
        <v>103.165272</v>
      </c>
      <c r="E283">
        <v>72.281813</v>
      </c>
      <c r="F283">
        <v>47.564464999999998</v>
      </c>
      <c r="G283">
        <v>30.088768999999999</v>
      </c>
      <c r="H283">
        <v>31.445153999999999</v>
      </c>
      <c r="I283"/>
      <c r="N283"/>
      <c r="O283"/>
      <c r="P283" s="1">
        <f t="shared" si="35"/>
        <v>94.863008130081312</v>
      </c>
      <c r="Q283" s="1">
        <f t="shared" si="36"/>
        <v>96.684006097560982</v>
      </c>
      <c r="R283" s="1">
        <f t="shared" si="37"/>
        <v>98.908262465585793</v>
      </c>
      <c r="S283" s="1">
        <f t="shared" si="38"/>
        <v>72.85464504909983</v>
      </c>
    </row>
    <row r="284" spans="1:19" x14ac:dyDescent="0.3">
      <c r="A284">
        <v>9115.7999999999993</v>
      </c>
      <c r="B284">
        <v>98.809123999999997</v>
      </c>
      <c r="C284">
        <v>100.96670899999999</v>
      </c>
      <c r="D284">
        <v>103.163056</v>
      </c>
      <c r="E284">
        <v>72.256998999999993</v>
      </c>
      <c r="F284">
        <v>47.719859</v>
      </c>
      <c r="G284">
        <v>30.094973</v>
      </c>
      <c r="H284">
        <v>31.451584</v>
      </c>
      <c r="I284"/>
      <c r="N284"/>
      <c r="O284"/>
      <c r="P284" s="1">
        <f t="shared" si="35"/>
        <v>94.854844512195129</v>
      </c>
      <c r="Q284" s="1">
        <f t="shared" si="36"/>
        <v>96.6891961382114</v>
      </c>
      <c r="R284" s="1">
        <f t="shared" si="37"/>
        <v>98.898934434587531</v>
      </c>
      <c r="S284" s="1">
        <f t="shared" si="38"/>
        <v>72.603581219312602</v>
      </c>
    </row>
    <row r="285" spans="1:19" x14ac:dyDescent="0.3">
      <c r="A285">
        <v>9116</v>
      </c>
      <c r="B285">
        <v>98.809123999999997</v>
      </c>
      <c r="C285">
        <v>100.96670899999999</v>
      </c>
      <c r="D285">
        <v>103.163056</v>
      </c>
      <c r="E285">
        <v>72.256998999999993</v>
      </c>
      <c r="F285">
        <v>47.719859</v>
      </c>
      <c r="G285">
        <v>30.094973</v>
      </c>
      <c r="H285">
        <v>31.451584</v>
      </c>
      <c r="I285" t="s">
        <v>56</v>
      </c>
      <c r="N285"/>
      <c r="O285"/>
      <c r="P285" s="1">
        <f t="shared" si="35"/>
        <v>94.854844512195129</v>
      </c>
      <c r="Q285" s="1">
        <f t="shared" si="36"/>
        <v>96.6891961382114</v>
      </c>
      <c r="R285" s="1">
        <f t="shared" si="37"/>
        <v>98.898934434587531</v>
      </c>
      <c r="S285" s="1">
        <f t="shared" si="38"/>
        <v>72.603581219312602</v>
      </c>
    </row>
    <row r="286" spans="1:19" x14ac:dyDescent="0.3">
      <c r="A286">
        <v>9116.2000000000007</v>
      </c>
      <c r="B286">
        <v>98.797980999999993</v>
      </c>
      <c r="C286">
        <v>100.968277</v>
      </c>
      <c r="D286">
        <v>103.160765</v>
      </c>
      <c r="E286">
        <v>72.272430999999997</v>
      </c>
      <c r="F286">
        <v>47.961759000000001</v>
      </c>
      <c r="G286">
        <v>30.069468000000001</v>
      </c>
      <c r="H286">
        <v>31.462266</v>
      </c>
      <c r="I286"/>
      <c r="N286"/>
      <c r="O286"/>
      <c r="P286" s="1">
        <f t="shared" si="35"/>
        <v>94.889031504065045</v>
      </c>
      <c r="Q286" s="1">
        <f t="shared" si="36"/>
        <v>96.679662601626021</v>
      </c>
      <c r="R286" s="1">
        <f t="shared" si="37"/>
        <v>98.903233404710917</v>
      </c>
      <c r="S286" s="1">
        <f t="shared" si="38"/>
        <v>72.51870703764321</v>
      </c>
    </row>
    <row r="287" spans="1:19" x14ac:dyDescent="0.3">
      <c r="A287">
        <v>9116.4</v>
      </c>
      <c r="B287">
        <v>98.797980999999993</v>
      </c>
      <c r="C287">
        <v>100.968277</v>
      </c>
      <c r="D287">
        <v>103.160765</v>
      </c>
      <c r="E287">
        <v>72.272430999999997</v>
      </c>
      <c r="F287">
        <v>47.961759000000001</v>
      </c>
      <c r="G287">
        <v>30.069468000000001</v>
      </c>
      <c r="H287">
        <v>31.462266</v>
      </c>
      <c r="I287"/>
      <c r="N287"/>
      <c r="O287"/>
      <c r="P287" s="1">
        <f t="shared" si="35"/>
        <v>94.889031504065045</v>
      </c>
      <c r="Q287" s="1">
        <f t="shared" si="36"/>
        <v>96.679662601626021</v>
      </c>
      <c r="R287" s="1">
        <f t="shared" si="37"/>
        <v>98.903233404710917</v>
      </c>
      <c r="S287" s="1">
        <f t="shared" si="38"/>
        <v>72.51870703764321</v>
      </c>
    </row>
    <row r="288" spans="1:19" x14ac:dyDescent="0.3">
      <c r="A288">
        <v>9116.6</v>
      </c>
      <c r="B288">
        <v>98.768737999999999</v>
      </c>
      <c r="C288">
        <v>100.97945799999999</v>
      </c>
      <c r="D288">
        <v>103.17234999999999</v>
      </c>
      <c r="E288">
        <v>72.276712000000003</v>
      </c>
      <c r="F288">
        <v>48.260247999999997</v>
      </c>
      <c r="G288">
        <v>30.079851000000001</v>
      </c>
      <c r="H288">
        <v>31.466061</v>
      </c>
      <c r="I288"/>
      <c r="N288"/>
      <c r="O288"/>
      <c r="P288" s="1">
        <f t="shared" si="35"/>
        <v>94.883435975609757</v>
      </c>
      <c r="Q288" s="1">
        <f t="shared" si="36"/>
        <v>96.690425813008147</v>
      </c>
      <c r="R288" s="1">
        <f t="shared" si="37"/>
        <v>98.912830631181805</v>
      </c>
      <c r="S288" s="1">
        <f t="shared" si="38"/>
        <v>72.509461947626832</v>
      </c>
    </row>
    <row r="289" spans="1:19" x14ac:dyDescent="0.3">
      <c r="A289">
        <v>9116.7999999999993</v>
      </c>
      <c r="B289">
        <v>98.768737999999999</v>
      </c>
      <c r="C289">
        <v>100.97945799999999</v>
      </c>
      <c r="D289">
        <v>103.17234999999999</v>
      </c>
      <c r="E289">
        <v>72.276712000000003</v>
      </c>
      <c r="F289">
        <v>48.260247999999997</v>
      </c>
      <c r="G289">
        <v>30.079851000000001</v>
      </c>
      <c r="H289">
        <v>31.466061</v>
      </c>
      <c r="I289"/>
      <c r="N289"/>
      <c r="O289"/>
      <c r="P289" s="1">
        <f t="shared" si="35"/>
        <v>94.883435975609757</v>
      </c>
      <c r="Q289" s="1">
        <f t="shared" si="36"/>
        <v>96.690425813008147</v>
      </c>
      <c r="R289" s="1">
        <f t="shared" si="37"/>
        <v>98.912830631181805</v>
      </c>
      <c r="S289" s="1">
        <f t="shared" si="38"/>
        <v>72.509461947626832</v>
      </c>
    </row>
    <row r="290" spans="1:19" x14ac:dyDescent="0.3">
      <c r="A290">
        <v>9117</v>
      </c>
      <c r="B290">
        <v>98.812263000000002</v>
      </c>
      <c r="C290">
        <v>100.974867</v>
      </c>
      <c r="D290">
        <v>103.16301900000001</v>
      </c>
      <c r="E290">
        <v>72.204545999999993</v>
      </c>
      <c r="F290">
        <v>48.128545000000003</v>
      </c>
      <c r="G290">
        <v>30.098331000000002</v>
      </c>
      <c r="H290">
        <v>31.442730000000001</v>
      </c>
      <c r="I290" t="s">
        <v>56</v>
      </c>
      <c r="N290"/>
      <c r="O290"/>
      <c r="P290" s="1">
        <f t="shared" si="35"/>
        <v>94.867594512195126</v>
      </c>
      <c r="Q290" s="1">
        <f t="shared" si="36"/>
        <v>96.687914634146352</v>
      </c>
      <c r="R290" s="1">
        <f t="shared" si="37"/>
        <v>98.891434689507491</v>
      </c>
      <c r="S290" s="1">
        <f t="shared" si="38"/>
        <v>72.824381137479548</v>
      </c>
    </row>
    <row r="291" spans="1:19" x14ac:dyDescent="0.3">
      <c r="A291">
        <v>9117.2000000000007</v>
      </c>
      <c r="B291">
        <v>98.812263000000002</v>
      </c>
      <c r="C291">
        <v>100.974867</v>
      </c>
      <c r="D291">
        <v>103.16301900000001</v>
      </c>
      <c r="E291">
        <v>72.204545999999993</v>
      </c>
      <c r="F291">
        <v>48.128545000000003</v>
      </c>
      <c r="G291">
        <v>30.098331000000002</v>
      </c>
      <c r="H291">
        <v>31.442730000000001</v>
      </c>
      <c r="I291"/>
      <c r="N291"/>
      <c r="O291"/>
      <c r="P291" s="1">
        <f t="shared" si="35"/>
        <v>94.867594512195126</v>
      </c>
      <c r="Q291" s="1">
        <f t="shared" si="36"/>
        <v>96.687914634146352</v>
      </c>
      <c r="R291" s="1">
        <f t="shared" si="37"/>
        <v>98.891434689507491</v>
      </c>
      <c r="S291" s="1">
        <f t="shared" si="38"/>
        <v>72.824381137479548</v>
      </c>
    </row>
    <row r="292" spans="1:19" x14ac:dyDescent="0.3">
      <c r="A292">
        <v>9117.4</v>
      </c>
      <c r="B292">
        <v>98.795661999999993</v>
      </c>
      <c r="C292">
        <v>100.986439</v>
      </c>
      <c r="D292">
        <v>103.177941</v>
      </c>
      <c r="E292">
        <v>72.261629999999997</v>
      </c>
      <c r="F292">
        <v>47.968285999999999</v>
      </c>
      <c r="G292">
        <v>30.083953000000001</v>
      </c>
      <c r="H292">
        <v>31.468515</v>
      </c>
      <c r="I292"/>
      <c r="N292"/>
      <c r="O292"/>
      <c r="P292" s="1">
        <f t="shared" si="35"/>
        <v>94.85241666666667</v>
      </c>
      <c r="Q292" s="1">
        <f t="shared" si="36"/>
        <v>96.676842479674804</v>
      </c>
      <c r="R292" s="1">
        <f t="shared" si="37"/>
        <v>98.886598348118696</v>
      </c>
      <c r="S292" s="1">
        <f t="shared" si="38"/>
        <v>73.089991816693939</v>
      </c>
    </row>
    <row r="293" spans="1:19" x14ac:dyDescent="0.3">
      <c r="A293">
        <v>9117.6</v>
      </c>
      <c r="B293">
        <v>98.795661999999993</v>
      </c>
      <c r="C293">
        <v>100.986439</v>
      </c>
      <c r="D293">
        <v>103.177941</v>
      </c>
      <c r="E293">
        <v>72.261629999999997</v>
      </c>
      <c r="F293">
        <v>47.968285999999999</v>
      </c>
      <c r="G293">
        <v>30.083953000000001</v>
      </c>
      <c r="H293">
        <v>31.468515</v>
      </c>
      <c r="I293"/>
      <c r="N293"/>
      <c r="O293"/>
      <c r="P293" s="1">
        <f t="shared" si="35"/>
        <v>101.19108333333334</v>
      </c>
      <c r="Q293" s="1">
        <f t="shared" si="36"/>
        <v>103.40726930894309</v>
      </c>
      <c r="R293" s="1">
        <f t="shared" si="37"/>
        <v>106.00866931783419</v>
      </c>
      <c r="S293" s="1">
        <f t="shared" si="38"/>
        <v>74.910997340425524</v>
      </c>
    </row>
    <row r="294" spans="1:19" x14ac:dyDescent="0.3">
      <c r="A294">
        <v>9117.7999999999993</v>
      </c>
      <c r="B294">
        <v>98.818023999999994</v>
      </c>
      <c r="C294">
        <v>100.986338</v>
      </c>
      <c r="D294">
        <v>103.16152099999999</v>
      </c>
      <c r="E294">
        <v>72.455962999999997</v>
      </c>
      <c r="F294">
        <v>47.702038999999999</v>
      </c>
      <c r="G294">
        <v>30.089005</v>
      </c>
      <c r="H294">
        <v>31.452667000000002</v>
      </c>
      <c r="I294"/>
      <c r="N294"/>
      <c r="O294"/>
      <c r="P294" s="1">
        <f t="shared" si="35"/>
        <v>101.17125406504066</v>
      </c>
      <c r="Q294" s="1">
        <f t="shared" si="36"/>
        <v>103.40403048780487</v>
      </c>
      <c r="R294" s="1">
        <f t="shared" si="37"/>
        <v>106.01375446109921</v>
      </c>
      <c r="S294" s="1">
        <f t="shared" si="38"/>
        <v>74.963010433715226</v>
      </c>
    </row>
    <row r="295" spans="1:19" x14ac:dyDescent="0.3">
      <c r="A295">
        <v>9118</v>
      </c>
      <c r="B295">
        <v>98.818023999999994</v>
      </c>
      <c r="C295">
        <v>100.986338</v>
      </c>
      <c r="D295">
        <v>103.16152099999999</v>
      </c>
      <c r="E295">
        <v>72.455962999999997</v>
      </c>
      <c r="F295">
        <v>47.702038999999999</v>
      </c>
      <c r="G295">
        <v>30.089005</v>
      </c>
      <c r="H295">
        <v>31.452667000000002</v>
      </c>
      <c r="I295" t="s">
        <v>56</v>
      </c>
      <c r="N295"/>
      <c r="O295"/>
      <c r="P295" s="1">
        <f t="shared" si="35"/>
        <v>101.17125406504066</v>
      </c>
      <c r="Q295" s="1">
        <f t="shared" si="36"/>
        <v>103.40403048780487</v>
      </c>
      <c r="R295" s="1">
        <f t="shared" si="37"/>
        <v>106.01375446109921</v>
      </c>
      <c r="S295" s="1">
        <f t="shared" si="38"/>
        <v>74.963010433715226</v>
      </c>
    </row>
    <row r="296" spans="1:19" x14ac:dyDescent="0.3">
      <c r="A296">
        <v>9118.2000000000007</v>
      </c>
      <c r="B296">
        <v>98.801461000000003</v>
      </c>
      <c r="C296">
        <v>100.977232</v>
      </c>
      <c r="D296">
        <v>103.191894</v>
      </c>
      <c r="E296">
        <v>72.373082999999994</v>
      </c>
      <c r="F296">
        <v>47.884281999999999</v>
      </c>
      <c r="G296">
        <v>30.098656999999999</v>
      </c>
      <c r="H296">
        <v>31.433430999999999</v>
      </c>
      <c r="I296"/>
      <c r="N296"/>
      <c r="O296"/>
      <c r="P296" s="1">
        <f t="shared" si="35"/>
        <v>101.17630081300813</v>
      </c>
      <c r="Q296" s="1">
        <f t="shared" si="36"/>
        <v>103.39567581300814</v>
      </c>
      <c r="R296" s="1">
        <f t="shared" si="37"/>
        <v>106.01719588049352</v>
      </c>
      <c r="S296" s="1">
        <f t="shared" si="38"/>
        <v>74.888745908346962</v>
      </c>
    </row>
    <row r="297" spans="1:19" x14ac:dyDescent="0.3">
      <c r="A297">
        <v>9118.4</v>
      </c>
      <c r="B297">
        <v>98.801461000000003</v>
      </c>
      <c r="C297">
        <v>100.977232</v>
      </c>
      <c r="D297">
        <v>103.191894</v>
      </c>
      <c r="E297">
        <v>72.373082999999994</v>
      </c>
      <c r="F297">
        <v>47.884281999999999</v>
      </c>
      <c r="G297">
        <v>30.098656999999999</v>
      </c>
      <c r="H297">
        <v>31.433430999999999</v>
      </c>
      <c r="I297"/>
      <c r="N297"/>
      <c r="O297"/>
      <c r="P297" s="1">
        <f t="shared" si="35"/>
        <v>101.17630081300813</v>
      </c>
      <c r="Q297" s="1">
        <f t="shared" si="36"/>
        <v>103.39567581300814</v>
      </c>
      <c r="R297" s="1">
        <f t="shared" si="37"/>
        <v>106.01719588049352</v>
      </c>
      <c r="S297" s="1">
        <f t="shared" si="38"/>
        <v>74.888745908346962</v>
      </c>
    </row>
    <row r="298" spans="1:19" x14ac:dyDescent="0.3">
      <c r="A298">
        <v>9118.6</v>
      </c>
      <c r="B298">
        <v>98.809099000000003</v>
      </c>
      <c r="C298">
        <v>100.992181</v>
      </c>
      <c r="D298">
        <v>103.17708500000001</v>
      </c>
      <c r="E298">
        <v>72.192014</v>
      </c>
      <c r="F298">
        <v>48.1935</v>
      </c>
      <c r="G298">
        <v>30.083967000000001</v>
      </c>
      <c r="H298">
        <v>31.456085999999999</v>
      </c>
      <c r="I298"/>
      <c r="N298"/>
      <c r="O298"/>
      <c r="P298" s="1">
        <f t="shared" si="35"/>
        <v>101.20502134146342</v>
      </c>
      <c r="Q298" s="1">
        <f t="shared" si="36"/>
        <v>103.39673069105692</v>
      </c>
      <c r="R298" s="1">
        <f t="shared" si="37"/>
        <v>106.01431936371979</v>
      </c>
      <c r="S298" s="1">
        <f t="shared" si="38"/>
        <v>74.950281301145665</v>
      </c>
    </row>
    <row r="299" spans="1:19" x14ac:dyDescent="0.3">
      <c r="A299">
        <v>9118.7999999999993</v>
      </c>
      <c r="B299">
        <v>98.809099000000003</v>
      </c>
      <c r="C299">
        <v>100.992181</v>
      </c>
      <c r="D299">
        <v>103.17708500000001</v>
      </c>
      <c r="E299">
        <v>72.192014</v>
      </c>
      <c r="F299">
        <v>48.1935</v>
      </c>
      <c r="G299">
        <v>30.083967000000001</v>
      </c>
      <c r="H299">
        <v>31.456085999999999</v>
      </c>
      <c r="I299"/>
      <c r="N299"/>
      <c r="O299"/>
      <c r="P299" s="1">
        <f t="shared" si="35"/>
        <v>101.20502134146342</v>
      </c>
      <c r="Q299" s="1">
        <f t="shared" si="36"/>
        <v>103.39673069105692</v>
      </c>
      <c r="R299" s="1">
        <f t="shared" si="37"/>
        <v>106.01431936371979</v>
      </c>
      <c r="S299" s="1">
        <f t="shared" si="38"/>
        <v>74.950281301145665</v>
      </c>
    </row>
    <row r="300" spans="1:19" x14ac:dyDescent="0.3">
      <c r="A300">
        <v>9119</v>
      </c>
      <c r="B300">
        <v>98.812251000000003</v>
      </c>
      <c r="C300">
        <v>101.004904</v>
      </c>
      <c r="D300">
        <v>103.17366</v>
      </c>
      <c r="E300">
        <v>72.175414000000004</v>
      </c>
      <c r="F300">
        <v>47.876798999999998</v>
      </c>
      <c r="G300">
        <v>30.090508</v>
      </c>
      <c r="H300">
        <v>31.436091999999999</v>
      </c>
      <c r="I300" t="s">
        <v>56</v>
      </c>
      <c r="N300"/>
      <c r="O300"/>
      <c r="P300" s="1">
        <f t="shared" ref="P300:P363" si="39">(B282+Q$36)/P$36</f>
        <v>101.21662703252032</v>
      </c>
      <c r="Q300" s="1">
        <f t="shared" ref="Q300:Q363" si="40">(C282+Q$36)/P$36</f>
        <v>103.4120762195122</v>
      </c>
      <c r="R300" s="1">
        <f t="shared" ref="R300:R363" si="41">(D282+Q$38)/P$38</f>
        <v>106.0217925971245</v>
      </c>
      <c r="S300" s="1">
        <f t="shared" ref="S300:S363" si="42">(E282+Q$39)/P$39</f>
        <v>74.882992021276593</v>
      </c>
    </row>
    <row r="301" spans="1:19" x14ac:dyDescent="0.3">
      <c r="A301">
        <v>9119.2000000000007</v>
      </c>
      <c r="B301">
        <v>98.812251000000003</v>
      </c>
      <c r="C301">
        <v>101.004904</v>
      </c>
      <c r="D301">
        <v>103.17366</v>
      </c>
      <c r="E301">
        <v>72.175414000000004</v>
      </c>
      <c r="F301">
        <v>47.876798999999998</v>
      </c>
      <c r="G301">
        <v>30.090508</v>
      </c>
      <c r="H301">
        <v>31.436091999999999</v>
      </c>
      <c r="I301"/>
      <c r="N301"/>
      <c r="O301"/>
      <c r="P301" s="1">
        <f t="shared" si="39"/>
        <v>101.21662703252032</v>
      </c>
      <c r="Q301" s="1">
        <f t="shared" si="40"/>
        <v>103.4120762195122</v>
      </c>
      <c r="R301" s="1">
        <f t="shared" si="41"/>
        <v>106.0217925971245</v>
      </c>
      <c r="S301" s="1">
        <f t="shared" si="42"/>
        <v>74.882992021276593</v>
      </c>
    </row>
    <row r="302" spans="1:19" x14ac:dyDescent="0.3">
      <c r="A302">
        <v>9119.4</v>
      </c>
      <c r="B302">
        <v>98.807991000000001</v>
      </c>
      <c r="C302">
        <v>100.993118</v>
      </c>
      <c r="D302">
        <v>103.192297</v>
      </c>
      <c r="E302">
        <v>72.212200999999993</v>
      </c>
      <c r="F302">
        <v>47.554195999999997</v>
      </c>
      <c r="G302">
        <v>30.079968999999998</v>
      </c>
      <c r="H302">
        <v>31.455615000000002</v>
      </c>
      <c r="I302"/>
      <c r="N302"/>
      <c r="O302"/>
      <c r="P302" s="1">
        <f t="shared" si="39"/>
        <v>101.21506504065042</v>
      </c>
      <c r="Q302" s="1">
        <f t="shared" si="40"/>
        <v>103.40773272357724</v>
      </c>
      <c r="R302" s="1">
        <f t="shared" si="41"/>
        <v>106.01953298664219</v>
      </c>
      <c r="S302" s="1">
        <f t="shared" si="42"/>
        <v>74.857609451718488</v>
      </c>
    </row>
    <row r="303" spans="1:19" x14ac:dyDescent="0.3">
      <c r="A303">
        <v>9119.6</v>
      </c>
      <c r="B303">
        <v>98.807991000000001</v>
      </c>
      <c r="C303">
        <v>100.993118</v>
      </c>
      <c r="D303">
        <v>103.192297</v>
      </c>
      <c r="E303">
        <v>72.212200999999993</v>
      </c>
      <c r="F303">
        <v>47.554195999999997</v>
      </c>
      <c r="G303">
        <v>30.079968999999998</v>
      </c>
      <c r="H303">
        <v>31.455615000000002</v>
      </c>
      <c r="I303"/>
      <c r="N303"/>
      <c r="O303"/>
      <c r="P303" s="1">
        <f t="shared" si="39"/>
        <v>101.21506504065042</v>
      </c>
      <c r="Q303" s="1">
        <f t="shared" si="40"/>
        <v>103.40773272357724</v>
      </c>
      <c r="R303" s="1">
        <f t="shared" si="41"/>
        <v>106.01953298664219</v>
      </c>
      <c r="S303" s="1">
        <f t="shared" si="42"/>
        <v>74.857609451718488</v>
      </c>
    </row>
    <row r="304" spans="1:19" x14ac:dyDescent="0.3">
      <c r="A304">
        <v>9119.7999999999993</v>
      </c>
      <c r="B304">
        <v>98.821251000000004</v>
      </c>
      <c r="C304">
        <v>100.996633</v>
      </c>
      <c r="D304">
        <v>103.16406499999999</v>
      </c>
      <c r="E304">
        <v>72.280619999999999</v>
      </c>
      <c r="F304">
        <v>46.974269</v>
      </c>
      <c r="G304">
        <v>30.077214999999999</v>
      </c>
      <c r="H304">
        <v>31.448639</v>
      </c>
      <c r="I304"/>
      <c r="N304"/>
      <c r="O304"/>
      <c r="P304" s="1">
        <f t="shared" si="39"/>
        <v>101.20374085365853</v>
      </c>
      <c r="Q304" s="1">
        <f t="shared" si="40"/>
        <v>103.4093262195122</v>
      </c>
      <c r="R304" s="1">
        <f t="shared" si="41"/>
        <v>106.01719690017335</v>
      </c>
      <c r="S304" s="1">
        <f t="shared" si="42"/>
        <v>74.873395049099827</v>
      </c>
    </row>
    <row r="305" spans="1:19" x14ac:dyDescent="0.3">
      <c r="A305">
        <v>9120</v>
      </c>
      <c r="B305">
        <v>98.821251000000004</v>
      </c>
      <c r="C305">
        <v>100.996633</v>
      </c>
      <c r="D305">
        <v>103.16406499999999</v>
      </c>
      <c r="E305">
        <v>72.280619999999999</v>
      </c>
      <c r="F305">
        <v>46.974269</v>
      </c>
      <c r="G305">
        <v>30.077214999999999</v>
      </c>
      <c r="H305">
        <v>31.448639</v>
      </c>
      <c r="I305" t="s">
        <v>56</v>
      </c>
      <c r="N305"/>
      <c r="O305"/>
      <c r="P305" s="1">
        <f t="shared" si="39"/>
        <v>101.20374085365853</v>
      </c>
      <c r="Q305" s="1">
        <f t="shared" si="40"/>
        <v>103.4093262195122</v>
      </c>
      <c r="R305" s="1">
        <f t="shared" si="41"/>
        <v>106.01719690017335</v>
      </c>
      <c r="S305" s="1">
        <f t="shared" si="42"/>
        <v>74.873395049099827</v>
      </c>
    </row>
    <row r="306" spans="1:19" x14ac:dyDescent="0.3">
      <c r="A306">
        <v>9120.2000000000007</v>
      </c>
      <c r="B306">
        <v>98.822057999999998</v>
      </c>
      <c r="C306">
        <v>100.98560500000001</v>
      </c>
      <c r="D306">
        <v>103.166684</v>
      </c>
      <c r="E306">
        <v>72.160903000000005</v>
      </c>
      <c r="F306">
        <v>46.755167999999998</v>
      </c>
      <c r="G306">
        <v>30.081824999999998</v>
      </c>
      <c r="H306">
        <v>31.441974999999999</v>
      </c>
      <c r="I306"/>
      <c r="N306"/>
      <c r="O306"/>
      <c r="P306" s="1">
        <f t="shared" si="39"/>
        <v>101.17402235772359</v>
      </c>
      <c r="Q306" s="1">
        <f t="shared" si="40"/>
        <v>103.42068902439024</v>
      </c>
      <c r="R306" s="1">
        <f t="shared" si="41"/>
        <v>106.02900989089424</v>
      </c>
      <c r="S306" s="1">
        <f t="shared" si="42"/>
        <v>74.877774140752862</v>
      </c>
    </row>
    <row r="307" spans="1:19" x14ac:dyDescent="0.3">
      <c r="A307">
        <v>9120.4</v>
      </c>
      <c r="B307">
        <v>98.822057999999998</v>
      </c>
      <c r="C307">
        <v>100.98560500000001</v>
      </c>
      <c r="D307">
        <v>103.166684</v>
      </c>
      <c r="E307">
        <v>72.160903000000005</v>
      </c>
      <c r="F307">
        <v>46.755167999999998</v>
      </c>
      <c r="G307">
        <v>30.081824999999998</v>
      </c>
      <c r="H307">
        <v>31.441974999999999</v>
      </c>
      <c r="I307"/>
      <c r="N307"/>
      <c r="O307"/>
      <c r="P307" s="1">
        <f t="shared" si="39"/>
        <v>101.17402235772359</v>
      </c>
      <c r="Q307" s="1">
        <f t="shared" si="40"/>
        <v>103.42068902439024</v>
      </c>
      <c r="R307" s="1">
        <f t="shared" si="41"/>
        <v>106.02900989089424</v>
      </c>
      <c r="S307" s="1">
        <f t="shared" si="42"/>
        <v>74.877774140752862</v>
      </c>
    </row>
    <row r="308" spans="1:19" x14ac:dyDescent="0.3">
      <c r="A308">
        <v>9120.6</v>
      </c>
      <c r="B308">
        <v>98.811974000000006</v>
      </c>
      <c r="C308">
        <v>101.00144</v>
      </c>
      <c r="D308">
        <v>103.17769</v>
      </c>
      <c r="E308">
        <v>72.236964999999998</v>
      </c>
      <c r="F308">
        <v>47.083444</v>
      </c>
      <c r="G308">
        <v>30.076665999999999</v>
      </c>
      <c r="H308">
        <v>31.454429000000001</v>
      </c>
      <c r="I308"/>
      <c r="N308"/>
      <c r="O308"/>
      <c r="P308" s="1">
        <f t="shared" si="39"/>
        <v>101.21825508130082</v>
      </c>
      <c r="Q308" s="1">
        <f t="shared" si="40"/>
        <v>103.41602337398375</v>
      </c>
      <c r="R308" s="1">
        <f t="shared" si="41"/>
        <v>106.01949525848883</v>
      </c>
      <c r="S308" s="1">
        <f t="shared" si="42"/>
        <v>74.803954582651386</v>
      </c>
    </row>
    <row r="309" spans="1:19" x14ac:dyDescent="0.3">
      <c r="A309">
        <v>9120.7999999999993</v>
      </c>
      <c r="B309">
        <v>98.811974000000006</v>
      </c>
      <c r="C309">
        <v>101.00144</v>
      </c>
      <c r="D309">
        <v>103.17769</v>
      </c>
      <c r="E309">
        <v>72.236964999999998</v>
      </c>
      <c r="F309">
        <v>47.083444</v>
      </c>
      <c r="G309">
        <v>30.076665999999999</v>
      </c>
      <c r="H309">
        <v>31.454429000000001</v>
      </c>
      <c r="I309"/>
      <c r="N309"/>
      <c r="O309"/>
      <c r="P309" s="1">
        <f t="shared" si="39"/>
        <v>101.21825508130082</v>
      </c>
      <c r="Q309" s="1">
        <f t="shared" si="40"/>
        <v>103.41602337398375</v>
      </c>
      <c r="R309" s="1">
        <f t="shared" si="41"/>
        <v>106.01949525848883</v>
      </c>
      <c r="S309" s="1">
        <f t="shared" si="42"/>
        <v>74.803954582651386</v>
      </c>
    </row>
    <row r="310" spans="1:19" x14ac:dyDescent="0.3">
      <c r="A310">
        <v>9121</v>
      </c>
      <c r="B310">
        <v>98.802520000000001</v>
      </c>
      <c r="C310">
        <v>100.982393</v>
      </c>
      <c r="D310">
        <v>103.184792</v>
      </c>
      <c r="E310">
        <v>72.209263000000007</v>
      </c>
      <c r="F310">
        <v>46.930450999999998</v>
      </c>
      <c r="G310">
        <v>30.094073999999999</v>
      </c>
      <c r="H310">
        <v>31.441061999999999</v>
      </c>
      <c r="I310" t="s">
        <v>56</v>
      </c>
      <c r="N310"/>
      <c r="O310"/>
      <c r="P310" s="1">
        <f t="shared" si="39"/>
        <v>101.20138414634147</v>
      </c>
      <c r="Q310" s="1">
        <f t="shared" si="40"/>
        <v>103.42778353658538</v>
      </c>
      <c r="R310" s="1">
        <f t="shared" si="41"/>
        <v>106.03471092077088</v>
      </c>
      <c r="S310" s="1">
        <f t="shared" si="42"/>
        <v>74.862346563011457</v>
      </c>
    </row>
    <row r="311" spans="1:19" x14ac:dyDescent="0.3">
      <c r="A311">
        <v>9121.2000000000007</v>
      </c>
      <c r="B311">
        <v>98.802520000000001</v>
      </c>
      <c r="C311">
        <v>100.982393</v>
      </c>
      <c r="D311">
        <v>103.184792</v>
      </c>
      <c r="E311">
        <v>72.209263000000007</v>
      </c>
      <c r="F311">
        <v>46.930450999999998</v>
      </c>
      <c r="G311">
        <v>30.094073999999999</v>
      </c>
      <c r="H311">
        <v>31.441061999999999</v>
      </c>
      <c r="I311"/>
      <c r="N311"/>
      <c r="O311"/>
      <c r="P311" s="1">
        <f t="shared" si="39"/>
        <v>101.20138414634147</v>
      </c>
      <c r="Q311" s="1">
        <f t="shared" si="40"/>
        <v>103.42778353658538</v>
      </c>
      <c r="R311" s="1">
        <f t="shared" si="41"/>
        <v>106.03471092077088</v>
      </c>
      <c r="S311" s="1">
        <f t="shared" si="42"/>
        <v>74.862346563011457</v>
      </c>
    </row>
    <row r="312" spans="1:19" x14ac:dyDescent="0.3">
      <c r="A312">
        <v>9121.4</v>
      </c>
      <c r="B312">
        <v>98.808621000000002</v>
      </c>
      <c r="C312">
        <v>100.98191300000001</v>
      </c>
      <c r="D312">
        <v>103.18136699999999</v>
      </c>
      <c r="E312">
        <v>72.482072000000002</v>
      </c>
      <c r="F312">
        <v>46.658779000000003</v>
      </c>
      <c r="G312">
        <v>30.096751999999999</v>
      </c>
      <c r="H312">
        <v>31.452186999999999</v>
      </c>
      <c r="I312"/>
      <c r="N312"/>
      <c r="O312"/>
      <c r="P312" s="1">
        <f t="shared" si="39"/>
        <v>101.22410975609756</v>
      </c>
      <c r="Q312" s="1">
        <f t="shared" si="40"/>
        <v>103.42768089430895</v>
      </c>
      <c r="R312" s="1">
        <f t="shared" si="41"/>
        <v>106.01796777811767</v>
      </c>
      <c r="S312" s="1">
        <f t="shared" si="42"/>
        <v>75.06113236497545</v>
      </c>
    </row>
    <row r="313" spans="1:19" x14ac:dyDescent="0.3">
      <c r="A313">
        <v>9121.6</v>
      </c>
      <c r="B313">
        <v>98.808621000000002</v>
      </c>
      <c r="C313">
        <v>100.98191300000001</v>
      </c>
      <c r="D313">
        <v>103.18136699999999</v>
      </c>
      <c r="E313">
        <v>72.482072000000002</v>
      </c>
      <c r="F313">
        <v>46.658779000000003</v>
      </c>
      <c r="G313">
        <v>30.096751999999999</v>
      </c>
      <c r="H313">
        <v>31.452186999999999</v>
      </c>
      <c r="I313"/>
      <c r="N313"/>
      <c r="O313"/>
      <c r="P313" s="1">
        <f t="shared" si="39"/>
        <v>101.22410975609756</v>
      </c>
      <c r="Q313" s="1">
        <f t="shared" si="40"/>
        <v>103.42768089430895</v>
      </c>
      <c r="R313" s="1">
        <f t="shared" si="41"/>
        <v>106.01796777811767</v>
      </c>
      <c r="S313" s="1">
        <f t="shared" si="42"/>
        <v>75.06113236497545</v>
      </c>
    </row>
    <row r="314" spans="1:19" x14ac:dyDescent="0.3">
      <c r="A314">
        <v>9121.7999999999993</v>
      </c>
      <c r="B314">
        <v>98.807815000000005</v>
      </c>
      <c r="C314">
        <v>100.99271400000001</v>
      </c>
      <c r="D314">
        <v>103.17557499999999</v>
      </c>
      <c r="E314">
        <v>72.407132000000004</v>
      </c>
      <c r="F314">
        <v>46.848199999999999</v>
      </c>
      <c r="G314">
        <v>30.084019999999999</v>
      </c>
      <c r="H314">
        <v>31.481258</v>
      </c>
      <c r="I314"/>
      <c r="N314"/>
      <c r="O314"/>
      <c r="P314" s="1">
        <f t="shared" si="39"/>
        <v>101.20727743902439</v>
      </c>
      <c r="Q314" s="1">
        <f t="shared" si="40"/>
        <v>103.4184268292683</v>
      </c>
      <c r="R314" s="1">
        <f t="shared" si="41"/>
        <v>106.04893851330682</v>
      </c>
      <c r="S314" s="1">
        <f t="shared" si="42"/>
        <v>74.976353314238949</v>
      </c>
    </row>
    <row r="315" spans="1:19" x14ac:dyDescent="0.3">
      <c r="A315">
        <v>9122</v>
      </c>
      <c r="B315">
        <v>98.807815000000005</v>
      </c>
      <c r="C315">
        <v>100.99271400000001</v>
      </c>
      <c r="D315">
        <v>103.17557499999999</v>
      </c>
      <c r="E315">
        <v>72.407132000000004</v>
      </c>
      <c r="F315">
        <v>46.848199999999999</v>
      </c>
      <c r="G315">
        <v>30.084019999999999</v>
      </c>
      <c r="H315">
        <v>31.481258</v>
      </c>
      <c r="I315" t="s">
        <v>56</v>
      </c>
      <c r="N315"/>
      <c r="O315"/>
      <c r="P315" s="1">
        <f t="shared" si="39"/>
        <v>101.20727743902439</v>
      </c>
      <c r="Q315" s="1">
        <f t="shared" si="40"/>
        <v>103.4184268292683</v>
      </c>
      <c r="R315" s="1">
        <f t="shared" si="41"/>
        <v>106.04893851330682</v>
      </c>
      <c r="S315" s="1">
        <f t="shared" si="42"/>
        <v>74.976353314238949</v>
      </c>
    </row>
    <row r="316" spans="1:19" x14ac:dyDescent="0.3">
      <c r="A316">
        <v>9122.2000000000007</v>
      </c>
      <c r="B316">
        <v>98.822815000000006</v>
      </c>
      <c r="C316">
        <v>101.004122</v>
      </c>
      <c r="D316">
        <v>103.19192</v>
      </c>
      <c r="E316">
        <v>72.193460000000002</v>
      </c>
      <c r="F316">
        <v>47.508364999999998</v>
      </c>
      <c r="G316">
        <v>30.078588</v>
      </c>
      <c r="H316">
        <v>31.463156999999999</v>
      </c>
      <c r="I316"/>
      <c r="N316"/>
      <c r="O316"/>
      <c r="P316" s="1">
        <f t="shared" si="39"/>
        <v>101.21503963414635</v>
      </c>
      <c r="Q316" s="1">
        <f t="shared" si="40"/>
        <v>103.43361890243904</v>
      </c>
      <c r="R316" s="1">
        <f t="shared" si="41"/>
        <v>106.0338380748445</v>
      </c>
      <c r="S316" s="1">
        <f t="shared" si="42"/>
        <v>74.791135433715226</v>
      </c>
    </row>
    <row r="317" spans="1:19" x14ac:dyDescent="0.3">
      <c r="A317">
        <v>9122.4</v>
      </c>
      <c r="B317">
        <v>98.822815000000006</v>
      </c>
      <c r="C317">
        <v>101.004122</v>
      </c>
      <c r="D317">
        <v>103.19192</v>
      </c>
      <c r="E317">
        <v>72.193460000000002</v>
      </c>
      <c r="F317">
        <v>47.508364999999998</v>
      </c>
      <c r="G317">
        <v>30.078588</v>
      </c>
      <c r="H317">
        <v>31.463156999999999</v>
      </c>
      <c r="I317"/>
      <c r="N317"/>
      <c r="O317"/>
      <c r="P317" s="1">
        <f t="shared" si="39"/>
        <v>101.21503963414635</v>
      </c>
      <c r="Q317" s="1">
        <f t="shared" si="40"/>
        <v>103.43361890243904</v>
      </c>
      <c r="R317" s="1">
        <f t="shared" si="41"/>
        <v>106.0338380748445</v>
      </c>
      <c r="S317" s="1">
        <f t="shared" si="42"/>
        <v>74.791135433715226</v>
      </c>
    </row>
    <row r="318" spans="1:19" x14ac:dyDescent="0.3">
      <c r="A318">
        <v>9122.6</v>
      </c>
      <c r="B318">
        <v>98.842782</v>
      </c>
      <c r="C318">
        <v>101.017781</v>
      </c>
      <c r="D318">
        <v>103.167894</v>
      </c>
      <c r="E318">
        <v>72.111474000000001</v>
      </c>
      <c r="F318">
        <v>47.629975000000002</v>
      </c>
      <c r="G318">
        <v>30.073755999999999</v>
      </c>
      <c r="H318">
        <v>31.441662999999998</v>
      </c>
      <c r="I318"/>
      <c r="N318"/>
      <c r="O318"/>
      <c r="P318" s="1">
        <f t="shared" si="39"/>
        <v>101.21824288617887</v>
      </c>
      <c r="Q318" s="1">
        <f t="shared" si="40"/>
        <v>103.4465487804878</v>
      </c>
      <c r="R318" s="1">
        <f t="shared" si="41"/>
        <v>106.03034567145916</v>
      </c>
      <c r="S318" s="1">
        <f t="shared" si="42"/>
        <v>74.774155073649752</v>
      </c>
    </row>
    <row r="319" spans="1:19" x14ac:dyDescent="0.3">
      <c r="A319">
        <v>9122.7999999999993</v>
      </c>
      <c r="B319">
        <v>98.842782</v>
      </c>
      <c r="C319">
        <v>101.017781</v>
      </c>
      <c r="D319">
        <v>103.167894</v>
      </c>
      <c r="E319">
        <v>72.111474000000001</v>
      </c>
      <c r="F319">
        <v>47.629975000000002</v>
      </c>
      <c r="G319">
        <v>30.073755999999999</v>
      </c>
      <c r="H319">
        <v>31.441662999999998</v>
      </c>
      <c r="I319"/>
      <c r="N319"/>
      <c r="O319"/>
      <c r="P319" s="1">
        <f t="shared" si="39"/>
        <v>101.21824288617887</v>
      </c>
      <c r="Q319" s="1">
        <f t="shared" si="40"/>
        <v>103.4465487804878</v>
      </c>
      <c r="R319" s="1">
        <f t="shared" si="41"/>
        <v>106.03034567145916</v>
      </c>
      <c r="S319" s="1">
        <f t="shared" si="42"/>
        <v>74.774155073649752</v>
      </c>
    </row>
    <row r="320" spans="1:19" x14ac:dyDescent="0.3">
      <c r="A320">
        <v>9123</v>
      </c>
      <c r="B320">
        <v>98.811420999999996</v>
      </c>
      <c r="C320">
        <v>100.99496499999999</v>
      </c>
      <c r="D320">
        <v>103.177137</v>
      </c>
      <c r="E320">
        <v>71.971421000000007</v>
      </c>
      <c r="F320">
        <v>47.491264000000001</v>
      </c>
      <c r="G320">
        <v>30.098489000000001</v>
      </c>
      <c r="H320">
        <v>31.452984000000001</v>
      </c>
      <c r="I320" t="s">
        <v>56</v>
      </c>
      <c r="N320"/>
      <c r="O320"/>
      <c r="P320" s="1">
        <f t="shared" si="39"/>
        <v>101.21391361788619</v>
      </c>
      <c r="Q320" s="1">
        <f t="shared" si="40"/>
        <v>103.43457113821138</v>
      </c>
      <c r="R320" s="1">
        <f t="shared" si="41"/>
        <v>106.04934944427448</v>
      </c>
      <c r="S320" s="1">
        <f t="shared" si="42"/>
        <v>74.811784983633373</v>
      </c>
    </row>
    <row r="321" spans="1:19" x14ac:dyDescent="0.3">
      <c r="A321">
        <v>9123.2000000000007</v>
      </c>
      <c r="B321">
        <v>98.811420999999996</v>
      </c>
      <c r="C321">
        <v>100.99496499999999</v>
      </c>
      <c r="D321">
        <v>103.177137</v>
      </c>
      <c r="E321">
        <v>71.971421000000007</v>
      </c>
      <c r="F321">
        <v>47.491264000000001</v>
      </c>
      <c r="G321">
        <v>30.098489000000001</v>
      </c>
      <c r="H321">
        <v>31.452984000000001</v>
      </c>
      <c r="I321"/>
      <c r="N321"/>
      <c r="O321"/>
      <c r="P321" s="1">
        <f t="shared" si="39"/>
        <v>101.21391361788619</v>
      </c>
      <c r="Q321" s="1">
        <f t="shared" si="40"/>
        <v>103.43457113821138</v>
      </c>
      <c r="R321" s="1">
        <f t="shared" si="41"/>
        <v>106.04934944427448</v>
      </c>
      <c r="S321" s="1">
        <f t="shared" si="42"/>
        <v>74.811784983633373</v>
      </c>
    </row>
    <row r="322" spans="1:19" x14ac:dyDescent="0.3">
      <c r="A322">
        <v>9123.4</v>
      </c>
      <c r="B322">
        <v>98.806656000000004</v>
      </c>
      <c r="C322">
        <v>100.99086800000001</v>
      </c>
      <c r="D322">
        <v>103.20071</v>
      </c>
      <c r="E322">
        <v>72.085440000000006</v>
      </c>
      <c r="F322">
        <v>47.660679000000002</v>
      </c>
      <c r="G322">
        <v>30.085954999999998</v>
      </c>
      <c r="H322">
        <v>31.450794999999999</v>
      </c>
      <c r="I322"/>
      <c r="N322"/>
      <c r="O322"/>
      <c r="P322" s="1">
        <f t="shared" si="39"/>
        <v>101.22738922764229</v>
      </c>
      <c r="Q322" s="1">
        <f t="shared" si="40"/>
        <v>103.43814329268294</v>
      </c>
      <c r="R322" s="1">
        <f t="shared" si="41"/>
        <v>106.02056184358111</v>
      </c>
      <c r="S322" s="1">
        <f t="shared" si="42"/>
        <v>74.881771685761038</v>
      </c>
    </row>
    <row r="323" spans="1:19" x14ac:dyDescent="0.3">
      <c r="A323">
        <v>9123.6</v>
      </c>
      <c r="B323">
        <v>98.806656000000004</v>
      </c>
      <c r="C323">
        <v>100.99086800000001</v>
      </c>
      <c r="D323">
        <v>103.20071</v>
      </c>
      <c r="E323">
        <v>72.085440000000006</v>
      </c>
      <c r="F323">
        <v>47.660679000000002</v>
      </c>
      <c r="G323">
        <v>30.085954999999998</v>
      </c>
      <c r="H323">
        <v>31.450794999999999</v>
      </c>
      <c r="I323"/>
      <c r="N323"/>
      <c r="O323"/>
      <c r="P323" s="1">
        <f t="shared" si="39"/>
        <v>101.22738922764229</v>
      </c>
      <c r="Q323" s="1">
        <f t="shared" si="40"/>
        <v>103.43814329268294</v>
      </c>
      <c r="R323" s="1">
        <f t="shared" si="41"/>
        <v>106.02056184358111</v>
      </c>
      <c r="S323" s="1">
        <f t="shared" si="42"/>
        <v>74.881771685761038</v>
      </c>
    </row>
    <row r="324" spans="1:19" x14ac:dyDescent="0.3">
      <c r="A324">
        <v>9123.7999999999993</v>
      </c>
      <c r="B324">
        <v>98.819588999999993</v>
      </c>
      <c r="C324">
        <v>100.97129099999999</v>
      </c>
      <c r="D324">
        <v>103.195497</v>
      </c>
      <c r="E324">
        <v>72.104257000000004</v>
      </c>
      <c r="F324">
        <v>47.732981000000002</v>
      </c>
      <c r="G324">
        <v>30.09768</v>
      </c>
      <c r="H324">
        <v>31.460391999999999</v>
      </c>
      <c r="I324"/>
      <c r="N324"/>
      <c r="O324"/>
      <c r="P324" s="1">
        <f t="shared" si="39"/>
        <v>101.2282093495935</v>
      </c>
      <c r="Q324" s="1">
        <f t="shared" si="40"/>
        <v>103.42693597560977</v>
      </c>
      <c r="R324" s="1">
        <f t="shared" si="41"/>
        <v>106.02323238503109</v>
      </c>
      <c r="S324" s="1">
        <f t="shared" si="42"/>
        <v>74.759311579378078</v>
      </c>
    </row>
    <row r="325" spans="1:19" x14ac:dyDescent="0.3">
      <c r="A325">
        <v>9766</v>
      </c>
      <c r="B325">
        <v>106.602504</v>
      </c>
      <c r="C325">
        <v>109.360511</v>
      </c>
      <c r="D325">
        <v>112.10732</v>
      </c>
      <c r="E325">
        <v>74.454023000000007</v>
      </c>
      <c r="F325">
        <v>48.928552000000003</v>
      </c>
      <c r="G325">
        <v>30.047910999999999</v>
      </c>
      <c r="H325">
        <v>31.661390999999998</v>
      </c>
      <c r="I325" t="s">
        <v>56</v>
      </c>
      <c r="N325"/>
      <c r="O325"/>
      <c r="P325" s="1">
        <f t="shared" si="39"/>
        <v>101.2282093495935</v>
      </c>
      <c r="Q325" s="1">
        <f t="shared" si="40"/>
        <v>103.42693597560977</v>
      </c>
      <c r="R325" s="1">
        <f t="shared" si="41"/>
        <v>106.02323238503109</v>
      </c>
      <c r="S325" s="1">
        <f t="shared" si="42"/>
        <v>74.759311579378078</v>
      </c>
    </row>
    <row r="326" spans="1:19" x14ac:dyDescent="0.3">
      <c r="A326">
        <v>9766.2000000000007</v>
      </c>
      <c r="B326">
        <v>106.572839</v>
      </c>
      <c r="C326">
        <v>109.352228</v>
      </c>
      <c r="D326">
        <v>112.11045900000001</v>
      </c>
      <c r="E326">
        <v>74.523184999999998</v>
      </c>
      <c r="F326">
        <v>48.202283000000001</v>
      </c>
      <c r="G326">
        <v>30.034406000000001</v>
      </c>
      <c r="H326">
        <v>31.65401</v>
      </c>
      <c r="I326"/>
      <c r="N326"/>
      <c r="O326"/>
      <c r="P326" s="1">
        <f t="shared" si="39"/>
        <v>101.21796138211383</v>
      </c>
      <c r="Q326" s="1">
        <f t="shared" si="40"/>
        <v>103.44302845528456</v>
      </c>
      <c r="R326" s="1">
        <f t="shared" si="41"/>
        <v>106.03445498113592</v>
      </c>
      <c r="S326" s="1">
        <f t="shared" si="42"/>
        <v>74.83711640752864</v>
      </c>
    </row>
    <row r="327" spans="1:19" x14ac:dyDescent="0.3">
      <c r="A327">
        <v>9766.4</v>
      </c>
      <c r="B327">
        <v>106.572839</v>
      </c>
      <c r="C327">
        <v>109.352228</v>
      </c>
      <c r="D327">
        <v>112.11045900000001</v>
      </c>
      <c r="E327">
        <v>74.523184999999998</v>
      </c>
      <c r="F327">
        <v>48.202283000000001</v>
      </c>
      <c r="G327">
        <v>30.034406000000001</v>
      </c>
      <c r="H327">
        <v>31.65401</v>
      </c>
      <c r="I327"/>
      <c r="N327"/>
      <c r="O327"/>
      <c r="P327" s="1">
        <f t="shared" si="39"/>
        <v>101.21796138211383</v>
      </c>
      <c r="Q327" s="1">
        <f t="shared" si="40"/>
        <v>103.44302845528456</v>
      </c>
      <c r="R327" s="1">
        <f t="shared" si="41"/>
        <v>106.03445498113592</v>
      </c>
      <c r="S327" s="1">
        <f t="shared" si="42"/>
        <v>74.83711640752864</v>
      </c>
    </row>
    <row r="328" spans="1:19" x14ac:dyDescent="0.3">
      <c r="A328">
        <v>9766.6</v>
      </c>
      <c r="B328">
        <v>106.587141</v>
      </c>
      <c r="C328">
        <v>109.36658300000001</v>
      </c>
      <c r="D328">
        <v>112.11951999999999</v>
      </c>
      <c r="E328">
        <v>74.469155000000001</v>
      </c>
      <c r="F328">
        <v>48.264068999999999</v>
      </c>
      <c r="G328">
        <v>30.070253999999998</v>
      </c>
      <c r="H328">
        <v>31.640512000000001</v>
      </c>
      <c r="I328"/>
      <c r="N328"/>
      <c r="O328"/>
      <c r="P328" s="1">
        <f t="shared" si="39"/>
        <v>101.20835365853659</v>
      </c>
      <c r="Q328" s="1">
        <f t="shared" si="40"/>
        <v>103.42367174796749</v>
      </c>
      <c r="R328" s="1">
        <f t="shared" si="41"/>
        <v>106.04169674722137</v>
      </c>
      <c r="S328" s="1">
        <f t="shared" si="42"/>
        <v>74.808779664484462</v>
      </c>
    </row>
    <row r="329" spans="1:19" x14ac:dyDescent="0.3">
      <c r="A329">
        <v>9766.7999999999993</v>
      </c>
      <c r="B329">
        <v>106.587141</v>
      </c>
      <c r="C329">
        <v>109.36658300000001</v>
      </c>
      <c r="D329">
        <v>112.11951999999999</v>
      </c>
      <c r="E329">
        <v>74.469155000000001</v>
      </c>
      <c r="F329">
        <v>48.264068999999999</v>
      </c>
      <c r="G329">
        <v>30.070253999999998</v>
      </c>
      <c r="H329">
        <v>31.640512000000001</v>
      </c>
      <c r="I329"/>
      <c r="N329"/>
      <c r="O329"/>
      <c r="P329" s="1">
        <f t="shared" si="39"/>
        <v>101.20835365853659</v>
      </c>
      <c r="Q329" s="1">
        <f t="shared" si="40"/>
        <v>103.42367174796749</v>
      </c>
      <c r="R329" s="1">
        <f t="shared" si="41"/>
        <v>106.04169674722137</v>
      </c>
      <c r="S329" s="1">
        <f t="shared" si="42"/>
        <v>74.808779664484462</v>
      </c>
    </row>
    <row r="330" spans="1:19" x14ac:dyDescent="0.3">
      <c r="A330">
        <v>9767</v>
      </c>
      <c r="B330">
        <v>106.594708</v>
      </c>
      <c r="C330">
        <v>109.372579</v>
      </c>
      <c r="D330">
        <v>112.08676800000001</v>
      </c>
      <c r="E330">
        <v>74.491378999999995</v>
      </c>
      <c r="F330">
        <v>48.516967999999999</v>
      </c>
      <c r="G330">
        <v>30.057665</v>
      </c>
      <c r="H330">
        <v>31.675823999999999</v>
      </c>
      <c r="I330" t="s">
        <v>56</v>
      </c>
      <c r="N330"/>
      <c r="O330"/>
      <c r="P330" s="1">
        <f t="shared" si="39"/>
        <v>101.21455386178863</v>
      </c>
      <c r="Q330" s="1">
        <f t="shared" si="40"/>
        <v>103.42318394308944</v>
      </c>
      <c r="R330" s="1">
        <f t="shared" si="41"/>
        <v>106.03820434383603</v>
      </c>
      <c r="S330" s="1">
        <f t="shared" si="42"/>
        <v>75.087839607201303</v>
      </c>
    </row>
    <row r="331" spans="1:19" x14ac:dyDescent="0.3">
      <c r="A331">
        <v>9767.2000000000007</v>
      </c>
      <c r="B331">
        <v>106.594708</v>
      </c>
      <c r="C331">
        <v>109.372579</v>
      </c>
      <c r="D331">
        <v>112.08676800000001</v>
      </c>
      <c r="E331">
        <v>74.491378999999995</v>
      </c>
      <c r="F331">
        <v>48.516967999999999</v>
      </c>
      <c r="G331">
        <v>30.057665</v>
      </c>
      <c r="H331">
        <v>31.675823999999999</v>
      </c>
      <c r="I331"/>
      <c r="N331"/>
      <c r="O331"/>
      <c r="P331" s="1">
        <f t="shared" si="39"/>
        <v>101.21455386178863</v>
      </c>
      <c r="Q331" s="1">
        <f t="shared" si="40"/>
        <v>103.42318394308944</v>
      </c>
      <c r="R331" s="1">
        <f t="shared" si="41"/>
        <v>106.03820434383603</v>
      </c>
      <c r="S331" s="1">
        <f t="shared" si="42"/>
        <v>75.087839607201303</v>
      </c>
    </row>
    <row r="332" spans="1:19" x14ac:dyDescent="0.3">
      <c r="A332">
        <v>9767.4</v>
      </c>
      <c r="B332">
        <v>106.562968</v>
      </c>
      <c r="C332">
        <v>109.359011</v>
      </c>
      <c r="D332">
        <v>112.11448300000001</v>
      </c>
      <c r="E332">
        <v>74.359151999999995</v>
      </c>
      <c r="F332">
        <v>48.330857000000002</v>
      </c>
      <c r="G332">
        <v>30.055603999999999</v>
      </c>
      <c r="H332">
        <v>31.670480000000001</v>
      </c>
      <c r="I332"/>
      <c r="N332"/>
      <c r="O332"/>
      <c r="P332" s="1">
        <f t="shared" si="39"/>
        <v>101.21373475609757</v>
      </c>
      <c r="Q332" s="1">
        <f t="shared" si="40"/>
        <v>103.4341605691057</v>
      </c>
      <c r="R332" s="1">
        <f t="shared" si="41"/>
        <v>106.03229835831549</v>
      </c>
      <c r="S332" s="1">
        <f t="shared" si="42"/>
        <v>75.011182487725037</v>
      </c>
    </row>
    <row r="333" spans="1:19" x14ac:dyDescent="0.3">
      <c r="A333">
        <v>9767.6</v>
      </c>
      <c r="B333">
        <v>106.562968</v>
      </c>
      <c r="C333">
        <v>109.359011</v>
      </c>
      <c r="D333">
        <v>112.11448300000001</v>
      </c>
      <c r="E333">
        <v>74.359151999999995</v>
      </c>
      <c r="F333">
        <v>48.330857000000002</v>
      </c>
      <c r="G333">
        <v>30.055603999999999</v>
      </c>
      <c r="H333">
        <v>31.670480000000001</v>
      </c>
      <c r="I333"/>
      <c r="N333"/>
      <c r="O333"/>
      <c r="P333" s="1">
        <f t="shared" si="39"/>
        <v>101.21373475609757</v>
      </c>
      <c r="Q333" s="1">
        <f t="shared" si="40"/>
        <v>103.4341605691057</v>
      </c>
      <c r="R333" s="1">
        <f t="shared" si="41"/>
        <v>106.03229835831549</v>
      </c>
      <c r="S333" s="1">
        <f t="shared" si="42"/>
        <v>75.011182487725037</v>
      </c>
    </row>
    <row r="334" spans="1:19" x14ac:dyDescent="0.3">
      <c r="A334">
        <v>9767.7999999999993</v>
      </c>
      <c r="B334">
        <v>106.58504000000001</v>
      </c>
      <c r="C334">
        <v>109.35075399999999</v>
      </c>
      <c r="D334">
        <v>112.09486699999999</v>
      </c>
      <c r="E334">
        <v>74.396309000000002</v>
      </c>
      <c r="F334">
        <v>47.978003999999999</v>
      </c>
      <c r="G334">
        <v>30.055537999999999</v>
      </c>
      <c r="H334">
        <v>31.702100000000002</v>
      </c>
      <c r="I334"/>
      <c r="N334"/>
      <c r="O334"/>
      <c r="P334" s="1">
        <f t="shared" si="39"/>
        <v>101.22897865853659</v>
      </c>
      <c r="Q334" s="1">
        <f t="shared" si="40"/>
        <v>103.44575406504065</v>
      </c>
      <c r="R334" s="1">
        <f t="shared" si="41"/>
        <v>106.04896502498215</v>
      </c>
      <c r="S334" s="1">
        <f t="shared" si="42"/>
        <v>74.792614566284783</v>
      </c>
    </row>
    <row r="335" spans="1:19" x14ac:dyDescent="0.3">
      <c r="A335">
        <v>9768</v>
      </c>
      <c r="B335">
        <v>106.58504000000001</v>
      </c>
      <c r="C335">
        <v>109.35075399999999</v>
      </c>
      <c r="D335">
        <v>112.09486699999999</v>
      </c>
      <c r="E335">
        <v>74.396309000000002</v>
      </c>
      <c r="F335">
        <v>47.978003999999999</v>
      </c>
      <c r="G335">
        <v>30.055537999999999</v>
      </c>
      <c r="H335">
        <v>31.702100000000002</v>
      </c>
      <c r="I335" t="s">
        <v>56</v>
      </c>
      <c r="N335"/>
      <c r="O335"/>
      <c r="P335" s="1">
        <f t="shared" si="39"/>
        <v>101.22897865853659</v>
      </c>
      <c r="Q335" s="1">
        <f t="shared" si="40"/>
        <v>103.44575406504065</v>
      </c>
      <c r="R335" s="1">
        <f t="shared" si="41"/>
        <v>106.04896502498215</v>
      </c>
      <c r="S335" s="1">
        <f t="shared" si="42"/>
        <v>74.792614566284783</v>
      </c>
    </row>
    <row r="336" spans="1:19" x14ac:dyDescent="0.3">
      <c r="A336">
        <v>9768.2000000000007</v>
      </c>
      <c r="B336">
        <v>106.597708</v>
      </c>
      <c r="C336">
        <v>109.37444600000001</v>
      </c>
      <c r="D336">
        <v>112.094095</v>
      </c>
      <c r="E336">
        <v>74.225543999999999</v>
      </c>
      <c r="F336">
        <v>48.231462000000001</v>
      </c>
      <c r="G336">
        <v>30.058029999999999</v>
      </c>
      <c r="H336">
        <v>31.693556999999998</v>
      </c>
      <c r="I336"/>
      <c r="N336"/>
      <c r="O336"/>
      <c r="P336" s="1">
        <f t="shared" si="39"/>
        <v>101.24927032520326</v>
      </c>
      <c r="Q336" s="1">
        <f t="shared" si="40"/>
        <v>103.45963516260163</v>
      </c>
      <c r="R336" s="1">
        <f t="shared" si="41"/>
        <v>106.02446619761395</v>
      </c>
      <c r="S336" s="1">
        <f t="shared" si="42"/>
        <v>74.708749999999995</v>
      </c>
    </row>
    <row r="337" spans="1:19" x14ac:dyDescent="0.3">
      <c r="A337">
        <v>9768.4</v>
      </c>
      <c r="B337">
        <v>106.597708</v>
      </c>
      <c r="C337">
        <v>109.37444600000001</v>
      </c>
      <c r="D337">
        <v>112.094095</v>
      </c>
      <c r="E337">
        <v>74.225543999999999</v>
      </c>
      <c r="F337">
        <v>48.231462000000001</v>
      </c>
      <c r="G337">
        <v>30.058029999999999</v>
      </c>
      <c r="H337">
        <v>31.693556999999998</v>
      </c>
      <c r="I337"/>
      <c r="N337"/>
      <c r="O337"/>
      <c r="P337" s="1">
        <f t="shared" si="39"/>
        <v>101.24927032520326</v>
      </c>
      <c r="Q337" s="1">
        <f t="shared" si="40"/>
        <v>103.45963516260163</v>
      </c>
      <c r="R337" s="1">
        <f t="shared" si="41"/>
        <v>106.02446619761395</v>
      </c>
      <c r="S337" s="1">
        <f t="shared" si="42"/>
        <v>74.708749999999995</v>
      </c>
    </row>
    <row r="338" spans="1:19" x14ac:dyDescent="0.3">
      <c r="A338">
        <v>9768.6</v>
      </c>
      <c r="B338">
        <v>106.583293</v>
      </c>
      <c r="C338">
        <v>109.37003799999999</v>
      </c>
      <c r="D338">
        <v>112.119089</v>
      </c>
      <c r="E338">
        <v>74.227050000000006</v>
      </c>
      <c r="F338">
        <v>48.504829000000001</v>
      </c>
      <c r="G338">
        <v>30.062275</v>
      </c>
      <c r="H338">
        <v>31.696857000000001</v>
      </c>
      <c r="I338"/>
      <c r="N338"/>
      <c r="O338"/>
      <c r="P338" s="1">
        <f t="shared" si="39"/>
        <v>101.2173993902439</v>
      </c>
      <c r="Q338" s="1">
        <f t="shared" si="40"/>
        <v>103.43644817073171</v>
      </c>
      <c r="R338" s="1">
        <f t="shared" si="41"/>
        <v>106.03389109819517</v>
      </c>
      <c r="S338" s="1">
        <f t="shared" si="42"/>
        <v>74.565487929623572</v>
      </c>
    </row>
    <row r="339" spans="1:19" x14ac:dyDescent="0.3">
      <c r="A339">
        <v>9768.7999999999993</v>
      </c>
      <c r="B339">
        <v>106.583293</v>
      </c>
      <c r="C339">
        <v>109.37003799999999</v>
      </c>
      <c r="D339">
        <v>112.119089</v>
      </c>
      <c r="E339">
        <v>74.227050000000006</v>
      </c>
      <c r="F339">
        <v>48.504829000000001</v>
      </c>
      <c r="G339">
        <v>30.062275</v>
      </c>
      <c r="H339">
        <v>31.696857000000001</v>
      </c>
      <c r="I339"/>
      <c r="N339"/>
      <c r="O339"/>
      <c r="P339" s="1">
        <f t="shared" si="39"/>
        <v>101.2173993902439</v>
      </c>
      <c r="Q339" s="1">
        <f t="shared" si="40"/>
        <v>103.43644817073171</v>
      </c>
      <c r="R339" s="1">
        <f t="shared" si="41"/>
        <v>106.03389109819517</v>
      </c>
      <c r="S339" s="1">
        <f t="shared" si="42"/>
        <v>74.565487929623572</v>
      </c>
    </row>
    <row r="340" spans="1:19" x14ac:dyDescent="0.3">
      <c r="A340">
        <v>9769</v>
      </c>
      <c r="B340">
        <v>106.56013299999999</v>
      </c>
      <c r="C340">
        <v>109.341759</v>
      </c>
      <c r="D340">
        <v>112.095474</v>
      </c>
      <c r="E340">
        <v>74.200918000000001</v>
      </c>
      <c r="F340">
        <v>48.513660999999999</v>
      </c>
      <c r="G340">
        <v>30.059545</v>
      </c>
      <c r="H340">
        <v>31.693192</v>
      </c>
      <c r="I340" t="s">
        <v>56</v>
      </c>
      <c r="N340"/>
      <c r="O340"/>
      <c r="P340" s="1">
        <f t="shared" si="39"/>
        <v>101.21255691056912</v>
      </c>
      <c r="Q340" s="1">
        <f t="shared" si="40"/>
        <v>103.43228455284554</v>
      </c>
      <c r="R340" s="1">
        <f t="shared" si="41"/>
        <v>106.05792801060467</v>
      </c>
      <c r="S340" s="1">
        <f t="shared" si="42"/>
        <v>74.682119476268412</v>
      </c>
    </row>
    <row r="341" spans="1:19" x14ac:dyDescent="0.3">
      <c r="A341">
        <v>9769.2000000000007</v>
      </c>
      <c r="B341">
        <v>106.56013299999999</v>
      </c>
      <c r="C341">
        <v>109.341759</v>
      </c>
      <c r="D341">
        <v>112.095474</v>
      </c>
      <c r="E341">
        <v>74.200918000000001</v>
      </c>
      <c r="F341">
        <v>48.513660999999999</v>
      </c>
      <c r="G341">
        <v>30.059545</v>
      </c>
      <c r="H341">
        <v>31.693192</v>
      </c>
      <c r="I341"/>
      <c r="N341"/>
      <c r="O341"/>
      <c r="P341" s="1">
        <f t="shared" si="39"/>
        <v>101.21255691056912</v>
      </c>
      <c r="Q341" s="1">
        <f t="shared" si="40"/>
        <v>103.43228455284554</v>
      </c>
      <c r="R341" s="1">
        <f t="shared" si="41"/>
        <v>106.05792801060467</v>
      </c>
      <c r="S341" s="1">
        <f t="shared" si="42"/>
        <v>74.682119476268412</v>
      </c>
    </row>
    <row r="342" spans="1:19" x14ac:dyDescent="0.3">
      <c r="A342">
        <v>9769.4</v>
      </c>
      <c r="B342">
        <v>106.563019</v>
      </c>
      <c r="C342">
        <v>109.370953</v>
      </c>
      <c r="D342">
        <v>112.11498899999999</v>
      </c>
      <c r="E342">
        <v>74.354721999999995</v>
      </c>
      <c r="F342">
        <v>48.465190999999997</v>
      </c>
      <c r="G342">
        <v>30.060445000000001</v>
      </c>
      <c r="H342">
        <v>31.672263000000001</v>
      </c>
      <c r="I342"/>
      <c r="N342"/>
      <c r="O342"/>
      <c r="P342" s="1">
        <f t="shared" si="39"/>
        <v>101.22570020325203</v>
      </c>
      <c r="Q342" s="1">
        <f t="shared" si="40"/>
        <v>103.41238922764228</v>
      </c>
      <c r="R342" s="1">
        <f t="shared" si="41"/>
        <v>106.05261241970021</v>
      </c>
      <c r="S342" s="1">
        <f t="shared" si="42"/>
        <v>74.701367635024553</v>
      </c>
    </row>
    <row r="343" spans="1:19" x14ac:dyDescent="0.3">
      <c r="A343">
        <v>9769.6</v>
      </c>
      <c r="B343">
        <v>106.563019</v>
      </c>
      <c r="C343">
        <v>109.370953</v>
      </c>
      <c r="D343">
        <v>112.11498899999999</v>
      </c>
      <c r="E343">
        <v>74.354721999999995</v>
      </c>
      <c r="F343">
        <v>48.465190999999997</v>
      </c>
      <c r="G343">
        <v>30.060445000000001</v>
      </c>
      <c r="H343">
        <v>31.672263000000001</v>
      </c>
      <c r="I343"/>
      <c r="N343"/>
      <c r="O343"/>
      <c r="P343" s="1">
        <f t="shared" si="39"/>
        <v>109.13516666666666</v>
      </c>
      <c r="Q343" s="1">
        <f t="shared" si="40"/>
        <v>111.9380193089431</v>
      </c>
      <c r="R343" s="1">
        <f t="shared" si="41"/>
        <v>115.13981849699194</v>
      </c>
      <c r="S343" s="1">
        <f t="shared" si="42"/>
        <v>77.104974427168585</v>
      </c>
    </row>
    <row r="344" spans="1:19" x14ac:dyDescent="0.3">
      <c r="A344">
        <v>9769.7999999999993</v>
      </c>
      <c r="B344">
        <v>106.56818199999999</v>
      </c>
      <c r="C344">
        <v>109.34137800000001</v>
      </c>
      <c r="D344">
        <v>112.09532299999999</v>
      </c>
      <c r="E344">
        <v>74.327320999999998</v>
      </c>
      <c r="F344">
        <v>48.63693</v>
      </c>
      <c r="G344">
        <v>30.057859000000001</v>
      </c>
      <c r="H344">
        <v>31.683294</v>
      </c>
      <c r="I344"/>
      <c r="N344"/>
      <c r="O344"/>
      <c r="P344" s="1">
        <f t="shared" si="39"/>
        <v>109.1050193089431</v>
      </c>
      <c r="Q344" s="1">
        <f t="shared" si="40"/>
        <v>111.92960162601626</v>
      </c>
      <c r="R344" s="1">
        <f t="shared" si="41"/>
        <v>115.14301927194862</v>
      </c>
      <c r="S344" s="1">
        <f t="shared" si="42"/>
        <v>77.175721153846155</v>
      </c>
    </row>
    <row r="345" spans="1:19" x14ac:dyDescent="0.3">
      <c r="A345">
        <v>9770</v>
      </c>
      <c r="B345">
        <v>106.56818199999999</v>
      </c>
      <c r="C345">
        <v>109.34137800000001</v>
      </c>
      <c r="D345">
        <v>112.09532299999999</v>
      </c>
      <c r="E345">
        <v>74.327320999999998</v>
      </c>
      <c r="F345">
        <v>48.63693</v>
      </c>
      <c r="G345">
        <v>30.057859000000001</v>
      </c>
      <c r="H345">
        <v>31.683294</v>
      </c>
      <c r="I345" t="s">
        <v>56</v>
      </c>
      <c r="N345"/>
      <c r="O345"/>
      <c r="P345" s="1">
        <f t="shared" si="39"/>
        <v>109.1050193089431</v>
      </c>
      <c r="Q345" s="1">
        <f t="shared" si="40"/>
        <v>111.92960162601626</v>
      </c>
      <c r="R345" s="1">
        <f t="shared" si="41"/>
        <v>115.14301927194862</v>
      </c>
      <c r="S345" s="1">
        <f t="shared" si="42"/>
        <v>77.175721153846155</v>
      </c>
    </row>
    <row r="346" spans="1:19" x14ac:dyDescent="0.3">
      <c r="A346">
        <v>9770.2000000000007</v>
      </c>
      <c r="B346">
        <v>106.570055</v>
      </c>
      <c r="C346">
        <v>109.363381</v>
      </c>
      <c r="D346">
        <v>112.080339</v>
      </c>
      <c r="E346">
        <v>74.393895000000001</v>
      </c>
      <c r="F346">
        <v>48.711061000000001</v>
      </c>
      <c r="G346">
        <v>30.063697000000001</v>
      </c>
      <c r="H346">
        <v>31.691939000000001</v>
      </c>
      <c r="I346"/>
      <c r="N346"/>
      <c r="O346"/>
      <c r="P346" s="1">
        <f t="shared" si="39"/>
        <v>109.11955386178863</v>
      </c>
      <c r="Q346" s="1">
        <f t="shared" si="40"/>
        <v>111.94419004065041</v>
      </c>
      <c r="R346" s="1">
        <f t="shared" si="41"/>
        <v>115.15225859080248</v>
      </c>
      <c r="S346" s="1">
        <f t="shared" si="42"/>
        <v>77.120453150572828</v>
      </c>
    </row>
    <row r="347" spans="1:19" x14ac:dyDescent="0.3">
      <c r="A347">
        <v>9770.4</v>
      </c>
      <c r="B347">
        <v>106.570055</v>
      </c>
      <c r="C347">
        <v>109.363381</v>
      </c>
      <c r="D347">
        <v>112.080339</v>
      </c>
      <c r="E347">
        <v>74.393895000000001</v>
      </c>
      <c r="F347">
        <v>48.711061000000001</v>
      </c>
      <c r="G347">
        <v>30.063697000000001</v>
      </c>
      <c r="H347">
        <v>31.691939000000001</v>
      </c>
      <c r="I347"/>
      <c r="N347"/>
      <c r="O347"/>
      <c r="P347" s="1">
        <f t="shared" si="39"/>
        <v>109.11955386178863</v>
      </c>
      <c r="Q347" s="1">
        <f t="shared" si="40"/>
        <v>111.94419004065041</v>
      </c>
      <c r="R347" s="1">
        <f t="shared" si="41"/>
        <v>115.15225859080248</v>
      </c>
      <c r="S347" s="1">
        <f t="shared" si="42"/>
        <v>77.120453150572828</v>
      </c>
    </row>
    <row r="348" spans="1:19" x14ac:dyDescent="0.3">
      <c r="A348">
        <v>9770.6</v>
      </c>
      <c r="B348">
        <v>106.553096</v>
      </c>
      <c r="C348">
        <v>109.332638</v>
      </c>
      <c r="D348">
        <v>112.089349</v>
      </c>
      <c r="E348">
        <v>74.517212000000001</v>
      </c>
      <c r="F348">
        <v>48.157333999999999</v>
      </c>
      <c r="G348">
        <v>30.059740999999999</v>
      </c>
      <c r="H348">
        <v>31.692917999999999</v>
      </c>
      <c r="I348"/>
      <c r="N348"/>
      <c r="O348"/>
      <c r="P348" s="1">
        <f t="shared" si="39"/>
        <v>109.12724390243903</v>
      </c>
      <c r="Q348" s="1">
        <f t="shared" si="40"/>
        <v>111.95028353658537</v>
      </c>
      <c r="R348" s="1">
        <f t="shared" si="41"/>
        <v>115.11886203732028</v>
      </c>
      <c r="S348" s="1">
        <f t="shared" si="42"/>
        <v>77.143186374795405</v>
      </c>
    </row>
    <row r="349" spans="1:19" x14ac:dyDescent="0.3">
      <c r="A349">
        <v>9770.7999999999993</v>
      </c>
      <c r="B349">
        <v>106.553096</v>
      </c>
      <c r="C349">
        <v>109.332638</v>
      </c>
      <c r="D349">
        <v>112.089349</v>
      </c>
      <c r="E349">
        <v>74.517212000000001</v>
      </c>
      <c r="F349">
        <v>48.157333999999999</v>
      </c>
      <c r="G349">
        <v>30.059740999999999</v>
      </c>
      <c r="H349">
        <v>31.692917999999999</v>
      </c>
      <c r="I349"/>
      <c r="N349"/>
      <c r="O349"/>
      <c r="P349" s="1">
        <f t="shared" si="39"/>
        <v>109.12724390243903</v>
      </c>
      <c r="Q349" s="1">
        <f t="shared" si="40"/>
        <v>111.95028353658537</v>
      </c>
      <c r="R349" s="1">
        <f t="shared" si="41"/>
        <v>115.11886203732028</v>
      </c>
      <c r="S349" s="1">
        <f t="shared" si="42"/>
        <v>77.143186374795405</v>
      </c>
    </row>
    <row r="350" spans="1:19" x14ac:dyDescent="0.3">
      <c r="A350">
        <v>9771</v>
      </c>
      <c r="B350">
        <v>106.552755</v>
      </c>
      <c r="C350">
        <v>109.347616</v>
      </c>
      <c r="D350">
        <v>112.09493000000001</v>
      </c>
      <c r="E350">
        <v>74.471181999999999</v>
      </c>
      <c r="F350">
        <v>47.696905000000001</v>
      </c>
      <c r="G350">
        <v>30.040175999999999</v>
      </c>
      <c r="H350">
        <v>31.703426</v>
      </c>
      <c r="I350" t="s">
        <v>56</v>
      </c>
      <c r="N350"/>
      <c r="O350"/>
      <c r="P350" s="1">
        <f t="shared" si="39"/>
        <v>109.09498780487806</v>
      </c>
      <c r="Q350" s="1">
        <f t="shared" si="40"/>
        <v>111.93649491869918</v>
      </c>
      <c r="R350" s="1">
        <f t="shared" si="41"/>
        <v>115.14712246354645</v>
      </c>
      <c r="S350" s="1">
        <f t="shared" si="42"/>
        <v>77.007929623567918</v>
      </c>
    </row>
    <row r="351" spans="1:19" x14ac:dyDescent="0.3">
      <c r="A351">
        <v>9771.2000000000007</v>
      </c>
      <c r="B351">
        <v>106.552755</v>
      </c>
      <c r="C351">
        <v>109.347616</v>
      </c>
      <c r="D351">
        <v>112.09493000000001</v>
      </c>
      <c r="E351">
        <v>74.471181999999999</v>
      </c>
      <c r="F351">
        <v>47.696905000000001</v>
      </c>
      <c r="G351">
        <v>30.040175999999999</v>
      </c>
      <c r="H351">
        <v>31.703426</v>
      </c>
      <c r="I351"/>
      <c r="N351"/>
      <c r="O351"/>
      <c r="P351" s="1">
        <f t="shared" si="39"/>
        <v>109.09498780487806</v>
      </c>
      <c r="Q351" s="1">
        <f t="shared" si="40"/>
        <v>111.93649491869918</v>
      </c>
      <c r="R351" s="1">
        <f t="shared" si="41"/>
        <v>115.14712246354645</v>
      </c>
      <c r="S351" s="1">
        <f t="shared" si="42"/>
        <v>77.007929623567918</v>
      </c>
    </row>
    <row r="352" spans="1:19" x14ac:dyDescent="0.3">
      <c r="A352">
        <v>9771.4</v>
      </c>
      <c r="B352">
        <v>106.551957</v>
      </c>
      <c r="C352">
        <v>109.341098</v>
      </c>
      <c r="D352">
        <v>112.08274299999999</v>
      </c>
      <c r="E352">
        <v>74.461887000000004</v>
      </c>
      <c r="F352">
        <v>47.918261999999999</v>
      </c>
      <c r="G352">
        <v>30.057231999999999</v>
      </c>
      <c r="H352">
        <v>31.695812</v>
      </c>
      <c r="I352"/>
      <c r="N352"/>
      <c r="O352"/>
      <c r="P352" s="1">
        <f t="shared" si="39"/>
        <v>109.117418699187</v>
      </c>
      <c r="Q352" s="1">
        <f t="shared" si="40"/>
        <v>111.92810365853659</v>
      </c>
      <c r="R352" s="1">
        <f t="shared" si="41"/>
        <v>115.1271204241868</v>
      </c>
      <c r="S352" s="1">
        <f t="shared" si="42"/>
        <v>77.045938011456627</v>
      </c>
    </row>
    <row r="353" spans="1:19" x14ac:dyDescent="0.3">
      <c r="A353">
        <v>9771.6</v>
      </c>
      <c r="B353">
        <v>106.551957</v>
      </c>
      <c r="C353">
        <v>109.341098</v>
      </c>
      <c r="D353">
        <v>112.08274299999999</v>
      </c>
      <c r="E353">
        <v>74.461887000000004</v>
      </c>
      <c r="F353">
        <v>47.918261999999999</v>
      </c>
      <c r="G353">
        <v>30.057231999999999</v>
      </c>
      <c r="H353">
        <v>31.695812</v>
      </c>
      <c r="I353"/>
      <c r="N353"/>
      <c r="O353"/>
      <c r="P353" s="1">
        <f t="shared" si="39"/>
        <v>109.117418699187</v>
      </c>
      <c r="Q353" s="1">
        <f t="shared" si="40"/>
        <v>111.92810365853659</v>
      </c>
      <c r="R353" s="1">
        <f t="shared" si="41"/>
        <v>115.1271204241868</v>
      </c>
      <c r="S353" s="1">
        <f t="shared" si="42"/>
        <v>77.045938011456627</v>
      </c>
    </row>
    <row r="354" spans="1:19" x14ac:dyDescent="0.3">
      <c r="A354">
        <v>9771.7999999999993</v>
      </c>
      <c r="B354">
        <v>106.56543499999999</v>
      </c>
      <c r="C354">
        <v>109.367662</v>
      </c>
      <c r="D354">
        <v>112.10715500000001</v>
      </c>
      <c r="E354">
        <v>74.549503000000001</v>
      </c>
      <c r="F354">
        <v>48.092612000000003</v>
      </c>
      <c r="G354">
        <v>30.060234999999999</v>
      </c>
      <c r="H354">
        <v>31.698810000000002</v>
      </c>
      <c r="I354"/>
      <c r="N354"/>
      <c r="O354"/>
      <c r="P354" s="1">
        <f t="shared" si="39"/>
        <v>109.13029268292684</v>
      </c>
      <c r="Q354" s="1">
        <f t="shared" si="40"/>
        <v>111.95218089430895</v>
      </c>
      <c r="R354" s="1">
        <f t="shared" si="41"/>
        <v>115.12633323136534</v>
      </c>
      <c r="S354" s="1">
        <f t="shared" si="42"/>
        <v>76.871260229132574</v>
      </c>
    </row>
    <row r="355" spans="1:19" x14ac:dyDescent="0.3">
      <c r="A355">
        <v>9772</v>
      </c>
      <c r="B355">
        <v>106.56543499999999</v>
      </c>
      <c r="C355">
        <v>109.367662</v>
      </c>
      <c r="D355">
        <v>112.10715500000001</v>
      </c>
      <c r="E355">
        <v>74.549503000000001</v>
      </c>
      <c r="F355">
        <v>48.092612000000003</v>
      </c>
      <c r="G355">
        <v>30.060234999999999</v>
      </c>
      <c r="H355">
        <v>31.698810000000002</v>
      </c>
      <c r="I355" t="s">
        <v>56</v>
      </c>
      <c r="N355"/>
      <c r="O355"/>
      <c r="P355" s="1">
        <f t="shared" si="39"/>
        <v>109.13029268292684</v>
      </c>
      <c r="Q355" s="1">
        <f t="shared" si="40"/>
        <v>111.95218089430895</v>
      </c>
      <c r="R355" s="1">
        <f t="shared" si="41"/>
        <v>115.12633323136534</v>
      </c>
      <c r="S355" s="1">
        <f t="shared" si="42"/>
        <v>76.871260229132574</v>
      </c>
    </row>
    <row r="356" spans="1:19" x14ac:dyDescent="0.3">
      <c r="A356">
        <v>9772.2000000000007</v>
      </c>
      <c r="B356">
        <v>106.56236</v>
      </c>
      <c r="C356">
        <v>109.31472599999999</v>
      </c>
      <c r="D356">
        <v>112.088818</v>
      </c>
      <c r="E356">
        <v>74.486898999999994</v>
      </c>
      <c r="F356">
        <v>47.946306999999997</v>
      </c>
      <c r="G356">
        <v>30.059270000000001</v>
      </c>
      <c r="H356">
        <v>31.683060000000001</v>
      </c>
      <c r="I356"/>
      <c r="N356"/>
      <c r="O356"/>
      <c r="P356" s="1">
        <f t="shared" si="39"/>
        <v>109.11564329268293</v>
      </c>
      <c r="Q356" s="1">
        <f t="shared" si="40"/>
        <v>111.9477012195122</v>
      </c>
      <c r="R356" s="1">
        <f t="shared" si="41"/>
        <v>115.15181910879984</v>
      </c>
      <c r="S356" s="1">
        <f t="shared" si="42"/>
        <v>76.872800736497553</v>
      </c>
    </row>
    <row r="357" spans="1:19" x14ac:dyDescent="0.3">
      <c r="A357">
        <v>9772.4</v>
      </c>
      <c r="B357">
        <v>106.56236</v>
      </c>
      <c r="C357">
        <v>109.31472599999999</v>
      </c>
      <c r="D357">
        <v>112.088818</v>
      </c>
      <c r="E357">
        <v>74.486898999999994</v>
      </c>
      <c r="F357">
        <v>47.946306999999997</v>
      </c>
      <c r="G357">
        <v>30.059270000000001</v>
      </c>
      <c r="H357">
        <v>31.683060000000001</v>
      </c>
      <c r="I357"/>
      <c r="N357"/>
      <c r="O357"/>
      <c r="P357" s="1">
        <f t="shared" si="39"/>
        <v>109.11564329268293</v>
      </c>
      <c r="Q357" s="1">
        <f t="shared" si="40"/>
        <v>111.9477012195122</v>
      </c>
      <c r="R357" s="1">
        <f t="shared" si="41"/>
        <v>115.15181910879984</v>
      </c>
      <c r="S357" s="1">
        <f t="shared" si="42"/>
        <v>76.872800736497553</v>
      </c>
    </row>
    <row r="358" spans="1:19" x14ac:dyDescent="0.3">
      <c r="A358">
        <v>9772.6</v>
      </c>
      <c r="B358">
        <v>106.583849</v>
      </c>
      <c r="C358">
        <v>109.343614</v>
      </c>
      <c r="D358">
        <v>112.109167</v>
      </c>
      <c r="E358">
        <v>74.513180000000006</v>
      </c>
      <c r="F358">
        <v>47.119700999999999</v>
      </c>
      <c r="G358">
        <v>30.058876999999999</v>
      </c>
      <c r="H358">
        <v>31.689709000000001</v>
      </c>
      <c r="I358"/>
      <c r="N358"/>
      <c r="O358"/>
      <c r="P358" s="1">
        <f t="shared" si="39"/>
        <v>109.09210670731707</v>
      </c>
      <c r="Q358" s="1">
        <f t="shared" si="40"/>
        <v>111.91896239837399</v>
      </c>
      <c r="R358" s="1">
        <f t="shared" si="41"/>
        <v>115.12773936983787</v>
      </c>
      <c r="S358" s="1">
        <f t="shared" si="42"/>
        <v>76.846069967266772</v>
      </c>
    </row>
    <row r="359" spans="1:19" x14ac:dyDescent="0.3">
      <c r="A359">
        <v>9772.7999999999993</v>
      </c>
      <c r="B359">
        <v>106.583849</v>
      </c>
      <c r="C359">
        <v>109.343614</v>
      </c>
      <c r="D359">
        <v>112.109167</v>
      </c>
      <c r="E359">
        <v>74.513180000000006</v>
      </c>
      <c r="F359">
        <v>47.119700999999999</v>
      </c>
      <c r="G359">
        <v>30.058876999999999</v>
      </c>
      <c r="H359">
        <v>31.689709000000001</v>
      </c>
      <c r="I359"/>
      <c r="N359"/>
      <c r="O359"/>
      <c r="P359" s="1">
        <f t="shared" si="39"/>
        <v>109.09210670731707</v>
      </c>
      <c r="Q359" s="1">
        <f t="shared" si="40"/>
        <v>111.91896239837399</v>
      </c>
      <c r="R359" s="1">
        <f t="shared" si="41"/>
        <v>115.12773936983787</v>
      </c>
      <c r="S359" s="1">
        <f t="shared" si="42"/>
        <v>76.846069967266772</v>
      </c>
    </row>
    <row r="360" spans="1:19" x14ac:dyDescent="0.3">
      <c r="A360">
        <v>9773</v>
      </c>
      <c r="B360">
        <v>106.579521</v>
      </c>
      <c r="C360">
        <v>109.365337</v>
      </c>
      <c r="D360">
        <v>112.09777699999999</v>
      </c>
      <c r="E360">
        <v>74.541849999999997</v>
      </c>
      <c r="F360">
        <v>47.047431000000003</v>
      </c>
      <c r="G360">
        <v>30.073542</v>
      </c>
      <c r="H360">
        <v>31.681819000000001</v>
      </c>
      <c r="I360" t="s">
        <v>56</v>
      </c>
      <c r="N360"/>
      <c r="O360"/>
      <c r="P360" s="1">
        <f t="shared" si="39"/>
        <v>109.09503963414635</v>
      </c>
      <c r="Q360" s="1">
        <f t="shared" si="40"/>
        <v>111.94863109756098</v>
      </c>
      <c r="R360" s="1">
        <f t="shared" si="41"/>
        <v>115.14763842153563</v>
      </c>
      <c r="S360" s="1">
        <f t="shared" si="42"/>
        <v>77.003398117839595</v>
      </c>
    </row>
    <row r="361" spans="1:19" x14ac:dyDescent="0.3">
      <c r="A361">
        <v>9773.2000000000007</v>
      </c>
      <c r="B361">
        <v>106.579521</v>
      </c>
      <c r="C361">
        <v>109.365337</v>
      </c>
      <c r="D361">
        <v>112.09777699999999</v>
      </c>
      <c r="E361">
        <v>74.541849999999997</v>
      </c>
      <c r="F361">
        <v>47.047431000000003</v>
      </c>
      <c r="G361">
        <v>30.073542</v>
      </c>
      <c r="H361">
        <v>31.681819000000001</v>
      </c>
      <c r="I361"/>
      <c r="N361"/>
      <c r="O361"/>
      <c r="P361" s="1">
        <f t="shared" si="39"/>
        <v>109.09503963414635</v>
      </c>
      <c r="Q361" s="1">
        <f t="shared" si="40"/>
        <v>111.94863109756098</v>
      </c>
      <c r="R361" s="1">
        <f t="shared" si="41"/>
        <v>115.14763842153563</v>
      </c>
      <c r="S361" s="1">
        <f t="shared" si="42"/>
        <v>77.003398117839595</v>
      </c>
    </row>
    <row r="362" spans="1:19" x14ac:dyDescent="0.3">
      <c r="A362">
        <v>9773.4</v>
      </c>
      <c r="B362">
        <v>106.561221</v>
      </c>
      <c r="C362">
        <v>109.348111</v>
      </c>
      <c r="D362">
        <v>112.10476300000001</v>
      </c>
      <c r="E362">
        <v>74.505042000000003</v>
      </c>
      <c r="F362">
        <v>47.330784000000001</v>
      </c>
      <c r="G362">
        <v>30.068214000000001</v>
      </c>
      <c r="H362">
        <v>31.677672999999999</v>
      </c>
      <c r="I362"/>
      <c r="N362"/>
      <c r="O362"/>
      <c r="P362" s="1">
        <f t="shared" si="39"/>
        <v>109.10028658536585</v>
      </c>
      <c r="Q362" s="1">
        <f t="shared" si="40"/>
        <v>111.91857520325205</v>
      </c>
      <c r="R362" s="1">
        <f t="shared" si="41"/>
        <v>115.12758539818496</v>
      </c>
      <c r="S362" s="1">
        <f t="shared" si="42"/>
        <v>76.97536927168575</v>
      </c>
    </row>
    <row r="363" spans="1:19" x14ac:dyDescent="0.3">
      <c r="A363">
        <v>9773.6</v>
      </c>
      <c r="B363">
        <v>106.561221</v>
      </c>
      <c r="C363">
        <v>109.348111</v>
      </c>
      <c r="D363">
        <v>112.10476300000001</v>
      </c>
      <c r="E363">
        <v>74.505042000000003</v>
      </c>
      <c r="F363">
        <v>47.330784000000001</v>
      </c>
      <c r="G363">
        <v>30.068214000000001</v>
      </c>
      <c r="H363">
        <v>31.677672999999999</v>
      </c>
      <c r="I363"/>
      <c r="N363"/>
      <c r="O363"/>
      <c r="P363" s="1">
        <f t="shared" si="39"/>
        <v>109.10028658536585</v>
      </c>
      <c r="Q363" s="1">
        <f t="shared" si="40"/>
        <v>111.91857520325205</v>
      </c>
      <c r="R363" s="1">
        <f t="shared" si="41"/>
        <v>115.12758539818496</v>
      </c>
      <c r="S363" s="1">
        <f t="shared" si="42"/>
        <v>76.97536927168575</v>
      </c>
    </row>
    <row r="364" spans="1:19" x14ac:dyDescent="0.3">
      <c r="A364">
        <v>9773.7999999999993</v>
      </c>
      <c r="B364">
        <v>106.584734</v>
      </c>
      <c r="C364">
        <v>109.363253</v>
      </c>
      <c r="D364">
        <v>112.10914099999999</v>
      </c>
      <c r="E364">
        <v>74.461190000000002</v>
      </c>
      <c r="F364">
        <v>48.620643000000001</v>
      </c>
      <c r="G364">
        <v>30.055520000000001</v>
      </c>
      <c r="H364">
        <v>31.701847999999998</v>
      </c>
      <c r="I364"/>
      <c r="N364"/>
      <c r="O364"/>
      <c r="P364" s="1">
        <f t="shared" ref="P364:P427" si="43">(B346+Q$36)/P$36</f>
        <v>109.10219004065041</v>
      </c>
      <c r="Q364" s="1">
        <f t="shared" ref="Q364:Q427" si="44">(C346+Q$36)/P$36</f>
        <v>111.94093597560976</v>
      </c>
      <c r="R364" s="1">
        <f t="shared" ref="R364:R427" si="45">(D346+Q$38)/P$38</f>
        <v>115.11230651575404</v>
      </c>
      <c r="S364" s="1">
        <f t="shared" ref="S364:S427" si="46">(E346+Q$39)/P$39</f>
        <v>77.04346869885434</v>
      </c>
    </row>
    <row r="365" spans="1:19" x14ac:dyDescent="0.3">
      <c r="A365">
        <v>9774</v>
      </c>
      <c r="B365">
        <v>106.584734</v>
      </c>
      <c r="C365">
        <v>109.363253</v>
      </c>
      <c r="D365">
        <v>112.10914099999999</v>
      </c>
      <c r="E365">
        <v>74.461190000000002</v>
      </c>
      <c r="F365">
        <v>48.620643000000001</v>
      </c>
      <c r="G365">
        <v>30.055520000000001</v>
      </c>
      <c r="H365">
        <v>31.701847999999998</v>
      </c>
      <c r="I365" t="s">
        <v>56</v>
      </c>
      <c r="N365"/>
      <c r="O365"/>
      <c r="P365" s="1">
        <f t="shared" si="43"/>
        <v>109.10219004065041</v>
      </c>
      <c r="Q365" s="1">
        <f t="shared" si="44"/>
        <v>111.94093597560976</v>
      </c>
      <c r="R365" s="1">
        <f t="shared" si="45"/>
        <v>115.11230651575404</v>
      </c>
      <c r="S365" s="1">
        <f t="shared" si="46"/>
        <v>77.04346869885434</v>
      </c>
    </row>
    <row r="366" spans="1:19" x14ac:dyDescent="0.3">
      <c r="A366">
        <v>9774.2000000000007</v>
      </c>
      <c r="B366">
        <v>106.581824</v>
      </c>
      <c r="C366">
        <v>109.353701</v>
      </c>
      <c r="D366">
        <v>112.09552499999999</v>
      </c>
      <c r="E366">
        <v>74.379485000000003</v>
      </c>
      <c r="F366">
        <v>48.944448999999999</v>
      </c>
      <c r="G366">
        <v>30.050336000000001</v>
      </c>
      <c r="H366">
        <v>31.660056000000001</v>
      </c>
      <c r="I366"/>
      <c r="N366"/>
      <c r="O366"/>
      <c r="P366" s="1">
        <f t="shared" si="43"/>
        <v>109.08495528455285</v>
      </c>
      <c r="Q366" s="1">
        <f t="shared" si="44"/>
        <v>111.9096930894309</v>
      </c>
      <c r="R366" s="1">
        <f t="shared" si="45"/>
        <v>115.12149383093708</v>
      </c>
      <c r="S366" s="1">
        <f t="shared" si="46"/>
        <v>77.169611292962358</v>
      </c>
    </row>
    <row r="367" spans="1:19" x14ac:dyDescent="0.3">
      <c r="A367">
        <v>9774.4</v>
      </c>
      <c r="B367">
        <v>106.581824</v>
      </c>
      <c r="C367">
        <v>109.353701</v>
      </c>
      <c r="D367">
        <v>112.09552499999999</v>
      </c>
      <c r="E367">
        <v>74.379485000000003</v>
      </c>
      <c r="F367">
        <v>48.944448999999999</v>
      </c>
      <c r="G367">
        <v>30.050336000000001</v>
      </c>
      <c r="H367">
        <v>31.660056000000001</v>
      </c>
      <c r="I367"/>
      <c r="N367"/>
      <c r="O367"/>
      <c r="P367" s="1">
        <f t="shared" si="43"/>
        <v>109.08495528455285</v>
      </c>
      <c r="Q367" s="1">
        <f t="shared" si="44"/>
        <v>111.9096930894309</v>
      </c>
      <c r="R367" s="1">
        <f t="shared" si="45"/>
        <v>115.12149383093708</v>
      </c>
      <c r="S367" s="1">
        <f t="shared" si="46"/>
        <v>77.169611292962358</v>
      </c>
    </row>
    <row r="368" spans="1:19" x14ac:dyDescent="0.3">
      <c r="A368">
        <v>9774.6</v>
      </c>
      <c r="B368">
        <v>106.586899</v>
      </c>
      <c r="C368">
        <v>109.364969</v>
      </c>
      <c r="D368">
        <v>112.112672</v>
      </c>
      <c r="E368">
        <v>74.331838000000005</v>
      </c>
      <c r="F368">
        <v>48.640853</v>
      </c>
      <c r="G368">
        <v>30.040842000000001</v>
      </c>
      <c r="H368">
        <v>31.657149</v>
      </c>
      <c r="I368"/>
      <c r="N368"/>
      <c r="O368"/>
      <c r="P368" s="1">
        <f t="shared" si="43"/>
        <v>109.08460873983741</v>
      </c>
      <c r="Q368" s="1">
        <f t="shared" si="44"/>
        <v>111.92491463414635</v>
      </c>
      <c r="R368" s="1">
        <f t="shared" si="45"/>
        <v>115.1271846640155</v>
      </c>
      <c r="S368" s="1">
        <f t="shared" si="46"/>
        <v>77.122526595744674</v>
      </c>
    </row>
    <row r="369" spans="1:19" x14ac:dyDescent="0.3">
      <c r="A369">
        <v>9774.7999999999993</v>
      </c>
      <c r="B369">
        <v>106.586899</v>
      </c>
      <c r="C369">
        <v>109.364969</v>
      </c>
      <c r="D369">
        <v>112.112672</v>
      </c>
      <c r="E369">
        <v>74.331838000000005</v>
      </c>
      <c r="F369">
        <v>48.640853</v>
      </c>
      <c r="G369">
        <v>30.040842000000001</v>
      </c>
      <c r="H369">
        <v>31.657149</v>
      </c>
      <c r="I369"/>
      <c r="N369"/>
      <c r="O369"/>
      <c r="P369" s="1">
        <f t="shared" si="43"/>
        <v>109.08460873983741</v>
      </c>
      <c r="Q369" s="1">
        <f t="shared" si="44"/>
        <v>111.92491463414635</v>
      </c>
      <c r="R369" s="1">
        <f t="shared" si="45"/>
        <v>115.1271846640155</v>
      </c>
      <c r="S369" s="1">
        <f t="shared" si="46"/>
        <v>77.122526595744674</v>
      </c>
    </row>
    <row r="370" spans="1:19" x14ac:dyDescent="0.3">
      <c r="A370">
        <v>9775</v>
      </c>
      <c r="B370">
        <v>106.59055600000001</v>
      </c>
      <c r="C370">
        <v>109.37641499999999</v>
      </c>
      <c r="D370">
        <v>112.095372</v>
      </c>
      <c r="E370">
        <v>74.221199999999996</v>
      </c>
      <c r="F370">
        <v>48.670547999999997</v>
      </c>
      <c r="G370">
        <v>30.055349</v>
      </c>
      <c r="H370">
        <v>31.688064000000001</v>
      </c>
      <c r="I370" t="s">
        <v>56</v>
      </c>
      <c r="N370"/>
      <c r="O370"/>
      <c r="P370" s="1">
        <f t="shared" si="43"/>
        <v>109.08379776422765</v>
      </c>
      <c r="Q370" s="1">
        <f t="shared" si="44"/>
        <v>111.91829065040652</v>
      </c>
      <c r="R370" s="1">
        <f t="shared" si="45"/>
        <v>115.11475782604261</v>
      </c>
      <c r="S370" s="1">
        <f t="shared" si="46"/>
        <v>77.113018617021282</v>
      </c>
    </row>
    <row r="371" spans="1:19" x14ac:dyDescent="0.3">
      <c r="A371">
        <v>9775.2000000000007</v>
      </c>
      <c r="B371">
        <v>106.59055600000001</v>
      </c>
      <c r="C371">
        <v>109.37641499999999</v>
      </c>
      <c r="D371">
        <v>112.095372</v>
      </c>
      <c r="E371">
        <v>74.221199999999996</v>
      </c>
      <c r="F371">
        <v>48.670547999999997</v>
      </c>
      <c r="G371">
        <v>30.055349</v>
      </c>
      <c r="H371">
        <v>31.688064000000001</v>
      </c>
      <c r="I371"/>
      <c r="N371"/>
      <c r="O371"/>
      <c r="P371" s="1">
        <f t="shared" si="43"/>
        <v>109.08379776422765</v>
      </c>
      <c r="Q371" s="1">
        <f t="shared" si="44"/>
        <v>111.91829065040652</v>
      </c>
      <c r="R371" s="1">
        <f t="shared" si="45"/>
        <v>115.11475782604261</v>
      </c>
      <c r="S371" s="1">
        <f t="shared" si="46"/>
        <v>77.113018617021282</v>
      </c>
    </row>
    <row r="372" spans="1:19" x14ac:dyDescent="0.3">
      <c r="A372">
        <v>9775.4</v>
      </c>
      <c r="B372">
        <v>106.58050799999999</v>
      </c>
      <c r="C372">
        <v>109.350549</v>
      </c>
      <c r="D372">
        <v>112.093069</v>
      </c>
      <c r="E372">
        <v>74.407532000000003</v>
      </c>
      <c r="F372">
        <v>48.580430999999997</v>
      </c>
      <c r="G372">
        <v>30.050764999999998</v>
      </c>
      <c r="H372">
        <v>31.675037</v>
      </c>
      <c r="I372"/>
      <c r="N372"/>
      <c r="O372"/>
      <c r="P372" s="1">
        <f t="shared" si="43"/>
        <v>109.09749491869918</v>
      </c>
      <c r="Q372" s="1">
        <f t="shared" si="44"/>
        <v>111.94528658536585</v>
      </c>
      <c r="R372" s="1">
        <f t="shared" si="45"/>
        <v>115.13965024982156</v>
      </c>
      <c r="S372" s="1">
        <f t="shared" si="46"/>
        <v>77.202642184942718</v>
      </c>
    </row>
    <row r="373" spans="1:19" x14ac:dyDescent="0.3">
      <c r="A373">
        <v>9775.6</v>
      </c>
      <c r="B373">
        <v>106.58050799999999</v>
      </c>
      <c r="C373">
        <v>109.350549</v>
      </c>
      <c r="D373">
        <v>112.093069</v>
      </c>
      <c r="E373">
        <v>74.407532000000003</v>
      </c>
      <c r="F373">
        <v>48.580430999999997</v>
      </c>
      <c r="G373">
        <v>30.050764999999998</v>
      </c>
      <c r="H373">
        <v>31.675037</v>
      </c>
      <c r="I373"/>
      <c r="N373"/>
      <c r="O373"/>
      <c r="P373" s="1">
        <f t="shared" si="43"/>
        <v>109.09749491869918</v>
      </c>
      <c r="Q373" s="1">
        <f t="shared" si="44"/>
        <v>111.94528658536585</v>
      </c>
      <c r="R373" s="1">
        <f t="shared" si="45"/>
        <v>115.13965024982156</v>
      </c>
      <c r="S373" s="1">
        <f t="shared" si="46"/>
        <v>77.202642184942718</v>
      </c>
    </row>
    <row r="374" spans="1:19" x14ac:dyDescent="0.3">
      <c r="A374">
        <v>9775.7999999999993</v>
      </c>
      <c r="B374">
        <v>106.56059999999999</v>
      </c>
      <c r="C374">
        <v>109.354348</v>
      </c>
      <c r="D374">
        <v>112.105509</v>
      </c>
      <c r="E374">
        <v>74.466577999999998</v>
      </c>
      <c r="F374">
        <v>48.797781000000001</v>
      </c>
      <c r="G374">
        <v>30.028707000000001</v>
      </c>
      <c r="H374">
        <v>31.679300999999999</v>
      </c>
      <c r="I374"/>
      <c r="N374"/>
      <c r="O374"/>
      <c r="P374" s="1">
        <f t="shared" si="43"/>
        <v>109.09436991869919</v>
      </c>
      <c r="Q374" s="1">
        <f t="shared" si="44"/>
        <v>111.89148983739837</v>
      </c>
      <c r="R374" s="1">
        <f t="shared" si="45"/>
        <v>115.12095238095237</v>
      </c>
      <c r="S374" s="1">
        <f t="shared" si="46"/>
        <v>77.138603723404245</v>
      </c>
    </row>
    <row r="375" spans="1:19" x14ac:dyDescent="0.3">
      <c r="A375">
        <v>10505</v>
      </c>
      <c r="B375">
        <v>114.67200800000001</v>
      </c>
      <c r="C375">
        <v>118.00019</v>
      </c>
      <c r="D375">
        <v>121.29696800000001</v>
      </c>
      <c r="E375">
        <v>76.752686999999995</v>
      </c>
      <c r="F375">
        <v>49.534702000000003</v>
      </c>
      <c r="G375">
        <v>30.043472999999999</v>
      </c>
      <c r="H375">
        <v>31.967441999999998</v>
      </c>
      <c r="I375" t="s">
        <v>56</v>
      </c>
      <c r="N375"/>
      <c r="O375"/>
      <c r="P375" s="1">
        <f t="shared" si="43"/>
        <v>109.09436991869919</v>
      </c>
      <c r="Q375" s="1">
        <f t="shared" si="44"/>
        <v>111.89148983739837</v>
      </c>
      <c r="R375" s="1">
        <f t="shared" si="45"/>
        <v>115.12095238095237</v>
      </c>
      <c r="S375" s="1">
        <f t="shared" si="46"/>
        <v>77.138603723404245</v>
      </c>
    </row>
    <row r="376" spans="1:19" x14ac:dyDescent="0.3">
      <c r="A376">
        <v>10505.2</v>
      </c>
      <c r="B376">
        <v>114.67200800000001</v>
      </c>
      <c r="C376">
        <v>118.00019</v>
      </c>
      <c r="D376">
        <v>121.29696800000001</v>
      </c>
      <c r="E376">
        <v>76.752686999999995</v>
      </c>
      <c r="F376">
        <v>49.534702000000003</v>
      </c>
      <c r="G376">
        <v>30.043472999999999</v>
      </c>
      <c r="H376">
        <v>31.967441999999998</v>
      </c>
      <c r="I376"/>
      <c r="N376"/>
      <c r="O376"/>
      <c r="P376" s="1">
        <f t="shared" si="43"/>
        <v>109.11620833333333</v>
      </c>
      <c r="Q376" s="1">
        <f t="shared" si="44"/>
        <v>111.92084756097562</v>
      </c>
      <c r="R376" s="1">
        <f t="shared" si="45"/>
        <v>115.14170184562047</v>
      </c>
      <c r="S376" s="1">
        <f t="shared" si="46"/>
        <v>77.165486906710314</v>
      </c>
    </row>
    <row r="377" spans="1:19" x14ac:dyDescent="0.3">
      <c r="A377">
        <v>10505.4</v>
      </c>
      <c r="B377">
        <v>114.685779</v>
      </c>
      <c r="C377">
        <v>118.001608</v>
      </c>
      <c r="D377">
        <v>121.318308</v>
      </c>
      <c r="E377">
        <v>76.808724999999995</v>
      </c>
      <c r="F377">
        <v>49.872732999999997</v>
      </c>
      <c r="G377">
        <v>30.067229000000001</v>
      </c>
      <c r="H377">
        <v>31.987399</v>
      </c>
      <c r="I377"/>
      <c r="N377"/>
      <c r="O377"/>
      <c r="P377" s="1">
        <f t="shared" si="43"/>
        <v>109.11620833333333</v>
      </c>
      <c r="Q377" s="1">
        <f t="shared" si="44"/>
        <v>111.92084756097562</v>
      </c>
      <c r="R377" s="1">
        <f t="shared" si="45"/>
        <v>115.14170184562047</v>
      </c>
      <c r="S377" s="1">
        <f t="shared" si="46"/>
        <v>77.165486906710314</v>
      </c>
    </row>
    <row r="378" spans="1:19" x14ac:dyDescent="0.3">
      <c r="A378">
        <v>10505.6</v>
      </c>
      <c r="B378">
        <v>114.685779</v>
      </c>
      <c r="C378">
        <v>118.001608</v>
      </c>
      <c r="D378">
        <v>121.318308</v>
      </c>
      <c r="E378">
        <v>76.808724999999995</v>
      </c>
      <c r="F378">
        <v>49.872732999999997</v>
      </c>
      <c r="G378">
        <v>30.067229000000001</v>
      </c>
      <c r="H378">
        <v>31.987399</v>
      </c>
      <c r="I378"/>
      <c r="N378"/>
      <c r="O378"/>
      <c r="P378" s="1">
        <f t="shared" si="43"/>
        <v>109.1118099593496</v>
      </c>
      <c r="Q378" s="1">
        <f t="shared" si="44"/>
        <v>111.9429237804878</v>
      </c>
      <c r="R378" s="1">
        <f t="shared" si="45"/>
        <v>115.13008769246456</v>
      </c>
      <c r="S378" s="1">
        <f t="shared" si="46"/>
        <v>77.194813829787222</v>
      </c>
    </row>
    <row r="379" spans="1:19" x14ac:dyDescent="0.3">
      <c r="A379">
        <v>10505.8</v>
      </c>
      <c r="B379">
        <v>114.692122</v>
      </c>
      <c r="C379">
        <v>118.023146</v>
      </c>
      <c r="D379">
        <v>121.296713</v>
      </c>
      <c r="E379">
        <v>76.870710000000003</v>
      </c>
      <c r="F379">
        <v>49.721555000000002</v>
      </c>
      <c r="G379">
        <v>30.053947000000001</v>
      </c>
      <c r="H379">
        <v>31.964286999999999</v>
      </c>
      <c r="I379"/>
      <c r="N379"/>
      <c r="O379"/>
      <c r="P379" s="1">
        <f t="shared" si="43"/>
        <v>109.1118099593496</v>
      </c>
      <c r="Q379" s="1">
        <f t="shared" si="44"/>
        <v>111.9429237804878</v>
      </c>
      <c r="R379" s="1">
        <f t="shared" si="45"/>
        <v>115.13008769246456</v>
      </c>
      <c r="S379" s="1">
        <f t="shared" si="46"/>
        <v>77.194813829787222</v>
      </c>
    </row>
    <row r="380" spans="1:19" x14ac:dyDescent="0.3">
      <c r="A380">
        <v>10506</v>
      </c>
      <c r="B380">
        <v>114.692122</v>
      </c>
      <c r="C380">
        <v>118.023146</v>
      </c>
      <c r="D380">
        <v>121.296713</v>
      </c>
      <c r="E380">
        <v>76.870710000000003</v>
      </c>
      <c r="F380">
        <v>49.721555000000002</v>
      </c>
      <c r="G380">
        <v>30.053947000000001</v>
      </c>
      <c r="H380">
        <v>31.964286999999999</v>
      </c>
      <c r="I380" t="s">
        <v>56</v>
      </c>
      <c r="N380"/>
      <c r="O380"/>
      <c r="P380" s="1">
        <f t="shared" si="43"/>
        <v>109.09321239837399</v>
      </c>
      <c r="Q380" s="1">
        <f t="shared" si="44"/>
        <v>111.92541768292683</v>
      </c>
      <c r="R380" s="1">
        <f t="shared" si="45"/>
        <v>115.13721117569084</v>
      </c>
      <c r="S380" s="1">
        <f t="shared" si="46"/>
        <v>77.157162438625207</v>
      </c>
    </row>
    <row r="381" spans="1:19" x14ac:dyDescent="0.3">
      <c r="A381">
        <v>10506.2</v>
      </c>
      <c r="B381">
        <v>114.71001200000001</v>
      </c>
      <c r="C381">
        <v>118.014222</v>
      </c>
      <c r="D381">
        <v>121.306371</v>
      </c>
      <c r="E381">
        <v>76.813404000000006</v>
      </c>
      <c r="F381">
        <v>49.569561</v>
      </c>
      <c r="G381">
        <v>30.032582000000001</v>
      </c>
      <c r="H381">
        <v>31.957039000000002</v>
      </c>
      <c r="I381"/>
      <c r="N381"/>
      <c r="O381"/>
      <c r="P381" s="1">
        <f t="shared" si="43"/>
        <v>109.09321239837399</v>
      </c>
      <c r="Q381" s="1">
        <f t="shared" si="44"/>
        <v>111.92541768292683</v>
      </c>
      <c r="R381" s="1">
        <f t="shared" si="45"/>
        <v>115.13721117569084</v>
      </c>
      <c r="S381" s="1">
        <f t="shared" si="46"/>
        <v>77.157162438625207</v>
      </c>
    </row>
    <row r="382" spans="1:19" x14ac:dyDescent="0.3">
      <c r="A382">
        <v>10506.4</v>
      </c>
      <c r="B382">
        <v>114.71001200000001</v>
      </c>
      <c r="C382">
        <v>118.014222</v>
      </c>
      <c r="D382">
        <v>121.306371</v>
      </c>
      <c r="E382">
        <v>76.813404000000006</v>
      </c>
      <c r="F382">
        <v>49.569561</v>
      </c>
      <c r="G382">
        <v>30.032582000000001</v>
      </c>
      <c r="H382">
        <v>31.957039000000002</v>
      </c>
      <c r="I382"/>
      <c r="N382"/>
      <c r="O382"/>
      <c r="P382" s="1">
        <f t="shared" si="43"/>
        <v>109.11710772357723</v>
      </c>
      <c r="Q382" s="1">
        <f t="shared" si="44"/>
        <v>111.94080589430895</v>
      </c>
      <c r="R382" s="1">
        <f t="shared" si="45"/>
        <v>115.14167533394513</v>
      </c>
      <c r="S382" s="1">
        <f t="shared" si="46"/>
        <v>77.112305646481175</v>
      </c>
    </row>
    <row r="383" spans="1:19" x14ac:dyDescent="0.3">
      <c r="A383">
        <v>10506.6</v>
      </c>
      <c r="B383">
        <v>114.69287300000001</v>
      </c>
      <c r="C383">
        <v>118.01218</v>
      </c>
      <c r="D383">
        <v>121.304794</v>
      </c>
      <c r="E383">
        <v>76.688211999999993</v>
      </c>
      <c r="F383">
        <v>49.121662000000001</v>
      </c>
      <c r="G383">
        <v>30.043852000000001</v>
      </c>
      <c r="H383">
        <v>31.979082999999999</v>
      </c>
      <c r="I383"/>
      <c r="N383"/>
      <c r="O383"/>
      <c r="P383" s="1">
        <f t="shared" si="43"/>
        <v>109.11710772357723</v>
      </c>
      <c r="Q383" s="1">
        <f t="shared" si="44"/>
        <v>111.94080589430895</v>
      </c>
      <c r="R383" s="1">
        <f t="shared" si="45"/>
        <v>115.14167533394513</v>
      </c>
      <c r="S383" s="1">
        <f t="shared" si="46"/>
        <v>77.112305646481175</v>
      </c>
    </row>
    <row r="384" spans="1:19" x14ac:dyDescent="0.3">
      <c r="A384">
        <v>10506.8</v>
      </c>
      <c r="B384">
        <v>114.69287300000001</v>
      </c>
      <c r="C384">
        <v>118.01218</v>
      </c>
      <c r="D384">
        <v>121.304794</v>
      </c>
      <c r="E384">
        <v>76.688211999999993</v>
      </c>
      <c r="F384">
        <v>49.121662000000001</v>
      </c>
      <c r="G384">
        <v>30.043852000000001</v>
      </c>
      <c r="H384">
        <v>31.979082999999999</v>
      </c>
      <c r="I384"/>
      <c r="N384"/>
      <c r="O384"/>
      <c r="P384" s="1">
        <f t="shared" si="43"/>
        <v>109.11415040650407</v>
      </c>
      <c r="Q384" s="1">
        <f t="shared" si="44"/>
        <v>111.93109857723577</v>
      </c>
      <c r="R384" s="1">
        <f t="shared" si="45"/>
        <v>115.12779137350871</v>
      </c>
      <c r="S384" s="1">
        <f t="shared" si="46"/>
        <v>77.028728518821609</v>
      </c>
    </row>
    <row r="385" spans="1:19" x14ac:dyDescent="0.3">
      <c r="A385">
        <v>10507</v>
      </c>
      <c r="B385">
        <v>114.714513</v>
      </c>
      <c r="C385">
        <v>118.01115799999999</v>
      </c>
      <c r="D385">
        <v>121.314769</v>
      </c>
      <c r="E385">
        <v>76.708496999999994</v>
      </c>
      <c r="F385">
        <v>49.195217</v>
      </c>
      <c r="G385">
        <v>30.058309000000001</v>
      </c>
      <c r="H385">
        <v>31.970283999999999</v>
      </c>
      <c r="I385" t="s">
        <v>56</v>
      </c>
      <c r="N385"/>
      <c r="O385"/>
      <c r="P385" s="1">
        <f t="shared" si="43"/>
        <v>109.11415040650407</v>
      </c>
      <c r="Q385" s="1">
        <f t="shared" si="44"/>
        <v>111.93109857723577</v>
      </c>
      <c r="R385" s="1">
        <f t="shared" si="45"/>
        <v>115.12779137350871</v>
      </c>
      <c r="S385" s="1">
        <f t="shared" si="46"/>
        <v>77.028728518821609</v>
      </c>
    </row>
    <row r="386" spans="1:19" x14ac:dyDescent="0.3">
      <c r="A386">
        <v>10507.2</v>
      </c>
      <c r="B386">
        <v>114.714513</v>
      </c>
      <c r="C386">
        <v>118.01115799999999</v>
      </c>
      <c r="D386">
        <v>121.314769</v>
      </c>
      <c r="E386">
        <v>76.708496999999994</v>
      </c>
      <c r="F386">
        <v>49.195217</v>
      </c>
      <c r="G386">
        <v>30.058309000000001</v>
      </c>
      <c r="H386">
        <v>31.970283999999999</v>
      </c>
      <c r="I386"/>
      <c r="N386"/>
      <c r="O386"/>
      <c r="P386" s="1">
        <f t="shared" si="43"/>
        <v>109.11930792682928</v>
      </c>
      <c r="Q386" s="1">
        <f t="shared" si="44"/>
        <v>111.94254979674797</v>
      </c>
      <c r="R386" s="1">
        <f t="shared" si="45"/>
        <v>115.14527582339146</v>
      </c>
      <c r="S386" s="1">
        <f t="shared" si="46"/>
        <v>76.979989770867434</v>
      </c>
    </row>
    <row r="387" spans="1:19" x14ac:dyDescent="0.3">
      <c r="A387">
        <v>10507.4</v>
      </c>
      <c r="B387">
        <v>114.68863899999999</v>
      </c>
      <c r="C387">
        <v>118.01620200000001</v>
      </c>
      <c r="D387">
        <v>121.309718</v>
      </c>
      <c r="E387">
        <v>76.744549000000006</v>
      </c>
      <c r="F387">
        <v>49.409381000000003</v>
      </c>
      <c r="G387">
        <v>30.067019999999999</v>
      </c>
      <c r="H387">
        <v>31.960675999999999</v>
      </c>
      <c r="I387"/>
      <c r="N387"/>
      <c r="O387"/>
      <c r="P387" s="1">
        <f t="shared" si="43"/>
        <v>109.11930792682928</v>
      </c>
      <c r="Q387" s="1">
        <f t="shared" si="44"/>
        <v>111.94254979674797</v>
      </c>
      <c r="R387" s="1">
        <f t="shared" si="45"/>
        <v>115.14527582339146</v>
      </c>
      <c r="S387" s="1">
        <f t="shared" si="46"/>
        <v>76.979989770867434</v>
      </c>
    </row>
    <row r="388" spans="1:19" x14ac:dyDescent="0.3">
      <c r="A388">
        <v>10507.6</v>
      </c>
      <c r="B388">
        <v>114.68863899999999</v>
      </c>
      <c r="C388">
        <v>118.01620200000001</v>
      </c>
      <c r="D388">
        <v>121.309718</v>
      </c>
      <c r="E388">
        <v>76.744549000000006</v>
      </c>
      <c r="F388">
        <v>49.409381000000003</v>
      </c>
      <c r="G388">
        <v>30.067019999999999</v>
      </c>
      <c r="H388">
        <v>31.960675999999999</v>
      </c>
      <c r="I388"/>
      <c r="N388"/>
      <c r="O388"/>
      <c r="P388" s="1">
        <f t="shared" si="43"/>
        <v>109.12302439024391</v>
      </c>
      <c r="Q388" s="1">
        <f t="shared" si="44"/>
        <v>111.9541819105691</v>
      </c>
      <c r="R388" s="1">
        <f t="shared" si="45"/>
        <v>115.12763536249616</v>
      </c>
      <c r="S388" s="1">
        <f t="shared" si="46"/>
        <v>76.866816693944344</v>
      </c>
    </row>
    <row r="389" spans="1:19" x14ac:dyDescent="0.3">
      <c r="A389">
        <v>10507.8</v>
      </c>
      <c r="B389">
        <v>114.694221</v>
      </c>
      <c r="C389">
        <v>118.02019799999999</v>
      </c>
      <c r="D389">
        <v>121.319198</v>
      </c>
      <c r="E389">
        <v>76.806011999999996</v>
      </c>
      <c r="F389">
        <v>49.190364000000002</v>
      </c>
      <c r="G389">
        <v>30.067816000000001</v>
      </c>
      <c r="H389">
        <v>31.970623</v>
      </c>
      <c r="I389"/>
      <c r="N389"/>
      <c r="O389"/>
      <c r="P389" s="1">
        <f t="shared" si="43"/>
        <v>109.12302439024391</v>
      </c>
      <c r="Q389" s="1">
        <f t="shared" si="44"/>
        <v>111.9541819105691</v>
      </c>
      <c r="R389" s="1">
        <f t="shared" si="45"/>
        <v>115.12763536249616</v>
      </c>
      <c r="S389" s="1">
        <f t="shared" si="46"/>
        <v>76.866816693944344</v>
      </c>
    </row>
    <row r="390" spans="1:19" x14ac:dyDescent="0.3">
      <c r="A390">
        <v>10508</v>
      </c>
      <c r="B390">
        <v>114.694221</v>
      </c>
      <c r="C390">
        <v>118.02019799999999</v>
      </c>
      <c r="D390">
        <v>121.319198</v>
      </c>
      <c r="E390">
        <v>76.806011999999996</v>
      </c>
      <c r="F390">
        <v>49.190364000000002</v>
      </c>
      <c r="G390">
        <v>30.067816000000001</v>
      </c>
      <c r="H390">
        <v>31.970623</v>
      </c>
      <c r="I390" t="s">
        <v>56</v>
      </c>
      <c r="N390"/>
      <c r="O390"/>
      <c r="P390" s="1">
        <f t="shared" si="43"/>
        <v>109.11281300813008</v>
      </c>
      <c r="Q390" s="1">
        <f t="shared" si="44"/>
        <v>111.92789532520325</v>
      </c>
      <c r="R390" s="1">
        <f t="shared" si="45"/>
        <v>115.12528703986948</v>
      </c>
      <c r="S390" s="1">
        <f t="shared" si="46"/>
        <v>77.057418166939442</v>
      </c>
    </row>
    <row r="391" spans="1:19" x14ac:dyDescent="0.3">
      <c r="A391">
        <v>10508.2</v>
      </c>
      <c r="B391">
        <v>114.68515499999999</v>
      </c>
      <c r="C391">
        <v>118.02281600000001</v>
      </c>
      <c r="D391">
        <v>121.31356100000001</v>
      </c>
      <c r="E391">
        <v>76.889876000000001</v>
      </c>
      <c r="F391">
        <v>49.493794999999999</v>
      </c>
      <c r="G391">
        <v>30.049990000000001</v>
      </c>
      <c r="H391">
        <v>31.992014000000001</v>
      </c>
      <c r="I391"/>
      <c r="N391"/>
      <c r="O391"/>
      <c r="P391" s="1">
        <f t="shared" si="43"/>
        <v>109.11281300813008</v>
      </c>
      <c r="Q391" s="1">
        <f t="shared" si="44"/>
        <v>111.92789532520325</v>
      </c>
      <c r="R391" s="1">
        <f t="shared" si="45"/>
        <v>115.12528703986948</v>
      </c>
      <c r="S391" s="1">
        <f t="shared" si="46"/>
        <v>77.057418166939442</v>
      </c>
    </row>
    <row r="392" spans="1:19" x14ac:dyDescent="0.3">
      <c r="A392">
        <v>10508.4</v>
      </c>
      <c r="B392">
        <v>114.68515499999999</v>
      </c>
      <c r="C392">
        <v>118.02281600000001</v>
      </c>
      <c r="D392">
        <v>121.31356100000001</v>
      </c>
      <c r="E392">
        <v>76.889876000000001</v>
      </c>
      <c r="F392">
        <v>49.493794999999999</v>
      </c>
      <c r="G392">
        <v>30.049990000000001</v>
      </c>
      <c r="H392">
        <v>31.992014000000001</v>
      </c>
      <c r="I392"/>
      <c r="N392"/>
      <c r="O392"/>
      <c r="P392" s="1">
        <f t="shared" si="43"/>
        <v>109.09258130081301</v>
      </c>
      <c r="Q392" s="1">
        <f t="shared" si="44"/>
        <v>111.93175609756098</v>
      </c>
      <c r="R392" s="1">
        <f t="shared" si="45"/>
        <v>115.13797185683694</v>
      </c>
      <c r="S392" s="1">
        <f t="shared" si="46"/>
        <v>77.117817103109658</v>
      </c>
    </row>
    <row r="393" spans="1:19" x14ac:dyDescent="0.3">
      <c r="A393">
        <v>10508.6</v>
      </c>
      <c r="B393">
        <v>114.705918</v>
      </c>
      <c r="C393">
        <v>118.008962</v>
      </c>
      <c r="D393">
        <v>121.28418000000001</v>
      </c>
      <c r="E393">
        <v>76.806708999999998</v>
      </c>
      <c r="F393">
        <v>49.497926</v>
      </c>
      <c r="G393">
        <v>30.066327999999999</v>
      </c>
      <c r="H393">
        <v>31.987908000000001</v>
      </c>
      <c r="I393"/>
      <c r="N393"/>
      <c r="O393"/>
      <c r="P393" s="1">
        <f t="shared" si="43"/>
        <v>117.33588211382114</v>
      </c>
      <c r="Q393" s="1">
        <f t="shared" si="44"/>
        <v>120.71818089430896</v>
      </c>
      <c r="R393" s="1">
        <f t="shared" si="45"/>
        <v>124.51031712042419</v>
      </c>
      <c r="S393" s="1">
        <f t="shared" si="46"/>
        <v>79.456308306055632</v>
      </c>
    </row>
    <row r="394" spans="1:19" x14ac:dyDescent="0.3">
      <c r="A394">
        <v>10508.8</v>
      </c>
      <c r="B394">
        <v>114.705918</v>
      </c>
      <c r="C394">
        <v>118.008962</v>
      </c>
      <c r="D394">
        <v>121.28418000000001</v>
      </c>
      <c r="E394">
        <v>76.806708999999998</v>
      </c>
      <c r="F394">
        <v>49.497926</v>
      </c>
      <c r="G394">
        <v>30.066327999999999</v>
      </c>
      <c r="H394">
        <v>31.987908000000001</v>
      </c>
      <c r="I394"/>
      <c r="N394"/>
      <c r="O394"/>
      <c r="P394" s="1">
        <f t="shared" si="43"/>
        <v>117.33588211382114</v>
      </c>
      <c r="Q394" s="1">
        <f t="shared" si="44"/>
        <v>120.71818089430896</v>
      </c>
      <c r="R394" s="1">
        <f t="shared" si="45"/>
        <v>124.51031712042419</v>
      </c>
      <c r="S394" s="1">
        <f t="shared" si="46"/>
        <v>79.456308306055632</v>
      </c>
    </row>
    <row r="395" spans="1:19" x14ac:dyDescent="0.3">
      <c r="A395">
        <v>10509</v>
      </c>
      <c r="B395">
        <v>114.71078799999999</v>
      </c>
      <c r="C395">
        <v>118.008796</v>
      </c>
      <c r="D395">
        <v>121.322952</v>
      </c>
      <c r="E395">
        <v>76.742259000000004</v>
      </c>
      <c r="F395">
        <v>49.320739000000003</v>
      </c>
      <c r="G395">
        <v>30.055161999999999</v>
      </c>
      <c r="H395">
        <v>31.966203</v>
      </c>
      <c r="I395" t="s">
        <v>56</v>
      </c>
      <c r="N395"/>
      <c r="O395"/>
      <c r="P395" s="1">
        <f t="shared" si="43"/>
        <v>117.34987703252033</v>
      </c>
      <c r="Q395" s="1">
        <f t="shared" si="44"/>
        <v>120.71962195121952</v>
      </c>
      <c r="R395" s="1">
        <f t="shared" si="45"/>
        <v>124.53207708779443</v>
      </c>
      <c r="S395" s="1">
        <f t="shared" si="46"/>
        <v>79.51363031914893</v>
      </c>
    </row>
    <row r="396" spans="1:19" x14ac:dyDescent="0.3">
      <c r="A396">
        <v>10509.2</v>
      </c>
      <c r="B396">
        <v>114.71078799999999</v>
      </c>
      <c r="C396">
        <v>118.008796</v>
      </c>
      <c r="D396">
        <v>121.322952</v>
      </c>
      <c r="E396">
        <v>76.742259000000004</v>
      </c>
      <c r="F396">
        <v>49.320739000000003</v>
      </c>
      <c r="G396">
        <v>30.055161999999999</v>
      </c>
      <c r="H396">
        <v>31.966203</v>
      </c>
      <c r="I396"/>
      <c r="N396"/>
      <c r="O396"/>
      <c r="P396" s="1">
        <f t="shared" si="43"/>
        <v>117.34987703252033</v>
      </c>
      <c r="Q396" s="1">
        <f t="shared" si="44"/>
        <v>120.71962195121952</v>
      </c>
      <c r="R396" s="1">
        <f t="shared" si="45"/>
        <v>124.53207708779443</v>
      </c>
      <c r="S396" s="1">
        <f t="shared" si="46"/>
        <v>79.51363031914893</v>
      </c>
    </row>
    <row r="397" spans="1:19" x14ac:dyDescent="0.3">
      <c r="A397">
        <v>10509.4</v>
      </c>
      <c r="B397">
        <v>114.707902</v>
      </c>
      <c r="C397">
        <v>118.001302</v>
      </c>
      <c r="D397">
        <v>121.332662</v>
      </c>
      <c r="E397">
        <v>76.894443999999993</v>
      </c>
      <c r="F397">
        <v>49.870975999999999</v>
      </c>
      <c r="G397">
        <v>30.050668999999999</v>
      </c>
      <c r="H397">
        <v>31.987765</v>
      </c>
      <c r="I397"/>
      <c r="N397"/>
      <c r="O397"/>
      <c r="P397" s="1">
        <f t="shared" si="43"/>
        <v>117.35632317073171</v>
      </c>
      <c r="Q397" s="1">
        <f t="shared" si="44"/>
        <v>120.74151016260163</v>
      </c>
      <c r="R397" s="1">
        <f t="shared" si="45"/>
        <v>124.51005710206994</v>
      </c>
      <c r="S397" s="1">
        <f t="shared" si="46"/>
        <v>79.577035597381339</v>
      </c>
    </row>
    <row r="398" spans="1:19" x14ac:dyDescent="0.3">
      <c r="A398">
        <v>10509.6</v>
      </c>
      <c r="B398">
        <v>114.707902</v>
      </c>
      <c r="C398">
        <v>118.001302</v>
      </c>
      <c r="D398">
        <v>121.332662</v>
      </c>
      <c r="E398">
        <v>76.894443999999993</v>
      </c>
      <c r="F398">
        <v>49.870975999999999</v>
      </c>
      <c r="G398">
        <v>30.050668999999999</v>
      </c>
      <c r="H398">
        <v>31.987765</v>
      </c>
      <c r="I398"/>
      <c r="N398"/>
      <c r="O398"/>
      <c r="P398" s="1">
        <f t="shared" si="43"/>
        <v>117.35632317073171</v>
      </c>
      <c r="Q398" s="1">
        <f t="shared" si="44"/>
        <v>120.74151016260163</v>
      </c>
      <c r="R398" s="1">
        <f t="shared" si="45"/>
        <v>124.51005710206994</v>
      </c>
      <c r="S398" s="1">
        <f t="shared" si="46"/>
        <v>79.577035597381339</v>
      </c>
    </row>
    <row r="399" spans="1:19" x14ac:dyDescent="0.3">
      <c r="A399">
        <v>10509.8</v>
      </c>
      <c r="B399">
        <v>114.711462</v>
      </c>
      <c r="C399">
        <v>118.019586</v>
      </c>
      <c r="D399">
        <v>121.306907</v>
      </c>
      <c r="E399">
        <v>76.739783000000003</v>
      </c>
      <c r="F399">
        <v>49.927501999999997</v>
      </c>
      <c r="G399">
        <v>30.060659999999999</v>
      </c>
      <c r="H399">
        <v>31.958786</v>
      </c>
      <c r="I399"/>
      <c r="N399"/>
      <c r="O399"/>
      <c r="P399" s="1">
        <f t="shared" si="43"/>
        <v>117.37450406504067</v>
      </c>
      <c r="Q399" s="1">
        <f t="shared" si="44"/>
        <v>120.73244105691057</v>
      </c>
      <c r="R399" s="1">
        <f t="shared" si="45"/>
        <v>124.51990516977668</v>
      </c>
      <c r="S399" s="1">
        <f t="shared" si="46"/>
        <v>79.51841653027823</v>
      </c>
    </row>
    <row r="400" spans="1:19" x14ac:dyDescent="0.3">
      <c r="A400">
        <v>10510</v>
      </c>
      <c r="B400">
        <v>114.711462</v>
      </c>
      <c r="C400">
        <v>118.019586</v>
      </c>
      <c r="D400">
        <v>121.306907</v>
      </c>
      <c r="E400">
        <v>76.739783000000003</v>
      </c>
      <c r="F400">
        <v>49.927501999999997</v>
      </c>
      <c r="G400">
        <v>30.060659999999999</v>
      </c>
      <c r="H400">
        <v>31.958786</v>
      </c>
      <c r="I400" t="s">
        <v>56</v>
      </c>
      <c r="N400"/>
      <c r="O400"/>
      <c r="P400" s="1">
        <f t="shared" si="43"/>
        <v>117.37450406504067</v>
      </c>
      <c r="Q400" s="1">
        <f t="shared" si="44"/>
        <v>120.73244105691057</v>
      </c>
      <c r="R400" s="1">
        <f t="shared" si="45"/>
        <v>124.51990516977668</v>
      </c>
      <c r="S400" s="1">
        <f t="shared" si="46"/>
        <v>79.51841653027823</v>
      </c>
    </row>
    <row r="401" spans="1:19" x14ac:dyDescent="0.3">
      <c r="A401">
        <v>10510.2</v>
      </c>
      <c r="B401">
        <v>114.700908</v>
      </c>
      <c r="C401">
        <v>118.008528</v>
      </c>
      <c r="D401">
        <v>121.30985800000001</v>
      </c>
      <c r="E401">
        <v>76.855789999999999</v>
      </c>
      <c r="F401">
        <v>49.657322999999998</v>
      </c>
      <c r="G401">
        <v>30.061443000000001</v>
      </c>
      <c r="H401">
        <v>31.978104999999999</v>
      </c>
      <c r="I401"/>
      <c r="N401"/>
      <c r="O401"/>
      <c r="P401" s="1">
        <f t="shared" si="43"/>
        <v>117.35708638211383</v>
      </c>
      <c r="Q401" s="1">
        <f t="shared" si="44"/>
        <v>120.73036585365854</v>
      </c>
      <c r="R401" s="1">
        <f t="shared" si="45"/>
        <v>124.51829713469971</v>
      </c>
      <c r="S401" s="1">
        <f t="shared" si="46"/>
        <v>79.390355973813413</v>
      </c>
    </row>
    <row r="402" spans="1:19" x14ac:dyDescent="0.3">
      <c r="A402">
        <v>10510.4</v>
      </c>
      <c r="B402">
        <v>114.700908</v>
      </c>
      <c r="C402">
        <v>118.008528</v>
      </c>
      <c r="D402">
        <v>121.30985800000001</v>
      </c>
      <c r="E402">
        <v>76.855789999999999</v>
      </c>
      <c r="F402">
        <v>49.657322999999998</v>
      </c>
      <c r="G402">
        <v>30.061443000000001</v>
      </c>
      <c r="H402">
        <v>31.978104999999999</v>
      </c>
      <c r="I402"/>
      <c r="N402"/>
      <c r="O402"/>
      <c r="P402" s="1">
        <f t="shared" si="43"/>
        <v>117.35708638211383</v>
      </c>
      <c r="Q402" s="1">
        <f t="shared" si="44"/>
        <v>120.73036585365854</v>
      </c>
      <c r="R402" s="1">
        <f t="shared" si="45"/>
        <v>124.51829713469971</v>
      </c>
      <c r="S402" s="1">
        <f t="shared" si="46"/>
        <v>79.390355973813413</v>
      </c>
    </row>
    <row r="403" spans="1:19" x14ac:dyDescent="0.3">
      <c r="A403">
        <v>10510.6</v>
      </c>
      <c r="B403">
        <v>114.701722</v>
      </c>
      <c r="C403">
        <v>118.033247</v>
      </c>
      <c r="D403">
        <v>121.31868900000001</v>
      </c>
      <c r="E403">
        <v>76.959404000000006</v>
      </c>
      <c r="F403">
        <v>49.903494000000002</v>
      </c>
      <c r="G403">
        <v>30.061900000000001</v>
      </c>
      <c r="H403">
        <v>31.979735000000002</v>
      </c>
      <c r="I403"/>
      <c r="N403"/>
      <c r="O403"/>
      <c r="P403" s="1">
        <f t="shared" si="43"/>
        <v>117.37907825203253</v>
      </c>
      <c r="Q403" s="1">
        <f t="shared" si="44"/>
        <v>120.72932723577236</v>
      </c>
      <c r="R403" s="1">
        <f t="shared" si="45"/>
        <v>124.52846844090955</v>
      </c>
      <c r="S403" s="1">
        <f t="shared" si="46"/>
        <v>79.411105769230758</v>
      </c>
    </row>
    <row r="404" spans="1:19" x14ac:dyDescent="0.3">
      <c r="A404">
        <v>10510.8</v>
      </c>
      <c r="B404">
        <v>114.701722</v>
      </c>
      <c r="C404">
        <v>118.033247</v>
      </c>
      <c r="D404">
        <v>121.31868900000001</v>
      </c>
      <c r="E404">
        <v>76.959404000000006</v>
      </c>
      <c r="F404">
        <v>49.903494000000002</v>
      </c>
      <c r="G404">
        <v>30.061900000000001</v>
      </c>
      <c r="H404">
        <v>31.979735000000002</v>
      </c>
      <c r="I404"/>
      <c r="N404"/>
      <c r="O404"/>
      <c r="P404" s="1">
        <f t="shared" si="43"/>
        <v>117.37907825203253</v>
      </c>
      <c r="Q404" s="1">
        <f t="shared" si="44"/>
        <v>120.72932723577236</v>
      </c>
      <c r="R404" s="1">
        <f t="shared" si="45"/>
        <v>124.52846844090955</v>
      </c>
      <c r="S404" s="1">
        <f t="shared" si="46"/>
        <v>79.411105769230758</v>
      </c>
    </row>
    <row r="405" spans="1:19" x14ac:dyDescent="0.3">
      <c r="A405">
        <v>10511</v>
      </c>
      <c r="B405">
        <v>114.698913</v>
      </c>
      <c r="C405">
        <v>118.01181</v>
      </c>
      <c r="D405">
        <v>121.289309</v>
      </c>
      <c r="E405">
        <v>76.893038000000004</v>
      </c>
      <c r="F405">
        <v>49.835625</v>
      </c>
      <c r="G405">
        <v>30.062944999999999</v>
      </c>
      <c r="H405">
        <v>31.958721000000001</v>
      </c>
      <c r="I405" t="s">
        <v>56</v>
      </c>
      <c r="N405"/>
      <c r="O405"/>
      <c r="P405" s="1">
        <f t="shared" si="43"/>
        <v>117.35278353658536</v>
      </c>
      <c r="Q405" s="1">
        <f t="shared" si="44"/>
        <v>120.73445325203254</v>
      </c>
      <c r="R405" s="1">
        <f t="shared" si="45"/>
        <v>124.52331803813603</v>
      </c>
      <c r="S405" s="1">
        <f t="shared" si="46"/>
        <v>79.44798383797054</v>
      </c>
    </row>
    <row r="406" spans="1:19" x14ac:dyDescent="0.3">
      <c r="A406">
        <v>10511.2</v>
      </c>
      <c r="B406">
        <v>114.698913</v>
      </c>
      <c r="C406">
        <v>118.01181</v>
      </c>
      <c r="D406">
        <v>121.289309</v>
      </c>
      <c r="E406">
        <v>76.893038000000004</v>
      </c>
      <c r="F406">
        <v>49.835625</v>
      </c>
      <c r="G406">
        <v>30.062944999999999</v>
      </c>
      <c r="H406">
        <v>31.958721000000001</v>
      </c>
      <c r="I406"/>
      <c r="N406"/>
      <c r="O406"/>
      <c r="P406" s="1">
        <f t="shared" si="43"/>
        <v>117.35278353658536</v>
      </c>
      <c r="Q406" s="1">
        <f t="shared" si="44"/>
        <v>120.73445325203254</v>
      </c>
      <c r="R406" s="1">
        <f t="shared" si="45"/>
        <v>124.52331803813603</v>
      </c>
      <c r="S406" s="1">
        <f t="shared" si="46"/>
        <v>79.44798383797054</v>
      </c>
    </row>
    <row r="407" spans="1:19" x14ac:dyDescent="0.3">
      <c r="A407">
        <v>10511.4</v>
      </c>
      <c r="B407">
        <v>114.699459</v>
      </c>
      <c r="C407">
        <v>118.009601</v>
      </c>
      <c r="D407">
        <v>121.330625</v>
      </c>
      <c r="E407">
        <v>76.892004</v>
      </c>
      <c r="F407">
        <v>49.582925000000003</v>
      </c>
      <c r="G407">
        <v>30.045418999999999</v>
      </c>
      <c r="H407">
        <v>31.947562000000001</v>
      </c>
      <c r="I407"/>
      <c r="N407"/>
      <c r="O407"/>
      <c r="P407" s="1">
        <f t="shared" si="43"/>
        <v>117.35845630081302</v>
      </c>
      <c r="Q407" s="1">
        <f t="shared" si="44"/>
        <v>120.73851422764227</v>
      </c>
      <c r="R407" s="1">
        <f t="shared" si="45"/>
        <v>124.5329846028347</v>
      </c>
      <c r="S407" s="1">
        <f t="shared" si="46"/>
        <v>79.510855155482815</v>
      </c>
    </row>
    <row r="408" spans="1:19" x14ac:dyDescent="0.3">
      <c r="A408">
        <v>10511.6</v>
      </c>
      <c r="B408">
        <v>114.699459</v>
      </c>
      <c r="C408">
        <v>118.009601</v>
      </c>
      <c r="D408">
        <v>121.330625</v>
      </c>
      <c r="E408">
        <v>76.892004</v>
      </c>
      <c r="F408">
        <v>49.582925000000003</v>
      </c>
      <c r="G408">
        <v>30.045418999999999</v>
      </c>
      <c r="H408">
        <v>31.947562000000001</v>
      </c>
      <c r="I408"/>
      <c r="N408"/>
      <c r="O408"/>
      <c r="P408" s="1">
        <f t="shared" si="43"/>
        <v>117.35845630081302</v>
      </c>
      <c r="Q408" s="1">
        <f t="shared" si="44"/>
        <v>120.73851422764227</v>
      </c>
      <c r="R408" s="1">
        <f t="shared" si="45"/>
        <v>124.5329846028347</v>
      </c>
      <c r="S408" s="1">
        <f t="shared" si="46"/>
        <v>79.510855155482815</v>
      </c>
    </row>
    <row r="409" spans="1:19" x14ac:dyDescent="0.3">
      <c r="A409">
        <v>10511.8</v>
      </c>
      <c r="B409">
        <v>114.73420900000001</v>
      </c>
      <c r="C409">
        <v>118.021974</v>
      </c>
      <c r="D409">
        <v>121.337917</v>
      </c>
      <c r="E409">
        <v>76.896671999999995</v>
      </c>
      <c r="F409">
        <v>49.148910000000001</v>
      </c>
      <c r="G409">
        <v>30.064160000000001</v>
      </c>
      <c r="H409">
        <v>31.969318999999999</v>
      </c>
      <c r="I409"/>
      <c r="N409"/>
      <c r="O409"/>
      <c r="P409" s="1">
        <f t="shared" si="43"/>
        <v>117.34924288617886</v>
      </c>
      <c r="Q409" s="1">
        <f t="shared" si="44"/>
        <v>120.74117479674798</v>
      </c>
      <c r="R409" s="1">
        <f t="shared" si="45"/>
        <v>124.52723666768635</v>
      </c>
      <c r="S409" s="1">
        <f t="shared" si="46"/>
        <v>79.596640752864161</v>
      </c>
    </row>
    <row r="410" spans="1:19" x14ac:dyDescent="0.3">
      <c r="A410">
        <v>10512</v>
      </c>
      <c r="B410">
        <v>114.73420900000001</v>
      </c>
      <c r="C410">
        <v>118.021974</v>
      </c>
      <c r="D410">
        <v>121.337917</v>
      </c>
      <c r="E410">
        <v>76.896671999999995</v>
      </c>
      <c r="F410">
        <v>49.148910000000001</v>
      </c>
      <c r="G410">
        <v>30.064160000000001</v>
      </c>
      <c r="H410">
        <v>31.969318999999999</v>
      </c>
      <c r="I410" t="s">
        <v>56</v>
      </c>
      <c r="N410"/>
      <c r="O410"/>
      <c r="P410" s="1">
        <f t="shared" si="43"/>
        <v>117.34924288617886</v>
      </c>
      <c r="Q410" s="1">
        <f t="shared" si="44"/>
        <v>120.74117479674798</v>
      </c>
      <c r="R410" s="1">
        <f t="shared" si="45"/>
        <v>124.52723666768635</v>
      </c>
      <c r="S410" s="1">
        <f t="shared" si="46"/>
        <v>79.596640752864161</v>
      </c>
    </row>
    <row r="411" spans="1:19" x14ac:dyDescent="0.3">
      <c r="A411">
        <v>10512.2</v>
      </c>
      <c r="B411">
        <v>114.703604</v>
      </c>
      <c r="C411">
        <v>118.012844</v>
      </c>
      <c r="D411">
        <v>121.306372</v>
      </c>
      <c r="E411">
        <v>76.582012000000006</v>
      </c>
      <c r="F411">
        <v>48.235562999999999</v>
      </c>
      <c r="G411">
        <v>30.067281000000001</v>
      </c>
      <c r="H411">
        <v>31.953194</v>
      </c>
      <c r="I411"/>
      <c r="N411"/>
      <c r="O411"/>
      <c r="P411" s="1">
        <f t="shared" si="43"/>
        <v>117.37034349593496</v>
      </c>
      <c r="Q411" s="1">
        <f t="shared" si="44"/>
        <v>120.72709552845528</v>
      </c>
      <c r="R411" s="1">
        <f t="shared" si="45"/>
        <v>124.49727745487917</v>
      </c>
      <c r="S411" s="1">
        <f t="shared" si="46"/>
        <v>79.511568126022908</v>
      </c>
    </row>
    <row r="412" spans="1:19" x14ac:dyDescent="0.3">
      <c r="A412">
        <v>10512.4</v>
      </c>
      <c r="B412">
        <v>114.703604</v>
      </c>
      <c r="C412">
        <v>118.012844</v>
      </c>
      <c r="D412">
        <v>121.306372</v>
      </c>
      <c r="E412">
        <v>76.582012000000006</v>
      </c>
      <c r="F412">
        <v>48.235562999999999</v>
      </c>
      <c r="G412">
        <v>30.067281000000001</v>
      </c>
      <c r="H412">
        <v>31.953194</v>
      </c>
      <c r="I412"/>
      <c r="N412"/>
      <c r="O412"/>
      <c r="P412" s="1">
        <f t="shared" si="43"/>
        <v>117.37034349593496</v>
      </c>
      <c r="Q412" s="1">
        <f t="shared" si="44"/>
        <v>120.72709552845528</v>
      </c>
      <c r="R412" s="1">
        <f t="shared" si="45"/>
        <v>124.49727745487917</v>
      </c>
      <c r="S412" s="1">
        <f t="shared" si="46"/>
        <v>79.511568126022908</v>
      </c>
    </row>
    <row r="413" spans="1:19" x14ac:dyDescent="0.3">
      <c r="A413">
        <v>10512.6</v>
      </c>
      <c r="B413">
        <v>114.697158</v>
      </c>
      <c r="C413">
        <v>118.01073700000001</v>
      </c>
      <c r="D413">
        <v>121.323741</v>
      </c>
      <c r="E413">
        <v>76.689047000000002</v>
      </c>
      <c r="F413">
        <v>48.270414000000002</v>
      </c>
      <c r="G413">
        <v>30.064813000000001</v>
      </c>
      <c r="H413">
        <v>31.956596000000001</v>
      </c>
      <c r="I413"/>
      <c r="N413"/>
      <c r="O413"/>
      <c r="P413" s="1">
        <f t="shared" si="43"/>
        <v>117.37529268292683</v>
      </c>
      <c r="Q413" s="1">
        <f t="shared" si="44"/>
        <v>120.72692682926831</v>
      </c>
      <c r="R413" s="1">
        <f t="shared" si="45"/>
        <v>124.536812480881</v>
      </c>
      <c r="S413" s="1">
        <f t="shared" si="46"/>
        <v>79.445641366612108</v>
      </c>
    </row>
    <row r="414" spans="1:19" x14ac:dyDescent="0.3">
      <c r="A414">
        <v>10512.8</v>
      </c>
      <c r="B414">
        <v>114.697158</v>
      </c>
      <c r="C414">
        <v>118.01073700000001</v>
      </c>
      <c r="D414">
        <v>121.323741</v>
      </c>
      <c r="E414">
        <v>76.689047000000002</v>
      </c>
      <c r="F414">
        <v>48.270414000000002</v>
      </c>
      <c r="G414">
        <v>30.064813000000001</v>
      </c>
      <c r="H414">
        <v>31.956596000000001</v>
      </c>
      <c r="I414"/>
      <c r="N414"/>
      <c r="O414"/>
      <c r="P414" s="1">
        <f t="shared" si="43"/>
        <v>117.37529268292683</v>
      </c>
      <c r="Q414" s="1">
        <f t="shared" si="44"/>
        <v>120.72692682926831</v>
      </c>
      <c r="R414" s="1">
        <f t="shared" si="45"/>
        <v>124.536812480881</v>
      </c>
      <c r="S414" s="1">
        <f t="shared" si="46"/>
        <v>79.445641366612108</v>
      </c>
    </row>
    <row r="415" spans="1:19" x14ac:dyDescent="0.3">
      <c r="A415">
        <v>10513</v>
      </c>
      <c r="B415">
        <v>114.67464099999999</v>
      </c>
      <c r="C415">
        <v>118.007431</v>
      </c>
      <c r="D415">
        <v>121.30945199999999</v>
      </c>
      <c r="E415">
        <v>76.652671999999995</v>
      </c>
      <c r="F415">
        <v>49.103952</v>
      </c>
      <c r="G415">
        <v>30.064537999999999</v>
      </c>
      <c r="H415">
        <v>31.948578999999999</v>
      </c>
      <c r="I415" t="s">
        <v>56</v>
      </c>
      <c r="N415"/>
      <c r="O415"/>
      <c r="P415" s="1">
        <f t="shared" si="43"/>
        <v>117.37235975609757</v>
      </c>
      <c r="Q415" s="1">
        <f t="shared" si="44"/>
        <v>120.71931097560976</v>
      </c>
      <c r="R415" s="1">
        <f t="shared" si="45"/>
        <v>124.54671357193841</v>
      </c>
      <c r="S415" s="1">
        <f t="shared" si="46"/>
        <v>79.601313420621921</v>
      </c>
    </row>
    <row r="416" spans="1:19" x14ac:dyDescent="0.3">
      <c r="A416">
        <v>10513.2</v>
      </c>
      <c r="B416">
        <v>114.67464099999999</v>
      </c>
      <c r="C416">
        <v>118.007431</v>
      </c>
      <c r="D416">
        <v>121.30945199999999</v>
      </c>
      <c r="E416">
        <v>76.652671999999995</v>
      </c>
      <c r="F416">
        <v>49.103952</v>
      </c>
      <c r="G416">
        <v>30.064537999999999</v>
      </c>
      <c r="H416">
        <v>31.948578999999999</v>
      </c>
      <c r="I416"/>
      <c r="N416"/>
      <c r="O416"/>
      <c r="P416" s="1">
        <f t="shared" si="43"/>
        <v>117.37235975609757</v>
      </c>
      <c r="Q416" s="1">
        <f t="shared" si="44"/>
        <v>120.71931097560976</v>
      </c>
      <c r="R416" s="1">
        <f t="shared" si="45"/>
        <v>124.54671357193841</v>
      </c>
      <c r="S416" s="1">
        <f t="shared" si="46"/>
        <v>79.601313420621921</v>
      </c>
    </row>
    <row r="417" spans="1:19" x14ac:dyDescent="0.3">
      <c r="A417">
        <v>10513.4</v>
      </c>
      <c r="B417">
        <v>114.67950999999999</v>
      </c>
      <c r="C417">
        <v>118.02588</v>
      </c>
      <c r="D417">
        <v>121.301727</v>
      </c>
      <c r="E417">
        <v>76.790942000000001</v>
      </c>
      <c r="F417">
        <v>48.542445999999998</v>
      </c>
      <c r="G417">
        <v>30.060451</v>
      </c>
      <c r="H417">
        <v>31.945671999999998</v>
      </c>
      <c r="I417"/>
      <c r="N417"/>
      <c r="O417"/>
      <c r="P417" s="1">
        <f t="shared" si="43"/>
        <v>117.37597764227642</v>
      </c>
      <c r="Q417" s="1">
        <f t="shared" si="44"/>
        <v>120.73789227642277</v>
      </c>
      <c r="R417" s="1">
        <f t="shared" si="45"/>
        <v>124.52045171816049</v>
      </c>
      <c r="S417" s="1">
        <f t="shared" si="46"/>
        <v>79.443108633387894</v>
      </c>
    </row>
    <row r="418" spans="1:19" x14ac:dyDescent="0.3">
      <c r="A418">
        <v>10513.6</v>
      </c>
      <c r="B418">
        <v>114.67950999999999</v>
      </c>
      <c r="C418">
        <v>118.02588</v>
      </c>
      <c r="D418">
        <v>121.301727</v>
      </c>
      <c r="E418">
        <v>76.790942000000001</v>
      </c>
      <c r="F418">
        <v>48.542445999999998</v>
      </c>
      <c r="G418">
        <v>30.060451</v>
      </c>
      <c r="H418">
        <v>31.945671999999998</v>
      </c>
      <c r="I418"/>
      <c r="N418"/>
      <c r="O418"/>
      <c r="P418" s="1">
        <f t="shared" si="43"/>
        <v>117.37597764227642</v>
      </c>
      <c r="Q418" s="1">
        <f t="shared" si="44"/>
        <v>120.73789227642277</v>
      </c>
      <c r="R418" s="1">
        <f t="shared" si="45"/>
        <v>124.52045171816049</v>
      </c>
      <c r="S418" s="1">
        <f t="shared" si="46"/>
        <v>79.443108633387894</v>
      </c>
    </row>
    <row r="419" spans="1:19" x14ac:dyDescent="0.3">
      <c r="A419">
        <v>10513.8</v>
      </c>
      <c r="B419">
        <v>114.685982</v>
      </c>
      <c r="C419">
        <v>118.011465</v>
      </c>
      <c r="D419">
        <v>121.30408199999999</v>
      </c>
      <c r="E419">
        <v>76.704763999999997</v>
      </c>
      <c r="F419">
        <v>48.195618000000003</v>
      </c>
      <c r="G419">
        <v>30.070323999999999</v>
      </c>
      <c r="H419">
        <v>31.959281000000001</v>
      </c>
      <c r="I419"/>
      <c r="N419"/>
      <c r="O419"/>
      <c r="P419" s="1">
        <f t="shared" si="43"/>
        <v>117.36525203252033</v>
      </c>
      <c r="Q419" s="1">
        <f t="shared" si="44"/>
        <v>120.72665447154472</v>
      </c>
      <c r="R419" s="1">
        <f t="shared" si="45"/>
        <v>124.5234607933109</v>
      </c>
      <c r="S419" s="1">
        <f t="shared" si="46"/>
        <v>79.561773731587564</v>
      </c>
    </row>
    <row r="420" spans="1:19" x14ac:dyDescent="0.3">
      <c r="A420">
        <v>10514</v>
      </c>
      <c r="B420">
        <v>114.685982</v>
      </c>
      <c r="C420">
        <v>118.011465</v>
      </c>
      <c r="D420">
        <v>121.30408199999999</v>
      </c>
      <c r="E420">
        <v>76.704763999999997</v>
      </c>
      <c r="F420">
        <v>48.195618000000003</v>
      </c>
      <c r="G420">
        <v>30.070323999999999</v>
      </c>
      <c r="H420">
        <v>31.959281000000001</v>
      </c>
      <c r="I420" t="s">
        <v>56</v>
      </c>
      <c r="N420"/>
      <c r="O420"/>
      <c r="P420" s="1">
        <f t="shared" si="43"/>
        <v>117.36525203252033</v>
      </c>
      <c r="Q420" s="1">
        <f t="shared" si="44"/>
        <v>120.72665447154472</v>
      </c>
      <c r="R420" s="1">
        <f t="shared" si="45"/>
        <v>124.5234607933109</v>
      </c>
      <c r="S420" s="1">
        <f t="shared" si="46"/>
        <v>79.561773731587564</v>
      </c>
    </row>
    <row r="421" spans="1:19" x14ac:dyDescent="0.3">
      <c r="A421">
        <v>10514.2</v>
      </c>
      <c r="B421">
        <v>114.685346</v>
      </c>
      <c r="C421">
        <v>118.014734</v>
      </c>
      <c r="D421">
        <v>121.32932700000001</v>
      </c>
      <c r="E421">
        <v>76.711085999999995</v>
      </c>
      <c r="F421">
        <v>48.984551000000003</v>
      </c>
      <c r="G421">
        <v>30.065100000000001</v>
      </c>
      <c r="H421">
        <v>31.958995000000002</v>
      </c>
      <c r="I421"/>
      <c r="N421"/>
      <c r="O421"/>
      <c r="P421" s="1">
        <f t="shared" si="43"/>
        <v>117.36607926829269</v>
      </c>
      <c r="Q421" s="1">
        <f t="shared" si="44"/>
        <v>120.75177540650408</v>
      </c>
      <c r="R421" s="1">
        <f t="shared" si="45"/>
        <v>124.53246558580607</v>
      </c>
      <c r="S421" s="1">
        <f t="shared" si="46"/>
        <v>79.667761865793778</v>
      </c>
    </row>
    <row r="422" spans="1:19" x14ac:dyDescent="0.3">
      <c r="A422">
        <v>10514.4</v>
      </c>
      <c r="B422">
        <v>114.685346</v>
      </c>
      <c r="C422">
        <v>118.014734</v>
      </c>
      <c r="D422">
        <v>121.32932700000001</v>
      </c>
      <c r="E422">
        <v>76.711085999999995</v>
      </c>
      <c r="F422">
        <v>48.984551000000003</v>
      </c>
      <c r="G422">
        <v>30.065100000000001</v>
      </c>
      <c r="H422">
        <v>31.958995000000002</v>
      </c>
      <c r="I422"/>
      <c r="N422"/>
      <c r="O422"/>
      <c r="P422" s="1">
        <f t="shared" si="43"/>
        <v>117.36607926829269</v>
      </c>
      <c r="Q422" s="1">
        <f t="shared" si="44"/>
        <v>120.75177540650408</v>
      </c>
      <c r="R422" s="1">
        <f t="shared" si="45"/>
        <v>124.53246558580607</v>
      </c>
      <c r="S422" s="1">
        <f t="shared" si="46"/>
        <v>79.667761865793778</v>
      </c>
    </row>
    <row r="423" spans="1:19" x14ac:dyDescent="0.3">
      <c r="A423">
        <v>10514.6</v>
      </c>
      <c r="B423">
        <v>114.68903400000001</v>
      </c>
      <c r="C423">
        <v>118.035674</v>
      </c>
      <c r="D423">
        <v>121.330499</v>
      </c>
      <c r="E423">
        <v>76.585896000000005</v>
      </c>
      <c r="F423">
        <v>49.819614000000001</v>
      </c>
      <c r="G423">
        <v>30.073561999999999</v>
      </c>
      <c r="H423">
        <v>31.969083999999999</v>
      </c>
      <c r="I423"/>
      <c r="N423"/>
      <c r="O423"/>
      <c r="P423" s="1">
        <f t="shared" si="43"/>
        <v>117.36322459349594</v>
      </c>
      <c r="Q423" s="1">
        <f t="shared" si="44"/>
        <v>120.72998983739838</v>
      </c>
      <c r="R423" s="1">
        <f t="shared" si="45"/>
        <v>124.50250739267869</v>
      </c>
      <c r="S423" s="1">
        <f t="shared" si="46"/>
        <v>79.599875204582659</v>
      </c>
    </row>
    <row r="424" spans="1:19" x14ac:dyDescent="0.3">
      <c r="A424">
        <v>10514.8</v>
      </c>
      <c r="B424">
        <v>114.68903400000001</v>
      </c>
      <c r="C424">
        <v>118.035674</v>
      </c>
      <c r="D424">
        <v>121.330499</v>
      </c>
      <c r="E424">
        <v>76.585896000000005</v>
      </c>
      <c r="F424">
        <v>49.819614000000001</v>
      </c>
      <c r="G424">
        <v>30.073561999999999</v>
      </c>
      <c r="H424">
        <v>31.969083999999999</v>
      </c>
      <c r="I424"/>
      <c r="N424"/>
      <c r="O424"/>
      <c r="P424" s="1">
        <f t="shared" si="43"/>
        <v>117.36322459349594</v>
      </c>
      <c r="Q424" s="1">
        <f t="shared" si="44"/>
        <v>120.72998983739838</v>
      </c>
      <c r="R424" s="1">
        <f t="shared" si="45"/>
        <v>124.50250739267869</v>
      </c>
      <c r="S424" s="1">
        <f t="shared" si="46"/>
        <v>79.599875204582659</v>
      </c>
    </row>
    <row r="425" spans="1:19" x14ac:dyDescent="0.3">
      <c r="A425">
        <v>11168</v>
      </c>
      <c r="B425">
        <v>123.158649</v>
      </c>
      <c r="C425">
        <v>127.10524100000001</v>
      </c>
      <c r="D425">
        <v>130.94695999999999</v>
      </c>
      <c r="E425">
        <v>79.029295000000005</v>
      </c>
      <c r="F425">
        <v>52.247050000000002</v>
      </c>
      <c r="G425">
        <v>30.071569</v>
      </c>
      <c r="H425">
        <v>32.251916000000001</v>
      </c>
      <c r="I425" t="s">
        <v>56</v>
      </c>
      <c r="N425"/>
      <c r="O425"/>
      <c r="P425" s="1">
        <f t="shared" si="43"/>
        <v>117.36377947154473</v>
      </c>
      <c r="Q425" s="1">
        <f t="shared" si="44"/>
        <v>120.7277449186992</v>
      </c>
      <c r="R425" s="1">
        <f t="shared" si="45"/>
        <v>124.54463648414398</v>
      </c>
      <c r="S425" s="1">
        <f t="shared" si="46"/>
        <v>79.598817512274962</v>
      </c>
    </row>
    <row r="426" spans="1:19" x14ac:dyDescent="0.3">
      <c r="A426">
        <v>11168.2</v>
      </c>
      <c r="B426">
        <v>123.144313</v>
      </c>
      <c r="C426">
        <v>127.088528</v>
      </c>
      <c r="D426">
        <v>130.96830399999999</v>
      </c>
      <c r="E426">
        <v>79.077167000000003</v>
      </c>
      <c r="F426">
        <v>52.586376000000001</v>
      </c>
      <c r="G426">
        <v>30.061696000000001</v>
      </c>
      <c r="H426">
        <v>32.269744000000003</v>
      </c>
      <c r="I426"/>
      <c r="N426"/>
      <c r="O426"/>
      <c r="P426" s="1">
        <f t="shared" si="43"/>
        <v>117.36377947154473</v>
      </c>
      <c r="Q426" s="1">
        <f t="shared" si="44"/>
        <v>120.7277449186992</v>
      </c>
      <c r="R426" s="1">
        <f t="shared" si="45"/>
        <v>124.54463648414398</v>
      </c>
      <c r="S426" s="1">
        <f t="shared" si="46"/>
        <v>79.598817512274962</v>
      </c>
    </row>
    <row r="427" spans="1:19" x14ac:dyDescent="0.3">
      <c r="A427">
        <v>11168.4</v>
      </c>
      <c r="B427">
        <v>123.144313</v>
      </c>
      <c r="C427">
        <v>127.088528</v>
      </c>
      <c r="D427">
        <v>130.96830399999999</v>
      </c>
      <c r="E427">
        <v>79.077167000000003</v>
      </c>
      <c r="F427">
        <v>52.586376000000001</v>
      </c>
      <c r="G427">
        <v>30.061696000000001</v>
      </c>
      <c r="H427">
        <v>32.269744000000003</v>
      </c>
      <c r="I427"/>
      <c r="N427"/>
      <c r="O427"/>
      <c r="P427" s="1">
        <f t="shared" si="43"/>
        <v>117.39909451219513</v>
      </c>
      <c r="Q427" s="1">
        <f t="shared" si="44"/>
        <v>120.74031910569106</v>
      </c>
      <c r="R427" s="1">
        <f t="shared" si="45"/>
        <v>124.55207198939533</v>
      </c>
      <c r="S427" s="1">
        <f t="shared" si="46"/>
        <v>79.603592471358425</v>
      </c>
    </row>
    <row r="428" spans="1:19" x14ac:dyDescent="0.3">
      <c r="A428">
        <v>11168.6</v>
      </c>
      <c r="B428">
        <v>123.1207</v>
      </c>
      <c r="C428">
        <v>127.081906</v>
      </c>
      <c r="D428">
        <v>130.94235499999999</v>
      </c>
      <c r="E428">
        <v>78.887925999999993</v>
      </c>
      <c r="F428">
        <v>52.626835999999997</v>
      </c>
      <c r="G428">
        <v>30.059280000000001</v>
      </c>
      <c r="H428">
        <v>32.266159999999999</v>
      </c>
      <c r="I428"/>
      <c r="N428"/>
      <c r="O428"/>
      <c r="P428" s="1">
        <f t="shared" ref="P428:P491" si="47">(B410+Q$36)/P$36</f>
        <v>117.39909451219513</v>
      </c>
      <c r="Q428" s="1">
        <f t="shared" ref="Q428:Q491" si="48">(C410+Q$36)/P$36</f>
        <v>120.74031910569106</v>
      </c>
      <c r="R428" s="1">
        <f t="shared" ref="R428:R491" si="49">(D410+Q$38)/P$38</f>
        <v>124.55207198939533</v>
      </c>
      <c r="S428" s="1">
        <f t="shared" ref="S428:S491" si="50">(E410+Q$39)/P$39</f>
        <v>79.603592471358425</v>
      </c>
    </row>
    <row r="429" spans="1:19" x14ac:dyDescent="0.3">
      <c r="A429">
        <v>11168.8</v>
      </c>
      <c r="B429">
        <v>123.1207</v>
      </c>
      <c r="C429">
        <v>127.081906</v>
      </c>
      <c r="D429">
        <v>130.94235499999999</v>
      </c>
      <c r="E429">
        <v>78.887925999999993</v>
      </c>
      <c r="F429">
        <v>52.626835999999997</v>
      </c>
      <c r="G429">
        <v>30.059280000000001</v>
      </c>
      <c r="H429">
        <v>32.266159999999999</v>
      </c>
      <c r="I429"/>
      <c r="N429"/>
      <c r="O429"/>
      <c r="P429" s="1">
        <f t="shared" si="47"/>
        <v>117.3679918699187</v>
      </c>
      <c r="Q429" s="1">
        <f t="shared" si="48"/>
        <v>120.73104065040651</v>
      </c>
      <c r="R429" s="1">
        <f t="shared" si="49"/>
        <v>124.51990618945651</v>
      </c>
      <c r="S429" s="1">
        <f t="shared" si="50"/>
        <v>79.281722585924712</v>
      </c>
    </row>
    <row r="430" spans="1:19" x14ac:dyDescent="0.3">
      <c r="A430">
        <v>11169</v>
      </c>
      <c r="B430">
        <v>123.131011</v>
      </c>
      <c r="C430">
        <v>127.12276300000001</v>
      </c>
      <c r="D430">
        <v>130.94254599999999</v>
      </c>
      <c r="E430">
        <v>79.052110999999996</v>
      </c>
      <c r="F430">
        <v>52.664690999999998</v>
      </c>
      <c r="G430">
        <v>30.068839000000001</v>
      </c>
      <c r="H430">
        <v>32.285316999999999</v>
      </c>
      <c r="I430" t="s">
        <v>56</v>
      </c>
      <c r="N430"/>
      <c r="O430"/>
      <c r="P430" s="1">
        <f t="shared" si="47"/>
        <v>117.3679918699187</v>
      </c>
      <c r="Q430" s="1">
        <f t="shared" si="48"/>
        <v>120.73104065040651</v>
      </c>
      <c r="R430" s="1">
        <f t="shared" si="49"/>
        <v>124.51990618945651</v>
      </c>
      <c r="S430" s="1">
        <f t="shared" si="50"/>
        <v>79.281722585924712</v>
      </c>
    </row>
    <row r="431" spans="1:19" x14ac:dyDescent="0.3">
      <c r="A431">
        <v>11169.2</v>
      </c>
      <c r="B431">
        <v>123.131011</v>
      </c>
      <c r="C431">
        <v>127.12276300000001</v>
      </c>
      <c r="D431">
        <v>130.94254599999999</v>
      </c>
      <c r="E431">
        <v>79.052110999999996</v>
      </c>
      <c r="F431">
        <v>52.664690999999998</v>
      </c>
      <c r="G431">
        <v>30.068839000000001</v>
      </c>
      <c r="H431">
        <v>32.285316999999999</v>
      </c>
      <c r="I431"/>
      <c r="N431"/>
      <c r="O431"/>
      <c r="P431" s="1">
        <f t="shared" si="47"/>
        <v>117.36144105691058</v>
      </c>
      <c r="Q431" s="1">
        <f t="shared" si="48"/>
        <v>120.72889939024391</v>
      </c>
      <c r="R431" s="1">
        <f t="shared" si="49"/>
        <v>124.5376170082594</v>
      </c>
      <c r="S431" s="1">
        <f t="shared" si="50"/>
        <v>79.391210106382985</v>
      </c>
    </row>
    <row r="432" spans="1:19" x14ac:dyDescent="0.3">
      <c r="A432">
        <v>11169.4</v>
      </c>
      <c r="B432">
        <v>123.13000099999999</v>
      </c>
      <c r="C432">
        <v>127.069993</v>
      </c>
      <c r="D432">
        <v>130.964337</v>
      </c>
      <c r="E432">
        <v>79.078237000000001</v>
      </c>
      <c r="F432">
        <v>52.710948999999999</v>
      </c>
      <c r="G432">
        <v>30.077145999999999</v>
      </c>
      <c r="H432">
        <v>32.289617999999997</v>
      </c>
      <c r="I432"/>
      <c r="N432"/>
      <c r="O432"/>
      <c r="P432" s="1">
        <f t="shared" si="47"/>
        <v>117.36144105691058</v>
      </c>
      <c r="Q432" s="1">
        <f t="shared" si="48"/>
        <v>120.72889939024391</v>
      </c>
      <c r="R432" s="1">
        <f t="shared" si="49"/>
        <v>124.5376170082594</v>
      </c>
      <c r="S432" s="1">
        <f t="shared" si="50"/>
        <v>79.391210106382985</v>
      </c>
    </row>
    <row r="433" spans="1:19" x14ac:dyDescent="0.3">
      <c r="A433">
        <v>11169.6</v>
      </c>
      <c r="B433">
        <v>123.13000099999999</v>
      </c>
      <c r="C433">
        <v>127.069993</v>
      </c>
      <c r="D433">
        <v>130.964337</v>
      </c>
      <c r="E433">
        <v>79.078237000000001</v>
      </c>
      <c r="F433">
        <v>52.710948999999999</v>
      </c>
      <c r="G433">
        <v>30.077145999999999</v>
      </c>
      <c r="H433">
        <v>32.289617999999997</v>
      </c>
      <c r="I433"/>
      <c r="N433"/>
      <c r="O433"/>
      <c r="P433" s="1">
        <f t="shared" si="47"/>
        <v>117.33855792682927</v>
      </c>
      <c r="Q433" s="1">
        <f t="shared" si="48"/>
        <v>120.72553963414634</v>
      </c>
      <c r="R433" s="1">
        <f t="shared" si="49"/>
        <v>124.52304680330376</v>
      </c>
      <c r="S433" s="1">
        <f t="shared" si="50"/>
        <v>79.354001636661209</v>
      </c>
    </row>
    <row r="434" spans="1:19" x14ac:dyDescent="0.3">
      <c r="A434">
        <v>11169.8</v>
      </c>
      <c r="B434">
        <v>123.12526099999999</v>
      </c>
      <c r="C434">
        <v>127.101737</v>
      </c>
      <c r="D434">
        <v>130.95222000000001</v>
      </c>
      <c r="E434">
        <v>79.047405999999995</v>
      </c>
      <c r="F434">
        <v>52.354340999999998</v>
      </c>
      <c r="G434">
        <v>30.072575000000001</v>
      </c>
      <c r="H434">
        <v>32.313675000000003</v>
      </c>
      <c r="I434"/>
      <c r="N434"/>
      <c r="O434"/>
      <c r="P434" s="1">
        <f t="shared" si="47"/>
        <v>117.33855792682927</v>
      </c>
      <c r="Q434" s="1">
        <f t="shared" si="48"/>
        <v>120.72553963414634</v>
      </c>
      <c r="R434" s="1">
        <f t="shared" si="49"/>
        <v>124.52304680330376</v>
      </c>
      <c r="S434" s="1">
        <f t="shared" si="50"/>
        <v>79.354001636661209</v>
      </c>
    </row>
    <row r="435" spans="1:19" x14ac:dyDescent="0.3">
      <c r="A435">
        <v>11170</v>
      </c>
      <c r="B435">
        <v>123.12526099999999</v>
      </c>
      <c r="C435">
        <v>127.101737</v>
      </c>
      <c r="D435">
        <v>130.95222000000001</v>
      </c>
      <c r="E435">
        <v>79.047405999999995</v>
      </c>
      <c r="F435">
        <v>52.354340999999998</v>
      </c>
      <c r="G435">
        <v>30.072575000000001</v>
      </c>
      <c r="H435">
        <v>32.313675000000003</v>
      </c>
      <c r="I435" t="s">
        <v>56</v>
      </c>
      <c r="N435"/>
      <c r="O435"/>
      <c r="P435" s="1">
        <f t="shared" si="47"/>
        <v>117.34350609756098</v>
      </c>
      <c r="Q435" s="1">
        <f t="shared" si="48"/>
        <v>120.74428861788618</v>
      </c>
      <c r="R435" s="1">
        <f t="shared" si="49"/>
        <v>124.51516977669012</v>
      </c>
      <c r="S435" s="1">
        <f t="shared" si="50"/>
        <v>79.495439852700486</v>
      </c>
    </row>
    <row r="436" spans="1:19" x14ac:dyDescent="0.3">
      <c r="A436">
        <v>11170.2</v>
      </c>
      <c r="B436">
        <v>123.159021</v>
      </c>
      <c r="C436">
        <v>127.08089099999999</v>
      </c>
      <c r="D436">
        <v>130.944107</v>
      </c>
      <c r="E436">
        <v>78.964684000000005</v>
      </c>
      <c r="F436">
        <v>52.488500000000002</v>
      </c>
      <c r="G436">
        <v>30.059018999999999</v>
      </c>
      <c r="H436">
        <v>32.286307999999998</v>
      </c>
      <c r="I436"/>
      <c r="N436"/>
      <c r="O436"/>
      <c r="P436" s="1">
        <f t="shared" si="47"/>
        <v>117.34350609756098</v>
      </c>
      <c r="Q436" s="1">
        <f t="shared" si="48"/>
        <v>120.74428861788618</v>
      </c>
      <c r="R436" s="1">
        <f t="shared" si="49"/>
        <v>124.51516977669012</v>
      </c>
      <c r="S436" s="1">
        <f t="shared" si="50"/>
        <v>79.495439852700486</v>
      </c>
    </row>
    <row r="437" spans="1:19" x14ac:dyDescent="0.3">
      <c r="A437">
        <v>11170.4</v>
      </c>
      <c r="B437">
        <v>123.159021</v>
      </c>
      <c r="C437">
        <v>127.08089099999999</v>
      </c>
      <c r="D437">
        <v>130.944107</v>
      </c>
      <c r="E437">
        <v>78.964684000000005</v>
      </c>
      <c r="F437">
        <v>52.488500000000002</v>
      </c>
      <c r="G437">
        <v>30.059018999999999</v>
      </c>
      <c r="H437">
        <v>32.286307999999998</v>
      </c>
      <c r="I437"/>
      <c r="N437"/>
      <c r="O437"/>
      <c r="P437" s="1">
        <f t="shared" si="47"/>
        <v>117.35008333333333</v>
      </c>
      <c r="Q437" s="1">
        <f t="shared" si="48"/>
        <v>120.72963922764228</v>
      </c>
      <c r="R437" s="1">
        <f t="shared" si="49"/>
        <v>124.51757112266748</v>
      </c>
      <c r="S437" s="1">
        <f t="shared" si="50"/>
        <v>79.407287234042542</v>
      </c>
    </row>
    <row r="438" spans="1:19" x14ac:dyDescent="0.3">
      <c r="A438">
        <v>11170.6</v>
      </c>
      <c r="B438">
        <v>123.13715500000001</v>
      </c>
      <c r="C438">
        <v>127.078796</v>
      </c>
      <c r="D438">
        <v>130.94593399999999</v>
      </c>
      <c r="E438">
        <v>78.996932000000001</v>
      </c>
      <c r="F438">
        <v>52.393458000000003</v>
      </c>
      <c r="G438">
        <v>30.087147999999999</v>
      </c>
      <c r="H438">
        <v>32.290686000000001</v>
      </c>
      <c r="I438"/>
      <c r="N438"/>
      <c r="O438"/>
      <c r="P438" s="1">
        <f t="shared" si="47"/>
        <v>117.35008333333333</v>
      </c>
      <c r="Q438" s="1">
        <f t="shared" si="48"/>
        <v>120.72963922764228</v>
      </c>
      <c r="R438" s="1">
        <f t="shared" si="49"/>
        <v>124.51757112266748</v>
      </c>
      <c r="S438" s="1">
        <f t="shared" si="50"/>
        <v>79.407287234042542</v>
      </c>
    </row>
    <row r="439" spans="1:19" x14ac:dyDescent="0.3">
      <c r="A439">
        <v>11170.8</v>
      </c>
      <c r="B439">
        <v>123.13715500000001</v>
      </c>
      <c r="C439">
        <v>127.078796</v>
      </c>
      <c r="D439">
        <v>130.94593399999999</v>
      </c>
      <c r="E439">
        <v>78.996932000000001</v>
      </c>
      <c r="F439">
        <v>52.393458000000003</v>
      </c>
      <c r="G439">
        <v>30.087147999999999</v>
      </c>
      <c r="H439">
        <v>32.290686000000001</v>
      </c>
      <c r="I439"/>
      <c r="N439"/>
      <c r="O439"/>
      <c r="P439" s="1">
        <f t="shared" si="47"/>
        <v>117.34943699186992</v>
      </c>
      <c r="Q439" s="1">
        <f t="shared" si="48"/>
        <v>120.73296138211383</v>
      </c>
      <c r="R439" s="1">
        <f t="shared" si="49"/>
        <v>124.54331293973692</v>
      </c>
      <c r="S439" s="1">
        <f t="shared" si="50"/>
        <v>79.413754091653018</v>
      </c>
    </row>
    <row r="440" spans="1:19" x14ac:dyDescent="0.3">
      <c r="A440">
        <v>11171</v>
      </c>
      <c r="B440">
        <v>123.134218</v>
      </c>
      <c r="C440">
        <v>127.087399</v>
      </c>
      <c r="D440">
        <v>130.92641</v>
      </c>
      <c r="E440">
        <v>78.974579000000006</v>
      </c>
      <c r="F440">
        <v>52.497427999999999</v>
      </c>
      <c r="G440">
        <v>30.076153000000001</v>
      </c>
      <c r="H440">
        <v>32.291207999999997</v>
      </c>
      <c r="I440" t="s">
        <v>56</v>
      </c>
      <c r="N440"/>
      <c r="O440"/>
      <c r="P440" s="1">
        <f t="shared" si="47"/>
        <v>117.34943699186992</v>
      </c>
      <c r="Q440" s="1">
        <f t="shared" si="48"/>
        <v>120.73296138211383</v>
      </c>
      <c r="R440" s="1">
        <f t="shared" si="49"/>
        <v>124.54331293973692</v>
      </c>
      <c r="S440" s="1">
        <f t="shared" si="50"/>
        <v>79.413754091653018</v>
      </c>
    </row>
    <row r="441" spans="1:19" x14ac:dyDescent="0.3">
      <c r="A441">
        <v>11171.2</v>
      </c>
      <c r="B441">
        <v>123.134218</v>
      </c>
      <c r="C441">
        <v>127.087399</v>
      </c>
      <c r="D441">
        <v>130.92641</v>
      </c>
      <c r="E441">
        <v>78.974579000000006</v>
      </c>
      <c r="F441">
        <v>52.497427999999999</v>
      </c>
      <c r="G441">
        <v>30.076153000000001</v>
      </c>
      <c r="H441">
        <v>32.291207999999997</v>
      </c>
      <c r="I441"/>
      <c r="N441"/>
      <c r="O441"/>
      <c r="P441" s="1">
        <f t="shared" si="47"/>
        <v>117.3531849593496</v>
      </c>
      <c r="Q441" s="1">
        <f t="shared" si="48"/>
        <v>120.7542418699187</v>
      </c>
      <c r="R441" s="1">
        <f t="shared" si="49"/>
        <v>124.54450800448659</v>
      </c>
      <c r="S441" s="1">
        <f t="shared" si="50"/>
        <v>79.285695581014735</v>
      </c>
    </row>
    <row r="442" spans="1:19" x14ac:dyDescent="0.3">
      <c r="A442">
        <v>11171.4</v>
      </c>
      <c r="B442">
        <v>123.15577399999999</v>
      </c>
      <c r="C442">
        <v>127.086871</v>
      </c>
      <c r="D442">
        <v>130.951911</v>
      </c>
      <c r="E442">
        <v>79.002745000000004</v>
      </c>
      <c r="F442">
        <v>52.274388000000002</v>
      </c>
      <c r="G442">
        <v>30.050884</v>
      </c>
      <c r="H442">
        <v>32.306339000000001</v>
      </c>
      <c r="I442"/>
      <c r="N442"/>
      <c r="O442"/>
      <c r="P442" s="1">
        <f t="shared" si="47"/>
        <v>117.3531849593496</v>
      </c>
      <c r="Q442" s="1">
        <f t="shared" si="48"/>
        <v>120.7542418699187</v>
      </c>
      <c r="R442" s="1">
        <f t="shared" si="49"/>
        <v>124.54450800448659</v>
      </c>
      <c r="S442" s="1">
        <f t="shared" si="50"/>
        <v>79.285695581014735</v>
      </c>
    </row>
    <row r="443" spans="1:19" x14ac:dyDescent="0.3">
      <c r="A443">
        <v>11171.6</v>
      </c>
      <c r="B443">
        <v>123.15577399999999</v>
      </c>
      <c r="C443">
        <v>127.086871</v>
      </c>
      <c r="D443">
        <v>130.951911</v>
      </c>
      <c r="E443">
        <v>79.002745000000004</v>
      </c>
      <c r="F443">
        <v>52.274388000000002</v>
      </c>
      <c r="G443">
        <v>30.050884</v>
      </c>
      <c r="H443">
        <v>32.306339000000001</v>
      </c>
      <c r="I443"/>
      <c r="N443"/>
      <c r="O443"/>
      <c r="P443" s="1">
        <f t="shared" si="47"/>
        <v>125.96051727642276</v>
      </c>
      <c r="Q443" s="1">
        <f t="shared" si="48"/>
        <v>129.97128150406505</v>
      </c>
      <c r="R443" s="1">
        <f t="shared" si="49"/>
        <v>134.35021923116142</v>
      </c>
      <c r="S443" s="1">
        <f t="shared" si="50"/>
        <v>81.785080810147306</v>
      </c>
    </row>
    <row r="444" spans="1:19" x14ac:dyDescent="0.3">
      <c r="A444">
        <v>11171.8</v>
      </c>
      <c r="B444">
        <v>123.122091</v>
      </c>
      <c r="C444">
        <v>127.088155</v>
      </c>
      <c r="D444">
        <v>130.937299</v>
      </c>
      <c r="E444">
        <v>79.190622000000005</v>
      </c>
      <c r="F444">
        <v>52.622805</v>
      </c>
      <c r="G444">
        <v>30.059488999999999</v>
      </c>
      <c r="H444">
        <v>32.300382999999997</v>
      </c>
      <c r="I444"/>
      <c r="N444"/>
      <c r="O444"/>
      <c r="P444" s="1">
        <f t="shared" si="47"/>
        <v>125.94594817073171</v>
      </c>
      <c r="Q444" s="1">
        <f t="shared" si="48"/>
        <v>129.95429674796748</v>
      </c>
      <c r="R444" s="1">
        <f t="shared" si="49"/>
        <v>134.37198327725093</v>
      </c>
      <c r="S444" s="1">
        <f t="shared" si="50"/>
        <v>81.834049713584292</v>
      </c>
    </row>
    <row r="445" spans="1:19" x14ac:dyDescent="0.3">
      <c r="A445">
        <v>11172</v>
      </c>
      <c r="B445">
        <v>123.122091</v>
      </c>
      <c r="C445">
        <v>127.088155</v>
      </c>
      <c r="D445">
        <v>130.937299</v>
      </c>
      <c r="E445">
        <v>79.190622000000005</v>
      </c>
      <c r="F445">
        <v>52.622805</v>
      </c>
      <c r="G445">
        <v>30.059488999999999</v>
      </c>
      <c r="H445">
        <v>32.300382999999997</v>
      </c>
      <c r="I445" t="s">
        <v>56</v>
      </c>
      <c r="N445"/>
      <c r="O445"/>
      <c r="P445" s="1">
        <f t="shared" si="47"/>
        <v>125.94594817073171</v>
      </c>
      <c r="Q445" s="1">
        <f t="shared" si="48"/>
        <v>129.95429674796748</v>
      </c>
      <c r="R445" s="1">
        <f t="shared" si="49"/>
        <v>134.37198327725093</v>
      </c>
      <c r="S445" s="1">
        <f t="shared" si="50"/>
        <v>81.834049713584292</v>
      </c>
    </row>
    <row r="446" spans="1:19" x14ac:dyDescent="0.3">
      <c r="A446">
        <v>11172.2</v>
      </c>
      <c r="B446">
        <v>123.15106</v>
      </c>
      <c r="C446">
        <v>127.116101</v>
      </c>
      <c r="D446">
        <v>130.937287</v>
      </c>
      <c r="E446">
        <v>79.073209000000006</v>
      </c>
      <c r="F446">
        <v>53.138944000000002</v>
      </c>
      <c r="G446">
        <v>30.070995</v>
      </c>
      <c r="H446">
        <v>32.299196999999999</v>
      </c>
      <c r="I446"/>
      <c r="N446"/>
      <c r="O446"/>
      <c r="P446" s="1">
        <f t="shared" si="47"/>
        <v>125.9219512195122</v>
      </c>
      <c r="Q446" s="1">
        <f t="shared" si="48"/>
        <v>129.94756707317075</v>
      </c>
      <c r="R446" s="1">
        <f t="shared" si="49"/>
        <v>134.34552360558786</v>
      </c>
      <c r="S446" s="1">
        <f t="shared" si="50"/>
        <v>81.640472585924698</v>
      </c>
    </row>
    <row r="447" spans="1:19" x14ac:dyDescent="0.3">
      <c r="A447">
        <v>11172.4</v>
      </c>
      <c r="B447">
        <v>123.15106</v>
      </c>
      <c r="C447">
        <v>127.116101</v>
      </c>
      <c r="D447">
        <v>130.937287</v>
      </c>
      <c r="E447">
        <v>79.073209000000006</v>
      </c>
      <c r="F447">
        <v>53.138944000000002</v>
      </c>
      <c r="G447">
        <v>30.070995</v>
      </c>
      <c r="H447">
        <v>32.299196999999999</v>
      </c>
      <c r="I447"/>
      <c r="N447"/>
      <c r="O447"/>
      <c r="P447" s="1">
        <f t="shared" si="47"/>
        <v>125.9219512195122</v>
      </c>
      <c r="Q447" s="1">
        <f t="shared" si="48"/>
        <v>129.94756707317075</v>
      </c>
      <c r="R447" s="1">
        <f t="shared" si="49"/>
        <v>134.34552360558786</v>
      </c>
      <c r="S447" s="1">
        <f t="shared" si="50"/>
        <v>81.640472585924698</v>
      </c>
    </row>
    <row r="448" spans="1:19" x14ac:dyDescent="0.3">
      <c r="A448">
        <v>11172.6</v>
      </c>
      <c r="B448">
        <v>123.128455</v>
      </c>
      <c r="C448">
        <v>127.096397</v>
      </c>
      <c r="D448">
        <v>130.94229000000001</v>
      </c>
      <c r="E448">
        <v>78.995626999999999</v>
      </c>
      <c r="F448">
        <v>53.201963999999997</v>
      </c>
      <c r="G448">
        <v>30.066189000000001</v>
      </c>
      <c r="H448">
        <v>32.3005</v>
      </c>
      <c r="I448"/>
      <c r="N448"/>
      <c r="O448"/>
      <c r="P448" s="1">
        <f t="shared" si="47"/>
        <v>125.93242987804879</v>
      </c>
      <c r="Q448" s="1">
        <f t="shared" si="48"/>
        <v>129.98908841463415</v>
      </c>
      <c r="R448" s="1">
        <f t="shared" si="49"/>
        <v>134.34571836443357</v>
      </c>
      <c r="S448" s="1">
        <f t="shared" si="50"/>
        <v>81.808419599017995</v>
      </c>
    </row>
    <row r="449" spans="1:19" x14ac:dyDescent="0.3">
      <c r="A449">
        <v>11172.8</v>
      </c>
      <c r="B449">
        <v>123.128455</v>
      </c>
      <c r="C449">
        <v>127.096397</v>
      </c>
      <c r="D449">
        <v>130.94229000000001</v>
      </c>
      <c r="E449">
        <v>78.995626999999999</v>
      </c>
      <c r="F449">
        <v>53.201963999999997</v>
      </c>
      <c r="G449">
        <v>30.066189000000001</v>
      </c>
      <c r="H449">
        <v>32.3005</v>
      </c>
      <c r="I449"/>
      <c r="N449"/>
      <c r="O449"/>
      <c r="P449" s="1">
        <f t="shared" si="47"/>
        <v>125.93242987804879</v>
      </c>
      <c r="Q449" s="1">
        <f t="shared" si="48"/>
        <v>129.98908841463415</v>
      </c>
      <c r="R449" s="1">
        <f t="shared" si="49"/>
        <v>134.34571836443357</v>
      </c>
      <c r="S449" s="1">
        <f t="shared" si="50"/>
        <v>81.808419599017995</v>
      </c>
    </row>
    <row r="450" spans="1:19" x14ac:dyDescent="0.3">
      <c r="A450">
        <v>11173</v>
      </c>
      <c r="B450">
        <v>123.13893400000001</v>
      </c>
      <c r="C450">
        <v>127.096064</v>
      </c>
      <c r="D450">
        <v>130.94356999999999</v>
      </c>
      <c r="E450">
        <v>78.820327000000006</v>
      </c>
      <c r="F450">
        <v>53.033391000000002</v>
      </c>
      <c r="G450">
        <v>30.073319000000001</v>
      </c>
      <c r="H450">
        <v>32.308553000000003</v>
      </c>
      <c r="I450" t="s">
        <v>56</v>
      </c>
      <c r="N450"/>
      <c r="O450"/>
      <c r="P450" s="1">
        <f t="shared" si="47"/>
        <v>125.93140345528455</v>
      </c>
      <c r="Q450" s="1">
        <f t="shared" si="48"/>
        <v>129.93546036585366</v>
      </c>
      <c r="R450" s="1">
        <f t="shared" si="49"/>
        <v>134.36793820740289</v>
      </c>
      <c r="S450" s="1">
        <f t="shared" si="50"/>
        <v>81.835144230769231</v>
      </c>
    </row>
    <row r="451" spans="1:19" x14ac:dyDescent="0.3">
      <c r="A451">
        <v>11173.2</v>
      </c>
      <c r="B451">
        <v>123.13893400000001</v>
      </c>
      <c r="C451">
        <v>127.096064</v>
      </c>
      <c r="D451">
        <v>130.94356999999999</v>
      </c>
      <c r="E451">
        <v>78.820327000000006</v>
      </c>
      <c r="F451">
        <v>53.033391000000002</v>
      </c>
      <c r="G451">
        <v>30.073319000000001</v>
      </c>
      <c r="H451">
        <v>32.308553000000003</v>
      </c>
      <c r="I451"/>
      <c r="N451"/>
      <c r="O451"/>
      <c r="P451" s="1">
        <f t="shared" si="47"/>
        <v>125.93140345528455</v>
      </c>
      <c r="Q451" s="1">
        <f t="shared" si="48"/>
        <v>129.93546036585366</v>
      </c>
      <c r="R451" s="1">
        <f t="shared" si="49"/>
        <v>134.36793820740289</v>
      </c>
      <c r="S451" s="1">
        <f t="shared" si="50"/>
        <v>81.835144230769231</v>
      </c>
    </row>
    <row r="452" spans="1:19" x14ac:dyDescent="0.3">
      <c r="A452">
        <v>11173.4</v>
      </c>
      <c r="B452">
        <v>123.14936</v>
      </c>
      <c r="C452">
        <v>127.08597399999999</v>
      </c>
      <c r="D452">
        <v>130.950095</v>
      </c>
      <c r="E452">
        <v>79.111658000000006</v>
      </c>
      <c r="F452">
        <v>52.754483</v>
      </c>
      <c r="G452">
        <v>30.071453000000002</v>
      </c>
      <c r="H452">
        <v>32.302937999999997</v>
      </c>
      <c r="I452"/>
      <c r="N452"/>
      <c r="O452"/>
      <c r="P452" s="1">
        <f t="shared" si="47"/>
        <v>125.92658638211383</v>
      </c>
      <c r="Q452" s="1">
        <f t="shared" si="48"/>
        <v>129.96772052845529</v>
      </c>
      <c r="R452" s="1">
        <f t="shared" si="49"/>
        <v>134.35558274701745</v>
      </c>
      <c r="S452" s="1">
        <f t="shared" si="50"/>
        <v>81.803606792144024</v>
      </c>
    </row>
    <row r="453" spans="1:19" x14ac:dyDescent="0.3">
      <c r="A453">
        <v>11173.6</v>
      </c>
      <c r="B453">
        <v>123.14936</v>
      </c>
      <c r="C453">
        <v>127.08597399999999</v>
      </c>
      <c r="D453">
        <v>130.950095</v>
      </c>
      <c r="E453">
        <v>79.111658000000006</v>
      </c>
      <c r="F453">
        <v>52.754483</v>
      </c>
      <c r="G453">
        <v>30.071453000000002</v>
      </c>
      <c r="H453">
        <v>32.302937999999997</v>
      </c>
      <c r="I453"/>
      <c r="N453"/>
      <c r="O453"/>
      <c r="P453" s="1">
        <f t="shared" si="47"/>
        <v>125.92658638211383</v>
      </c>
      <c r="Q453" s="1">
        <f t="shared" si="48"/>
        <v>129.96772052845529</v>
      </c>
      <c r="R453" s="1">
        <f t="shared" si="49"/>
        <v>134.35558274701745</v>
      </c>
      <c r="S453" s="1">
        <f t="shared" si="50"/>
        <v>81.803606792144024</v>
      </c>
    </row>
    <row r="454" spans="1:19" x14ac:dyDescent="0.3">
      <c r="A454">
        <v>11173.8</v>
      </c>
      <c r="B454">
        <v>123.160747</v>
      </c>
      <c r="C454">
        <v>127.102958</v>
      </c>
      <c r="D454">
        <v>130.94376299999999</v>
      </c>
      <c r="E454">
        <v>79.081524999999999</v>
      </c>
      <c r="F454">
        <v>52.667990000000003</v>
      </c>
      <c r="G454">
        <v>30.077302</v>
      </c>
      <c r="H454">
        <v>32.314405000000001</v>
      </c>
      <c r="I454"/>
      <c r="N454"/>
      <c r="O454"/>
      <c r="P454" s="1">
        <f t="shared" si="47"/>
        <v>125.96089532520325</v>
      </c>
      <c r="Q454" s="1">
        <f t="shared" si="48"/>
        <v>129.94653556910569</v>
      </c>
      <c r="R454" s="1">
        <f t="shared" si="49"/>
        <v>134.34731008463345</v>
      </c>
      <c r="S454" s="1">
        <f t="shared" si="50"/>
        <v>81.718989361702128</v>
      </c>
    </row>
    <row r="455" spans="1:19" x14ac:dyDescent="0.3">
      <c r="A455">
        <v>11174</v>
      </c>
      <c r="B455">
        <v>123.160747</v>
      </c>
      <c r="C455">
        <v>127.102958</v>
      </c>
      <c r="D455">
        <v>130.94376299999999</v>
      </c>
      <c r="E455">
        <v>79.081524999999999</v>
      </c>
      <c r="F455">
        <v>52.667990000000003</v>
      </c>
      <c r="G455">
        <v>30.077302</v>
      </c>
      <c r="H455">
        <v>32.314405000000001</v>
      </c>
      <c r="I455" t="s">
        <v>56</v>
      </c>
      <c r="N455"/>
      <c r="O455"/>
      <c r="P455" s="1">
        <f t="shared" si="47"/>
        <v>125.96089532520325</v>
      </c>
      <c r="Q455" s="1">
        <f t="shared" si="48"/>
        <v>129.94653556910569</v>
      </c>
      <c r="R455" s="1">
        <f t="shared" si="49"/>
        <v>134.34731008463345</v>
      </c>
      <c r="S455" s="1">
        <f t="shared" si="50"/>
        <v>81.718989361702128</v>
      </c>
    </row>
    <row r="456" spans="1:19" x14ac:dyDescent="0.3">
      <c r="A456">
        <v>11174.2</v>
      </c>
      <c r="B456">
        <v>123.14805699999999</v>
      </c>
      <c r="C456">
        <v>127.091365</v>
      </c>
      <c r="D456">
        <v>130.93220700000001</v>
      </c>
      <c r="E456">
        <v>79.094481000000002</v>
      </c>
      <c r="F456">
        <v>52.731591000000002</v>
      </c>
      <c r="G456">
        <v>30.069298</v>
      </c>
      <c r="H456">
        <v>32.279676000000002</v>
      </c>
      <c r="I456"/>
      <c r="N456"/>
      <c r="O456"/>
      <c r="P456" s="1">
        <f t="shared" si="47"/>
        <v>125.93867378048782</v>
      </c>
      <c r="Q456" s="1">
        <f t="shared" si="48"/>
        <v>129.94440650406506</v>
      </c>
      <c r="R456" s="1">
        <f t="shared" si="49"/>
        <v>134.34917303966554</v>
      </c>
      <c r="S456" s="1">
        <f t="shared" si="50"/>
        <v>81.751976268412434</v>
      </c>
    </row>
    <row r="457" spans="1:19" x14ac:dyDescent="0.3">
      <c r="A457">
        <v>11174.4</v>
      </c>
      <c r="B457">
        <v>123.14805699999999</v>
      </c>
      <c r="C457">
        <v>127.091365</v>
      </c>
      <c r="D457">
        <v>130.93220700000001</v>
      </c>
      <c r="E457">
        <v>79.094481000000002</v>
      </c>
      <c r="F457">
        <v>52.731591000000002</v>
      </c>
      <c r="G457">
        <v>30.069298</v>
      </c>
      <c r="H457">
        <v>32.279676000000002</v>
      </c>
      <c r="I457"/>
      <c r="N457"/>
      <c r="O457"/>
      <c r="P457" s="1">
        <f t="shared" si="47"/>
        <v>125.93867378048782</v>
      </c>
      <c r="Q457" s="1">
        <f t="shared" si="48"/>
        <v>129.94440650406506</v>
      </c>
      <c r="R457" s="1">
        <f t="shared" si="49"/>
        <v>134.34917303966554</v>
      </c>
      <c r="S457" s="1">
        <f t="shared" si="50"/>
        <v>81.751976268412434</v>
      </c>
    </row>
    <row r="458" spans="1:19" x14ac:dyDescent="0.3">
      <c r="A458">
        <v>11174.6</v>
      </c>
      <c r="B458">
        <v>123.1236</v>
      </c>
      <c r="C458">
        <v>127.100069</v>
      </c>
      <c r="D458">
        <v>130.921997</v>
      </c>
      <c r="E458">
        <v>79.069314000000006</v>
      </c>
      <c r="F458">
        <v>51.762383</v>
      </c>
      <c r="G458">
        <v>30.066568</v>
      </c>
      <c r="H458">
        <v>32.287508000000003</v>
      </c>
      <c r="I458"/>
      <c r="N458"/>
      <c r="O458"/>
      <c r="P458" s="1">
        <f t="shared" si="47"/>
        <v>125.93568902439026</v>
      </c>
      <c r="Q458" s="1">
        <f t="shared" si="48"/>
        <v>129.95314939024391</v>
      </c>
      <c r="R458" s="1">
        <f t="shared" si="49"/>
        <v>134.32926481084939</v>
      </c>
      <c r="S458" s="1">
        <f t="shared" si="50"/>
        <v>81.72911108837971</v>
      </c>
    </row>
    <row r="459" spans="1:19" x14ac:dyDescent="0.3">
      <c r="A459">
        <v>11174.8</v>
      </c>
      <c r="B459">
        <v>123.1236</v>
      </c>
      <c r="C459">
        <v>127.100069</v>
      </c>
      <c r="D459">
        <v>130.921997</v>
      </c>
      <c r="E459">
        <v>79.069314000000006</v>
      </c>
      <c r="F459">
        <v>51.762383</v>
      </c>
      <c r="G459">
        <v>30.066568</v>
      </c>
      <c r="H459">
        <v>32.287508000000003</v>
      </c>
      <c r="I459"/>
      <c r="N459"/>
      <c r="O459"/>
      <c r="P459" s="1">
        <f t="shared" si="47"/>
        <v>125.93568902439026</v>
      </c>
      <c r="Q459" s="1">
        <f t="shared" si="48"/>
        <v>129.95314939024391</v>
      </c>
      <c r="R459" s="1">
        <f t="shared" si="49"/>
        <v>134.32926481084939</v>
      </c>
      <c r="S459" s="1">
        <f t="shared" si="50"/>
        <v>81.72911108837971</v>
      </c>
    </row>
    <row r="460" spans="1:19" x14ac:dyDescent="0.3">
      <c r="A460">
        <v>11175</v>
      </c>
      <c r="B460">
        <v>123.133962</v>
      </c>
      <c r="C460">
        <v>127.097308</v>
      </c>
      <c r="D460">
        <v>130.94412</v>
      </c>
      <c r="E460">
        <v>79.195239999999998</v>
      </c>
      <c r="F460">
        <v>52.431488999999999</v>
      </c>
      <c r="G460">
        <v>30.063029</v>
      </c>
      <c r="H460">
        <v>32.283976000000003</v>
      </c>
      <c r="I460" t="s">
        <v>56</v>
      </c>
      <c r="N460"/>
      <c r="O460"/>
      <c r="P460" s="1">
        <f t="shared" si="47"/>
        <v>125.95759552845529</v>
      </c>
      <c r="Q460" s="1">
        <f t="shared" si="48"/>
        <v>129.95261280487804</v>
      </c>
      <c r="R460" s="1">
        <f t="shared" si="49"/>
        <v>134.35526766595291</v>
      </c>
      <c r="S460" s="1">
        <f t="shared" si="50"/>
        <v>81.75792246317512</v>
      </c>
    </row>
    <row r="461" spans="1:19" x14ac:dyDescent="0.3">
      <c r="A461">
        <v>11175.2</v>
      </c>
      <c r="B461">
        <v>123.133962</v>
      </c>
      <c r="C461">
        <v>127.097308</v>
      </c>
      <c r="D461">
        <v>130.94412</v>
      </c>
      <c r="E461">
        <v>79.195239999999998</v>
      </c>
      <c r="F461">
        <v>52.431488999999999</v>
      </c>
      <c r="G461">
        <v>30.063029</v>
      </c>
      <c r="H461">
        <v>32.283976000000003</v>
      </c>
      <c r="I461"/>
      <c r="N461"/>
      <c r="O461"/>
      <c r="P461" s="1">
        <f t="shared" si="47"/>
        <v>125.95759552845529</v>
      </c>
      <c r="Q461" s="1">
        <f t="shared" si="48"/>
        <v>129.95261280487804</v>
      </c>
      <c r="R461" s="1">
        <f t="shared" si="49"/>
        <v>134.35526766595291</v>
      </c>
      <c r="S461" s="1">
        <f t="shared" si="50"/>
        <v>81.75792246317512</v>
      </c>
    </row>
    <row r="462" spans="1:19" x14ac:dyDescent="0.3">
      <c r="A462">
        <v>11175.4</v>
      </c>
      <c r="B462">
        <v>123.156989</v>
      </c>
      <c r="C462">
        <v>127.10288</v>
      </c>
      <c r="D462">
        <v>130.954971</v>
      </c>
      <c r="E462">
        <v>79.043137000000002</v>
      </c>
      <c r="F462">
        <v>52.294248000000003</v>
      </c>
      <c r="G462">
        <v>30.086914</v>
      </c>
      <c r="H462">
        <v>32.283884</v>
      </c>
      <c r="I462"/>
      <c r="N462"/>
      <c r="O462"/>
      <c r="P462" s="1">
        <f t="shared" si="47"/>
        <v>125.92336483739838</v>
      </c>
      <c r="Q462" s="1">
        <f t="shared" si="48"/>
        <v>129.95391768292683</v>
      </c>
      <c r="R462" s="1">
        <f t="shared" si="49"/>
        <v>134.34036810441523</v>
      </c>
      <c r="S462" s="1">
        <f t="shared" si="50"/>
        <v>81.950104337152212</v>
      </c>
    </row>
    <row r="463" spans="1:19" x14ac:dyDescent="0.3">
      <c r="A463">
        <v>11175.6</v>
      </c>
      <c r="B463">
        <v>123.156989</v>
      </c>
      <c r="C463">
        <v>127.10288</v>
      </c>
      <c r="D463">
        <v>130.954971</v>
      </c>
      <c r="E463">
        <v>79.043137000000002</v>
      </c>
      <c r="F463">
        <v>52.294248000000003</v>
      </c>
      <c r="G463">
        <v>30.086914</v>
      </c>
      <c r="H463">
        <v>32.283884</v>
      </c>
      <c r="I463"/>
      <c r="N463"/>
      <c r="O463"/>
      <c r="P463" s="1">
        <f t="shared" si="47"/>
        <v>125.92336483739838</v>
      </c>
      <c r="Q463" s="1">
        <f t="shared" si="48"/>
        <v>129.95391768292683</v>
      </c>
      <c r="R463" s="1">
        <f t="shared" si="49"/>
        <v>134.34036810441523</v>
      </c>
      <c r="S463" s="1">
        <f t="shared" si="50"/>
        <v>81.950104337152212</v>
      </c>
    </row>
    <row r="464" spans="1:19" x14ac:dyDescent="0.3">
      <c r="A464">
        <v>11175.8</v>
      </c>
      <c r="B464">
        <v>123.11301899999999</v>
      </c>
      <c r="C464">
        <v>127.079504</v>
      </c>
      <c r="D464">
        <v>130.938579</v>
      </c>
      <c r="E464">
        <v>78.930181000000005</v>
      </c>
      <c r="F464">
        <v>52.430416000000001</v>
      </c>
      <c r="G464">
        <v>30.065954000000001</v>
      </c>
      <c r="H464">
        <v>32.285722</v>
      </c>
      <c r="I464"/>
      <c r="N464"/>
      <c r="P464" s="1">
        <f t="shared" si="47"/>
        <v>125.95280487804878</v>
      </c>
      <c r="Q464" s="1">
        <f t="shared" si="48"/>
        <v>129.98231808943089</v>
      </c>
      <c r="R464" s="1">
        <f t="shared" si="49"/>
        <v>134.34035586825738</v>
      </c>
      <c r="S464" s="1">
        <f t="shared" si="50"/>
        <v>81.830001022913265</v>
      </c>
    </row>
    <row r="465" spans="1:19" x14ac:dyDescent="0.3">
      <c r="A465">
        <v>11176</v>
      </c>
      <c r="B465">
        <v>123.11301899999999</v>
      </c>
      <c r="C465">
        <v>127.079504</v>
      </c>
      <c r="D465">
        <v>130.938579</v>
      </c>
      <c r="E465">
        <v>78.930181000000005</v>
      </c>
      <c r="F465">
        <v>52.430416000000001</v>
      </c>
      <c r="G465">
        <v>30.065954000000001</v>
      </c>
      <c r="H465">
        <v>32.285722</v>
      </c>
      <c r="I465" t="s">
        <v>56</v>
      </c>
      <c r="N465"/>
      <c r="O465" s="26"/>
      <c r="P465" s="1">
        <f t="shared" si="47"/>
        <v>125.95280487804878</v>
      </c>
      <c r="Q465" s="1">
        <f t="shared" si="48"/>
        <v>129.98231808943089</v>
      </c>
      <c r="R465" s="1">
        <f t="shared" si="49"/>
        <v>134.34035586825738</v>
      </c>
      <c r="S465" s="1">
        <f t="shared" si="50"/>
        <v>81.830001022913265</v>
      </c>
    </row>
    <row r="466" spans="1:19" x14ac:dyDescent="0.3">
      <c r="A466">
        <v>11176.2</v>
      </c>
      <c r="B466">
        <v>123.12530099999999</v>
      </c>
      <c r="C466">
        <v>127.085835</v>
      </c>
      <c r="D466">
        <v>130.955715</v>
      </c>
      <c r="E466">
        <v>78.936768000000001</v>
      </c>
      <c r="F466">
        <v>52.333015000000003</v>
      </c>
      <c r="G466">
        <v>30.073398999999998</v>
      </c>
      <c r="H466">
        <v>32.287756000000002</v>
      </c>
      <c r="I466"/>
      <c r="N466"/>
      <c r="O466" s="26"/>
      <c r="P466" s="1">
        <f t="shared" si="47"/>
        <v>125.92983231707318</v>
      </c>
      <c r="Q466" s="1">
        <f t="shared" si="48"/>
        <v>129.962293699187</v>
      </c>
      <c r="R466" s="1">
        <f t="shared" si="49"/>
        <v>134.34545732639953</v>
      </c>
      <c r="S466" s="1">
        <f t="shared" si="50"/>
        <v>81.750641366612115</v>
      </c>
    </row>
    <row r="467" spans="1:19" x14ac:dyDescent="0.3">
      <c r="A467">
        <v>11176.4</v>
      </c>
      <c r="B467">
        <v>123.12530099999999</v>
      </c>
      <c r="C467">
        <v>127.085835</v>
      </c>
      <c r="D467">
        <v>130.955715</v>
      </c>
      <c r="E467">
        <v>78.936768000000001</v>
      </c>
      <c r="F467">
        <v>52.333015000000003</v>
      </c>
      <c r="G467">
        <v>30.073398999999998</v>
      </c>
      <c r="H467">
        <v>32.287756000000002</v>
      </c>
      <c r="I467"/>
      <c r="N467"/>
      <c r="O467" s="26"/>
      <c r="P467" s="1">
        <f t="shared" si="47"/>
        <v>125.92983231707318</v>
      </c>
      <c r="Q467" s="1">
        <f t="shared" si="48"/>
        <v>129.962293699187</v>
      </c>
      <c r="R467" s="1">
        <f t="shared" si="49"/>
        <v>134.34545732639953</v>
      </c>
      <c r="S467" s="1">
        <f t="shared" si="50"/>
        <v>81.750641366612115</v>
      </c>
    </row>
    <row r="468" spans="1:19" x14ac:dyDescent="0.3">
      <c r="A468">
        <v>11176.6</v>
      </c>
      <c r="B468">
        <v>123.121388</v>
      </c>
      <c r="C468">
        <v>127.104085</v>
      </c>
      <c r="D468">
        <v>130.95248699999999</v>
      </c>
      <c r="E468">
        <v>78.969026999999997</v>
      </c>
      <c r="F468">
        <v>52.220669000000001</v>
      </c>
      <c r="G468">
        <v>30.060770000000002</v>
      </c>
      <c r="H468">
        <v>32.282425000000003</v>
      </c>
      <c r="I468"/>
      <c r="N468"/>
      <c r="O468" s="26"/>
      <c r="P468" s="1">
        <f t="shared" si="47"/>
        <v>125.94048170731709</v>
      </c>
      <c r="Q468" s="1">
        <f t="shared" si="48"/>
        <v>129.96195528455286</v>
      </c>
      <c r="R468" s="1">
        <f t="shared" si="49"/>
        <v>134.34676251656981</v>
      </c>
      <c r="S468" s="1">
        <f t="shared" si="50"/>
        <v>81.571324672667757</v>
      </c>
    </row>
    <row r="469" spans="1:19" x14ac:dyDescent="0.3">
      <c r="A469">
        <v>11176.8</v>
      </c>
      <c r="B469">
        <v>123.121388</v>
      </c>
      <c r="C469">
        <v>127.104085</v>
      </c>
      <c r="D469">
        <v>130.95248699999999</v>
      </c>
      <c r="E469">
        <v>78.969026999999997</v>
      </c>
      <c r="F469">
        <v>52.220669000000001</v>
      </c>
      <c r="G469">
        <v>30.060770000000002</v>
      </c>
      <c r="H469">
        <v>32.282425000000003</v>
      </c>
      <c r="I469"/>
      <c r="N469"/>
      <c r="O469"/>
      <c r="P469" s="1">
        <f t="shared" si="47"/>
        <v>125.94048170731709</v>
      </c>
      <c r="Q469" s="1">
        <f t="shared" si="48"/>
        <v>129.96195528455286</v>
      </c>
      <c r="R469" s="1">
        <f t="shared" si="49"/>
        <v>134.34676251656981</v>
      </c>
      <c r="S469" s="1">
        <f t="shared" si="50"/>
        <v>81.571324672667757</v>
      </c>
    </row>
    <row r="470" spans="1:19" x14ac:dyDescent="0.3">
      <c r="A470">
        <v>11177</v>
      </c>
      <c r="B470">
        <v>123.124454</v>
      </c>
      <c r="C470">
        <v>127.073432</v>
      </c>
      <c r="D470">
        <v>130.941508</v>
      </c>
      <c r="E470">
        <v>79.072385999999995</v>
      </c>
      <c r="F470">
        <v>52.027591000000001</v>
      </c>
      <c r="G470">
        <v>30.079052999999998</v>
      </c>
      <c r="H470">
        <v>32.326942000000003</v>
      </c>
      <c r="I470" t="s">
        <v>56</v>
      </c>
      <c r="N470"/>
      <c r="O470"/>
      <c r="P470" s="1">
        <f t="shared" si="47"/>
        <v>125.95107723577236</v>
      </c>
      <c r="Q470" s="1">
        <f t="shared" si="48"/>
        <v>129.95170121951219</v>
      </c>
      <c r="R470" s="1">
        <f t="shared" si="49"/>
        <v>134.3534159273988</v>
      </c>
      <c r="S470" s="1">
        <f t="shared" si="50"/>
        <v>81.869331014729951</v>
      </c>
    </row>
    <row r="471" spans="1:19" x14ac:dyDescent="0.3">
      <c r="A471">
        <v>11177.2</v>
      </c>
      <c r="B471">
        <v>123.124454</v>
      </c>
      <c r="C471">
        <v>127.073432</v>
      </c>
      <c r="D471">
        <v>130.941508</v>
      </c>
      <c r="E471">
        <v>79.072385999999995</v>
      </c>
      <c r="F471">
        <v>52.027591000000001</v>
      </c>
      <c r="G471">
        <v>30.079052999999998</v>
      </c>
      <c r="H471">
        <v>32.326942000000003</v>
      </c>
      <c r="I471"/>
      <c r="N471"/>
      <c r="O471"/>
      <c r="P471" s="1">
        <f t="shared" si="47"/>
        <v>125.95107723577236</v>
      </c>
      <c r="Q471" s="1">
        <f t="shared" si="48"/>
        <v>129.95170121951219</v>
      </c>
      <c r="R471" s="1">
        <f t="shared" si="49"/>
        <v>134.3534159273988</v>
      </c>
      <c r="S471" s="1">
        <f t="shared" si="50"/>
        <v>81.869331014729951</v>
      </c>
    </row>
    <row r="472" spans="1:19" x14ac:dyDescent="0.3">
      <c r="A472">
        <v>11177.4</v>
      </c>
      <c r="B472">
        <v>123.140494</v>
      </c>
      <c r="C472">
        <v>127.09670699999999</v>
      </c>
      <c r="D472">
        <v>130.94536199999999</v>
      </c>
      <c r="E472">
        <v>78.939915999999997</v>
      </c>
      <c r="F472">
        <v>52.562710000000003</v>
      </c>
      <c r="G472">
        <v>30.095206999999998</v>
      </c>
      <c r="H472">
        <v>32.300839000000003</v>
      </c>
      <c r="I472"/>
      <c r="N472"/>
      <c r="O472"/>
      <c r="P472" s="1">
        <f t="shared" si="47"/>
        <v>125.96264939024391</v>
      </c>
      <c r="Q472" s="1">
        <f t="shared" si="48"/>
        <v>129.96896138211383</v>
      </c>
      <c r="R472" s="1">
        <f t="shared" si="49"/>
        <v>134.34695931477515</v>
      </c>
      <c r="S472" s="1">
        <f t="shared" si="50"/>
        <v>81.838507569558104</v>
      </c>
    </row>
    <row r="473" spans="1:19" x14ac:dyDescent="0.3">
      <c r="A473">
        <v>11177.6</v>
      </c>
      <c r="B473">
        <v>123.140494</v>
      </c>
      <c r="C473">
        <v>127.09670699999999</v>
      </c>
      <c r="D473">
        <v>130.94536199999999</v>
      </c>
      <c r="E473">
        <v>78.939915999999997</v>
      </c>
      <c r="F473">
        <v>52.562710000000003</v>
      </c>
      <c r="G473">
        <v>30.095206999999998</v>
      </c>
      <c r="H473">
        <v>32.300839000000003</v>
      </c>
      <c r="I473"/>
      <c r="N473"/>
      <c r="O473"/>
      <c r="P473" s="1">
        <f t="shared" si="47"/>
        <v>125.96264939024391</v>
      </c>
      <c r="Q473" s="1">
        <f t="shared" si="48"/>
        <v>129.96896138211383</v>
      </c>
      <c r="R473" s="1">
        <f t="shared" si="49"/>
        <v>134.34695931477515</v>
      </c>
      <c r="S473" s="1">
        <f t="shared" si="50"/>
        <v>81.838507569558104</v>
      </c>
    </row>
    <row r="474" spans="1:19" x14ac:dyDescent="0.3">
      <c r="A474">
        <v>11177.8</v>
      </c>
      <c r="B474">
        <v>123.102261</v>
      </c>
      <c r="C474">
        <v>127.09111</v>
      </c>
      <c r="D474">
        <v>130.95867000000001</v>
      </c>
      <c r="E474">
        <v>79.303047000000007</v>
      </c>
      <c r="F474">
        <v>52.973795000000003</v>
      </c>
      <c r="G474">
        <v>30.093301</v>
      </c>
      <c r="H474">
        <v>32.316294999999997</v>
      </c>
      <c r="I474"/>
      <c r="N474"/>
      <c r="O474"/>
      <c r="P474" s="1">
        <f t="shared" si="47"/>
        <v>125.94975304878049</v>
      </c>
      <c r="Q474" s="1">
        <f t="shared" si="48"/>
        <v>129.95717987804878</v>
      </c>
      <c r="R474" s="1">
        <f t="shared" si="49"/>
        <v>134.33517589476907</v>
      </c>
      <c r="S474" s="1">
        <f t="shared" si="50"/>
        <v>81.851760433715228</v>
      </c>
    </row>
    <row r="475" spans="1:19" x14ac:dyDescent="0.3">
      <c r="A475">
        <v>11810</v>
      </c>
      <c r="B475">
        <v>132.39299800000001</v>
      </c>
      <c r="C475">
        <v>137.01317800000001</v>
      </c>
      <c r="D475">
        <v>141.44135299999999</v>
      </c>
      <c r="E475">
        <v>81.579374999999999</v>
      </c>
      <c r="F475">
        <v>53.988339000000003</v>
      </c>
      <c r="G475">
        <v>29.895619</v>
      </c>
      <c r="H475">
        <v>32.406390000000002</v>
      </c>
      <c r="I475" t="s">
        <v>56</v>
      </c>
      <c r="N475"/>
      <c r="O475"/>
      <c r="P475" s="1">
        <f t="shared" si="47"/>
        <v>125.94975304878049</v>
      </c>
      <c r="Q475" s="1">
        <f t="shared" si="48"/>
        <v>129.95717987804878</v>
      </c>
      <c r="R475" s="1">
        <f t="shared" si="49"/>
        <v>134.33517589476907</v>
      </c>
      <c r="S475" s="1">
        <f t="shared" si="50"/>
        <v>81.851760433715228</v>
      </c>
    </row>
    <row r="476" spans="1:19" x14ac:dyDescent="0.3">
      <c r="A476">
        <v>11810.2</v>
      </c>
      <c r="B476">
        <v>132.39736500000001</v>
      </c>
      <c r="C476">
        <v>137.02476799999999</v>
      </c>
      <c r="D476">
        <v>141.45962299999999</v>
      </c>
      <c r="E476">
        <v>81.609382999999994</v>
      </c>
      <c r="F476">
        <v>54.043638999999999</v>
      </c>
      <c r="G476">
        <v>29.914636999999999</v>
      </c>
      <c r="H476">
        <v>32.411056000000002</v>
      </c>
      <c r="I476"/>
      <c r="N476"/>
      <c r="O476"/>
      <c r="P476" s="1">
        <f t="shared" si="47"/>
        <v>125.92489837398374</v>
      </c>
      <c r="Q476" s="1">
        <f t="shared" si="48"/>
        <v>129.96602540650409</v>
      </c>
      <c r="R476" s="1">
        <f t="shared" si="49"/>
        <v>134.32476496380139</v>
      </c>
      <c r="S476" s="1">
        <f t="shared" si="50"/>
        <v>81.826016775777418</v>
      </c>
    </row>
    <row r="477" spans="1:19" x14ac:dyDescent="0.3">
      <c r="A477">
        <v>11810.4</v>
      </c>
      <c r="B477">
        <v>132.39736500000001</v>
      </c>
      <c r="C477">
        <v>137.02476799999999</v>
      </c>
      <c r="D477">
        <v>141.45962299999999</v>
      </c>
      <c r="E477">
        <v>81.609382999999994</v>
      </c>
      <c r="F477">
        <v>54.043638999999999</v>
      </c>
      <c r="G477">
        <v>29.914636999999999</v>
      </c>
      <c r="H477">
        <v>32.411056000000002</v>
      </c>
      <c r="I477"/>
      <c r="N477"/>
      <c r="O477"/>
      <c r="P477" s="1">
        <f t="shared" si="47"/>
        <v>125.92489837398374</v>
      </c>
      <c r="Q477" s="1">
        <f t="shared" si="48"/>
        <v>129.96602540650409</v>
      </c>
      <c r="R477" s="1">
        <f t="shared" si="49"/>
        <v>134.32476496380139</v>
      </c>
      <c r="S477" s="1">
        <f t="shared" si="50"/>
        <v>81.826016775777418</v>
      </c>
    </row>
    <row r="478" spans="1:19" x14ac:dyDescent="0.3">
      <c r="A478">
        <v>11810.6</v>
      </c>
      <c r="B478">
        <v>132.39192</v>
      </c>
      <c r="C478">
        <v>136.996994</v>
      </c>
      <c r="D478">
        <v>141.45440099999999</v>
      </c>
      <c r="E478">
        <v>81.589760999999996</v>
      </c>
      <c r="F478">
        <v>53.805860000000003</v>
      </c>
      <c r="G478">
        <v>29.876328000000001</v>
      </c>
      <c r="H478">
        <v>32.438042000000003</v>
      </c>
      <c r="I478"/>
      <c r="N478"/>
      <c r="O478"/>
      <c r="P478" s="1">
        <f t="shared" si="47"/>
        <v>125.93542886178862</v>
      </c>
      <c r="Q478" s="1">
        <f t="shared" si="48"/>
        <v>129.96321951219514</v>
      </c>
      <c r="R478" s="1">
        <f t="shared" si="49"/>
        <v>134.34732334047109</v>
      </c>
      <c r="S478" s="1">
        <f t="shared" si="50"/>
        <v>81.954828150572823</v>
      </c>
    </row>
    <row r="479" spans="1:19" x14ac:dyDescent="0.3">
      <c r="A479">
        <v>11810.8</v>
      </c>
      <c r="B479">
        <v>132.39192</v>
      </c>
      <c r="C479">
        <v>136.996994</v>
      </c>
      <c r="D479">
        <v>141.45440099999999</v>
      </c>
      <c r="E479">
        <v>81.589760999999996</v>
      </c>
      <c r="F479">
        <v>53.805860000000003</v>
      </c>
      <c r="G479">
        <v>29.876328000000001</v>
      </c>
      <c r="H479">
        <v>32.438042000000003</v>
      </c>
      <c r="I479"/>
      <c r="N479"/>
      <c r="O479"/>
      <c r="P479" s="1">
        <f t="shared" si="47"/>
        <v>125.93542886178862</v>
      </c>
      <c r="Q479" s="1">
        <f t="shared" si="48"/>
        <v>129.96321951219514</v>
      </c>
      <c r="R479" s="1">
        <f t="shared" si="49"/>
        <v>134.34732334047109</v>
      </c>
      <c r="S479" s="1">
        <f t="shared" si="50"/>
        <v>81.954828150572823</v>
      </c>
    </row>
    <row r="480" spans="1:19" x14ac:dyDescent="0.3">
      <c r="A480">
        <v>11811</v>
      </c>
      <c r="B480">
        <v>132.361886</v>
      </c>
      <c r="C480">
        <v>137.00120200000001</v>
      </c>
      <c r="D480">
        <v>141.47040699999999</v>
      </c>
      <c r="E480">
        <v>81.477947</v>
      </c>
      <c r="F480">
        <v>54.090997000000002</v>
      </c>
      <c r="G480">
        <v>29.887169</v>
      </c>
      <c r="H480">
        <v>32.425871999999998</v>
      </c>
      <c r="I480" t="s">
        <v>56</v>
      </c>
      <c r="N480"/>
      <c r="O480"/>
      <c r="P480" s="1">
        <f t="shared" si="47"/>
        <v>125.95883028455285</v>
      </c>
      <c r="Q480" s="1">
        <f t="shared" si="48"/>
        <v>129.96888211382114</v>
      </c>
      <c r="R480" s="1">
        <f t="shared" si="49"/>
        <v>134.35838788620373</v>
      </c>
      <c r="S480" s="1">
        <f t="shared" si="50"/>
        <v>81.799239975450078</v>
      </c>
    </row>
    <row r="481" spans="1:19" x14ac:dyDescent="0.3">
      <c r="A481">
        <v>11811.2</v>
      </c>
      <c r="B481">
        <v>132.361886</v>
      </c>
      <c r="C481">
        <v>137.00120200000001</v>
      </c>
      <c r="D481">
        <v>141.47040699999999</v>
      </c>
      <c r="E481">
        <v>81.477947</v>
      </c>
      <c r="F481">
        <v>54.090997000000002</v>
      </c>
      <c r="G481">
        <v>29.887169</v>
      </c>
      <c r="H481">
        <v>32.425871999999998</v>
      </c>
      <c r="I481"/>
      <c r="N481"/>
      <c r="O481"/>
      <c r="P481" s="1">
        <f t="shared" si="47"/>
        <v>125.95883028455285</v>
      </c>
      <c r="Q481" s="1">
        <f t="shared" si="48"/>
        <v>129.96888211382114</v>
      </c>
      <c r="R481" s="1">
        <f t="shared" si="49"/>
        <v>134.35838788620373</v>
      </c>
      <c r="S481" s="1">
        <f t="shared" si="50"/>
        <v>81.799239975450078</v>
      </c>
    </row>
    <row r="482" spans="1:19" x14ac:dyDescent="0.3">
      <c r="A482">
        <v>11811.4</v>
      </c>
      <c r="B482">
        <v>132.381529</v>
      </c>
      <c r="C482">
        <v>136.994686</v>
      </c>
      <c r="D482">
        <v>141.47294299999999</v>
      </c>
      <c r="E482">
        <v>81.434231999999994</v>
      </c>
      <c r="F482">
        <v>54.273876999999999</v>
      </c>
      <c r="G482">
        <v>29.888317000000001</v>
      </c>
      <c r="H482">
        <v>32.419746000000004</v>
      </c>
      <c r="I482"/>
      <c r="N482"/>
      <c r="O482"/>
      <c r="P482" s="1">
        <f t="shared" si="47"/>
        <v>125.91414532520325</v>
      </c>
      <c r="Q482" s="1">
        <f t="shared" si="48"/>
        <v>129.94512601626016</v>
      </c>
      <c r="R482" s="1">
        <f t="shared" si="49"/>
        <v>134.34167329458552</v>
      </c>
      <c r="S482" s="1">
        <f t="shared" si="50"/>
        <v>81.683695785597379</v>
      </c>
    </row>
    <row r="483" spans="1:19" x14ac:dyDescent="0.3">
      <c r="A483">
        <v>11811.6</v>
      </c>
      <c r="B483">
        <v>132.381529</v>
      </c>
      <c r="C483">
        <v>136.994686</v>
      </c>
      <c r="D483">
        <v>141.47294299999999</v>
      </c>
      <c r="E483">
        <v>81.434231999999994</v>
      </c>
      <c r="F483">
        <v>54.273876999999999</v>
      </c>
      <c r="G483">
        <v>29.888317000000001</v>
      </c>
      <c r="H483">
        <v>32.419746000000004</v>
      </c>
      <c r="I483"/>
      <c r="N483"/>
      <c r="O483"/>
      <c r="P483" s="1">
        <f t="shared" si="47"/>
        <v>125.91414532520325</v>
      </c>
      <c r="Q483" s="1">
        <f t="shared" si="48"/>
        <v>129.94512601626016</v>
      </c>
      <c r="R483" s="1">
        <f t="shared" si="49"/>
        <v>134.34167329458552</v>
      </c>
      <c r="S483" s="1">
        <f t="shared" si="50"/>
        <v>81.683695785597379</v>
      </c>
    </row>
    <row r="484" spans="1:19" x14ac:dyDescent="0.3">
      <c r="A484">
        <v>11811.8</v>
      </c>
      <c r="B484">
        <v>132.35994600000001</v>
      </c>
      <c r="C484">
        <v>136.99995000000001</v>
      </c>
      <c r="D484">
        <v>141.438819</v>
      </c>
      <c r="E484">
        <v>81.455670999999995</v>
      </c>
      <c r="F484">
        <v>54.030886000000002</v>
      </c>
      <c r="G484">
        <v>29.897200000000002</v>
      </c>
      <c r="H484">
        <v>32.440804</v>
      </c>
      <c r="I484"/>
      <c r="N484"/>
      <c r="O484"/>
      <c r="P484" s="1">
        <f t="shared" si="47"/>
        <v>125.92662703252033</v>
      </c>
      <c r="Q484" s="1">
        <f t="shared" si="48"/>
        <v>129.95155995934959</v>
      </c>
      <c r="R484" s="1">
        <f t="shared" si="49"/>
        <v>134.35914652799022</v>
      </c>
      <c r="S484" s="1">
        <f t="shared" si="50"/>
        <v>81.690433715220948</v>
      </c>
    </row>
    <row r="485" spans="1:19" x14ac:dyDescent="0.3">
      <c r="A485">
        <v>11812</v>
      </c>
      <c r="B485">
        <v>132.35994600000001</v>
      </c>
      <c r="C485">
        <v>136.99995000000001</v>
      </c>
      <c r="D485">
        <v>141.438819</v>
      </c>
      <c r="E485">
        <v>81.455670999999995</v>
      </c>
      <c r="F485">
        <v>54.030886000000002</v>
      </c>
      <c r="G485">
        <v>29.897200000000002</v>
      </c>
      <c r="H485">
        <v>32.440804</v>
      </c>
      <c r="I485" t="s">
        <v>56</v>
      </c>
      <c r="N485"/>
      <c r="O485"/>
      <c r="P485" s="1">
        <f t="shared" si="47"/>
        <v>125.92662703252033</v>
      </c>
      <c r="Q485" s="1">
        <f t="shared" si="48"/>
        <v>129.95155995934959</v>
      </c>
      <c r="R485" s="1">
        <f t="shared" si="49"/>
        <v>134.35914652799022</v>
      </c>
      <c r="S485" s="1">
        <f t="shared" si="50"/>
        <v>81.690433715220948</v>
      </c>
    </row>
    <row r="486" spans="1:19" x14ac:dyDescent="0.3">
      <c r="A486">
        <v>11812.2</v>
      </c>
      <c r="B486">
        <v>132.37209899999999</v>
      </c>
      <c r="C486">
        <v>136.988696</v>
      </c>
      <c r="D486">
        <v>141.44937100000001</v>
      </c>
      <c r="E486">
        <v>81.685303000000005</v>
      </c>
      <c r="F486">
        <v>54.289872000000003</v>
      </c>
      <c r="G486">
        <v>29.896298999999999</v>
      </c>
      <c r="H486">
        <v>32.409179999999999</v>
      </c>
      <c r="I486"/>
      <c r="N486"/>
      <c r="O486"/>
      <c r="P486" s="1">
        <f t="shared" si="47"/>
        <v>125.92265040650406</v>
      </c>
      <c r="Q486" s="1">
        <f t="shared" si="48"/>
        <v>129.97010670731709</v>
      </c>
      <c r="R486" s="1">
        <f t="shared" si="49"/>
        <v>134.35585500152953</v>
      </c>
      <c r="S486" s="1">
        <f t="shared" si="50"/>
        <v>81.723431873977077</v>
      </c>
    </row>
    <row r="487" spans="1:19" x14ac:dyDescent="0.3">
      <c r="A487">
        <v>11812.4</v>
      </c>
      <c r="B487">
        <v>132.37209899999999</v>
      </c>
      <c r="C487">
        <v>136.988696</v>
      </c>
      <c r="D487">
        <v>141.44937100000001</v>
      </c>
      <c r="E487">
        <v>81.685303000000005</v>
      </c>
      <c r="F487">
        <v>54.289872000000003</v>
      </c>
      <c r="G487">
        <v>29.896298999999999</v>
      </c>
      <c r="H487">
        <v>32.409179999999999</v>
      </c>
      <c r="I487"/>
      <c r="N487"/>
      <c r="O487"/>
      <c r="P487" s="1">
        <f t="shared" si="47"/>
        <v>125.92265040650406</v>
      </c>
      <c r="Q487" s="1">
        <f t="shared" si="48"/>
        <v>129.97010670731709</v>
      </c>
      <c r="R487" s="1">
        <f t="shared" si="49"/>
        <v>134.35585500152953</v>
      </c>
      <c r="S487" s="1">
        <f t="shared" si="50"/>
        <v>81.723431873977077</v>
      </c>
    </row>
    <row r="488" spans="1:19" x14ac:dyDescent="0.3">
      <c r="A488">
        <v>11812.6</v>
      </c>
      <c r="B488">
        <v>132.37684300000001</v>
      </c>
      <c r="C488">
        <v>136.97394700000001</v>
      </c>
      <c r="D488">
        <v>141.447869</v>
      </c>
      <c r="E488">
        <v>81.556544000000002</v>
      </c>
      <c r="F488">
        <v>54.254094000000002</v>
      </c>
      <c r="G488">
        <v>29.905939</v>
      </c>
      <c r="H488">
        <v>32.406599999999997</v>
      </c>
      <c r="I488"/>
      <c r="N488"/>
      <c r="O488"/>
      <c r="P488" s="1">
        <f t="shared" si="47"/>
        <v>125.9257662601626</v>
      </c>
      <c r="Q488" s="1">
        <f t="shared" si="48"/>
        <v>129.93895528455286</v>
      </c>
      <c r="R488" s="1">
        <f t="shared" si="49"/>
        <v>134.34465993677986</v>
      </c>
      <c r="S488" s="1">
        <f t="shared" si="50"/>
        <v>81.829159165302769</v>
      </c>
    </row>
    <row r="489" spans="1:19" x14ac:dyDescent="0.3">
      <c r="A489">
        <v>11812.8</v>
      </c>
      <c r="B489">
        <v>132.37684300000001</v>
      </c>
      <c r="C489">
        <v>136.97394700000001</v>
      </c>
      <c r="D489">
        <v>141.447869</v>
      </c>
      <c r="E489">
        <v>81.556544000000002</v>
      </c>
      <c r="F489">
        <v>54.254094000000002</v>
      </c>
      <c r="G489">
        <v>29.905939</v>
      </c>
      <c r="H489">
        <v>32.406599999999997</v>
      </c>
      <c r="I489"/>
      <c r="N489"/>
      <c r="O489"/>
      <c r="P489" s="1">
        <f t="shared" si="47"/>
        <v>125.9257662601626</v>
      </c>
      <c r="Q489" s="1">
        <f t="shared" si="48"/>
        <v>129.93895528455286</v>
      </c>
      <c r="R489" s="1">
        <f t="shared" si="49"/>
        <v>134.34465993677986</v>
      </c>
      <c r="S489" s="1">
        <f t="shared" si="50"/>
        <v>81.829159165302769</v>
      </c>
    </row>
    <row r="490" spans="1:19" x14ac:dyDescent="0.3">
      <c r="A490">
        <v>11813</v>
      </c>
      <c r="B490">
        <v>132.385434</v>
      </c>
      <c r="C490">
        <v>136.98954900000001</v>
      </c>
      <c r="D490">
        <v>141.43123</v>
      </c>
      <c r="E490">
        <v>81.577198999999993</v>
      </c>
      <c r="F490">
        <v>54.094344</v>
      </c>
      <c r="G490">
        <v>29.913083</v>
      </c>
      <c r="H490">
        <v>32.395901000000002</v>
      </c>
      <c r="I490" t="s">
        <v>56</v>
      </c>
      <c r="N490"/>
      <c r="O490"/>
      <c r="P490" s="1">
        <f t="shared" si="47"/>
        <v>125.94206707317075</v>
      </c>
      <c r="Q490" s="1">
        <f t="shared" si="48"/>
        <v>129.96260873983741</v>
      </c>
      <c r="R490" s="1">
        <f t="shared" si="49"/>
        <v>134.3485897828082</v>
      </c>
      <c r="S490" s="1">
        <f t="shared" si="50"/>
        <v>81.693653846153836</v>
      </c>
    </row>
    <row r="491" spans="1:19" x14ac:dyDescent="0.3">
      <c r="A491">
        <v>11813.2</v>
      </c>
      <c r="B491">
        <v>132.385434</v>
      </c>
      <c r="C491">
        <v>136.98954900000001</v>
      </c>
      <c r="D491">
        <v>141.43123</v>
      </c>
      <c r="E491">
        <v>81.577198999999993</v>
      </c>
      <c r="F491">
        <v>54.094344</v>
      </c>
      <c r="G491">
        <v>29.913083</v>
      </c>
      <c r="H491">
        <v>32.395901000000002</v>
      </c>
      <c r="I491"/>
      <c r="N491"/>
      <c r="O491"/>
      <c r="P491" s="1">
        <f t="shared" si="47"/>
        <v>125.94206707317075</v>
      </c>
      <c r="Q491" s="1">
        <f t="shared" si="48"/>
        <v>129.96260873983741</v>
      </c>
      <c r="R491" s="1">
        <f t="shared" si="49"/>
        <v>134.3485897828082</v>
      </c>
      <c r="S491" s="1">
        <f t="shared" si="50"/>
        <v>81.693653846153836</v>
      </c>
    </row>
    <row r="492" spans="1:19" x14ac:dyDescent="0.3">
      <c r="A492">
        <v>11813.4</v>
      </c>
      <c r="B492">
        <v>132.40114800000001</v>
      </c>
      <c r="C492">
        <v>137.01393200000001</v>
      </c>
      <c r="D492">
        <v>141.44627299999999</v>
      </c>
      <c r="E492">
        <v>81.557689999999994</v>
      </c>
      <c r="F492">
        <v>54.498482000000003</v>
      </c>
      <c r="G492">
        <v>29.890488000000001</v>
      </c>
      <c r="H492">
        <v>32.414639999999999</v>
      </c>
      <c r="I492"/>
      <c r="N492"/>
      <c r="O492"/>
      <c r="P492" s="1">
        <f t="shared" ref="P492:P555" si="51">(B474+Q$36)/P$36</f>
        <v>125.903212398374</v>
      </c>
      <c r="Q492" s="1">
        <f t="shared" ref="Q492:Q555" si="52">(C474+Q$36)/P$36</f>
        <v>129.95692073170733</v>
      </c>
      <c r="R492" s="1">
        <f t="shared" ref="R492:R555" si="53">(D474+Q$38)/P$38</f>
        <v>134.36215968185991</v>
      </c>
      <c r="S492" s="1">
        <f t="shared" ref="S492:S555" si="54">(E474+Q$39)/P$39</f>
        <v>82.065105360065473</v>
      </c>
    </row>
    <row r="493" spans="1:19" x14ac:dyDescent="0.3">
      <c r="A493">
        <v>11813.6</v>
      </c>
      <c r="B493">
        <v>132.40114800000001</v>
      </c>
      <c r="C493">
        <v>137.01393200000001</v>
      </c>
      <c r="D493">
        <v>141.44627299999999</v>
      </c>
      <c r="E493">
        <v>81.557689999999994</v>
      </c>
      <c r="F493">
        <v>54.498482000000003</v>
      </c>
      <c r="G493">
        <v>29.890488000000001</v>
      </c>
      <c r="H493">
        <v>32.414639999999999</v>
      </c>
      <c r="I493"/>
      <c r="N493"/>
      <c r="O493"/>
      <c r="P493" s="1">
        <f t="shared" si="51"/>
        <v>135.34501829268294</v>
      </c>
      <c r="Q493" s="1">
        <f t="shared" si="52"/>
        <v>140.04032317073171</v>
      </c>
      <c r="R493" s="1">
        <f t="shared" si="53"/>
        <v>145.05114000203938</v>
      </c>
      <c r="S493" s="1">
        <f t="shared" si="54"/>
        <v>84.393591448445164</v>
      </c>
    </row>
    <row r="494" spans="1:19" x14ac:dyDescent="0.3">
      <c r="A494">
        <v>11813.8</v>
      </c>
      <c r="B494">
        <v>132.39255199999999</v>
      </c>
      <c r="C494">
        <v>136.990892</v>
      </c>
      <c r="D494">
        <v>141.448781</v>
      </c>
      <c r="E494">
        <v>81.595977000000005</v>
      </c>
      <c r="F494">
        <v>54.368898000000002</v>
      </c>
      <c r="G494">
        <v>29.891299</v>
      </c>
      <c r="H494">
        <v>32.429757000000002</v>
      </c>
      <c r="I494"/>
      <c r="N494"/>
      <c r="O494"/>
      <c r="P494" s="1">
        <f t="shared" si="51"/>
        <v>135.34945630081302</v>
      </c>
      <c r="Q494" s="1">
        <f t="shared" si="52"/>
        <v>140.05210162601625</v>
      </c>
      <c r="R494" s="1">
        <f t="shared" si="53"/>
        <v>145.06976955236055</v>
      </c>
      <c r="S494" s="1">
        <f t="shared" si="54"/>
        <v>84.42428702945989</v>
      </c>
    </row>
    <row r="495" spans="1:19" x14ac:dyDescent="0.3">
      <c r="A495">
        <v>11814</v>
      </c>
      <c r="B495">
        <v>132.39255199999999</v>
      </c>
      <c r="C495">
        <v>136.990892</v>
      </c>
      <c r="D495">
        <v>141.448781</v>
      </c>
      <c r="E495">
        <v>81.595977000000005</v>
      </c>
      <c r="F495">
        <v>54.368898000000002</v>
      </c>
      <c r="G495">
        <v>29.891299</v>
      </c>
      <c r="H495">
        <v>32.429757000000002</v>
      </c>
      <c r="I495" t="s">
        <v>56</v>
      </c>
      <c r="N495"/>
      <c r="O495"/>
      <c r="P495" s="1">
        <f t="shared" si="51"/>
        <v>135.34945630081302</v>
      </c>
      <c r="Q495" s="1">
        <f t="shared" si="52"/>
        <v>140.05210162601625</v>
      </c>
      <c r="R495" s="1">
        <f t="shared" si="53"/>
        <v>145.06976955236055</v>
      </c>
      <c r="S495" s="1">
        <f t="shared" si="54"/>
        <v>84.42428702945989</v>
      </c>
    </row>
    <row r="496" spans="1:19" x14ac:dyDescent="0.3">
      <c r="A496">
        <v>11814.2</v>
      </c>
      <c r="B496">
        <v>132.389714</v>
      </c>
      <c r="C496">
        <v>137.00546499999999</v>
      </c>
      <c r="D496">
        <v>141.46400299999999</v>
      </c>
      <c r="E496">
        <v>81.622810999999999</v>
      </c>
      <c r="F496">
        <v>54.141063000000003</v>
      </c>
      <c r="G496">
        <v>29.905431</v>
      </c>
      <c r="H496">
        <v>32.415239999999997</v>
      </c>
      <c r="I496"/>
      <c r="N496"/>
      <c r="O496"/>
      <c r="P496" s="1">
        <f t="shared" si="51"/>
        <v>135.34392276422764</v>
      </c>
      <c r="Q496" s="1">
        <f t="shared" si="52"/>
        <v>140.02387601626015</v>
      </c>
      <c r="R496" s="1">
        <f t="shared" si="53"/>
        <v>145.06444478433772</v>
      </c>
      <c r="S496" s="1">
        <f t="shared" si="54"/>
        <v>84.404215425531902</v>
      </c>
    </row>
    <row r="497" spans="1:19" x14ac:dyDescent="0.3">
      <c r="A497">
        <v>11814.4</v>
      </c>
      <c r="B497">
        <v>132.389714</v>
      </c>
      <c r="C497">
        <v>137.00546499999999</v>
      </c>
      <c r="D497">
        <v>141.46400299999999</v>
      </c>
      <c r="E497">
        <v>81.622810999999999</v>
      </c>
      <c r="F497">
        <v>54.141063000000003</v>
      </c>
      <c r="G497">
        <v>29.905431</v>
      </c>
      <c r="H497">
        <v>32.415239999999997</v>
      </c>
      <c r="I497"/>
      <c r="N497"/>
      <c r="O497"/>
      <c r="P497" s="1">
        <f t="shared" si="51"/>
        <v>135.34392276422764</v>
      </c>
      <c r="Q497" s="1">
        <f t="shared" si="52"/>
        <v>140.02387601626015</v>
      </c>
      <c r="R497" s="1">
        <f t="shared" si="53"/>
        <v>145.06444478433772</v>
      </c>
      <c r="S497" s="1">
        <f t="shared" si="54"/>
        <v>84.404215425531902</v>
      </c>
    </row>
    <row r="498" spans="1:19" x14ac:dyDescent="0.3">
      <c r="A498">
        <v>11814.6</v>
      </c>
      <c r="B498">
        <v>132.385322</v>
      </c>
      <c r="C498">
        <v>137.00662800000001</v>
      </c>
      <c r="D498">
        <v>141.477206</v>
      </c>
      <c r="E498">
        <v>81.523747999999998</v>
      </c>
      <c r="F498">
        <v>53.805562000000002</v>
      </c>
      <c r="G498">
        <v>29.912472000000001</v>
      </c>
      <c r="H498">
        <v>32.407018999999998</v>
      </c>
      <c r="I498"/>
      <c r="N498"/>
      <c r="O498"/>
      <c r="P498" s="1">
        <f t="shared" si="51"/>
        <v>135.31340040650406</v>
      </c>
      <c r="Q498" s="1">
        <f t="shared" si="52"/>
        <v>140.02815243902438</v>
      </c>
      <c r="R498" s="1">
        <f t="shared" si="53"/>
        <v>145.08076577954523</v>
      </c>
      <c r="S498" s="1">
        <f t="shared" si="54"/>
        <v>84.289839402618654</v>
      </c>
    </row>
    <row r="499" spans="1:19" x14ac:dyDescent="0.3">
      <c r="A499">
        <v>11814.8</v>
      </c>
      <c r="B499">
        <v>132.385322</v>
      </c>
      <c r="C499">
        <v>137.00662800000001</v>
      </c>
      <c r="D499">
        <v>141.477206</v>
      </c>
      <c r="E499">
        <v>81.523747999999998</v>
      </c>
      <c r="F499">
        <v>53.805562000000002</v>
      </c>
      <c r="G499">
        <v>29.912472000000001</v>
      </c>
      <c r="H499">
        <v>32.407018999999998</v>
      </c>
      <c r="I499"/>
      <c r="N499"/>
      <c r="O499"/>
      <c r="P499" s="1">
        <f t="shared" si="51"/>
        <v>135.31340040650406</v>
      </c>
      <c r="Q499" s="1">
        <f t="shared" si="52"/>
        <v>140.02815243902438</v>
      </c>
      <c r="R499" s="1">
        <f t="shared" si="53"/>
        <v>145.08076577954523</v>
      </c>
      <c r="S499" s="1">
        <f t="shared" si="54"/>
        <v>84.289839402618654</v>
      </c>
    </row>
    <row r="500" spans="1:19" x14ac:dyDescent="0.3">
      <c r="A500">
        <v>11815</v>
      </c>
      <c r="B500">
        <v>132.41064</v>
      </c>
      <c r="C500">
        <v>136.99884299999999</v>
      </c>
      <c r="D500">
        <v>141.465971</v>
      </c>
      <c r="E500">
        <v>81.444293000000002</v>
      </c>
      <c r="F500">
        <v>54.670499</v>
      </c>
      <c r="G500">
        <v>29.914679</v>
      </c>
      <c r="H500">
        <v>32.400776999999998</v>
      </c>
      <c r="I500" t="s">
        <v>56</v>
      </c>
      <c r="N500"/>
      <c r="O500"/>
      <c r="P500" s="1">
        <f t="shared" si="51"/>
        <v>135.33336280487805</v>
      </c>
      <c r="Q500" s="1">
        <f t="shared" si="52"/>
        <v>140.02153048780488</v>
      </c>
      <c r="R500" s="1">
        <f t="shared" si="53"/>
        <v>145.08335168757009</v>
      </c>
      <c r="S500" s="1">
        <f t="shared" si="54"/>
        <v>84.24512274959082</v>
      </c>
    </row>
    <row r="501" spans="1:19" x14ac:dyDescent="0.3">
      <c r="A501">
        <v>11815.2</v>
      </c>
      <c r="B501">
        <v>132.41064</v>
      </c>
      <c r="C501">
        <v>136.99884299999999</v>
      </c>
      <c r="D501">
        <v>141.465971</v>
      </c>
      <c r="E501">
        <v>81.444293000000002</v>
      </c>
      <c r="F501">
        <v>54.670499</v>
      </c>
      <c r="G501">
        <v>29.914679</v>
      </c>
      <c r="H501">
        <v>32.400776999999998</v>
      </c>
      <c r="I501"/>
      <c r="N501"/>
      <c r="O501"/>
      <c r="P501" s="1">
        <f t="shared" si="51"/>
        <v>135.33336280487805</v>
      </c>
      <c r="Q501" s="1">
        <f t="shared" si="52"/>
        <v>140.02153048780488</v>
      </c>
      <c r="R501" s="1">
        <f t="shared" si="53"/>
        <v>145.08335168757009</v>
      </c>
      <c r="S501" s="1">
        <f t="shared" si="54"/>
        <v>84.24512274959082</v>
      </c>
    </row>
    <row r="502" spans="1:19" x14ac:dyDescent="0.3">
      <c r="A502">
        <v>11815.4</v>
      </c>
      <c r="B502">
        <v>132.404617</v>
      </c>
      <c r="C502">
        <v>136.99162899999999</v>
      </c>
      <c r="D502">
        <v>141.46850699999999</v>
      </c>
      <c r="E502">
        <v>81.555897000000002</v>
      </c>
      <c r="F502">
        <v>55.142884000000002</v>
      </c>
      <c r="G502">
        <v>29.897162999999999</v>
      </c>
      <c r="H502">
        <v>32.404882000000001</v>
      </c>
      <c r="I502"/>
      <c r="N502"/>
      <c r="O502"/>
      <c r="P502" s="1">
        <f t="shared" si="51"/>
        <v>135.31142886178861</v>
      </c>
      <c r="Q502" s="1">
        <f t="shared" si="52"/>
        <v>140.02688008130082</v>
      </c>
      <c r="R502" s="1">
        <f t="shared" si="53"/>
        <v>145.04855613337412</v>
      </c>
      <c r="S502" s="1">
        <f t="shared" si="54"/>
        <v>84.267052986906705</v>
      </c>
    </row>
    <row r="503" spans="1:19" x14ac:dyDescent="0.3">
      <c r="A503">
        <v>11815.6</v>
      </c>
      <c r="B503">
        <v>132.404617</v>
      </c>
      <c r="C503">
        <v>136.99162899999999</v>
      </c>
      <c r="D503">
        <v>141.46850699999999</v>
      </c>
      <c r="E503">
        <v>81.555897000000002</v>
      </c>
      <c r="F503">
        <v>55.142884000000002</v>
      </c>
      <c r="G503">
        <v>29.897162999999999</v>
      </c>
      <c r="H503">
        <v>32.404882000000001</v>
      </c>
      <c r="I503"/>
      <c r="N503"/>
      <c r="O503"/>
      <c r="P503" s="1">
        <f t="shared" si="51"/>
        <v>135.31142886178861</v>
      </c>
      <c r="Q503" s="1">
        <f t="shared" si="52"/>
        <v>140.02688008130082</v>
      </c>
      <c r="R503" s="1">
        <f t="shared" si="53"/>
        <v>145.04855613337412</v>
      </c>
      <c r="S503" s="1">
        <f t="shared" si="54"/>
        <v>84.267052986906705</v>
      </c>
    </row>
    <row r="504" spans="1:19" x14ac:dyDescent="0.3">
      <c r="A504">
        <v>11815.8</v>
      </c>
      <c r="B504">
        <v>132.40931599999999</v>
      </c>
      <c r="C504">
        <v>137.00169399999999</v>
      </c>
      <c r="D504">
        <v>141.444264</v>
      </c>
      <c r="E504">
        <v>81.644948999999997</v>
      </c>
      <c r="F504">
        <v>54.510762</v>
      </c>
      <c r="G504">
        <v>29.894055999999999</v>
      </c>
      <c r="H504">
        <v>32.395918000000002</v>
      </c>
      <c r="I504"/>
      <c r="N504"/>
      <c r="O504"/>
      <c r="P504" s="1">
        <f t="shared" si="51"/>
        <v>135.3237794715447</v>
      </c>
      <c r="Q504" s="1">
        <f t="shared" si="52"/>
        <v>140.0154430894309</v>
      </c>
      <c r="R504" s="1">
        <f t="shared" si="53"/>
        <v>145.05931579484044</v>
      </c>
      <c r="S504" s="1">
        <f t="shared" si="54"/>
        <v>84.501946603927991</v>
      </c>
    </row>
    <row r="505" spans="1:19" x14ac:dyDescent="0.3">
      <c r="A505">
        <v>11816</v>
      </c>
      <c r="B505">
        <v>132.40931599999999</v>
      </c>
      <c r="C505">
        <v>137.00169399999999</v>
      </c>
      <c r="D505">
        <v>141.444264</v>
      </c>
      <c r="E505">
        <v>81.644948999999997</v>
      </c>
      <c r="F505">
        <v>54.510762</v>
      </c>
      <c r="G505">
        <v>29.894055999999999</v>
      </c>
      <c r="H505">
        <v>32.395918000000002</v>
      </c>
      <c r="I505" t="s">
        <v>56</v>
      </c>
      <c r="N505"/>
      <c r="O505"/>
      <c r="P505" s="1">
        <f t="shared" si="51"/>
        <v>135.3237794715447</v>
      </c>
      <c r="Q505" s="1">
        <f t="shared" si="52"/>
        <v>140.0154430894309</v>
      </c>
      <c r="R505" s="1">
        <f t="shared" si="53"/>
        <v>145.05931579484044</v>
      </c>
      <c r="S505" s="1">
        <f t="shared" si="54"/>
        <v>84.501946603927991</v>
      </c>
    </row>
    <row r="506" spans="1:19" x14ac:dyDescent="0.3">
      <c r="A506">
        <v>11816.2</v>
      </c>
      <c r="B506">
        <v>132.38709600000001</v>
      </c>
      <c r="C506">
        <v>137.00306599999999</v>
      </c>
      <c r="D506">
        <v>141.45813799999999</v>
      </c>
      <c r="E506">
        <v>81.596290999999994</v>
      </c>
      <c r="F506">
        <v>53.936509999999998</v>
      </c>
      <c r="G506">
        <v>29.896996000000001</v>
      </c>
      <c r="H506">
        <v>32.410812</v>
      </c>
      <c r="I506"/>
      <c r="N506"/>
      <c r="O506"/>
      <c r="P506" s="1">
        <f t="shared" si="51"/>
        <v>135.32860060975611</v>
      </c>
      <c r="Q506" s="1">
        <f t="shared" si="52"/>
        <v>140.00045426829269</v>
      </c>
      <c r="R506" s="1">
        <f t="shared" si="53"/>
        <v>145.05778423574998</v>
      </c>
      <c r="S506" s="1">
        <f t="shared" si="54"/>
        <v>84.370237315875613</v>
      </c>
    </row>
    <row r="507" spans="1:19" x14ac:dyDescent="0.3">
      <c r="A507">
        <v>11816.4</v>
      </c>
      <c r="B507">
        <v>132.38709600000001</v>
      </c>
      <c r="C507">
        <v>137.00306599999999</v>
      </c>
      <c r="D507">
        <v>141.45813799999999</v>
      </c>
      <c r="E507">
        <v>81.596290999999994</v>
      </c>
      <c r="F507">
        <v>53.936509999999998</v>
      </c>
      <c r="G507">
        <v>29.896996000000001</v>
      </c>
      <c r="H507">
        <v>32.410812</v>
      </c>
      <c r="I507"/>
      <c r="N507"/>
      <c r="O507"/>
      <c r="P507" s="1">
        <f t="shared" si="51"/>
        <v>135.32860060975611</v>
      </c>
      <c r="Q507" s="1">
        <f t="shared" si="52"/>
        <v>140.00045426829269</v>
      </c>
      <c r="R507" s="1">
        <f t="shared" si="53"/>
        <v>145.05778423574998</v>
      </c>
      <c r="S507" s="1">
        <f t="shared" si="54"/>
        <v>84.370237315875613</v>
      </c>
    </row>
    <row r="508" spans="1:19" x14ac:dyDescent="0.3">
      <c r="A508">
        <v>11816.6</v>
      </c>
      <c r="B508">
        <v>132.38672399999999</v>
      </c>
      <c r="C508">
        <v>137.009895</v>
      </c>
      <c r="D508">
        <v>141.462166</v>
      </c>
      <c r="E508">
        <v>81.609154000000004</v>
      </c>
      <c r="F508">
        <v>53.581449999999997</v>
      </c>
      <c r="G508">
        <v>29.89113</v>
      </c>
      <c r="H508">
        <v>32.396048</v>
      </c>
      <c r="I508"/>
      <c r="N508"/>
      <c r="O508"/>
      <c r="P508" s="1">
        <f t="shared" si="51"/>
        <v>135.33733130081299</v>
      </c>
      <c r="Q508" s="1">
        <f t="shared" si="52"/>
        <v>140.0163099593496</v>
      </c>
      <c r="R508" s="1">
        <f t="shared" si="53"/>
        <v>145.04081778321608</v>
      </c>
      <c r="S508" s="1">
        <f t="shared" si="54"/>
        <v>84.391365589198031</v>
      </c>
    </row>
    <row r="509" spans="1:19" x14ac:dyDescent="0.3">
      <c r="A509">
        <v>11816.8</v>
      </c>
      <c r="B509">
        <v>132.38672399999999</v>
      </c>
      <c r="C509">
        <v>137.009895</v>
      </c>
      <c r="D509">
        <v>141.462166</v>
      </c>
      <c r="E509">
        <v>81.609154000000004</v>
      </c>
      <c r="F509">
        <v>53.581449999999997</v>
      </c>
      <c r="G509">
        <v>29.89113</v>
      </c>
      <c r="H509">
        <v>32.396048</v>
      </c>
      <c r="I509"/>
      <c r="N509"/>
      <c r="O509"/>
      <c r="P509" s="1">
        <f t="shared" si="51"/>
        <v>135.33733130081299</v>
      </c>
      <c r="Q509" s="1">
        <f t="shared" si="52"/>
        <v>140.0163099593496</v>
      </c>
      <c r="R509" s="1">
        <f t="shared" si="53"/>
        <v>145.04081778321608</v>
      </c>
      <c r="S509" s="1">
        <f t="shared" si="54"/>
        <v>84.391365589198031</v>
      </c>
    </row>
    <row r="510" spans="1:19" x14ac:dyDescent="0.3">
      <c r="A510">
        <v>11817</v>
      </c>
      <c r="B510">
        <v>132.402795</v>
      </c>
      <c r="C510">
        <v>137.01884000000001</v>
      </c>
      <c r="D510">
        <v>141.46043</v>
      </c>
      <c r="E510">
        <v>81.568027000000001</v>
      </c>
      <c r="F510">
        <v>54.224632</v>
      </c>
      <c r="G510">
        <v>29.887093</v>
      </c>
      <c r="H510">
        <v>32.417116999999998</v>
      </c>
      <c r="I510" t="s">
        <v>56</v>
      </c>
      <c r="N510"/>
      <c r="O510"/>
      <c r="P510" s="1">
        <f t="shared" si="51"/>
        <v>135.35330081300813</v>
      </c>
      <c r="Q510" s="1">
        <f t="shared" si="52"/>
        <v>140.04108943089432</v>
      </c>
      <c r="R510" s="1">
        <f t="shared" si="53"/>
        <v>145.05615682675639</v>
      </c>
      <c r="S510" s="1">
        <f t="shared" si="54"/>
        <v>84.371409574468075</v>
      </c>
    </row>
    <row r="511" spans="1:19" x14ac:dyDescent="0.3">
      <c r="A511">
        <v>11817.2</v>
      </c>
      <c r="B511">
        <v>132.402795</v>
      </c>
      <c r="C511">
        <v>137.01884000000001</v>
      </c>
      <c r="D511">
        <v>141.46043</v>
      </c>
      <c r="E511">
        <v>81.568027000000001</v>
      </c>
      <c r="F511">
        <v>54.224632</v>
      </c>
      <c r="G511">
        <v>29.887093</v>
      </c>
      <c r="H511">
        <v>32.417116999999998</v>
      </c>
      <c r="I511"/>
      <c r="N511"/>
      <c r="O511"/>
      <c r="P511" s="1">
        <f t="shared" si="51"/>
        <v>135.35330081300813</v>
      </c>
      <c r="Q511" s="1">
        <f t="shared" si="52"/>
        <v>140.04108943089432</v>
      </c>
      <c r="R511" s="1">
        <f t="shared" si="53"/>
        <v>145.05615682675639</v>
      </c>
      <c r="S511" s="1">
        <f t="shared" si="54"/>
        <v>84.371409574468075</v>
      </c>
    </row>
    <row r="512" spans="1:19" x14ac:dyDescent="0.3">
      <c r="A512">
        <v>11817.4</v>
      </c>
      <c r="B512">
        <v>132.408278</v>
      </c>
      <c r="C512">
        <v>136.97857999999999</v>
      </c>
      <c r="D512">
        <v>141.449477</v>
      </c>
      <c r="E512">
        <v>81.570203000000006</v>
      </c>
      <c r="F512">
        <v>54.257668000000002</v>
      </c>
      <c r="G512">
        <v>29.881297</v>
      </c>
      <c r="H512">
        <v>32.427517999999999</v>
      </c>
      <c r="I512"/>
      <c r="N512"/>
      <c r="O512"/>
      <c r="P512" s="1">
        <f t="shared" si="51"/>
        <v>135.34456504065039</v>
      </c>
      <c r="Q512" s="1">
        <f t="shared" si="52"/>
        <v>140.01767479674797</v>
      </c>
      <c r="R512" s="1">
        <f t="shared" si="53"/>
        <v>145.0587141837463</v>
      </c>
      <c r="S512" s="1">
        <f t="shared" si="54"/>
        <v>84.410573854337159</v>
      </c>
    </row>
    <row r="513" spans="1:19" x14ac:dyDescent="0.3">
      <c r="A513">
        <v>11817.6</v>
      </c>
      <c r="B513">
        <v>132.408278</v>
      </c>
      <c r="C513">
        <v>136.97857999999999</v>
      </c>
      <c r="D513">
        <v>141.449477</v>
      </c>
      <c r="E513">
        <v>81.570203000000006</v>
      </c>
      <c r="F513">
        <v>54.257668000000002</v>
      </c>
      <c r="G513">
        <v>29.881297</v>
      </c>
      <c r="H513">
        <v>32.427517999999999</v>
      </c>
      <c r="I513"/>
      <c r="N513"/>
      <c r="O513"/>
      <c r="P513" s="1">
        <f t="shared" si="51"/>
        <v>135.34456504065039</v>
      </c>
      <c r="Q513" s="1">
        <f t="shared" si="52"/>
        <v>140.01767479674797</v>
      </c>
      <c r="R513" s="1">
        <f t="shared" si="53"/>
        <v>145.0587141837463</v>
      </c>
      <c r="S513" s="1">
        <f t="shared" si="54"/>
        <v>84.410573854337159</v>
      </c>
    </row>
    <row r="514" spans="1:19" x14ac:dyDescent="0.3">
      <c r="A514">
        <v>11817.8</v>
      </c>
      <c r="B514">
        <v>132.39094</v>
      </c>
      <c r="C514">
        <v>137.00483800000001</v>
      </c>
      <c r="D514">
        <v>141.46175700000001</v>
      </c>
      <c r="E514">
        <v>81.569760000000002</v>
      </c>
      <c r="F514">
        <v>54.155504000000001</v>
      </c>
      <c r="G514">
        <v>29.894697000000001</v>
      </c>
      <c r="H514">
        <v>32.420012</v>
      </c>
      <c r="I514"/>
      <c r="N514"/>
      <c r="O514"/>
      <c r="P514" s="1">
        <f t="shared" si="51"/>
        <v>135.34168089430892</v>
      </c>
      <c r="Q514" s="1">
        <f t="shared" si="52"/>
        <v>140.03248475609755</v>
      </c>
      <c r="R514" s="1">
        <f t="shared" si="53"/>
        <v>145.07423574997452</v>
      </c>
      <c r="S514" s="1">
        <f t="shared" si="54"/>
        <v>84.438022708674296</v>
      </c>
    </row>
    <row r="515" spans="1:19" x14ac:dyDescent="0.3">
      <c r="A515">
        <v>11818</v>
      </c>
      <c r="B515">
        <v>132.39094</v>
      </c>
      <c r="C515">
        <v>137.00483800000001</v>
      </c>
      <c r="D515">
        <v>141.46175700000001</v>
      </c>
      <c r="E515">
        <v>81.569760000000002</v>
      </c>
      <c r="F515">
        <v>54.155504000000001</v>
      </c>
      <c r="G515">
        <v>29.894697000000001</v>
      </c>
      <c r="H515">
        <v>32.420012</v>
      </c>
      <c r="I515" t="s">
        <v>56</v>
      </c>
      <c r="N515"/>
      <c r="O515"/>
      <c r="P515" s="1">
        <f t="shared" si="51"/>
        <v>135.34168089430892</v>
      </c>
      <c r="Q515" s="1">
        <f t="shared" si="52"/>
        <v>140.03248475609755</v>
      </c>
      <c r="R515" s="1">
        <f t="shared" si="53"/>
        <v>145.07423574997452</v>
      </c>
      <c r="S515" s="1">
        <f t="shared" si="54"/>
        <v>84.438022708674296</v>
      </c>
    </row>
    <row r="516" spans="1:19" x14ac:dyDescent="0.3">
      <c r="A516">
        <v>11818.2</v>
      </c>
      <c r="B516">
        <v>132.39998</v>
      </c>
      <c r="C516">
        <v>136.999517</v>
      </c>
      <c r="D516">
        <v>141.46015800000001</v>
      </c>
      <c r="E516">
        <v>81.612142000000006</v>
      </c>
      <c r="F516">
        <v>53.922801999999997</v>
      </c>
      <c r="G516">
        <v>29.913871</v>
      </c>
      <c r="H516">
        <v>32.422018000000001</v>
      </c>
      <c r="I516"/>
      <c r="N516"/>
      <c r="O516"/>
      <c r="P516" s="1">
        <f t="shared" si="51"/>
        <v>135.33721747967479</v>
      </c>
      <c r="Q516" s="1">
        <f t="shared" si="52"/>
        <v>140.03366666666668</v>
      </c>
      <c r="R516" s="1">
        <f t="shared" si="53"/>
        <v>145.08769858264506</v>
      </c>
      <c r="S516" s="1">
        <f t="shared" si="54"/>
        <v>84.336689852700488</v>
      </c>
    </row>
    <row r="517" spans="1:19" x14ac:dyDescent="0.3">
      <c r="A517">
        <v>11818.4</v>
      </c>
      <c r="B517">
        <v>132.39998</v>
      </c>
      <c r="C517">
        <v>136.999517</v>
      </c>
      <c r="D517">
        <v>141.46015800000001</v>
      </c>
      <c r="E517">
        <v>81.612142000000006</v>
      </c>
      <c r="F517">
        <v>53.922801999999997</v>
      </c>
      <c r="G517">
        <v>29.913871</v>
      </c>
      <c r="H517">
        <v>32.422018000000001</v>
      </c>
      <c r="I517"/>
      <c r="N517"/>
      <c r="O517"/>
      <c r="P517" s="1">
        <f t="shared" si="51"/>
        <v>135.33721747967479</v>
      </c>
      <c r="Q517" s="1">
        <f t="shared" si="52"/>
        <v>140.03366666666668</v>
      </c>
      <c r="R517" s="1">
        <f t="shared" si="53"/>
        <v>145.08769858264506</v>
      </c>
      <c r="S517" s="1">
        <f t="shared" si="54"/>
        <v>84.336689852700488</v>
      </c>
    </row>
    <row r="518" spans="1:19" x14ac:dyDescent="0.3">
      <c r="A518">
        <v>11818.6</v>
      </c>
      <c r="B518">
        <v>132.406407</v>
      </c>
      <c r="C518">
        <v>136.99064100000001</v>
      </c>
      <c r="D518">
        <v>141.43023400000001</v>
      </c>
      <c r="E518">
        <v>81.467758000000003</v>
      </c>
      <c r="F518">
        <v>53.898721999999999</v>
      </c>
      <c r="G518">
        <v>29.889119999999998</v>
      </c>
      <c r="H518">
        <v>32.426645000000001</v>
      </c>
      <c r="I518"/>
      <c r="N518"/>
      <c r="O518"/>
      <c r="P518" s="1">
        <f t="shared" si="51"/>
        <v>135.36294715447153</v>
      </c>
      <c r="Q518" s="1">
        <f t="shared" si="52"/>
        <v>140.02575508130079</v>
      </c>
      <c r="R518" s="1">
        <f t="shared" si="53"/>
        <v>145.07624247986132</v>
      </c>
      <c r="S518" s="1">
        <f t="shared" si="54"/>
        <v>84.255414279869072</v>
      </c>
    </row>
    <row r="519" spans="1:19" x14ac:dyDescent="0.3">
      <c r="A519">
        <v>11818.8</v>
      </c>
      <c r="B519">
        <v>132.406407</v>
      </c>
      <c r="C519">
        <v>136.99064100000001</v>
      </c>
      <c r="D519">
        <v>141.43023400000001</v>
      </c>
      <c r="E519">
        <v>81.467758000000003</v>
      </c>
      <c r="F519">
        <v>53.898721999999999</v>
      </c>
      <c r="G519">
        <v>29.889119999999998</v>
      </c>
      <c r="H519">
        <v>32.426645000000001</v>
      </c>
      <c r="I519"/>
      <c r="N519"/>
      <c r="O519"/>
      <c r="P519" s="1">
        <f t="shared" si="51"/>
        <v>135.36294715447153</v>
      </c>
      <c r="Q519" s="1">
        <f t="shared" si="52"/>
        <v>140.02575508130079</v>
      </c>
      <c r="R519" s="1">
        <f t="shared" si="53"/>
        <v>145.07624247986132</v>
      </c>
      <c r="S519" s="1">
        <f t="shared" si="54"/>
        <v>84.255414279869072</v>
      </c>
    </row>
    <row r="520" spans="1:19" x14ac:dyDescent="0.3">
      <c r="A520">
        <v>11819</v>
      </c>
      <c r="B520">
        <v>132.39778699999999</v>
      </c>
      <c r="C520">
        <v>136.98105100000001</v>
      </c>
      <c r="D520">
        <v>141.46560400000001</v>
      </c>
      <c r="E520">
        <v>81.536950000000004</v>
      </c>
      <c r="F520">
        <v>53.502837</v>
      </c>
      <c r="G520">
        <v>29.904101000000001</v>
      </c>
      <c r="H520">
        <v>32.442528000000003</v>
      </c>
      <c r="I520" t="s">
        <v>56</v>
      </c>
      <c r="N520"/>
      <c r="O520"/>
      <c r="P520" s="1">
        <f t="shared" si="51"/>
        <v>135.35682621951219</v>
      </c>
      <c r="Q520" s="1">
        <f t="shared" si="52"/>
        <v>140.01842378048778</v>
      </c>
      <c r="R520" s="1">
        <f t="shared" si="53"/>
        <v>145.0788283878862</v>
      </c>
      <c r="S520" s="1">
        <f t="shared" si="54"/>
        <v>84.369575490998358</v>
      </c>
    </row>
    <row r="521" spans="1:19" x14ac:dyDescent="0.3">
      <c r="A521">
        <v>11819.2</v>
      </c>
      <c r="B521">
        <v>132.39778699999999</v>
      </c>
      <c r="C521">
        <v>136.98105100000001</v>
      </c>
      <c r="D521">
        <v>141.46560400000001</v>
      </c>
      <c r="E521">
        <v>81.536950000000004</v>
      </c>
      <c r="F521">
        <v>53.502837</v>
      </c>
      <c r="G521">
        <v>29.904101000000001</v>
      </c>
      <c r="H521">
        <v>32.442528000000003</v>
      </c>
      <c r="I521"/>
      <c r="N521"/>
      <c r="O521"/>
      <c r="P521" s="1">
        <f t="shared" si="51"/>
        <v>135.35682621951219</v>
      </c>
      <c r="Q521" s="1">
        <f t="shared" si="52"/>
        <v>140.01842378048778</v>
      </c>
      <c r="R521" s="1">
        <f t="shared" si="53"/>
        <v>145.0788283878862</v>
      </c>
      <c r="S521" s="1">
        <f t="shared" si="54"/>
        <v>84.369575490998358</v>
      </c>
    </row>
    <row r="522" spans="1:19" x14ac:dyDescent="0.3">
      <c r="A522">
        <v>11819.4</v>
      </c>
      <c r="B522">
        <v>132.37988999999999</v>
      </c>
      <c r="C522">
        <v>136.99768499999999</v>
      </c>
      <c r="D522">
        <v>141.44628900000001</v>
      </c>
      <c r="E522">
        <v>81.524981999999994</v>
      </c>
      <c r="F522">
        <v>53.789251999999998</v>
      </c>
      <c r="G522">
        <v>29.900182999999998</v>
      </c>
      <c r="H522">
        <v>32.430878999999997</v>
      </c>
      <c r="I522"/>
      <c r="N522"/>
      <c r="O522"/>
      <c r="P522" s="1">
        <f t="shared" si="51"/>
        <v>135.36160162601624</v>
      </c>
      <c r="Q522" s="1">
        <f t="shared" si="52"/>
        <v>140.02865243902437</v>
      </c>
      <c r="R522" s="1">
        <f t="shared" si="53"/>
        <v>145.05410828999695</v>
      </c>
      <c r="S522" s="1">
        <f t="shared" si="54"/>
        <v>84.46066796235678</v>
      </c>
    </row>
    <row r="523" spans="1:19" x14ac:dyDescent="0.3">
      <c r="A523">
        <v>11819.6</v>
      </c>
      <c r="B523">
        <v>132.37988999999999</v>
      </c>
      <c r="C523">
        <v>136.99768499999999</v>
      </c>
      <c r="D523">
        <v>141.44628900000001</v>
      </c>
      <c r="E523">
        <v>81.524981999999994</v>
      </c>
      <c r="F523">
        <v>53.789251999999998</v>
      </c>
      <c r="G523">
        <v>29.900182999999998</v>
      </c>
      <c r="H523">
        <v>32.430878999999997</v>
      </c>
      <c r="I523"/>
      <c r="N523"/>
      <c r="O523"/>
      <c r="P523" s="1">
        <f t="shared" si="51"/>
        <v>135.36160162601624</v>
      </c>
      <c r="Q523" s="1">
        <f t="shared" si="52"/>
        <v>140.02865243902437</v>
      </c>
      <c r="R523" s="1">
        <f t="shared" si="53"/>
        <v>145.05410828999695</v>
      </c>
      <c r="S523" s="1">
        <f t="shared" si="54"/>
        <v>84.46066796235678</v>
      </c>
    </row>
    <row r="524" spans="1:19" x14ac:dyDescent="0.3">
      <c r="A524">
        <v>11819.8</v>
      </c>
      <c r="B524">
        <v>132.360918</v>
      </c>
      <c r="C524">
        <v>136.982573</v>
      </c>
      <c r="D524">
        <v>141.44512</v>
      </c>
      <c r="E524">
        <v>81.560383000000002</v>
      </c>
      <c r="F524">
        <v>53.547516000000002</v>
      </c>
      <c r="G524">
        <v>29.897925000000001</v>
      </c>
      <c r="H524">
        <v>32.426985000000002</v>
      </c>
      <c r="I524"/>
      <c r="N524"/>
      <c r="O524"/>
      <c r="P524" s="1">
        <f t="shared" si="51"/>
        <v>135.33902032520325</v>
      </c>
      <c r="Q524" s="1">
        <f t="shared" si="52"/>
        <v>140.03004674796745</v>
      </c>
      <c r="R524" s="1">
        <f t="shared" si="53"/>
        <v>145.06825532782707</v>
      </c>
      <c r="S524" s="1">
        <f t="shared" si="54"/>
        <v>84.410895049099821</v>
      </c>
    </row>
    <row r="525" spans="1:19" x14ac:dyDescent="0.3">
      <c r="A525">
        <v>12469</v>
      </c>
      <c r="B525">
        <v>142.59996699999999</v>
      </c>
      <c r="C525">
        <v>147.94675599999999</v>
      </c>
      <c r="D525">
        <v>153.00358399999999</v>
      </c>
      <c r="E525">
        <v>84.605891999999997</v>
      </c>
      <c r="F525">
        <v>55.390729</v>
      </c>
      <c r="G525">
        <v>29.948291000000001</v>
      </c>
      <c r="H525">
        <v>32.827330000000003</v>
      </c>
      <c r="I525" t="s">
        <v>56</v>
      </c>
      <c r="N525"/>
      <c r="O525"/>
      <c r="P525" s="1">
        <f t="shared" si="51"/>
        <v>135.33902032520325</v>
      </c>
      <c r="Q525" s="1">
        <f t="shared" si="52"/>
        <v>140.03004674796745</v>
      </c>
      <c r="R525" s="1">
        <f t="shared" si="53"/>
        <v>145.06825532782707</v>
      </c>
      <c r="S525" s="1">
        <f t="shared" si="54"/>
        <v>84.410895049099821</v>
      </c>
    </row>
    <row r="526" spans="1:19" x14ac:dyDescent="0.3">
      <c r="A526">
        <v>12469.2</v>
      </c>
      <c r="B526">
        <v>142.59996699999999</v>
      </c>
      <c r="C526">
        <v>147.94675599999999</v>
      </c>
      <c r="D526">
        <v>153.00358399999999</v>
      </c>
      <c r="E526">
        <v>84.605891999999997</v>
      </c>
      <c r="F526">
        <v>55.390729</v>
      </c>
      <c r="G526">
        <v>29.948291000000001</v>
      </c>
      <c r="H526">
        <v>32.827330000000003</v>
      </c>
      <c r="I526"/>
      <c r="N526"/>
      <c r="O526"/>
      <c r="P526" s="1">
        <f t="shared" si="51"/>
        <v>135.33864227642275</v>
      </c>
      <c r="Q526" s="1">
        <f t="shared" si="52"/>
        <v>140.03698678861787</v>
      </c>
      <c r="R526" s="1">
        <f t="shared" si="53"/>
        <v>145.0723625981442</v>
      </c>
      <c r="S526" s="1">
        <f t="shared" si="54"/>
        <v>84.424052782324054</v>
      </c>
    </row>
    <row r="527" spans="1:19" x14ac:dyDescent="0.3">
      <c r="A527">
        <v>12469.4</v>
      </c>
      <c r="B527">
        <v>142.61787899999999</v>
      </c>
      <c r="C527">
        <v>147.921547</v>
      </c>
      <c r="D527">
        <v>153.016863</v>
      </c>
      <c r="E527">
        <v>84.453851999999998</v>
      </c>
      <c r="F527">
        <v>54.952683</v>
      </c>
      <c r="G527">
        <v>29.952797</v>
      </c>
      <c r="H527">
        <v>32.828307000000002</v>
      </c>
      <c r="I527"/>
      <c r="N527"/>
      <c r="O527"/>
      <c r="P527" s="1">
        <f t="shared" si="51"/>
        <v>135.33864227642275</v>
      </c>
      <c r="Q527" s="1">
        <f t="shared" si="52"/>
        <v>140.03698678861787</v>
      </c>
      <c r="R527" s="1">
        <f t="shared" si="53"/>
        <v>145.0723625981442</v>
      </c>
      <c r="S527" s="1">
        <f t="shared" si="54"/>
        <v>84.424052782324054</v>
      </c>
    </row>
    <row r="528" spans="1:19" x14ac:dyDescent="0.3">
      <c r="A528">
        <v>12469.6</v>
      </c>
      <c r="B528">
        <v>142.61787899999999</v>
      </c>
      <c r="C528">
        <v>147.921547</v>
      </c>
      <c r="D528">
        <v>153.016863</v>
      </c>
      <c r="E528">
        <v>84.453851999999998</v>
      </c>
      <c r="F528">
        <v>54.952683</v>
      </c>
      <c r="G528">
        <v>29.952797</v>
      </c>
      <c r="H528">
        <v>32.828307000000002</v>
      </c>
      <c r="I528"/>
      <c r="N528"/>
      <c r="O528"/>
      <c r="P528" s="1">
        <f t="shared" si="51"/>
        <v>135.35497459349591</v>
      </c>
      <c r="Q528" s="1">
        <f t="shared" si="52"/>
        <v>140.04607723577237</v>
      </c>
      <c r="R528" s="1">
        <f t="shared" si="53"/>
        <v>145.07059243397575</v>
      </c>
      <c r="S528" s="1">
        <f t="shared" si="54"/>
        <v>84.381983428805242</v>
      </c>
    </row>
    <row r="529" spans="1:19" x14ac:dyDescent="0.3">
      <c r="A529">
        <v>12469.8</v>
      </c>
      <c r="B529">
        <v>142.608698</v>
      </c>
      <c r="C529">
        <v>147.921198</v>
      </c>
      <c r="D529">
        <v>153.015816</v>
      </c>
      <c r="E529">
        <v>84.391620000000003</v>
      </c>
      <c r="F529">
        <v>55.123624</v>
      </c>
      <c r="G529">
        <v>29.943511999999998</v>
      </c>
      <c r="H529">
        <v>32.826315000000001</v>
      </c>
      <c r="I529"/>
      <c r="N529"/>
      <c r="O529"/>
      <c r="P529" s="1">
        <f t="shared" si="51"/>
        <v>135.35497459349591</v>
      </c>
      <c r="Q529" s="1">
        <f t="shared" si="52"/>
        <v>140.04607723577237</v>
      </c>
      <c r="R529" s="1">
        <f t="shared" si="53"/>
        <v>145.07059243397575</v>
      </c>
      <c r="S529" s="1">
        <f t="shared" si="54"/>
        <v>84.381983428805242</v>
      </c>
    </row>
    <row r="530" spans="1:19" x14ac:dyDescent="0.3">
      <c r="A530">
        <v>12470</v>
      </c>
      <c r="B530">
        <v>142.608698</v>
      </c>
      <c r="C530">
        <v>147.921198</v>
      </c>
      <c r="D530">
        <v>153.015816</v>
      </c>
      <c r="E530">
        <v>84.391620000000003</v>
      </c>
      <c r="F530">
        <v>55.123624</v>
      </c>
      <c r="G530">
        <v>29.943511999999998</v>
      </c>
      <c r="H530">
        <v>32.826315000000001</v>
      </c>
      <c r="I530" t="s">
        <v>56</v>
      </c>
      <c r="N530"/>
      <c r="O530"/>
      <c r="P530" s="1">
        <f t="shared" si="51"/>
        <v>135.36054674796748</v>
      </c>
      <c r="Q530" s="1">
        <f t="shared" si="52"/>
        <v>140.00516260162601</v>
      </c>
      <c r="R530" s="1">
        <f t="shared" si="53"/>
        <v>145.05942388090142</v>
      </c>
      <c r="S530" s="1">
        <f t="shared" si="54"/>
        <v>84.384209288052375</v>
      </c>
    </row>
    <row r="531" spans="1:19" x14ac:dyDescent="0.3">
      <c r="A531">
        <v>12470.2</v>
      </c>
      <c r="B531">
        <v>142.595887</v>
      </c>
      <c r="C531">
        <v>147.93892099999999</v>
      </c>
      <c r="D531">
        <v>153.02766</v>
      </c>
      <c r="E531">
        <v>84.495204000000001</v>
      </c>
      <c r="F531">
        <v>55.668709</v>
      </c>
      <c r="G531">
        <v>29.955513</v>
      </c>
      <c r="H531">
        <v>32.805459999999997</v>
      </c>
      <c r="I531"/>
      <c r="N531"/>
      <c r="O531"/>
      <c r="P531" s="1">
        <f t="shared" si="51"/>
        <v>135.36054674796748</v>
      </c>
      <c r="Q531" s="1">
        <f t="shared" si="52"/>
        <v>140.00516260162601</v>
      </c>
      <c r="R531" s="1">
        <f t="shared" si="53"/>
        <v>145.05942388090142</v>
      </c>
      <c r="S531" s="1">
        <f t="shared" si="54"/>
        <v>84.384209288052375</v>
      </c>
    </row>
    <row r="532" spans="1:19" x14ac:dyDescent="0.3">
      <c r="A532">
        <v>12470.4</v>
      </c>
      <c r="B532">
        <v>142.595887</v>
      </c>
      <c r="C532">
        <v>147.93892099999999</v>
      </c>
      <c r="D532">
        <v>153.02766</v>
      </c>
      <c r="E532">
        <v>84.495204000000001</v>
      </c>
      <c r="F532">
        <v>55.668709</v>
      </c>
      <c r="G532">
        <v>29.955513</v>
      </c>
      <c r="H532">
        <v>32.805459999999997</v>
      </c>
      <c r="I532"/>
      <c r="N532"/>
      <c r="O532"/>
      <c r="P532" s="1">
        <f t="shared" si="51"/>
        <v>135.34292682926829</v>
      </c>
      <c r="Q532" s="1">
        <f t="shared" si="52"/>
        <v>140.03184756097562</v>
      </c>
      <c r="R532" s="1">
        <f t="shared" si="53"/>
        <v>145.07194554909759</v>
      </c>
      <c r="S532" s="1">
        <f t="shared" si="54"/>
        <v>84.383756137479537</v>
      </c>
    </row>
    <row r="533" spans="1:19" x14ac:dyDescent="0.3">
      <c r="A533">
        <v>12470.6</v>
      </c>
      <c r="B533">
        <v>142.60646499999999</v>
      </c>
      <c r="C533">
        <v>147.946978</v>
      </c>
      <c r="D533">
        <v>153.00147799999999</v>
      </c>
      <c r="E533">
        <v>84.365694000000005</v>
      </c>
      <c r="F533">
        <v>55.813037000000001</v>
      </c>
      <c r="G533">
        <v>29.946020000000001</v>
      </c>
      <c r="H533">
        <v>32.816391000000003</v>
      </c>
      <c r="I533"/>
      <c r="N533"/>
      <c r="O533"/>
      <c r="P533" s="1">
        <f t="shared" si="51"/>
        <v>135.34292682926829</v>
      </c>
      <c r="Q533" s="1">
        <f t="shared" si="52"/>
        <v>140.03184756097562</v>
      </c>
      <c r="R533" s="1">
        <f t="shared" si="53"/>
        <v>145.07194554909759</v>
      </c>
      <c r="S533" s="1">
        <f t="shared" si="54"/>
        <v>84.383756137479537</v>
      </c>
    </row>
    <row r="534" spans="1:19" x14ac:dyDescent="0.3">
      <c r="A534">
        <v>12470.8</v>
      </c>
      <c r="B534">
        <v>142.60646499999999</v>
      </c>
      <c r="C534">
        <v>147.946978</v>
      </c>
      <c r="D534">
        <v>153.00147799999999</v>
      </c>
      <c r="E534">
        <v>84.365694000000005</v>
      </c>
      <c r="F534">
        <v>55.813037000000001</v>
      </c>
      <c r="G534">
        <v>29.946020000000001</v>
      </c>
      <c r="H534">
        <v>32.816391000000003</v>
      </c>
      <c r="I534"/>
      <c r="N534"/>
      <c r="O534"/>
      <c r="P534" s="1">
        <f t="shared" si="51"/>
        <v>135.3521138211382</v>
      </c>
      <c r="Q534" s="1">
        <f t="shared" si="52"/>
        <v>140.02644004065039</v>
      </c>
      <c r="R534" s="1">
        <f t="shared" si="53"/>
        <v>145.07031508106456</v>
      </c>
      <c r="S534" s="1">
        <f t="shared" si="54"/>
        <v>84.427109247135846</v>
      </c>
    </row>
    <row r="535" spans="1:19" x14ac:dyDescent="0.3">
      <c r="A535">
        <v>12471</v>
      </c>
      <c r="B535">
        <v>142.59801999999999</v>
      </c>
      <c r="C535">
        <v>147.95741100000001</v>
      </c>
      <c r="D535">
        <v>153.02770100000001</v>
      </c>
      <c r="E535">
        <v>84.362031999999999</v>
      </c>
      <c r="F535">
        <v>55.980124000000004</v>
      </c>
      <c r="G535">
        <v>29.947769999999998</v>
      </c>
      <c r="H535">
        <v>32.813915000000001</v>
      </c>
      <c r="I535" t="s">
        <v>56</v>
      </c>
      <c r="N535"/>
      <c r="O535"/>
      <c r="P535" s="1">
        <f t="shared" si="51"/>
        <v>135.3521138211382</v>
      </c>
      <c r="Q535" s="1">
        <f t="shared" si="52"/>
        <v>140.02644004065039</v>
      </c>
      <c r="R535" s="1">
        <f t="shared" si="53"/>
        <v>145.07031508106456</v>
      </c>
      <c r="S535" s="1">
        <f t="shared" si="54"/>
        <v>84.427109247135846</v>
      </c>
    </row>
    <row r="536" spans="1:19" x14ac:dyDescent="0.3">
      <c r="A536">
        <v>12471.2</v>
      </c>
      <c r="B536">
        <v>142.59801999999999</v>
      </c>
      <c r="C536">
        <v>147.95741100000001</v>
      </c>
      <c r="D536">
        <v>153.02770100000001</v>
      </c>
      <c r="E536">
        <v>84.362031999999999</v>
      </c>
      <c r="F536">
        <v>55.980124000000004</v>
      </c>
      <c r="G536">
        <v>29.947769999999998</v>
      </c>
      <c r="H536">
        <v>32.813915000000001</v>
      </c>
      <c r="I536"/>
      <c r="N536"/>
      <c r="O536"/>
      <c r="P536" s="1">
        <f t="shared" si="51"/>
        <v>135.35864532520324</v>
      </c>
      <c r="Q536" s="1">
        <f t="shared" si="52"/>
        <v>140.01741971544715</v>
      </c>
      <c r="R536" s="1">
        <f t="shared" si="53"/>
        <v>145.03980218211484</v>
      </c>
      <c r="S536" s="1">
        <f t="shared" si="54"/>
        <v>84.279416939443536</v>
      </c>
    </row>
    <row r="537" spans="1:19" x14ac:dyDescent="0.3">
      <c r="A537">
        <v>12471.4</v>
      </c>
      <c r="B537">
        <v>142.60502</v>
      </c>
      <c r="C537">
        <v>147.92871199999999</v>
      </c>
      <c r="D537">
        <v>152.995609</v>
      </c>
      <c r="E537">
        <v>84.510294999999999</v>
      </c>
      <c r="F537">
        <v>55.525866000000001</v>
      </c>
      <c r="G537">
        <v>29.937349000000001</v>
      </c>
      <c r="H537">
        <v>32.828843999999997</v>
      </c>
      <c r="I537"/>
      <c r="N537"/>
      <c r="O537"/>
      <c r="P537" s="1">
        <f t="shared" si="51"/>
        <v>135.35864532520324</v>
      </c>
      <c r="Q537" s="1">
        <f t="shared" si="52"/>
        <v>140.01741971544715</v>
      </c>
      <c r="R537" s="1">
        <f t="shared" si="53"/>
        <v>145.03980218211484</v>
      </c>
      <c r="S537" s="1">
        <f t="shared" si="54"/>
        <v>84.279416939443536</v>
      </c>
    </row>
    <row r="538" spans="1:19" x14ac:dyDescent="0.3">
      <c r="A538">
        <v>12471.6</v>
      </c>
      <c r="B538">
        <v>142.60502</v>
      </c>
      <c r="C538">
        <v>147.92871199999999</v>
      </c>
      <c r="D538">
        <v>152.995609</v>
      </c>
      <c r="E538">
        <v>84.510294999999999</v>
      </c>
      <c r="F538">
        <v>55.525866000000001</v>
      </c>
      <c r="G538">
        <v>29.937349000000001</v>
      </c>
      <c r="H538">
        <v>32.828843999999997</v>
      </c>
      <c r="I538"/>
      <c r="N538"/>
      <c r="O538"/>
      <c r="P538" s="1">
        <f t="shared" si="51"/>
        <v>135.34988516260162</v>
      </c>
      <c r="Q538" s="1">
        <f t="shared" si="52"/>
        <v>140.00767378048781</v>
      </c>
      <c r="R538" s="1">
        <f t="shared" si="53"/>
        <v>145.0758682573672</v>
      </c>
      <c r="S538" s="1">
        <f t="shared" si="54"/>
        <v>84.35019435351883</v>
      </c>
    </row>
    <row r="539" spans="1:19" x14ac:dyDescent="0.3">
      <c r="A539">
        <v>12471.8</v>
      </c>
      <c r="B539">
        <v>142.610455</v>
      </c>
      <c r="C539">
        <v>147.926467</v>
      </c>
      <c r="D539">
        <v>153.00686999999999</v>
      </c>
      <c r="E539">
        <v>84.399595000000005</v>
      </c>
      <c r="F539">
        <v>56.134763999999997</v>
      </c>
      <c r="G539">
        <v>29.954485999999999</v>
      </c>
      <c r="H539">
        <v>32.835619000000001</v>
      </c>
      <c r="I539"/>
      <c r="N539"/>
      <c r="O539"/>
      <c r="P539" s="1">
        <f t="shared" si="51"/>
        <v>135.34988516260162</v>
      </c>
      <c r="Q539" s="1">
        <f t="shared" si="52"/>
        <v>140.00767378048781</v>
      </c>
      <c r="R539" s="1">
        <f t="shared" si="53"/>
        <v>145.0758682573672</v>
      </c>
      <c r="S539" s="1">
        <f t="shared" si="54"/>
        <v>84.35019435351883</v>
      </c>
    </row>
    <row r="540" spans="1:19" x14ac:dyDescent="0.3">
      <c r="A540">
        <v>12472</v>
      </c>
      <c r="B540">
        <v>142.610455</v>
      </c>
      <c r="C540">
        <v>147.926467</v>
      </c>
      <c r="D540">
        <v>153.00686999999999</v>
      </c>
      <c r="E540">
        <v>84.399595000000005</v>
      </c>
      <c r="F540">
        <v>56.134763999999997</v>
      </c>
      <c r="G540">
        <v>29.954485999999999</v>
      </c>
      <c r="H540">
        <v>32.835619000000001</v>
      </c>
      <c r="I540" t="s">
        <v>56</v>
      </c>
      <c r="N540"/>
      <c r="O540"/>
      <c r="P540" s="1">
        <f t="shared" si="51"/>
        <v>135.33169715447153</v>
      </c>
      <c r="Q540" s="1">
        <f t="shared" si="52"/>
        <v>140.02457825203251</v>
      </c>
      <c r="R540" s="1">
        <f t="shared" si="53"/>
        <v>145.05617314163354</v>
      </c>
      <c r="S540" s="1">
        <f t="shared" si="54"/>
        <v>84.337952127659563</v>
      </c>
    </row>
    <row r="541" spans="1:19" x14ac:dyDescent="0.3">
      <c r="A541">
        <v>12472.2</v>
      </c>
      <c r="B541">
        <v>142.60775899999999</v>
      </c>
      <c r="C541">
        <v>147.93006299999999</v>
      </c>
      <c r="D541">
        <v>152.994395</v>
      </c>
      <c r="E541">
        <v>84.406412000000003</v>
      </c>
      <c r="F541">
        <v>56.101852000000001</v>
      </c>
      <c r="G541">
        <v>29.943681999999999</v>
      </c>
      <c r="H541">
        <v>32.843131999999997</v>
      </c>
      <c r="I541"/>
      <c r="N541"/>
      <c r="O541"/>
      <c r="P541" s="1">
        <f t="shared" si="51"/>
        <v>135.33169715447153</v>
      </c>
      <c r="Q541" s="1">
        <f t="shared" si="52"/>
        <v>140.02457825203251</v>
      </c>
      <c r="R541" s="1">
        <f t="shared" si="53"/>
        <v>145.05617314163354</v>
      </c>
      <c r="S541" s="1">
        <f t="shared" si="54"/>
        <v>84.337952127659563</v>
      </c>
    </row>
    <row r="542" spans="1:19" x14ac:dyDescent="0.3">
      <c r="A542">
        <v>12472.4</v>
      </c>
      <c r="B542">
        <v>142.60775899999999</v>
      </c>
      <c r="C542">
        <v>147.93006299999999</v>
      </c>
      <c r="D542">
        <v>152.994395</v>
      </c>
      <c r="E542">
        <v>84.406412000000003</v>
      </c>
      <c r="F542">
        <v>56.101852000000001</v>
      </c>
      <c r="G542">
        <v>29.943681999999999</v>
      </c>
      <c r="H542">
        <v>32.843131999999997</v>
      </c>
      <c r="I542"/>
      <c r="N542"/>
      <c r="O542"/>
      <c r="P542" s="1">
        <f t="shared" si="51"/>
        <v>135.31241666666665</v>
      </c>
      <c r="Q542" s="1">
        <f t="shared" si="52"/>
        <v>140.00922052845527</v>
      </c>
      <c r="R542" s="1">
        <f t="shared" si="53"/>
        <v>145.05498113592333</v>
      </c>
      <c r="S542" s="1">
        <f t="shared" si="54"/>
        <v>84.374164279869063</v>
      </c>
    </row>
    <row r="543" spans="1:19" x14ac:dyDescent="0.3">
      <c r="A543">
        <v>12472.6</v>
      </c>
      <c r="B543">
        <v>142.61116999999999</v>
      </c>
      <c r="C543">
        <v>147.92204599999999</v>
      </c>
      <c r="D543">
        <v>153.011774</v>
      </c>
      <c r="E543">
        <v>84.559511999999998</v>
      </c>
      <c r="F543">
        <v>55.955537999999997</v>
      </c>
      <c r="G543">
        <v>29.942705</v>
      </c>
      <c r="H543">
        <v>32.814726</v>
      </c>
      <c r="I543"/>
      <c r="N543"/>
      <c r="O543"/>
      <c r="P543" s="1">
        <f t="shared" si="51"/>
        <v>145.71795426829266</v>
      </c>
      <c r="Q543" s="1">
        <f t="shared" si="52"/>
        <v>151.15168292682927</v>
      </c>
      <c r="R543" s="1">
        <f t="shared" si="53"/>
        <v>156.84091363311919</v>
      </c>
      <c r="S543" s="1">
        <f t="shared" si="54"/>
        <v>87.489455810147291</v>
      </c>
    </row>
    <row r="544" spans="1:19" x14ac:dyDescent="0.3">
      <c r="A544">
        <v>12472.8</v>
      </c>
      <c r="B544">
        <v>142.61116999999999</v>
      </c>
      <c r="C544">
        <v>147.92204599999999</v>
      </c>
      <c r="D544">
        <v>153.011774</v>
      </c>
      <c r="E544">
        <v>84.559511999999998</v>
      </c>
      <c r="F544">
        <v>55.955537999999997</v>
      </c>
      <c r="G544">
        <v>29.942705</v>
      </c>
      <c r="H544">
        <v>32.814726</v>
      </c>
      <c r="I544"/>
      <c r="N544"/>
      <c r="O544"/>
      <c r="P544" s="1">
        <f t="shared" si="51"/>
        <v>145.71795426829266</v>
      </c>
      <c r="Q544" s="1">
        <f t="shared" si="52"/>
        <v>151.15168292682927</v>
      </c>
      <c r="R544" s="1">
        <f t="shared" si="53"/>
        <v>156.84091363311919</v>
      </c>
      <c r="S544" s="1">
        <f t="shared" si="54"/>
        <v>87.489455810147291</v>
      </c>
    </row>
    <row r="545" spans="1:19" x14ac:dyDescent="0.3">
      <c r="A545">
        <v>12473</v>
      </c>
      <c r="B545">
        <v>142.618054</v>
      </c>
      <c r="C545">
        <v>147.92709500000001</v>
      </c>
      <c r="D545">
        <v>153.010289</v>
      </c>
      <c r="E545">
        <v>84.607195000000004</v>
      </c>
      <c r="F545">
        <v>55.376593</v>
      </c>
      <c r="G545">
        <v>29.951796999999999</v>
      </c>
      <c r="H545">
        <v>32.816054999999999</v>
      </c>
      <c r="I545" t="s">
        <v>56</v>
      </c>
      <c r="N545"/>
      <c r="O545"/>
      <c r="P545" s="1">
        <f t="shared" si="51"/>
        <v>145.73615752032518</v>
      </c>
      <c r="Q545" s="1">
        <f t="shared" si="52"/>
        <v>151.12606402439025</v>
      </c>
      <c r="R545" s="1">
        <f t="shared" si="53"/>
        <v>156.8544539614561</v>
      </c>
      <c r="S545" s="1">
        <f t="shared" si="54"/>
        <v>87.333932078559727</v>
      </c>
    </row>
    <row r="546" spans="1:19" x14ac:dyDescent="0.3">
      <c r="A546">
        <v>12473.2</v>
      </c>
      <c r="B546">
        <v>142.618054</v>
      </c>
      <c r="C546">
        <v>147.92709500000001</v>
      </c>
      <c r="D546">
        <v>153.010289</v>
      </c>
      <c r="E546">
        <v>84.607195000000004</v>
      </c>
      <c r="F546">
        <v>55.376593</v>
      </c>
      <c r="G546">
        <v>29.951796999999999</v>
      </c>
      <c r="H546">
        <v>32.816054999999999</v>
      </c>
      <c r="I546"/>
      <c r="N546"/>
      <c r="O546"/>
      <c r="P546" s="1">
        <f t="shared" si="51"/>
        <v>145.73615752032518</v>
      </c>
      <c r="Q546" s="1">
        <f t="shared" si="52"/>
        <v>151.12606402439025</v>
      </c>
      <c r="R546" s="1">
        <f t="shared" si="53"/>
        <v>156.8544539614561</v>
      </c>
      <c r="S546" s="1">
        <f t="shared" si="54"/>
        <v>87.333932078559727</v>
      </c>
    </row>
    <row r="547" spans="1:19" x14ac:dyDescent="0.3">
      <c r="A547">
        <v>12473.4</v>
      </c>
      <c r="B547">
        <v>142.59257500000001</v>
      </c>
      <c r="C547">
        <v>147.92415</v>
      </c>
      <c r="D547">
        <v>153.019689</v>
      </c>
      <c r="E547">
        <v>84.630606999999998</v>
      </c>
      <c r="F547">
        <v>55.051053000000003</v>
      </c>
      <c r="G547">
        <v>29.951402999999999</v>
      </c>
      <c r="H547">
        <v>32.841687</v>
      </c>
      <c r="I547"/>
      <c r="N547"/>
      <c r="O547"/>
      <c r="P547" s="1">
        <f t="shared" si="51"/>
        <v>145.72682723577236</v>
      </c>
      <c r="Q547" s="1">
        <f t="shared" si="52"/>
        <v>151.12570934959348</v>
      </c>
      <c r="R547" s="1">
        <f t="shared" si="53"/>
        <v>156.85338635668401</v>
      </c>
      <c r="S547" s="1">
        <f t="shared" si="54"/>
        <v>87.270274140752861</v>
      </c>
    </row>
    <row r="548" spans="1:19" x14ac:dyDescent="0.3">
      <c r="A548">
        <v>12473.6</v>
      </c>
      <c r="B548">
        <v>142.59257500000001</v>
      </c>
      <c r="C548">
        <v>147.92415</v>
      </c>
      <c r="D548">
        <v>153.019689</v>
      </c>
      <c r="E548">
        <v>84.630606999999998</v>
      </c>
      <c r="F548">
        <v>55.051053000000003</v>
      </c>
      <c r="G548">
        <v>29.951402999999999</v>
      </c>
      <c r="H548">
        <v>32.841687</v>
      </c>
      <c r="I548"/>
      <c r="N548"/>
      <c r="O548"/>
      <c r="P548" s="1">
        <f t="shared" si="51"/>
        <v>145.72682723577236</v>
      </c>
      <c r="Q548" s="1">
        <f t="shared" si="52"/>
        <v>151.12570934959348</v>
      </c>
      <c r="R548" s="1">
        <f t="shared" si="53"/>
        <v>156.85338635668401</v>
      </c>
      <c r="S548" s="1">
        <f t="shared" si="54"/>
        <v>87.270274140752861</v>
      </c>
    </row>
    <row r="549" spans="1:19" x14ac:dyDescent="0.3">
      <c r="A549">
        <v>12473.8</v>
      </c>
      <c r="B549">
        <v>142.589562</v>
      </c>
      <c r="C549">
        <v>147.94190800000001</v>
      </c>
      <c r="D549">
        <v>153.021095</v>
      </c>
      <c r="E549">
        <v>84.539113999999998</v>
      </c>
      <c r="F549">
        <v>55.219765000000002</v>
      </c>
      <c r="G549">
        <v>29.943894</v>
      </c>
      <c r="H549">
        <v>32.835839999999997</v>
      </c>
      <c r="I549"/>
      <c r="N549"/>
      <c r="O549"/>
      <c r="P549" s="1">
        <f t="shared" si="51"/>
        <v>145.71380792682928</v>
      </c>
      <c r="Q549" s="1">
        <f t="shared" si="52"/>
        <v>151.14372052845528</v>
      </c>
      <c r="R549" s="1">
        <f t="shared" si="53"/>
        <v>156.86546344447845</v>
      </c>
      <c r="S549" s="1">
        <f t="shared" si="54"/>
        <v>87.376231587561378</v>
      </c>
    </row>
    <row r="550" spans="1:19" x14ac:dyDescent="0.3">
      <c r="A550">
        <v>12474</v>
      </c>
      <c r="B550">
        <v>142.589562</v>
      </c>
      <c r="C550">
        <v>147.94190800000001</v>
      </c>
      <c r="D550">
        <v>153.021095</v>
      </c>
      <c r="E550">
        <v>84.539113999999998</v>
      </c>
      <c r="F550">
        <v>55.219765000000002</v>
      </c>
      <c r="G550">
        <v>29.943894</v>
      </c>
      <c r="H550">
        <v>32.835839999999997</v>
      </c>
      <c r="I550" t="s">
        <v>56</v>
      </c>
      <c r="N550"/>
      <c r="O550"/>
      <c r="P550" s="1">
        <f t="shared" si="51"/>
        <v>145.71380792682928</v>
      </c>
      <c r="Q550" s="1">
        <f t="shared" si="52"/>
        <v>151.14372052845528</v>
      </c>
      <c r="R550" s="1">
        <f t="shared" si="53"/>
        <v>156.86546344447845</v>
      </c>
      <c r="S550" s="1">
        <f t="shared" si="54"/>
        <v>87.376231587561378</v>
      </c>
    </row>
    <row r="551" spans="1:19" x14ac:dyDescent="0.3">
      <c r="A551">
        <v>12474.2</v>
      </c>
      <c r="B551">
        <v>142.61771899999999</v>
      </c>
      <c r="C551">
        <v>147.934932</v>
      </c>
      <c r="D551">
        <v>153.04463200000001</v>
      </c>
      <c r="E551">
        <v>84.527929</v>
      </c>
      <c r="F551">
        <v>55.543143000000001</v>
      </c>
      <c r="G551">
        <v>29.944507000000002</v>
      </c>
      <c r="H551">
        <v>32.811365000000002</v>
      </c>
      <c r="I551"/>
      <c r="N551"/>
      <c r="O551"/>
      <c r="P551" s="1">
        <f t="shared" si="51"/>
        <v>145.72455792682925</v>
      </c>
      <c r="Q551" s="1">
        <f t="shared" si="52"/>
        <v>151.15190853658535</v>
      </c>
      <c r="R551" s="1">
        <f t="shared" si="53"/>
        <v>156.83876618741715</v>
      </c>
      <c r="S551" s="1">
        <f t="shared" si="54"/>
        <v>87.243754091653031</v>
      </c>
    </row>
    <row r="552" spans="1:19" x14ac:dyDescent="0.3">
      <c r="A552">
        <v>12474.4</v>
      </c>
      <c r="B552">
        <v>142.61771899999999</v>
      </c>
      <c r="C552">
        <v>147.934932</v>
      </c>
      <c r="D552">
        <v>153.04463200000001</v>
      </c>
      <c r="E552">
        <v>84.527929</v>
      </c>
      <c r="F552">
        <v>55.543143000000001</v>
      </c>
      <c r="G552">
        <v>29.944507000000002</v>
      </c>
      <c r="H552">
        <v>32.811365000000002</v>
      </c>
      <c r="I552"/>
      <c r="N552"/>
      <c r="O552"/>
      <c r="P552" s="1">
        <f t="shared" si="51"/>
        <v>145.72455792682925</v>
      </c>
      <c r="Q552" s="1">
        <f t="shared" si="52"/>
        <v>151.15190853658535</v>
      </c>
      <c r="R552" s="1">
        <f t="shared" si="53"/>
        <v>156.83876618741715</v>
      </c>
      <c r="S552" s="1">
        <f t="shared" si="54"/>
        <v>87.243754091653031</v>
      </c>
    </row>
    <row r="553" spans="1:19" x14ac:dyDescent="0.3">
      <c r="A553">
        <v>12474.6</v>
      </c>
      <c r="B553">
        <v>142.62510800000001</v>
      </c>
      <c r="C553">
        <v>147.95496600000001</v>
      </c>
      <c r="D553">
        <v>153.008274</v>
      </c>
      <c r="E553">
        <v>84.420907</v>
      </c>
      <c r="F553">
        <v>55.675809999999998</v>
      </c>
      <c r="G553">
        <v>29.963550999999999</v>
      </c>
      <c r="H553">
        <v>32.847003000000001</v>
      </c>
      <c r="I553"/>
      <c r="N553"/>
      <c r="O553"/>
      <c r="P553" s="1">
        <f t="shared" si="51"/>
        <v>145.71597560975607</v>
      </c>
      <c r="Q553" s="1">
        <f t="shared" si="52"/>
        <v>151.16251117886179</v>
      </c>
      <c r="R553" s="1">
        <f t="shared" si="53"/>
        <v>156.8655052513511</v>
      </c>
      <c r="S553" s="1">
        <f t="shared" si="54"/>
        <v>87.24000818330606</v>
      </c>
    </row>
    <row r="554" spans="1:19" x14ac:dyDescent="0.3">
      <c r="A554">
        <v>12474.8</v>
      </c>
      <c r="B554">
        <v>142.62510800000001</v>
      </c>
      <c r="C554">
        <v>147.95496600000001</v>
      </c>
      <c r="D554">
        <v>153.008274</v>
      </c>
      <c r="E554">
        <v>84.420907</v>
      </c>
      <c r="F554">
        <v>55.675809999999998</v>
      </c>
      <c r="G554">
        <v>29.963550999999999</v>
      </c>
      <c r="H554">
        <v>32.847003000000001</v>
      </c>
      <c r="I554"/>
      <c r="N554"/>
      <c r="O554"/>
      <c r="P554" s="1">
        <f t="shared" si="51"/>
        <v>145.71597560975607</v>
      </c>
      <c r="Q554" s="1">
        <f t="shared" si="52"/>
        <v>151.16251117886179</v>
      </c>
      <c r="R554" s="1">
        <f t="shared" si="53"/>
        <v>156.8655052513511</v>
      </c>
      <c r="S554" s="1">
        <f t="shared" si="54"/>
        <v>87.24000818330606</v>
      </c>
    </row>
    <row r="555" spans="1:19" x14ac:dyDescent="0.3">
      <c r="A555">
        <v>12475</v>
      </c>
      <c r="B555">
        <v>142.60564299999999</v>
      </c>
      <c r="C555">
        <v>147.92957200000001</v>
      </c>
      <c r="D555">
        <v>153.00903400000001</v>
      </c>
      <c r="E555">
        <v>84.366695000000007</v>
      </c>
      <c r="F555">
        <v>55.210602000000002</v>
      </c>
      <c r="G555">
        <v>29.929801000000001</v>
      </c>
      <c r="H555">
        <v>32.848044999999999</v>
      </c>
      <c r="I555" t="s">
        <v>56</v>
      </c>
      <c r="N555"/>
      <c r="O555"/>
      <c r="P555" s="1">
        <f t="shared" si="51"/>
        <v>145.7230894308943</v>
      </c>
      <c r="Q555" s="1">
        <f t="shared" si="52"/>
        <v>151.13334552845527</v>
      </c>
      <c r="R555" s="1">
        <f t="shared" si="53"/>
        <v>156.83278168655045</v>
      </c>
      <c r="S555" s="1">
        <f t="shared" si="54"/>
        <v>87.391668371522087</v>
      </c>
    </row>
    <row r="556" spans="1:19" x14ac:dyDescent="0.3">
      <c r="A556">
        <v>12475.2</v>
      </c>
      <c r="B556">
        <v>142.60564299999999</v>
      </c>
      <c r="C556">
        <v>147.92957200000001</v>
      </c>
      <c r="D556">
        <v>153.00903400000001</v>
      </c>
      <c r="E556">
        <v>84.366695000000007</v>
      </c>
      <c r="F556">
        <v>55.210602000000002</v>
      </c>
      <c r="G556">
        <v>29.929801000000001</v>
      </c>
      <c r="H556">
        <v>32.848044999999999</v>
      </c>
      <c r="I556"/>
      <c r="N556"/>
      <c r="O556"/>
      <c r="P556" s="1">
        <f t="shared" ref="P556:P619" si="55">(B538+Q$36)/P$36</f>
        <v>145.7230894308943</v>
      </c>
      <c r="Q556" s="1">
        <f t="shared" ref="Q556:Q619" si="56">(C538+Q$36)/P$36</f>
        <v>151.13334552845527</v>
      </c>
      <c r="R556" s="1">
        <f t="shared" ref="R556:R619" si="57">(D538+Q$38)/P$38</f>
        <v>156.83278168655045</v>
      </c>
      <c r="S556" s="1">
        <f t="shared" ref="S556:S619" si="58">(E538+Q$39)/P$39</f>
        <v>87.391668371522087</v>
      </c>
    </row>
    <row r="557" spans="1:19" x14ac:dyDescent="0.3">
      <c r="A557">
        <v>12475.4</v>
      </c>
      <c r="B557">
        <v>142.574974</v>
      </c>
      <c r="C557">
        <v>147.94103000000001</v>
      </c>
      <c r="D557">
        <v>153.01416900000001</v>
      </c>
      <c r="E557">
        <v>84.420308000000006</v>
      </c>
      <c r="F557">
        <v>55.501980000000003</v>
      </c>
      <c r="G557">
        <v>29.952973</v>
      </c>
      <c r="H557">
        <v>32.831296000000002</v>
      </c>
      <c r="I557"/>
      <c r="N557"/>
      <c r="O557"/>
      <c r="P557" s="1">
        <f t="shared" si="55"/>
        <v>145.72861280487805</v>
      </c>
      <c r="Q557" s="1">
        <f t="shared" si="56"/>
        <v>151.13106402439024</v>
      </c>
      <c r="R557" s="1">
        <f t="shared" si="57"/>
        <v>156.84426430100947</v>
      </c>
      <c r="S557" s="1">
        <f t="shared" si="58"/>
        <v>87.278431873977084</v>
      </c>
    </row>
    <row r="558" spans="1:19" x14ac:dyDescent="0.3">
      <c r="A558">
        <v>12475.6</v>
      </c>
      <c r="B558">
        <v>142.574974</v>
      </c>
      <c r="C558">
        <v>147.94103000000001</v>
      </c>
      <c r="D558">
        <v>153.01416900000001</v>
      </c>
      <c r="E558">
        <v>84.420308000000006</v>
      </c>
      <c r="F558">
        <v>55.501980000000003</v>
      </c>
      <c r="G558">
        <v>29.952973</v>
      </c>
      <c r="H558">
        <v>32.831296000000002</v>
      </c>
      <c r="I558"/>
      <c r="N558"/>
      <c r="O558"/>
      <c r="P558" s="1">
        <f t="shared" si="55"/>
        <v>145.72861280487805</v>
      </c>
      <c r="Q558" s="1">
        <f t="shared" si="56"/>
        <v>151.13106402439024</v>
      </c>
      <c r="R558" s="1">
        <f t="shared" si="57"/>
        <v>156.84426430100947</v>
      </c>
      <c r="S558" s="1">
        <f t="shared" si="58"/>
        <v>87.278431873977084</v>
      </c>
    </row>
    <row r="559" spans="1:19" x14ac:dyDescent="0.3">
      <c r="A559">
        <v>12475.8</v>
      </c>
      <c r="B559">
        <v>142.60368099999999</v>
      </c>
      <c r="C559">
        <v>147.945583</v>
      </c>
      <c r="D559">
        <v>153.01893899999999</v>
      </c>
      <c r="E559">
        <v>84.340134000000006</v>
      </c>
      <c r="F559">
        <v>55.484011000000002</v>
      </c>
      <c r="G559">
        <v>29.952648</v>
      </c>
      <c r="H559">
        <v>32.828626999999997</v>
      </c>
      <c r="I559"/>
      <c r="N559"/>
      <c r="O559"/>
      <c r="P559" s="1">
        <f t="shared" si="55"/>
        <v>145.72587296747966</v>
      </c>
      <c r="Q559" s="1">
        <f t="shared" si="56"/>
        <v>151.13471849593495</v>
      </c>
      <c r="R559" s="1">
        <f t="shared" si="57"/>
        <v>156.83154379524831</v>
      </c>
      <c r="S559" s="1">
        <f t="shared" si="58"/>
        <v>87.285405073649756</v>
      </c>
    </row>
    <row r="560" spans="1:19" x14ac:dyDescent="0.3">
      <c r="A560">
        <v>12476</v>
      </c>
      <c r="B560">
        <v>142.60368099999999</v>
      </c>
      <c r="C560">
        <v>147.945583</v>
      </c>
      <c r="D560">
        <v>153.01893899999999</v>
      </c>
      <c r="E560">
        <v>84.340134000000006</v>
      </c>
      <c r="F560">
        <v>55.484011000000002</v>
      </c>
      <c r="G560">
        <v>29.952648</v>
      </c>
      <c r="H560">
        <v>32.828626999999997</v>
      </c>
      <c r="I560" t="s">
        <v>56</v>
      </c>
      <c r="N560"/>
      <c r="O560"/>
      <c r="P560" s="1">
        <f t="shared" si="55"/>
        <v>145.72587296747966</v>
      </c>
      <c r="Q560" s="1">
        <f t="shared" si="56"/>
        <v>151.13471849593495</v>
      </c>
      <c r="R560" s="1">
        <f t="shared" si="57"/>
        <v>156.83154379524831</v>
      </c>
      <c r="S560" s="1">
        <f t="shared" si="58"/>
        <v>87.285405073649756</v>
      </c>
    </row>
    <row r="561" spans="1:19" x14ac:dyDescent="0.3">
      <c r="A561">
        <v>12476.2</v>
      </c>
      <c r="B561">
        <v>142.60941600000001</v>
      </c>
      <c r="C561">
        <v>147.91608099999999</v>
      </c>
      <c r="D561">
        <v>153.01863</v>
      </c>
      <c r="E561">
        <v>84.400385999999997</v>
      </c>
      <c r="F561">
        <v>55.809697</v>
      </c>
      <c r="G561">
        <v>29.952086000000001</v>
      </c>
      <c r="H561">
        <v>32.822907999999998</v>
      </c>
      <c r="I561"/>
      <c r="N561"/>
      <c r="O561"/>
      <c r="P561" s="1">
        <f t="shared" si="55"/>
        <v>145.7293394308943</v>
      </c>
      <c r="Q561" s="1">
        <f t="shared" si="56"/>
        <v>151.12657113821138</v>
      </c>
      <c r="R561" s="1">
        <f t="shared" si="57"/>
        <v>156.84926481084941</v>
      </c>
      <c r="S561" s="1">
        <f t="shared" si="58"/>
        <v>87.442013093289688</v>
      </c>
    </row>
    <row r="562" spans="1:19" x14ac:dyDescent="0.3">
      <c r="A562">
        <v>12476.4</v>
      </c>
      <c r="B562">
        <v>142.60941600000001</v>
      </c>
      <c r="C562">
        <v>147.91608099999999</v>
      </c>
      <c r="D562">
        <v>153.01863</v>
      </c>
      <c r="E562">
        <v>84.400385999999997</v>
      </c>
      <c r="F562">
        <v>55.809697</v>
      </c>
      <c r="G562">
        <v>29.952086000000001</v>
      </c>
      <c r="H562">
        <v>32.822907999999998</v>
      </c>
      <c r="I562"/>
      <c r="N562"/>
      <c r="O562"/>
      <c r="P562" s="1">
        <f t="shared" si="55"/>
        <v>145.7293394308943</v>
      </c>
      <c r="Q562" s="1">
        <f t="shared" si="56"/>
        <v>151.12657113821138</v>
      </c>
      <c r="R562" s="1">
        <f t="shared" si="57"/>
        <v>156.84926481084941</v>
      </c>
      <c r="S562" s="1">
        <f t="shared" si="58"/>
        <v>87.442013093289688</v>
      </c>
    </row>
    <row r="563" spans="1:19" x14ac:dyDescent="0.3">
      <c r="A563">
        <v>12476.6</v>
      </c>
      <c r="B563">
        <v>142.57612499999999</v>
      </c>
      <c r="C563">
        <v>147.90015099999999</v>
      </c>
      <c r="D563">
        <v>152.99646899999999</v>
      </c>
      <c r="E563">
        <v>84.406616999999997</v>
      </c>
      <c r="F563">
        <v>55.606960000000001</v>
      </c>
      <c r="G563">
        <v>29.948340000000002</v>
      </c>
      <c r="H563">
        <v>32.836288000000003</v>
      </c>
      <c r="I563"/>
      <c r="N563"/>
      <c r="O563"/>
      <c r="P563" s="1">
        <f t="shared" si="55"/>
        <v>145.73633536585365</v>
      </c>
      <c r="Q563" s="1">
        <f t="shared" si="56"/>
        <v>151.13170223577237</v>
      </c>
      <c r="R563" s="1">
        <f t="shared" si="57"/>
        <v>156.8477505863159</v>
      </c>
      <c r="S563" s="1">
        <f t="shared" si="58"/>
        <v>87.490788666121119</v>
      </c>
    </row>
    <row r="564" spans="1:19" x14ac:dyDescent="0.3">
      <c r="A564">
        <v>12476.8</v>
      </c>
      <c r="B564">
        <v>142.57612499999999</v>
      </c>
      <c r="C564">
        <v>147.90015099999999</v>
      </c>
      <c r="D564">
        <v>152.99646899999999</v>
      </c>
      <c r="E564">
        <v>84.406616999999997</v>
      </c>
      <c r="F564">
        <v>55.606960000000001</v>
      </c>
      <c r="G564">
        <v>29.948340000000002</v>
      </c>
      <c r="H564">
        <v>32.836288000000003</v>
      </c>
      <c r="I564"/>
      <c r="N564"/>
      <c r="O564"/>
      <c r="P564" s="1">
        <f t="shared" si="55"/>
        <v>145.73633536585365</v>
      </c>
      <c r="Q564" s="1">
        <f t="shared" si="56"/>
        <v>151.13170223577237</v>
      </c>
      <c r="R564" s="1">
        <f t="shared" si="57"/>
        <v>156.8477505863159</v>
      </c>
      <c r="S564" s="1">
        <f t="shared" si="58"/>
        <v>87.490788666121119</v>
      </c>
    </row>
    <row r="565" spans="1:19" x14ac:dyDescent="0.3">
      <c r="A565">
        <v>12477</v>
      </c>
      <c r="B565">
        <v>142.573644</v>
      </c>
      <c r="C565">
        <v>147.95067</v>
      </c>
      <c r="D565">
        <v>152.98979600000001</v>
      </c>
      <c r="E565">
        <v>84.489667999999995</v>
      </c>
      <c r="F565">
        <v>55.532260000000001</v>
      </c>
      <c r="G565">
        <v>29.955729999999999</v>
      </c>
      <c r="H565">
        <v>32.826777</v>
      </c>
      <c r="I565" t="s">
        <v>56</v>
      </c>
      <c r="N565"/>
      <c r="O565"/>
      <c r="P565" s="1">
        <f t="shared" si="55"/>
        <v>145.71044207317073</v>
      </c>
      <c r="Q565" s="1">
        <f t="shared" si="56"/>
        <v>151.12870934959349</v>
      </c>
      <c r="R565" s="1">
        <f t="shared" si="57"/>
        <v>156.85733557662894</v>
      </c>
      <c r="S565" s="1">
        <f t="shared" si="58"/>
        <v>87.514737111292959</v>
      </c>
    </row>
    <row r="566" spans="1:19" x14ac:dyDescent="0.3">
      <c r="A566">
        <v>12477.2</v>
      </c>
      <c r="B566">
        <v>142.573644</v>
      </c>
      <c r="C566">
        <v>147.95067</v>
      </c>
      <c r="D566">
        <v>152.98979600000001</v>
      </c>
      <c r="E566">
        <v>84.489667999999995</v>
      </c>
      <c r="F566">
        <v>55.532260000000001</v>
      </c>
      <c r="G566">
        <v>29.955729999999999</v>
      </c>
      <c r="H566">
        <v>32.826777</v>
      </c>
      <c r="I566"/>
      <c r="N566"/>
      <c r="O566"/>
      <c r="P566" s="1">
        <f t="shared" si="55"/>
        <v>145.71044207317073</v>
      </c>
      <c r="Q566" s="1">
        <f t="shared" si="56"/>
        <v>151.12870934959349</v>
      </c>
      <c r="R566" s="1">
        <f t="shared" si="57"/>
        <v>156.85733557662894</v>
      </c>
      <c r="S566" s="1">
        <f t="shared" si="58"/>
        <v>87.514737111292959</v>
      </c>
    </row>
    <row r="567" spans="1:19" x14ac:dyDescent="0.3">
      <c r="A567">
        <v>12477.4</v>
      </c>
      <c r="B567">
        <v>142.57423900000001</v>
      </c>
      <c r="C567">
        <v>147.933053</v>
      </c>
      <c r="D567">
        <v>152.98620299999999</v>
      </c>
      <c r="E567">
        <v>84.437989000000002</v>
      </c>
      <c r="F567">
        <v>55.983032999999999</v>
      </c>
      <c r="G567">
        <v>29.948091999999999</v>
      </c>
      <c r="H567">
        <v>32.825724000000001</v>
      </c>
      <c r="I567"/>
      <c r="N567"/>
      <c r="O567"/>
      <c r="P567" s="1">
        <f t="shared" si="55"/>
        <v>145.70738008130081</v>
      </c>
      <c r="Q567" s="1">
        <f t="shared" si="56"/>
        <v>151.14675609756097</v>
      </c>
      <c r="R567" s="1">
        <f t="shared" si="57"/>
        <v>156.85876924645663</v>
      </c>
      <c r="S567" s="1">
        <f t="shared" si="58"/>
        <v>87.421147708674297</v>
      </c>
    </row>
    <row r="568" spans="1:19" x14ac:dyDescent="0.3">
      <c r="A568">
        <v>12477.6</v>
      </c>
      <c r="B568">
        <v>142.57423900000001</v>
      </c>
      <c r="C568">
        <v>147.933053</v>
      </c>
      <c r="D568">
        <v>152.98620299999999</v>
      </c>
      <c r="E568">
        <v>84.437989000000002</v>
      </c>
      <c r="F568">
        <v>55.983032999999999</v>
      </c>
      <c r="G568">
        <v>29.948091999999999</v>
      </c>
      <c r="H568">
        <v>32.825724000000001</v>
      </c>
      <c r="I568"/>
      <c r="N568"/>
      <c r="O568"/>
      <c r="P568" s="1">
        <f t="shared" si="55"/>
        <v>145.70738008130081</v>
      </c>
      <c r="Q568" s="1">
        <f t="shared" si="56"/>
        <v>151.14675609756097</v>
      </c>
      <c r="R568" s="1">
        <f t="shared" si="57"/>
        <v>156.85876924645663</v>
      </c>
      <c r="S568" s="1">
        <f t="shared" si="58"/>
        <v>87.421147708674297</v>
      </c>
    </row>
    <row r="569" spans="1:19" x14ac:dyDescent="0.3">
      <c r="A569">
        <v>12477.8</v>
      </c>
      <c r="B569">
        <v>142.58126300000001</v>
      </c>
      <c r="C569">
        <v>147.89924099999999</v>
      </c>
      <c r="D569">
        <v>153.002545</v>
      </c>
      <c r="E569">
        <v>84.269844000000006</v>
      </c>
      <c r="F569">
        <v>56.429648999999998</v>
      </c>
      <c r="G569">
        <v>29.950741000000001</v>
      </c>
      <c r="H569">
        <v>32.824381000000002</v>
      </c>
      <c r="I569"/>
      <c r="N569"/>
      <c r="O569"/>
      <c r="P569" s="1">
        <f t="shared" si="55"/>
        <v>145.73599491869916</v>
      </c>
      <c r="Q569" s="1">
        <f t="shared" si="56"/>
        <v>151.13966666666667</v>
      </c>
      <c r="R569" s="1">
        <f t="shared" si="57"/>
        <v>156.8827694503926</v>
      </c>
      <c r="S569" s="1">
        <f t="shared" si="58"/>
        <v>87.409706423895258</v>
      </c>
    </row>
    <row r="570" spans="1:19" x14ac:dyDescent="0.3">
      <c r="A570">
        <v>12478</v>
      </c>
      <c r="B570">
        <v>142.58126300000001</v>
      </c>
      <c r="C570">
        <v>147.89924099999999</v>
      </c>
      <c r="D570">
        <v>153.002545</v>
      </c>
      <c r="E570">
        <v>84.269844000000006</v>
      </c>
      <c r="F570">
        <v>56.429648999999998</v>
      </c>
      <c r="G570">
        <v>29.950741000000001</v>
      </c>
      <c r="H570">
        <v>32.824381000000002</v>
      </c>
      <c r="I570" t="s">
        <v>56</v>
      </c>
      <c r="N570"/>
      <c r="O570"/>
      <c r="P570" s="1">
        <f t="shared" si="55"/>
        <v>145.73599491869916</v>
      </c>
      <c r="Q570" s="1">
        <f t="shared" si="56"/>
        <v>151.13966666666667</v>
      </c>
      <c r="R570" s="1">
        <f t="shared" si="57"/>
        <v>156.8827694503926</v>
      </c>
      <c r="S570" s="1">
        <f t="shared" si="58"/>
        <v>87.409706423895258</v>
      </c>
    </row>
    <row r="571" spans="1:19" x14ac:dyDescent="0.3">
      <c r="A571">
        <v>12478.2</v>
      </c>
      <c r="B571">
        <v>142.595924</v>
      </c>
      <c r="C571">
        <v>147.92167699999999</v>
      </c>
      <c r="D571">
        <v>153.00535500000001</v>
      </c>
      <c r="E571">
        <v>84.353283000000005</v>
      </c>
      <c r="F571">
        <v>56.175972999999999</v>
      </c>
      <c r="G571">
        <v>29.931267999999999</v>
      </c>
      <c r="H571">
        <v>32.818559999999998</v>
      </c>
      <c r="I571"/>
      <c r="N571"/>
      <c r="O571"/>
      <c r="P571" s="1">
        <f t="shared" si="55"/>
        <v>145.74350406504067</v>
      </c>
      <c r="Q571" s="1">
        <f t="shared" si="56"/>
        <v>151.16002642276422</v>
      </c>
      <c r="R571" s="1">
        <f t="shared" si="57"/>
        <v>156.84569593147754</v>
      </c>
      <c r="S571" s="1">
        <f t="shared" si="58"/>
        <v>87.300232201309328</v>
      </c>
    </row>
    <row r="572" spans="1:19" x14ac:dyDescent="0.3">
      <c r="A572">
        <v>12478.4</v>
      </c>
      <c r="B572">
        <v>142.595924</v>
      </c>
      <c r="C572">
        <v>147.92167699999999</v>
      </c>
      <c r="D572">
        <v>153.00535500000001</v>
      </c>
      <c r="E572">
        <v>84.353283000000005</v>
      </c>
      <c r="F572">
        <v>56.175972999999999</v>
      </c>
      <c r="G572">
        <v>29.931267999999999</v>
      </c>
      <c r="H572">
        <v>32.818559999999998</v>
      </c>
      <c r="I572"/>
      <c r="N572"/>
      <c r="O572"/>
      <c r="P572" s="1">
        <f t="shared" si="55"/>
        <v>145.74350406504067</v>
      </c>
      <c r="Q572" s="1">
        <f t="shared" si="56"/>
        <v>151.16002642276422</v>
      </c>
      <c r="R572" s="1">
        <f t="shared" si="57"/>
        <v>156.84569593147754</v>
      </c>
      <c r="S572" s="1">
        <f t="shared" si="58"/>
        <v>87.300232201309328</v>
      </c>
    </row>
    <row r="573" spans="1:19" x14ac:dyDescent="0.3">
      <c r="A573">
        <v>12478.6</v>
      </c>
      <c r="B573">
        <v>142.58646100000001</v>
      </c>
      <c r="C573">
        <v>147.92080999999999</v>
      </c>
      <c r="D573">
        <v>152.98843199999999</v>
      </c>
      <c r="E573">
        <v>84.446415999999999</v>
      </c>
      <c r="F573">
        <v>55.948695000000001</v>
      </c>
      <c r="G573">
        <v>29.957964</v>
      </c>
      <c r="H573">
        <v>32.799228999999997</v>
      </c>
      <c r="I573"/>
      <c r="N573"/>
      <c r="O573"/>
      <c r="P573" s="1">
        <f t="shared" si="55"/>
        <v>145.72372256097557</v>
      </c>
      <c r="Q573" s="1">
        <f t="shared" si="56"/>
        <v>151.13421951219513</v>
      </c>
      <c r="R573" s="1">
        <f t="shared" si="57"/>
        <v>156.84647088814114</v>
      </c>
      <c r="S573" s="1">
        <f t="shared" si="58"/>
        <v>87.244778027823244</v>
      </c>
    </row>
    <row r="574" spans="1:19" x14ac:dyDescent="0.3">
      <c r="A574">
        <v>12478.8</v>
      </c>
      <c r="B574">
        <v>142.58646100000001</v>
      </c>
      <c r="C574">
        <v>147.92080999999999</v>
      </c>
      <c r="D574">
        <v>152.98843199999999</v>
      </c>
      <c r="E574">
        <v>84.446415999999999</v>
      </c>
      <c r="F574">
        <v>55.948695000000001</v>
      </c>
      <c r="G574">
        <v>29.957964</v>
      </c>
      <c r="H574">
        <v>32.799228999999997</v>
      </c>
      <c r="I574"/>
      <c r="N574"/>
      <c r="O574"/>
      <c r="P574" s="1">
        <f t="shared" si="55"/>
        <v>145.72372256097557</v>
      </c>
      <c r="Q574" s="1">
        <f t="shared" si="56"/>
        <v>151.13421951219513</v>
      </c>
      <c r="R574" s="1">
        <f t="shared" si="57"/>
        <v>156.84647088814114</v>
      </c>
      <c r="S574" s="1">
        <f t="shared" si="58"/>
        <v>87.244778027823244</v>
      </c>
    </row>
    <row r="575" spans="1:19" x14ac:dyDescent="0.3">
      <c r="A575">
        <v>13107</v>
      </c>
      <c r="B575">
        <v>152.31338600000001</v>
      </c>
      <c r="C575">
        <v>158.30953099999999</v>
      </c>
      <c r="D575">
        <v>163.986851</v>
      </c>
      <c r="E575">
        <v>87.266734</v>
      </c>
      <c r="F575">
        <v>57.392670000000003</v>
      </c>
      <c r="G575">
        <v>29.939630999999999</v>
      </c>
      <c r="H575">
        <v>33.167274999999997</v>
      </c>
      <c r="I575" t="s">
        <v>56</v>
      </c>
      <c r="N575"/>
      <c r="O575"/>
      <c r="P575" s="1">
        <f t="shared" si="55"/>
        <v>145.69255487804878</v>
      </c>
      <c r="Q575" s="1">
        <f t="shared" si="56"/>
        <v>151.14586382113822</v>
      </c>
      <c r="R575" s="1">
        <f t="shared" si="57"/>
        <v>156.85170694401961</v>
      </c>
      <c r="S575" s="1">
        <f t="shared" si="58"/>
        <v>87.299619476268418</v>
      </c>
    </row>
    <row r="576" spans="1:19" x14ac:dyDescent="0.3">
      <c r="A576">
        <v>13107.2</v>
      </c>
      <c r="B576">
        <v>152.31338600000001</v>
      </c>
      <c r="C576">
        <v>158.30953099999999</v>
      </c>
      <c r="D576">
        <v>163.986851</v>
      </c>
      <c r="E576">
        <v>87.266734</v>
      </c>
      <c r="F576">
        <v>57.392670000000003</v>
      </c>
      <c r="G576">
        <v>29.939630999999999</v>
      </c>
      <c r="H576">
        <v>33.167274999999997</v>
      </c>
      <c r="I576"/>
      <c r="N576"/>
      <c r="O576"/>
      <c r="P576" s="1">
        <f t="shared" si="55"/>
        <v>145.69255487804878</v>
      </c>
      <c r="Q576" s="1">
        <f t="shared" si="56"/>
        <v>151.14586382113822</v>
      </c>
      <c r="R576" s="1">
        <f t="shared" si="57"/>
        <v>156.85170694401961</v>
      </c>
      <c r="S576" s="1">
        <f t="shared" si="58"/>
        <v>87.299619476268418</v>
      </c>
    </row>
    <row r="577" spans="1:19" x14ac:dyDescent="0.3">
      <c r="A577">
        <v>13107.4</v>
      </c>
      <c r="B577">
        <v>152.29049499999999</v>
      </c>
      <c r="C577">
        <v>158.34749400000001</v>
      </c>
      <c r="D577">
        <v>163.98706899999999</v>
      </c>
      <c r="E577">
        <v>87.363675999999998</v>
      </c>
      <c r="F577">
        <v>57.885441</v>
      </c>
      <c r="G577">
        <v>29.941749000000002</v>
      </c>
      <c r="H577">
        <v>33.176886000000003</v>
      </c>
      <c r="I577"/>
      <c r="N577"/>
      <c r="O577"/>
      <c r="P577" s="1">
        <f t="shared" si="55"/>
        <v>145.72172865853656</v>
      </c>
      <c r="Q577" s="1">
        <f t="shared" si="56"/>
        <v>151.15049085365854</v>
      </c>
      <c r="R577" s="1">
        <f t="shared" si="57"/>
        <v>156.85657081676354</v>
      </c>
      <c r="S577" s="1">
        <f t="shared" si="58"/>
        <v>87.217608428805235</v>
      </c>
    </row>
    <row r="578" spans="1:19" x14ac:dyDescent="0.3">
      <c r="A578">
        <v>13107.6</v>
      </c>
      <c r="B578">
        <v>152.29049499999999</v>
      </c>
      <c r="C578">
        <v>158.34749400000001</v>
      </c>
      <c r="D578">
        <v>163.98706899999999</v>
      </c>
      <c r="E578">
        <v>87.363675999999998</v>
      </c>
      <c r="F578">
        <v>57.885441</v>
      </c>
      <c r="G578">
        <v>29.941749000000002</v>
      </c>
      <c r="H578">
        <v>33.176886000000003</v>
      </c>
      <c r="I578"/>
      <c r="N578"/>
      <c r="O578"/>
      <c r="P578" s="1">
        <f t="shared" si="55"/>
        <v>145.72172865853656</v>
      </c>
      <c r="Q578" s="1">
        <f t="shared" si="56"/>
        <v>151.15049085365854</v>
      </c>
      <c r="R578" s="1">
        <f t="shared" si="57"/>
        <v>156.85657081676354</v>
      </c>
      <c r="S578" s="1">
        <f t="shared" si="58"/>
        <v>87.217608428805235</v>
      </c>
    </row>
    <row r="579" spans="1:19" x14ac:dyDescent="0.3">
      <c r="A579">
        <v>13107.8</v>
      </c>
      <c r="B579">
        <v>152.276398</v>
      </c>
      <c r="C579">
        <v>158.330523</v>
      </c>
      <c r="D579">
        <v>163.980906</v>
      </c>
      <c r="E579">
        <v>87.344060999999996</v>
      </c>
      <c r="F579">
        <v>57.604253</v>
      </c>
      <c r="G579">
        <v>29.927251999999999</v>
      </c>
      <c r="H579">
        <v>33.173214999999999</v>
      </c>
      <c r="I579"/>
      <c r="N579"/>
      <c r="O579"/>
      <c r="P579" s="1">
        <f t="shared" si="55"/>
        <v>145.72755691056912</v>
      </c>
      <c r="Q579" s="1">
        <f t="shared" si="56"/>
        <v>151.12050914634145</v>
      </c>
      <c r="R579" s="1">
        <f t="shared" si="57"/>
        <v>156.85625573569899</v>
      </c>
      <c r="S579" s="1">
        <f t="shared" si="58"/>
        <v>87.279240998363335</v>
      </c>
    </row>
    <row r="580" spans="1:19" x14ac:dyDescent="0.3">
      <c r="A580">
        <v>13108</v>
      </c>
      <c r="B580">
        <v>152.276398</v>
      </c>
      <c r="C580">
        <v>158.330523</v>
      </c>
      <c r="D580">
        <v>163.980906</v>
      </c>
      <c r="E580">
        <v>87.344060999999996</v>
      </c>
      <c r="F580">
        <v>57.604253</v>
      </c>
      <c r="G580">
        <v>29.927251999999999</v>
      </c>
      <c r="H580">
        <v>33.173214999999999</v>
      </c>
      <c r="I580" t="s">
        <v>56</v>
      </c>
      <c r="N580"/>
      <c r="O580"/>
      <c r="P580" s="1">
        <f t="shared" si="55"/>
        <v>145.72755691056912</v>
      </c>
      <c r="Q580" s="1">
        <f t="shared" si="56"/>
        <v>151.12050914634145</v>
      </c>
      <c r="R580" s="1">
        <f t="shared" si="57"/>
        <v>156.85625573569899</v>
      </c>
      <c r="S580" s="1">
        <f t="shared" si="58"/>
        <v>87.279240998363335</v>
      </c>
    </row>
    <row r="581" spans="1:19" x14ac:dyDescent="0.3">
      <c r="A581">
        <v>13108.2</v>
      </c>
      <c r="B581">
        <v>152.31688500000001</v>
      </c>
      <c r="C581">
        <v>158.332503</v>
      </c>
      <c r="D581">
        <v>164.01463699999999</v>
      </c>
      <c r="E581">
        <v>87.323514000000003</v>
      </c>
      <c r="F581">
        <v>57.429544</v>
      </c>
      <c r="G581">
        <v>29.924562000000002</v>
      </c>
      <c r="H581">
        <v>33.168190000000003</v>
      </c>
      <c r="I581"/>
      <c r="N581"/>
      <c r="O581"/>
      <c r="P581" s="1">
        <f t="shared" si="55"/>
        <v>145.69372459349592</v>
      </c>
      <c r="Q581" s="1">
        <f t="shared" si="56"/>
        <v>151.10432012195122</v>
      </c>
      <c r="R581" s="1">
        <f t="shared" si="57"/>
        <v>156.83365861119609</v>
      </c>
      <c r="S581" s="1">
        <f t="shared" si="58"/>
        <v>87.285614770867426</v>
      </c>
    </row>
    <row r="582" spans="1:19" x14ac:dyDescent="0.3">
      <c r="A582">
        <v>13108.4</v>
      </c>
      <c r="B582">
        <v>152.31688500000001</v>
      </c>
      <c r="C582">
        <v>158.332503</v>
      </c>
      <c r="D582">
        <v>164.01463699999999</v>
      </c>
      <c r="E582">
        <v>87.323514000000003</v>
      </c>
      <c r="F582">
        <v>57.429544</v>
      </c>
      <c r="G582">
        <v>29.924562000000002</v>
      </c>
      <c r="H582">
        <v>33.168190000000003</v>
      </c>
      <c r="I582"/>
      <c r="N582"/>
      <c r="O582"/>
      <c r="P582" s="1">
        <f t="shared" si="55"/>
        <v>145.69372459349592</v>
      </c>
      <c r="Q582" s="1">
        <f t="shared" si="56"/>
        <v>151.10432012195122</v>
      </c>
      <c r="R582" s="1">
        <f t="shared" si="57"/>
        <v>156.83365861119609</v>
      </c>
      <c r="S582" s="1">
        <f t="shared" si="58"/>
        <v>87.285614770867426</v>
      </c>
    </row>
    <row r="583" spans="1:19" x14ac:dyDescent="0.3">
      <c r="A583">
        <v>13108.6</v>
      </c>
      <c r="B583">
        <v>152.30750900000001</v>
      </c>
      <c r="C583">
        <v>158.33129199999999</v>
      </c>
      <c r="D583">
        <v>164.01856699999999</v>
      </c>
      <c r="E583">
        <v>87.464201000000003</v>
      </c>
      <c r="F583">
        <v>57.796365000000002</v>
      </c>
      <c r="G583">
        <v>29.924327000000002</v>
      </c>
      <c r="H583">
        <v>33.159986000000004</v>
      </c>
      <c r="I583"/>
      <c r="N583"/>
      <c r="O583"/>
      <c r="P583" s="1">
        <f t="shared" si="55"/>
        <v>145.69120325203252</v>
      </c>
      <c r="Q583" s="1">
        <f t="shared" si="56"/>
        <v>151.15566056910569</v>
      </c>
      <c r="R583" s="1">
        <f t="shared" si="57"/>
        <v>156.82685428775366</v>
      </c>
      <c r="S583" s="1">
        <f t="shared" si="58"/>
        <v>87.37056873977086</v>
      </c>
    </row>
    <row r="584" spans="1:19" x14ac:dyDescent="0.3">
      <c r="A584">
        <v>13108.8</v>
      </c>
      <c r="B584">
        <v>152.30750900000001</v>
      </c>
      <c r="C584">
        <v>158.33129199999999</v>
      </c>
      <c r="D584">
        <v>164.01856699999999</v>
      </c>
      <c r="E584">
        <v>87.464201000000003</v>
      </c>
      <c r="F584">
        <v>57.796365000000002</v>
      </c>
      <c r="G584">
        <v>29.924327000000002</v>
      </c>
      <c r="H584">
        <v>33.159986000000004</v>
      </c>
      <c r="I584"/>
      <c r="N584"/>
      <c r="O584"/>
      <c r="P584" s="1">
        <f t="shared" si="55"/>
        <v>145.69120325203252</v>
      </c>
      <c r="Q584" s="1">
        <f t="shared" si="56"/>
        <v>151.15566056910569</v>
      </c>
      <c r="R584" s="1">
        <f t="shared" si="57"/>
        <v>156.82685428775366</v>
      </c>
      <c r="S584" s="1">
        <f t="shared" si="58"/>
        <v>87.37056873977086</v>
      </c>
    </row>
    <row r="585" spans="1:19" x14ac:dyDescent="0.3">
      <c r="A585">
        <v>13109</v>
      </c>
      <c r="B585">
        <v>152.29600600000001</v>
      </c>
      <c r="C585">
        <v>158.33380500000001</v>
      </c>
      <c r="D585">
        <v>164.01873499999999</v>
      </c>
      <c r="E585">
        <v>87.307927000000007</v>
      </c>
      <c r="F585">
        <v>57.735401000000003</v>
      </c>
      <c r="G585">
        <v>29.936212000000001</v>
      </c>
      <c r="H585">
        <v>33.172302999999999</v>
      </c>
      <c r="I585" t="s">
        <v>56</v>
      </c>
      <c r="N585"/>
      <c r="O585"/>
      <c r="P585" s="1">
        <f t="shared" si="55"/>
        <v>145.69180792682926</v>
      </c>
      <c r="Q585" s="1">
        <f t="shared" si="56"/>
        <v>151.13775711382112</v>
      </c>
      <c r="R585" s="1">
        <f t="shared" si="57"/>
        <v>156.82319057815846</v>
      </c>
      <c r="S585" s="1">
        <f t="shared" si="58"/>
        <v>87.317705605564655</v>
      </c>
    </row>
    <row r="586" spans="1:19" x14ac:dyDescent="0.3">
      <c r="A586">
        <v>13109.2</v>
      </c>
      <c r="B586">
        <v>152.29600600000001</v>
      </c>
      <c r="C586">
        <v>158.33380500000001</v>
      </c>
      <c r="D586">
        <v>164.01873499999999</v>
      </c>
      <c r="E586">
        <v>87.307927000000007</v>
      </c>
      <c r="F586">
        <v>57.735401000000003</v>
      </c>
      <c r="G586">
        <v>29.936212000000001</v>
      </c>
      <c r="H586">
        <v>33.172302999999999</v>
      </c>
      <c r="I586"/>
      <c r="N586"/>
      <c r="O586"/>
      <c r="P586" s="1">
        <f t="shared" si="55"/>
        <v>145.69180792682926</v>
      </c>
      <c r="Q586" s="1">
        <f t="shared" si="56"/>
        <v>151.13775711382112</v>
      </c>
      <c r="R586" s="1">
        <f t="shared" si="57"/>
        <v>156.82319057815846</v>
      </c>
      <c r="S586" s="1">
        <f t="shared" si="58"/>
        <v>87.317705605564655</v>
      </c>
    </row>
    <row r="587" spans="1:19" x14ac:dyDescent="0.3">
      <c r="A587">
        <v>13109.4</v>
      </c>
      <c r="B587">
        <v>152.29018600000001</v>
      </c>
      <c r="C587">
        <v>158.33170999999999</v>
      </c>
      <c r="D587">
        <v>164.00170399999999</v>
      </c>
      <c r="E587">
        <v>87.251159999999999</v>
      </c>
      <c r="F587">
        <v>57.469938999999997</v>
      </c>
      <c r="G587">
        <v>29.937937000000002</v>
      </c>
      <c r="H587">
        <v>33.186914000000002</v>
      </c>
      <c r="I587"/>
      <c r="N587"/>
      <c r="O587"/>
      <c r="P587" s="1">
        <f t="shared" si="55"/>
        <v>145.69894613821137</v>
      </c>
      <c r="Q587" s="1">
        <f t="shared" si="56"/>
        <v>151.10339532520322</v>
      </c>
      <c r="R587" s="1">
        <f t="shared" si="57"/>
        <v>156.83985418578567</v>
      </c>
      <c r="S587" s="1">
        <f t="shared" si="58"/>
        <v>87.145707855973811</v>
      </c>
    </row>
    <row r="588" spans="1:19" x14ac:dyDescent="0.3">
      <c r="A588">
        <v>13109.6</v>
      </c>
      <c r="B588">
        <v>152.29018600000001</v>
      </c>
      <c r="C588">
        <v>158.33170999999999</v>
      </c>
      <c r="D588">
        <v>164.00170399999999</v>
      </c>
      <c r="E588">
        <v>87.251159999999999</v>
      </c>
      <c r="F588">
        <v>57.469938999999997</v>
      </c>
      <c r="G588">
        <v>29.937937000000002</v>
      </c>
      <c r="H588">
        <v>33.186914000000002</v>
      </c>
      <c r="I588"/>
      <c r="N588"/>
      <c r="O588"/>
      <c r="P588" s="1">
        <f t="shared" si="55"/>
        <v>145.69894613821137</v>
      </c>
      <c r="Q588" s="1">
        <f t="shared" si="56"/>
        <v>151.10339532520322</v>
      </c>
      <c r="R588" s="1">
        <f t="shared" si="57"/>
        <v>156.83985418578567</v>
      </c>
      <c r="S588" s="1">
        <f t="shared" si="58"/>
        <v>87.145707855973811</v>
      </c>
    </row>
    <row r="589" spans="1:19" x14ac:dyDescent="0.3">
      <c r="A589">
        <v>13109.8</v>
      </c>
      <c r="B589">
        <v>152.32079200000001</v>
      </c>
      <c r="C589">
        <v>158.34064799999999</v>
      </c>
      <c r="D589">
        <v>163.973478</v>
      </c>
      <c r="E589">
        <v>87.342533000000003</v>
      </c>
      <c r="F589">
        <v>56.969003000000001</v>
      </c>
      <c r="G589">
        <v>29.935509</v>
      </c>
      <c r="H589">
        <v>33.189883000000002</v>
      </c>
      <c r="I589"/>
      <c r="N589"/>
      <c r="O589"/>
      <c r="P589" s="1">
        <f t="shared" si="55"/>
        <v>145.71384552845527</v>
      </c>
      <c r="Q589" s="1">
        <f t="shared" si="56"/>
        <v>151.12619613821136</v>
      </c>
      <c r="R589" s="1">
        <f t="shared" si="57"/>
        <v>156.84271948608139</v>
      </c>
      <c r="S589" s="1">
        <f t="shared" si="58"/>
        <v>87.231058715220954</v>
      </c>
    </row>
    <row r="590" spans="1:19" x14ac:dyDescent="0.3">
      <c r="A590">
        <v>13110</v>
      </c>
      <c r="B590">
        <v>152.32079200000001</v>
      </c>
      <c r="C590">
        <v>158.34064799999999</v>
      </c>
      <c r="D590">
        <v>163.973478</v>
      </c>
      <c r="E590">
        <v>87.342533000000003</v>
      </c>
      <c r="F590">
        <v>56.969003000000001</v>
      </c>
      <c r="G590">
        <v>29.935509</v>
      </c>
      <c r="H590">
        <v>33.189883000000002</v>
      </c>
      <c r="I590" t="s">
        <v>56</v>
      </c>
      <c r="N590"/>
      <c r="O590"/>
      <c r="P590" s="1">
        <f t="shared" si="55"/>
        <v>145.71384552845527</v>
      </c>
      <c r="Q590" s="1">
        <f t="shared" si="56"/>
        <v>151.12619613821136</v>
      </c>
      <c r="R590" s="1">
        <f t="shared" si="57"/>
        <v>156.84271948608139</v>
      </c>
      <c r="S590" s="1">
        <f t="shared" si="58"/>
        <v>87.231058715220954</v>
      </c>
    </row>
    <row r="591" spans="1:19" x14ac:dyDescent="0.3">
      <c r="A591">
        <v>13110.2</v>
      </c>
      <c r="B591">
        <v>152.30954600000001</v>
      </c>
      <c r="C591">
        <v>158.35021699999999</v>
      </c>
      <c r="D591">
        <v>163.986279</v>
      </c>
      <c r="E591">
        <v>87.351695000000007</v>
      </c>
      <c r="F591">
        <v>57.272893000000003</v>
      </c>
      <c r="G591">
        <v>29.942067000000002</v>
      </c>
      <c r="H591">
        <v>33.183062</v>
      </c>
      <c r="I591"/>
      <c r="N591"/>
      <c r="O591"/>
      <c r="P591" s="1">
        <f t="shared" si="55"/>
        <v>145.70422865853658</v>
      </c>
      <c r="Q591" s="1">
        <f t="shared" si="56"/>
        <v>151.12531504065038</v>
      </c>
      <c r="R591" s="1">
        <f t="shared" si="57"/>
        <v>156.82546344447843</v>
      </c>
      <c r="S591" s="1">
        <f t="shared" si="58"/>
        <v>87.326325695581005</v>
      </c>
    </row>
    <row r="592" spans="1:19" x14ac:dyDescent="0.3">
      <c r="A592">
        <v>13110.4</v>
      </c>
      <c r="B592">
        <v>152.30954600000001</v>
      </c>
      <c r="C592">
        <v>158.35021699999999</v>
      </c>
      <c r="D592">
        <v>163.986279</v>
      </c>
      <c r="E592">
        <v>87.351695000000007</v>
      </c>
      <c r="F592">
        <v>57.272893000000003</v>
      </c>
      <c r="G592">
        <v>29.942067000000002</v>
      </c>
      <c r="H592">
        <v>33.183062</v>
      </c>
      <c r="I592"/>
      <c r="N592"/>
      <c r="O592"/>
      <c r="P592" s="1">
        <f t="shared" si="55"/>
        <v>145.70422865853658</v>
      </c>
      <c r="Q592" s="1">
        <f t="shared" si="56"/>
        <v>151.12531504065038</v>
      </c>
      <c r="R592" s="1">
        <f t="shared" si="57"/>
        <v>156.82546344447843</v>
      </c>
      <c r="S592" s="1">
        <f t="shared" si="58"/>
        <v>87.326325695581005</v>
      </c>
    </row>
    <row r="593" spans="1:19" x14ac:dyDescent="0.3">
      <c r="A593">
        <v>13110.6</v>
      </c>
      <c r="B593">
        <v>152.31254899999999</v>
      </c>
      <c r="C593">
        <v>158.313379</v>
      </c>
      <c r="D593">
        <v>163.96966800000001</v>
      </c>
      <c r="E593">
        <v>87.392287999999994</v>
      </c>
      <c r="F593">
        <v>57.712978</v>
      </c>
      <c r="G593">
        <v>29.943871000000001</v>
      </c>
      <c r="H593">
        <v>33.193297999999999</v>
      </c>
      <c r="I593"/>
      <c r="N593"/>
      <c r="O593"/>
      <c r="P593" s="1">
        <f t="shared" si="55"/>
        <v>155.5893150406504</v>
      </c>
      <c r="Q593" s="1">
        <f t="shared" si="56"/>
        <v>161.68295833333332</v>
      </c>
      <c r="R593" s="1">
        <f t="shared" si="57"/>
        <v>168.04032935658205</v>
      </c>
      <c r="S593" s="1">
        <f t="shared" si="58"/>
        <v>90.211266366612108</v>
      </c>
    </row>
    <row r="594" spans="1:19" x14ac:dyDescent="0.3">
      <c r="A594">
        <v>13110.8</v>
      </c>
      <c r="B594">
        <v>152.31254899999999</v>
      </c>
      <c r="C594">
        <v>158.313379</v>
      </c>
      <c r="D594">
        <v>163.96966800000001</v>
      </c>
      <c r="E594">
        <v>87.392287999999994</v>
      </c>
      <c r="F594">
        <v>57.712978</v>
      </c>
      <c r="G594">
        <v>29.943871000000001</v>
      </c>
      <c r="H594">
        <v>33.193297999999999</v>
      </c>
      <c r="I594"/>
      <c r="N594"/>
      <c r="O594"/>
      <c r="P594" s="1">
        <f t="shared" si="55"/>
        <v>155.5893150406504</v>
      </c>
      <c r="Q594" s="1">
        <f t="shared" si="56"/>
        <v>161.68295833333332</v>
      </c>
      <c r="R594" s="1">
        <f t="shared" si="57"/>
        <v>168.04032935658205</v>
      </c>
      <c r="S594" s="1">
        <f t="shared" si="58"/>
        <v>90.211266366612108</v>
      </c>
    </row>
    <row r="595" spans="1:19" x14ac:dyDescent="0.3">
      <c r="A595">
        <v>13111</v>
      </c>
      <c r="B595">
        <v>152.315775</v>
      </c>
      <c r="C595">
        <v>158.348737</v>
      </c>
      <c r="D595">
        <v>164.013293</v>
      </c>
      <c r="E595">
        <v>87.389554000000004</v>
      </c>
      <c r="F595">
        <v>57.368966</v>
      </c>
      <c r="G595">
        <v>29.940605000000001</v>
      </c>
      <c r="H595">
        <v>33.162151999999999</v>
      </c>
      <c r="I595" t="s">
        <v>56</v>
      </c>
      <c r="N595"/>
      <c r="O595"/>
      <c r="P595" s="1">
        <f t="shared" si="55"/>
        <v>155.56605182926828</v>
      </c>
      <c r="Q595" s="1">
        <f t="shared" si="56"/>
        <v>161.72153861788618</v>
      </c>
      <c r="R595" s="1">
        <f t="shared" si="57"/>
        <v>168.04055164678292</v>
      </c>
      <c r="S595" s="1">
        <f t="shared" si="58"/>
        <v>90.310429623567913</v>
      </c>
    </row>
    <row r="596" spans="1:19" x14ac:dyDescent="0.3">
      <c r="A596">
        <v>13111.2</v>
      </c>
      <c r="B596">
        <v>152.315775</v>
      </c>
      <c r="C596">
        <v>158.348737</v>
      </c>
      <c r="D596">
        <v>164.013293</v>
      </c>
      <c r="E596">
        <v>87.389554000000004</v>
      </c>
      <c r="F596">
        <v>57.368966</v>
      </c>
      <c r="G596">
        <v>29.940605000000001</v>
      </c>
      <c r="H596">
        <v>33.162151999999999</v>
      </c>
      <c r="I596"/>
      <c r="N596"/>
      <c r="O596"/>
      <c r="P596" s="1">
        <f t="shared" si="55"/>
        <v>155.56605182926828</v>
      </c>
      <c r="Q596" s="1">
        <f t="shared" si="56"/>
        <v>161.72153861788618</v>
      </c>
      <c r="R596" s="1">
        <f t="shared" si="57"/>
        <v>168.04055164678292</v>
      </c>
      <c r="S596" s="1">
        <f t="shared" si="58"/>
        <v>90.310429623567913</v>
      </c>
    </row>
    <row r="597" spans="1:19" x14ac:dyDescent="0.3">
      <c r="A597">
        <v>13111.4</v>
      </c>
      <c r="B597">
        <v>152.326875</v>
      </c>
      <c r="C597">
        <v>158.33690999999999</v>
      </c>
      <c r="D597">
        <v>164.004548</v>
      </c>
      <c r="E597">
        <v>87.369478000000001</v>
      </c>
      <c r="F597">
        <v>57.322746000000002</v>
      </c>
      <c r="G597">
        <v>29.950088000000001</v>
      </c>
      <c r="H597">
        <v>33.174418000000003</v>
      </c>
      <c r="I597"/>
      <c r="N597"/>
      <c r="O597"/>
      <c r="P597" s="1">
        <f t="shared" si="55"/>
        <v>155.55172560975609</v>
      </c>
      <c r="Q597" s="1">
        <f t="shared" si="56"/>
        <v>161.70429166666665</v>
      </c>
      <c r="R597" s="1">
        <f t="shared" si="57"/>
        <v>168.03426736004897</v>
      </c>
      <c r="S597" s="1">
        <f t="shared" si="58"/>
        <v>90.290365180032722</v>
      </c>
    </row>
    <row r="598" spans="1:19" x14ac:dyDescent="0.3">
      <c r="A598">
        <v>13111.6</v>
      </c>
      <c r="B598">
        <v>152.326875</v>
      </c>
      <c r="C598">
        <v>158.33690999999999</v>
      </c>
      <c r="D598">
        <v>164.004548</v>
      </c>
      <c r="E598">
        <v>87.369478000000001</v>
      </c>
      <c r="F598">
        <v>57.322746000000002</v>
      </c>
      <c r="G598">
        <v>29.950088000000001</v>
      </c>
      <c r="H598">
        <v>33.174418000000003</v>
      </c>
      <c r="I598"/>
      <c r="N598"/>
      <c r="O598"/>
      <c r="P598" s="1">
        <f t="shared" si="55"/>
        <v>155.55172560975609</v>
      </c>
      <c r="Q598" s="1">
        <f t="shared" si="56"/>
        <v>161.70429166666665</v>
      </c>
      <c r="R598" s="1">
        <f t="shared" si="57"/>
        <v>168.03426736004897</v>
      </c>
      <c r="S598" s="1">
        <f t="shared" si="58"/>
        <v>90.290365180032722</v>
      </c>
    </row>
    <row r="599" spans="1:19" x14ac:dyDescent="0.3">
      <c r="A599">
        <v>13111.8</v>
      </c>
      <c r="B599">
        <v>152.32230000000001</v>
      </c>
      <c r="C599">
        <v>158.32832999999999</v>
      </c>
      <c r="D599">
        <v>164.00534300000001</v>
      </c>
      <c r="E599">
        <v>87.402562000000003</v>
      </c>
      <c r="F599">
        <v>57.523054999999999</v>
      </c>
      <c r="G599">
        <v>29.928773</v>
      </c>
      <c r="H599">
        <v>33.174965999999998</v>
      </c>
      <c r="I599"/>
      <c r="N599"/>
      <c r="O599"/>
      <c r="P599" s="1">
        <f t="shared" si="55"/>
        <v>155.59287093495936</v>
      </c>
      <c r="Q599" s="1">
        <f t="shared" si="56"/>
        <v>161.70630386178863</v>
      </c>
      <c r="R599" s="1">
        <f t="shared" si="57"/>
        <v>168.06866218007545</v>
      </c>
      <c r="S599" s="1">
        <f t="shared" si="58"/>
        <v>90.269347381342058</v>
      </c>
    </row>
    <row r="600" spans="1:19" x14ac:dyDescent="0.3">
      <c r="A600">
        <v>13112</v>
      </c>
      <c r="B600">
        <v>152.32230000000001</v>
      </c>
      <c r="C600">
        <v>158.32832999999999</v>
      </c>
      <c r="D600">
        <v>164.00534300000001</v>
      </c>
      <c r="E600">
        <v>87.402562000000003</v>
      </c>
      <c r="F600">
        <v>57.523054999999999</v>
      </c>
      <c r="G600">
        <v>29.928773</v>
      </c>
      <c r="H600">
        <v>33.174965999999998</v>
      </c>
      <c r="I600" t="s">
        <v>56</v>
      </c>
      <c r="N600"/>
      <c r="O600"/>
      <c r="P600" s="1">
        <f t="shared" si="55"/>
        <v>155.59287093495936</v>
      </c>
      <c r="Q600" s="1">
        <f t="shared" si="56"/>
        <v>161.70630386178863</v>
      </c>
      <c r="R600" s="1">
        <f t="shared" si="57"/>
        <v>168.06866218007545</v>
      </c>
      <c r="S600" s="1">
        <f t="shared" si="58"/>
        <v>90.269347381342058</v>
      </c>
    </row>
    <row r="601" spans="1:19" x14ac:dyDescent="0.3">
      <c r="A601">
        <v>13112.2</v>
      </c>
      <c r="B601">
        <v>152.30772300000001</v>
      </c>
      <c r="C601">
        <v>158.34604200000001</v>
      </c>
      <c r="D601">
        <v>164.01224300000001</v>
      </c>
      <c r="E601">
        <v>87.328395</v>
      </c>
      <c r="F601">
        <v>57.394531000000001</v>
      </c>
      <c r="G601">
        <v>29.932089000000001</v>
      </c>
      <c r="H601">
        <v>33.154833000000004</v>
      </c>
      <c r="I601"/>
      <c r="N601"/>
      <c r="O601"/>
      <c r="P601" s="1">
        <f t="shared" si="55"/>
        <v>155.5833424796748</v>
      </c>
      <c r="Q601" s="1">
        <f t="shared" si="56"/>
        <v>161.70507317073168</v>
      </c>
      <c r="R601" s="1">
        <f t="shared" si="57"/>
        <v>168.07266952177017</v>
      </c>
      <c r="S601" s="1">
        <f t="shared" si="58"/>
        <v>90.413257978723408</v>
      </c>
    </row>
    <row r="602" spans="1:19" x14ac:dyDescent="0.3">
      <c r="A602">
        <v>13112.4</v>
      </c>
      <c r="B602">
        <v>152.30772300000001</v>
      </c>
      <c r="C602">
        <v>158.34604200000001</v>
      </c>
      <c r="D602">
        <v>164.01224300000001</v>
      </c>
      <c r="E602">
        <v>87.328395</v>
      </c>
      <c r="F602">
        <v>57.394531000000001</v>
      </c>
      <c r="G602">
        <v>29.932089000000001</v>
      </c>
      <c r="H602">
        <v>33.154833000000004</v>
      </c>
      <c r="I602"/>
      <c r="N602"/>
      <c r="O602"/>
      <c r="P602" s="1">
        <f t="shared" si="55"/>
        <v>155.5833424796748</v>
      </c>
      <c r="Q602" s="1">
        <f t="shared" si="56"/>
        <v>161.70507317073168</v>
      </c>
      <c r="R602" s="1">
        <f t="shared" si="57"/>
        <v>168.07266952177017</v>
      </c>
      <c r="S602" s="1">
        <f t="shared" si="58"/>
        <v>90.413257978723408</v>
      </c>
    </row>
    <row r="603" spans="1:19" x14ac:dyDescent="0.3">
      <c r="A603">
        <v>13112.6</v>
      </c>
      <c r="B603">
        <v>152.307479</v>
      </c>
      <c r="C603">
        <v>158.34532799999999</v>
      </c>
      <c r="D603">
        <v>164.01223300000001</v>
      </c>
      <c r="E603">
        <v>87.240182000000004</v>
      </c>
      <c r="F603">
        <v>57.334809999999997</v>
      </c>
      <c r="G603">
        <v>29.916781</v>
      </c>
      <c r="H603">
        <v>33.156917</v>
      </c>
      <c r="I603"/>
      <c r="N603"/>
      <c r="O603"/>
      <c r="P603" s="1">
        <f t="shared" si="55"/>
        <v>155.57165243902438</v>
      </c>
      <c r="Q603" s="1">
        <f t="shared" si="56"/>
        <v>161.70762703252032</v>
      </c>
      <c r="R603" s="1">
        <f t="shared" si="57"/>
        <v>168.07284082798</v>
      </c>
      <c r="S603" s="1">
        <f t="shared" si="58"/>
        <v>90.253403232405901</v>
      </c>
    </row>
    <row r="604" spans="1:19" x14ac:dyDescent="0.3">
      <c r="A604">
        <v>13112.8</v>
      </c>
      <c r="B604">
        <v>152.307479</v>
      </c>
      <c r="C604">
        <v>158.34532799999999</v>
      </c>
      <c r="D604">
        <v>164.01223300000001</v>
      </c>
      <c r="E604">
        <v>87.240182000000004</v>
      </c>
      <c r="F604">
        <v>57.334809999999997</v>
      </c>
      <c r="G604">
        <v>29.916781</v>
      </c>
      <c r="H604">
        <v>33.156917</v>
      </c>
      <c r="I604"/>
      <c r="N604"/>
      <c r="O604"/>
      <c r="P604" s="1">
        <f t="shared" si="55"/>
        <v>155.57165243902438</v>
      </c>
      <c r="Q604" s="1">
        <f t="shared" si="56"/>
        <v>161.70762703252032</v>
      </c>
      <c r="R604" s="1">
        <f t="shared" si="57"/>
        <v>168.07284082798</v>
      </c>
      <c r="S604" s="1">
        <f t="shared" si="58"/>
        <v>90.253403232405901</v>
      </c>
    </row>
    <row r="605" spans="1:19" x14ac:dyDescent="0.3">
      <c r="A605">
        <v>13113</v>
      </c>
      <c r="B605">
        <v>152.321201</v>
      </c>
      <c r="C605">
        <v>158.34598099999999</v>
      </c>
      <c r="D605">
        <v>163.988598</v>
      </c>
      <c r="E605">
        <v>87.243724999999998</v>
      </c>
      <c r="F605">
        <v>57.455558000000003</v>
      </c>
      <c r="G605">
        <v>29.929428000000001</v>
      </c>
      <c r="H605">
        <v>33.155226999999996</v>
      </c>
      <c r="I605" t="s">
        <v>56</v>
      </c>
      <c r="N605"/>
      <c r="O605"/>
      <c r="P605" s="1">
        <f t="shared" si="55"/>
        <v>155.56573780487804</v>
      </c>
      <c r="Q605" s="1">
        <f t="shared" si="56"/>
        <v>161.70549796747966</v>
      </c>
      <c r="R605" s="1">
        <f t="shared" si="57"/>
        <v>168.05547466095646</v>
      </c>
      <c r="S605" s="1">
        <f t="shared" si="58"/>
        <v>90.19533551554828</v>
      </c>
    </row>
    <row r="606" spans="1:19" x14ac:dyDescent="0.3">
      <c r="A606">
        <v>13113.2</v>
      </c>
      <c r="B606">
        <v>152.321201</v>
      </c>
      <c r="C606">
        <v>158.34598099999999</v>
      </c>
      <c r="D606">
        <v>163.988598</v>
      </c>
      <c r="E606">
        <v>87.243724999999998</v>
      </c>
      <c r="F606">
        <v>57.455558000000003</v>
      </c>
      <c r="G606">
        <v>29.929428000000001</v>
      </c>
      <c r="H606">
        <v>33.155226999999996</v>
      </c>
      <c r="I606"/>
      <c r="N606"/>
      <c r="O606"/>
      <c r="P606" s="1">
        <f t="shared" si="55"/>
        <v>155.56573780487804</v>
      </c>
      <c r="Q606" s="1">
        <f t="shared" si="56"/>
        <v>161.70549796747966</v>
      </c>
      <c r="R606" s="1">
        <f t="shared" si="57"/>
        <v>168.05547466095646</v>
      </c>
      <c r="S606" s="1">
        <f t="shared" si="58"/>
        <v>90.19533551554828</v>
      </c>
    </row>
    <row r="607" spans="1:19" x14ac:dyDescent="0.3">
      <c r="A607">
        <v>13113.4</v>
      </c>
      <c r="B607">
        <v>152.295084</v>
      </c>
      <c r="C607">
        <v>158.32068799999999</v>
      </c>
      <c r="D607">
        <v>164.02505199999999</v>
      </c>
      <c r="E607">
        <v>87.158017999999998</v>
      </c>
      <c r="F607">
        <v>57.608280000000001</v>
      </c>
      <c r="G607">
        <v>29.945385999999999</v>
      </c>
      <c r="H607">
        <v>33.175825000000003</v>
      </c>
      <c r="I607"/>
      <c r="N607"/>
      <c r="O607"/>
      <c r="P607" s="1">
        <f t="shared" si="55"/>
        <v>155.59684146341465</v>
      </c>
      <c r="Q607" s="1">
        <f t="shared" si="56"/>
        <v>161.71458130081299</v>
      </c>
      <c r="R607" s="1">
        <f t="shared" si="57"/>
        <v>168.02669317834201</v>
      </c>
      <c r="S607" s="1">
        <f t="shared" si="58"/>
        <v>90.288802168576112</v>
      </c>
    </row>
    <row r="608" spans="1:19" x14ac:dyDescent="0.3">
      <c r="A608">
        <v>13113.6</v>
      </c>
      <c r="B608">
        <v>152.295084</v>
      </c>
      <c r="C608">
        <v>158.32068799999999</v>
      </c>
      <c r="D608">
        <v>164.02505199999999</v>
      </c>
      <c r="E608">
        <v>87.158017999999998</v>
      </c>
      <c r="F608">
        <v>57.608280000000001</v>
      </c>
      <c r="G608">
        <v>29.945385999999999</v>
      </c>
      <c r="H608">
        <v>33.175825000000003</v>
      </c>
      <c r="I608"/>
      <c r="N608"/>
      <c r="O608"/>
      <c r="P608" s="1">
        <f t="shared" si="55"/>
        <v>155.59684146341465</v>
      </c>
      <c r="Q608" s="1">
        <f t="shared" si="56"/>
        <v>161.71458130081299</v>
      </c>
      <c r="R608" s="1">
        <f t="shared" si="57"/>
        <v>168.02669317834201</v>
      </c>
      <c r="S608" s="1">
        <f t="shared" si="58"/>
        <v>90.288802168576112</v>
      </c>
    </row>
    <row r="609" spans="1:19" x14ac:dyDescent="0.3">
      <c r="A609">
        <v>13113.8</v>
      </c>
      <c r="B609">
        <v>152.27673300000001</v>
      </c>
      <c r="C609">
        <v>158.32312200000001</v>
      </c>
      <c r="D609">
        <v>163.99945500000001</v>
      </c>
      <c r="E609">
        <v>87.201194000000001</v>
      </c>
      <c r="F609">
        <v>58.043495</v>
      </c>
      <c r="G609">
        <v>29.919345</v>
      </c>
      <c r="H609">
        <v>33.172832</v>
      </c>
      <c r="I609"/>
      <c r="N609"/>
      <c r="O609"/>
      <c r="P609" s="1">
        <f t="shared" si="55"/>
        <v>155.58541260162602</v>
      </c>
      <c r="Q609" s="1">
        <f t="shared" si="56"/>
        <v>161.72430589430891</v>
      </c>
      <c r="R609" s="1">
        <f t="shared" si="57"/>
        <v>168.03974609972468</v>
      </c>
      <c r="S609" s="1">
        <f t="shared" si="58"/>
        <v>90.298174099836345</v>
      </c>
    </row>
    <row r="610" spans="1:19" x14ac:dyDescent="0.3">
      <c r="A610">
        <v>13114</v>
      </c>
      <c r="B610">
        <v>152.27673300000001</v>
      </c>
      <c r="C610">
        <v>158.32312200000001</v>
      </c>
      <c r="D610">
        <v>163.99945500000001</v>
      </c>
      <c r="E610">
        <v>87.201194000000001</v>
      </c>
      <c r="F610">
        <v>58.043495</v>
      </c>
      <c r="G610">
        <v>29.919345</v>
      </c>
      <c r="H610">
        <v>33.172832</v>
      </c>
      <c r="I610" t="s">
        <v>56</v>
      </c>
      <c r="N610"/>
      <c r="O610"/>
      <c r="P610" s="1">
        <f t="shared" si="55"/>
        <v>155.58541260162602</v>
      </c>
      <c r="Q610" s="1">
        <f t="shared" si="56"/>
        <v>161.72430589430891</v>
      </c>
      <c r="R610" s="1">
        <f t="shared" si="57"/>
        <v>168.03974609972468</v>
      </c>
      <c r="S610" s="1">
        <f t="shared" si="58"/>
        <v>90.298174099836345</v>
      </c>
    </row>
    <row r="611" spans="1:19" x14ac:dyDescent="0.3">
      <c r="A611">
        <v>13114.2</v>
      </c>
      <c r="B611">
        <v>152.270588</v>
      </c>
      <c r="C611">
        <v>158.32374899999999</v>
      </c>
      <c r="D611">
        <v>163.99073899999999</v>
      </c>
      <c r="E611">
        <v>87.255882</v>
      </c>
      <c r="F611">
        <v>57.651936999999997</v>
      </c>
      <c r="G611">
        <v>29.937107000000001</v>
      </c>
      <c r="H611">
        <v>33.157961</v>
      </c>
      <c r="I611"/>
      <c r="N611"/>
      <c r="O611"/>
      <c r="P611" s="1">
        <f t="shared" si="55"/>
        <v>155.58846443089428</v>
      </c>
      <c r="Q611" s="1">
        <f t="shared" si="56"/>
        <v>161.68686890243902</v>
      </c>
      <c r="R611" s="1">
        <f t="shared" si="57"/>
        <v>168.02280819822579</v>
      </c>
      <c r="S611" s="1">
        <f t="shared" si="58"/>
        <v>90.339697217675933</v>
      </c>
    </row>
    <row r="612" spans="1:19" x14ac:dyDescent="0.3">
      <c r="A612">
        <v>13114.4</v>
      </c>
      <c r="B612">
        <v>152.270588</v>
      </c>
      <c r="C612">
        <v>158.32374899999999</v>
      </c>
      <c r="D612">
        <v>163.99073899999999</v>
      </c>
      <c r="E612">
        <v>87.255882</v>
      </c>
      <c r="F612">
        <v>57.651936999999997</v>
      </c>
      <c r="G612">
        <v>29.937107000000001</v>
      </c>
      <c r="H612">
        <v>33.157961</v>
      </c>
      <c r="I612"/>
      <c r="N612"/>
      <c r="O612"/>
      <c r="P612" s="1">
        <f t="shared" si="55"/>
        <v>155.58846443089428</v>
      </c>
      <c r="Q612" s="1">
        <f t="shared" si="56"/>
        <v>161.68686890243902</v>
      </c>
      <c r="R612" s="1">
        <f t="shared" si="57"/>
        <v>168.02280819822579</v>
      </c>
      <c r="S612" s="1">
        <f t="shared" si="58"/>
        <v>90.339697217675933</v>
      </c>
    </row>
    <row r="613" spans="1:19" x14ac:dyDescent="0.3">
      <c r="A613">
        <v>13114.6</v>
      </c>
      <c r="B613">
        <v>152.28875500000001</v>
      </c>
      <c r="C613">
        <v>158.31503599999999</v>
      </c>
      <c r="D613">
        <v>164.010548</v>
      </c>
      <c r="E613">
        <v>87.354821000000001</v>
      </c>
      <c r="F613">
        <v>57.769635999999998</v>
      </c>
      <c r="G613">
        <v>29.938727</v>
      </c>
      <c r="H613">
        <v>33.148794000000002</v>
      </c>
      <c r="I613"/>
      <c r="N613"/>
      <c r="O613"/>
      <c r="P613" s="1">
        <f t="shared" si="55"/>
        <v>155.59174288617885</v>
      </c>
      <c r="Q613" s="1">
        <f t="shared" si="56"/>
        <v>161.72280182926829</v>
      </c>
      <c r="R613" s="1">
        <f t="shared" si="57"/>
        <v>168.06729173039668</v>
      </c>
      <c r="S613" s="1">
        <f t="shared" si="58"/>
        <v>90.336900572831425</v>
      </c>
    </row>
    <row r="614" spans="1:19" x14ac:dyDescent="0.3">
      <c r="A614">
        <v>13114.8</v>
      </c>
      <c r="B614">
        <v>152.28875500000001</v>
      </c>
      <c r="C614">
        <v>158.31503599999999</v>
      </c>
      <c r="D614">
        <v>164.010548</v>
      </c>
      <c r="E614">
        <v>87.354821000000001</v>
      </c>
      <c r="F614">
        <v>57.769635999999998</v>
      </c>
      <c r="G614">
        <v>29.938727</v>
      </c>
      <c r="H614">
        <v>33.148794000000002</v>
      </c>
      <c r="I614"/>
      <c r="N614"/>
      <c r="O614"/>
      <c r="P614" s="1">
        <f t="shared" si="55"/>
        <v>155.59174288617885</v>
      </c>
      <c r="Q614" s="1">
        <f t="shared" si="56"/>
        <v>161.72280182926829</v>
      </c>
      <c r="R614" s="1">
        <f t="shared" si="57"/>
        <v>168.06729173039668</v>
      </c>
      <c r="S614" s="1">
        <f t="shared" si="58"/>
        <v>90.336900572831425</v>
      </c>
    </row>
    <row r="615" spans="1:19" x14ac:dyDescent="0.3">
      <c r="A615">
        <v>13115</v>
      </c>
      <c r="B615">
        <v>152.280767</v>
      </c>
      <c r="C615">
        <v>158.30982599999999</v>
      </c>
      <c r="D615">
        <v>164.00489099999999</v>
      </c>
      <c r="E615">
        <v>87.420306999999994</v>
      </c>
      <c r="F615">
        <v>57.514467000000003</v>
      </c>
      <c r="G615">
        <v>29.935697999999999</v>
      </c>
      <c r="H615">
        <v>33.172026000000002</v>
      </c>
      <c r="I615" t="s">
        <v>56</v>
      </c>
      <c r="N615"/>
      <c r="O615"/>
      <c r="P615" s="1">
        <f t="shared" si="55"/>
        <v>155.60302337398375</v>
      </c>
      <c r="Q615" s="1">
        <f t="shared" si="56"/>
        <v>161.71078252032518</v>
      </c>
      <c r="R615" s="1">
        <f t="shared" si="57"/>
        <v>168.05837463036607</v>
      </c>
      <c r="S615" s="1">
        <f t="shared" si="58"/>
        <v>90.316364566284776</v>
      </c>
    </row>
    <row r="616" spans="1:19" x14ac:dyDescent="0.3">
      <c r="A616">
        <v>13115.2</v>
      </c>
      <c r="B616">
        <v>152.280767</v>
      </c>
      <c r="C616">
        <v>158.30982599999999</v>
      </c>
      <c r="D616">
        <v>164.00489099999999</v>
      </c>
      <c r="E616">
        <v>87.420306999999994</v>
      </c>
      <c r="F616">
        <v>57.514467000000003</v>
      </c>
      <c r="G616">
        <v>29.935697999999999</v>
      </c>
      <c r="H616">
        <v>33.172026000000002</v>
      </c>
      <c r="I616"/>
      <c r="N616"/>
      <c r="O616"/>
      <c r="P616" s="1">
        <f t="shared" si="55"/>
        <v>155.60302337398375</v>
      </c>
      <c r="Q616" s="1">
        <f t="shared" si="56"/>
        <v>161.71078252032518</v>
      </c>
      <c r="R616" s="1">
        <f t="shared" si="57"/>
        <v>168.05837463036607</v>
      </c>
      <c r="S616" s="1">
        <f t="shared" si="58"/>
        <v>90.316364566284776</v>
      </c>
    </row>
    <row r="617" spans="1:19" x14ac:dyDescent="0.3">
      <c r="A617">
        <v>13115.4</v>
      </c>
      <c r="B617">
        <v>152.28920099999999</v>
      </c>
      <c r="C617">
        <v>158.319468</v>
      </c>
      <c r="D617">
        <v>164.02383699999999</v>
      </c>
      <c r="E617">
        <v>87.432456999999999</v>
      </c>
      <c r="F617">
        <v>58.165844999999997</v>
      </c>
      <c r="G617">
        <v>29.947738999999999</v>
      </c>
      <c r="H617">
        <v>33.182155000000002</v>
      </c>
      <c r="I617"/>
      <c r="N617"/>
      <c r="O617"/>
      <c r="P617" s="1">
        <f t="shared" si="55"/>
        <v>155.59837398373983</v>
      </c>
      <c r="Q617" s="1">
        <f t="shared" si="56"/>
        <v>161.70206300813007</v>
      </c>
      <c r="R617" s="1">
        <f t="shared" si="57"/>
        <v>168.05918527582341</v>
      </c>
      <c r="S617" s="1">
        <f t="shared" si="58"/>
        <v>90.350206628477906</v>
      </c>
    </row>
    <row r="618" spans="1:19" x14ac:dyDescent="0.3">
      <c r="A618">
        <v>13115.6</v>
      </c>
      <c r="B618">
        <v>152.28920099999999</v>
      </c>
      <c r="C618">
        <v>158.319468</v>
      </c>
      <c r="D618">
        <v>164.02383699999999</v>
      </c>
      <c r="E618">
        <v>87.432456999999999</v>
      </c>
      <c r="F618">
        <v>58.165844999999997</v>
      </c>
      <c r="G618">
        <v>29.947738999999999</v>
      </c>
      <c r="H618">
        <v>33.182155000000002</v>
      </c>
      <c r="I618"/>
      <c r="N618"/>
      <c r="O618"/>
      <c r="P618" s="1">
        <f t="shared" si="55"/>
        <v>155.59837398373983</v>
      </c>
      <c r="Q618" s="1">
        <f t="shared" si="56"/>
        <v>161.70206300813007</v>
      </c>
      <c r="R618" s="1">
        <f t="shared" si="57"/>
        <v>168.05918527582341</v>
      </c>
      <c r="S618" s="1">
        <f t="shared" si="58"/>
        <v>90.350206628477906</v>
      </c>
    </row>
    <row r="619" spans="1:19" x14ac:dyDescent="0.3">
      <c r="A619">
        <v>13115.8</v>
      </c>
      <c r="B619">
        <v>152.29394500000001</v>
      </c>
      <c r="C619">
        <v>158.330094</v>
      </c>
      <c r="D619">
        <v>163.999628</v>
      </c>
      <c r="E619">
        <v>87.367891</v>
      </c>
      <c r="F619">
        <v>58.183022999999999</v>
      </c>
      <c r="G619">
        <v>29.922142000000001</v>
      </c>
      <c r="H619">
        <v>33.173979000000003</v>
      </c>
      <c r="I619"/>
      <c r="N619"/>
      <c r="O619"/>
      <c r="P619" s="1">
        <f t="shared" si="55"/>
        <v>155.5835599593496</v>
      </c>
      <c r="Q619" s="1">
        <f t="shared" si="56"/>
        <v>161.7200630081301</v>
      </c>
      <c r="R619" s="1">
        <f t="shared" si="57"/>
        <v>168.06622106658511</v>
      </c>
      <c r="S619" s="1">
        <f t="shared" si="58"/>
        <v>90.274340220949256</v>
      </c>
    </row>
    <row r="620" spans="1:19" x14ac:dyDescent="0.3">
      <c r="A620">
        <v>13116</v>
      </c>
      <c r="B620">
        <v>152.29394500000001</v>
      </c>
      <c r="C620">
        <v>158.330094</v>
      </c>
      <c r="D620">
        <v>163.999628</v>
      </c>
      <c r="E620">
        <v>87.367891</v>
      </c>
      <c r="F620">
        <v>58.183022999999999</v>
      </c>
      <c r="G620">
        <v>29.922142000000001</v>
      </c>
      <c r="H620">
        <v>33.173979000000003</v>
      </c>
      <c r="I620" t="s">
        <v>56</v>
      </c>
      <c r="N620"/>
      <c r="O620"/>
      <c r="P620" s="1">
        <f t="shared" ref="P620:P683" si="59">(B602+Q$36)/P$36</f>
        <v>155.5835599593496</v>
      </c>
      <c r="Q620" s="1">
        <f t="shared" ref="Q620:Q683" si="60">(C602+Q$36)/P$36</f>
        <v>161.7200630081301</v>
      </c>
      <c r="R620" s="1">
        <f t="shared" ref="R620:R683" si="61">(D602+Q$38)/P$38</f>
        <v>168.06622106658511</v>
      </c>
      <c r="S620" s="1">
        <f t="shared" ref="S620:S683" si="62">(E602+Q$39)/P$39</f>
        <v>90.274340220949256</v>
      </c>
    </row>
    <row r="621" spans="1:19" x14ac:dyDescent="0.3">
      <c r="A621">
        <v>13116.2</v>
      </c>
      <c r="B621">
        <v>152.324175</v>
      </c>
      <c r="C621">
        <v>158.336074</v>
      </c>
      <c r="D621">
        <v>164.03033600000001</v>
      </c>
      <c r="E621">
        <v>87.463616999999999</v>
      </c>
      <c r="F621">
        <v>57.803108999999999</v>
      </c>
      <c r="G621">
        <v>29.943065000000001</v>
      </c>
      <c r="H621">
        <v>33.164369999999998</v>
      </c>
      <c r="I621"/>
      <c r="N621"/>
      <c r="O621"/>
      <c r="P621" s="1">
        <f t="shared" si="59"/>
        <v>155.58331199186992</v>
      </c>
      <c r="Q621" s="1">
        <f t="shared" si="60"/>
        <v>161.71933739837397</v>
      </c>
      <c r="R621" s="1">
        <f t="shared" si="61"/>
        <v>168.06621086978691</v>
      </c>
      <c r="S621" s="1">
        <f t="shared" si="62"/>
        <v>90.184105973813416</v>
      </c>
    </row>
    <row r="622" spans="1:19" x14ac:dyDescent="0.3">
      <c r="A622">
        <v>13116.4</v>
      </c>
      <c r="B622">
        <v>152.324175</v>
      </c>
      <c r="C622">
        <v>158.336074</v>
      </c>
      <c r="D622">
        <v>164.03033600000001</v>
      </c>
      <c r="E622">
        <v>87.463616999999999</v>
      </c>
      <c r="F622">
        <v>57.803108999999999</v>
      </c>
      <c r="G622">
        <v>29.943065000000001</v>
      </c>
      <c r="H622">
        <v>33.164369999999998</v>
      </c>
      <c r="I622"/>
      <c r="N622"/>
      <c r="O622"/>
      <c r="P622" s="1">
        <f t="shared" si="59"/>
        <v>155.58331199186992</v>
      </c>
      <c r="Q622" s="1">
        <f t="shared" si="60"/>
        <v>161.71933739837397</v>
      </c>
      <c r="R622" s="1">
        <f t="shared" si="61"/>
        <v>168.06621086978691</v>
      </c>
      <c r="S622" s="1">
        <f t="shared" si="62"/>
        <v>90.184105973813416</v>
      </c>
    </row>
    <row r="623" spans="1:19" x14ac:dyDescent="0.3">
      <c r="A623">
        <v>13116.6</v>
      </c>
      <c r="B623">
        <v>152.311376</v>
      </c>
      <c r="C623">
        <v>158.33376899999999</v>
      </c>
      <c r="D623">
        <v>164.00725700000001</v>
      </c>
      <c r="E623">
        <v>87.387343999999999</v>
      </c>
      <c r="F623">
        <v>57.353304999999999</v>
      </c>
      <c r="G623">
        <v>29.94069</v>
      </c>
      <c r="H623">
        <v>33.180283000000003</v>
      </c>
      <c r="I623"/>
      <c r="N623"/>
      <c r="O623"/>
      <c r="P623" s="1">
        <f t="shared" si="59"/>
        <v>155.59725711382114</v>
      </c>
      <c r="Q623" s="1">
        <f t="shared" si="60"/>
        <v>161.72000101626014</v>
      </c>
      <c r="R623" s="1">
        <f t="shared" si="61"/>
        <v>168.04211073722851</v>
      </c>
      <c r="S623" s="1">
        <f t="shared" si="62"/>
        <v>90.187730155482811</v>
      </c>
    </row>
    <row r="624" spans="1:19" x14ac:dyDescent="0.3">
      <c r="A624">
        <v>13116.8</v>
      </c>
      <c r="B624">
        <v>152.311376</v>
      </c>
      <c r="C624">
        <v>158.33376899999999</v>
      </c>
      <c r="D624">
        <v>164.00725700000001</v>
      </c>
      <c r="E624">
        <v>87.387343999999999</v>
      </c>
      <c r="F624">
        <v>57.353304999999999</v>
      </c>
      <c r="G624">
        <v>29.94069</v>
      </c>
      <c r="H624">
        <v>33.180283000000003</v>
      </c>
      <c r="I624"/>
      <c r="N624"/>
      <c r="O624"/>
      <c r="P624" s="1">
        <f t="shared" si="59"/>
        <v>155.59725711382114</v>
      </c>
      <c r="Q624" s="1">
        <f t="shared" si="60"/>
        <v>161.72000101626014</v>
      </c>
      <c r="R624" s="1">
        <f t="shared" si="61"/>
        <v>168.04211073722851</v>
      </c>
      <c r="S624" s="1">
        <f t="shared" si="62"/>
        <v>90.187730155482811</v>
      </c>
    </row>
    <row r="625" spans="1:19" x14ac:dyDescent="0.3">
      <c r="A625">
        <v>13633</v>
      </c>
      <c r="B625">
        <v>162.49210500000001</v>
      </c>
      <c r="C625">
        <v>169.157747</v>
      </c>
      <c r="D625">
        <v>175.474163</v>
      </c>
      <c r="E625">
        <v>90.691068999999999</v>
      </c>
      <c r="F625">
        <v>58.802934999999998</v>
      </c>
      <c r="G625">
        <v>30.016431999999998</v>
      </c>
      <c r="H625">
        <v>33.645932999999999</v>
      </c>
      <c r="I625" t="s">
        <v>56</v>
      </c>
      <c r="N625"/>
      <c r="O625"/>
      <c r="P625" s="1">
        <f t="shared" si="59"/>
        <v>155.57071544715447</v>
      </c>
      <c r="Q625" s="1">
        <f t="shared" si="60"/>
        <v>161.69429674796746</v>
      </c>
      <c r="R625" s="1">
        <f t="shared" si="61"/>
        <v>168.07928214540635</v>
      </c>
      <c r="S625" s="1">
        <f t="shared" si="62"/>
        <v>90.100059328968896</v>
      </c>
    </row>
    <row r="626" spans="1:19" x14ac:dyDescent="0.3">
      <c r="A626">
        <v>13633.2</v>
      </c>
      <c r="B626">
        <v>162.49210500000001</v>
      </c>
      <c r="C626">
        <v>169.157747</v>
      </c>
      <c r="D626">
        <v>175.474163</v>
      </c>
      <c r="E626">
        <v>90.691068999999999</v>
      </c>
      <c r="F626">
        <v>58.802934999999998</v>
      </c>
      <c r="G626">
        <v>30.016431999999998</v>
      </c>
      <c r="H626">
        <v>33.645932999999999</v>
      </c>
      <c r="I626"/>
      <c r="N626"/>
      <c r="O626"/>
      <c r="P626" s="1">
        <f t="shared" si="59"/>
        <v>155.57071544715447</v>
      </c>
      <c r="Q626" s="1">
        <f t="shared" si="60"/>
        <v>161.69429674796746</v>
      </c>
      <c r="R626" s="1">
        <f t="shared" si="61"/>
        <v>168.07928214540635</v>
      </c>
      <c r="S626" s="1">
        <f t="shared" si="62"/>
        <v>90.100059328968896</v>
      </c>
    </row>
    <row r="627" spans="1:19" x14ac:dyDescent="0.3">
      <c r="A627">
        <v>13633.4</v>
      </c>
      <c r="B627">
        <v>162.47254599999999</v>
      </c>
      <c r="C627">
        <v>169.166087</v>
      </c>
      <c r="D627">
        <v>175.491354</v>
      </c>
      <c r="E627">
        <v>90.624219999999994</v>
      </c>
      <c r="F627">
        <v>58.561411</v>
      </c>
      <c r="G627">
        <v>30.024823999999999</v>
      </c>
      <c r="H627">
        <v>33.657809999999998</v>
      </c>
      <c r="I627"/>
      <c r="N627"/>
      <c r="O627"/>
      <c r="P627" s="1">
        <f t="shared" si="59"/>
        <v>155.55206605691058</v>
      </c>
      <c r="Q627" s="1">
        <f t="shared" si="60"/>
        <v>161.69677032520326</v>
      </c>
      <c r="R627" s="1">
        <f t="shared" si="61"/>
        <v>168.05318140104009</v>
      </c>
      <c r="S627" s="1">
        <f t="shared" si="62"/>
        <v>90.144224631751229</v>
      </c>
    </row>
    <row r="628" spans="1:19" x14ac:dyDescent="0.3">
      <c r="A628">
        <v>13633.6</v>
      </c>
      <c r="B628">
        <v>162.47254599999999</v>
      </c>
      <c r="C628">
        <v>169.166087</v>
      </c>
      <c r="D628">
        <v>175.491354</v>
      </c>
      <c r="E628">
        <v>90.624219999999994</v>
      </c>
      <c r="F628">
        <v>58.561411</v>
      </c>
      <c r="G628">
        <v>30.024823999999999</v>
      </c>
      <c r="H628">
        <v>33.657809999999998</v>
      </c>
      <c r="I628"/>
      <c r="N628"/>
      <c r="O628"/>
      <c r="P628" s="1">
        <f t="shared" si="59"/>
        <v>155.55206605691058</v>
      </c>
      <c r="Q628" s="1">
        <f t="shared" si="60"/>
        <v>161.69677032520326</v>
      </c>
      <c r="R628" s="1">
        <f t="shared" si="61"/>
        <v>168.05318140104009</v>
      </c>
      <c r="S628" s="1">
        <f t="shared" si="62"/>
        <v>90.144224631751229</v>
      </c>
    </row>
    <row r="629" spans="1:19" x14ac:dyDescent="0.3">
      <c r="A629">
        <v>13633.8</v>
      </c>
      <c r="B629">
        <v>162.48807099999999</v>
      </c>
      <c r="C629">
        <v>169.15581399999999</v>
      </c>
      <c r="D629">
        <v>175.485106</v>
      </c>
      <c r="E629">
        <v>90.715508999999997</v>
      </c>
      <c r="F629">
        <v>58.638027999999998</v>
      </c>
      <c r="G629">
        <v>30.014054999999999</v>
      </c>
      <c r="H629">
        <v>33.635364000000003</v>
      </c>
      <c r="I629"/>
      <c r="N629"/>
      <c r="O629"/>
      <c r="P629" s="1">
        <f t="shared" si="59"/>
        <v>155.54582113821138</v>
      </c>
      <c r="Q629" s="1">
        <f t="shared" si="60"/>
        <v>161.69740752032519</v>
      </c>
      <c r="R629" s="1">
        <f t="shared" si="61"/>
        <v>168.04429387172428</v>
      </c>
      <c r="S629" s="1">
        <f t="shared" si="62"/>
        <v>90.200165711947619</v>
      </c>
    </row>
    <row r="630" spans="1:19" x14ac:dyDescent="0.3">
      <c r="A630">
        <v>13634</v>
      </c>
      <c r="B630">
        <v>162.48807099999999</v>
      </c>
      <c r="C630">
        <v>169.15581399999999</v>
      </c>
      <c r="D630">
        <v>175.485106</v>
      </c>
      <c r="E630">
        <v>90.715508999999997</v>
      </c>
      <c r="F630">
        <v>58.638027999999998</v>
      </c>
      <c r="G630">
        <v>30.014054999999999</v>
      </c>
      <c r="H630">
        <v>33.635364000000003</v>
      </c>
      <c r="I630" t="s">
        <v>56</v>
      </c>
      <c r="N630"/>
      <c r="O630"/>
      <c r="P630" s="1">
        <f t="shared" si="59"/>
        <v>155.54582113821138</v>
      </c>
      <c r="Q630" s="1">
        <f t="shared" si="60"/>
        <v>161.69740752032519</v>
      </c>
      <c r="R630" s="1">
        <f t="shared" si="61"/>
        <v>168.04429387172428</v>
      </c>
      <c r="S630" s="1">
        <f t="shared" si="62"/>
        <v>90.200165711947619</v>
      </c>
    </row>
    <row r="631" spans="1:19" x14ac:dyDescent="0.3">
      <c r="A631">
        <v>13634.2</v>
      </c>
      <c r="B631">
        <v>162.47754</v>
      </c>
      <c r="C631">
        <v>169.14289299999999</v>
      </c>
      <c r="D631">
        <v>175.50125700000001</v>
      </c>
      <c r="E631">
        <v>90.604297000000003</v>
      </c>
      <c r="F631">
        <v>58.762678000000001</v>
      </c>
      <c r="G631">
        <v>30.017983000000001</v>
      </c>
      <c r="H631">
        <v>33.637639</v>
      </c>
      <c r="I631"/>
      <c r="N631"/>
      <c r="O631"/>
      <c r="P631" s="1">
        <f t="shared" si="59"/>
        <v>155.56428353658538</v>
      </c>
      <c r="Q631" s="1">
        <f t="shared" si="60"/>
        <v>161.68855284552845</v>
      </c>
      <c r="R631" s="1">
        <f t="shared" si="61"/>
        <v>168.06449270928928</v>
      </c>
      <c r="S631" s="1">
        <f t="shared" si="62"/>
        <v>90.301371726677573</v>
      </c>
    </row>
    <row r="632" spans="1:19" x14ac:dyDescent="0.3">
      <c r="A632">
        <v>13634.4</v>
      </c>
      <c r="B632">
        <v>162.47754</v>
      </c>
      <c r="C632">
        <v>169.14289299999999</v>
      </c>
      <c r="D632">
        <v>175.50125700000001</v>
      </c>
      <c r="E632">
        <v>90.604297000000003</v>
      </c>
      <c r="F632">
        <v>58.762678000000001</v>
      </c>
      <c r="G632">
        <v>30.017983000000001</v>
      </c>
      <c r="H632">
        <v>33.637639</v>
      </c>
      <c r="I632"/>
      <c r="N632"/>
      <c r="O632"/>
      <c r="P632" s="1">
        <f t="shared" si="59"/>
        <v>155.56428353658538</v>
      </c>
      <c r="Q632" s="1">
        <f t="shared" si="60"/>
        <v>161.68855284552845</v>
      </c>
      <c r="R632" s="1">
        <f t="shared" si="61"/>
        <v>168.06449270928928</v>
      </c>
      <c r="S632" s="1">
        <f t="shared" si="62"/>
        <v>90.301371726677573</v>
      </c>
    </row>
    <row r="633" spans="1:19" x14ac:dyDescent="0.3">
      <c r="A633">
        <v>13634.6</v>
      </c>
      <c r="B633">
        <v>162.497907</v>
      </c>
      <c r="C633">
        <v>169.14500100000001</v>
      </c>
      <c r="D633">
        <v>175.49961200000001</v>
      </c>
      <c r="E633">
        <v>90.574406999999994</v>
      </c>
      <c r="F633">
        <v>59.089692999999997</v>
      </c>
      <c r="G633">
        <v>30.027487000000001</v>
      </c>
      <c r="H633">
        <v>33.645235999999997</v>
      </c>
      <c r="I633"/>
      <c r="N633"/>
      <c r="O633"/>
      <c r="P633" s="1">
        <f t="shared" si="59"/>
        <v>155.55616565040648</v>
      </c>
      <c r="Q633" s="1">
        <f t="shared" si="60"/>
        <v>161.68325813008127</v>
      </c>
      <c r="R633" s="1">
        <f t="shared" si="61"/>
        <v>168.0587243805445</v>
      </c>
      <c r="S633" s="1">
        <f t="shared" si="62"/>
        <v>90.368358224222575</v>
      </c>
    </row>
    <row r="634" spans="1:19" x14ac:dyDescent="0.3">
      <c r="A634">
        <v>13634.8</v>
      </c>
      <c r="B634">
        <v>162.497907</v>
      </c>
      <c r="C634">
        <v>169.14500100000001</v>
      </c>
      <c r="D634">
        <v>175.49961200000001</v>
      </c>
      <c r="E634">
        <v>90.574406999999994</v>
      </c>
      <c r="F634">
        <v>59.089692999999997</v>
      </c>
      <c r="G634">
        <v>30.027487000000001</v>
      </c>
      <c r="H634">
        <v>33.645235999999997</v>
      </c>
      <c r="I634"/>
      <c r="N634"/>
      <c r="O634"/>
      <c r="P634" s="1">
        <f t="shared" si="59"/>
        <v>155.55616565040648</v>
      </c>
      <c r="Q634" s="1">
        <f t="shared" si="60"/>
        <v>161.68325813008127</v>
      </c>
      <c r="R634" s="1">
        <f t="shared" si="61"/>
        <v>168.0587243805445</v>
      </c>
      <c r="S634" s="1">
        <f t="shared" si="62"/>
        <v>90.368358224222575</v>
      </c>
    </row>
    <row r="635" spans="1:19" x14ac:dyDescent="0.3">
      <c r="A635">
        <v>13635</v>
      </c>
      <c r="B635">
        <v>162.482032</v>
      </c>
      <c r="C635">
        <v>169.15445299999999</v>
      </c>
      <c r="D635">
        <v>175.493111</v>
      </c>
      <c r="E635">
        <v>90.645454000000001</v>
      </c>
      <c r="F635">
        <v>58.909179000000002</v>
      </c>
      <c r="G635">
        <v>30.019106000000001</v>
      </c>
      <c r="H635">
        <v>33.664762000000003</v>
      </c>
      <c r="I635" t="s">
        <v>56</v>
      </c>
      <c r="N635"/>
      <c r="O635"/>
      <c r="P635" s="1">
        <f t="shared" si="59"/>
        <v>155.56473678861786</v>
      </c>
      <c r="Q635" s="1">
        <f t="shared" si="60"/>
        <v>161.69305691056911</v>
      </c>
      <c r="R635" s="1">
        <f t="shared" si="61"/>
        <v>168.0780432344244</v>
      </c>
      <c r="S635" s="1">
        <f t="shared" si="62"/>
        <v>90.3807866202946</v>
      </c>
    </row>
    <row r="636" spans="1:19" x14ac:dyDescent="0.3">
      <c r="A636">
        <v>13635.2</v>
      </c>
      <c r="B636">
        <v>162.482032</v>
      </c>
      <c r="C636">
        <v>169.15445299999999</v>
      </c>
      <c r="D636">
        <v>175.493111</v>
      </c>
      <c r="E636">
        <v>90.645454000000001</v>
      </c>
      <c r="F636">
        <v>58.909179000000002</v>
      </c>
      <c r="G636">
        <v>30.019106000000001</v>
      </c>
      <c r="H636">
        <v>33.664762000000003</v>
      </c>
      <c r="I636"/>
      <c r="N636"/>
      <c r="O636"/>
      <c r="P636" s="1">
        <f t="shared" si="59"/>
        <v>155.56473678861786</v>
      </c>
      <c r="Q636" s="1">
        <f t="shared" si="60"/>
        <v>161.69305691056911</v>
      </c>
      <c r="R636" s="1">
        <f t="shared" si="61"/>
        <v>168.0780432344244</v>
      </c>
      <c r="S636" s="1">
        <f t="shared" si="62"/>
        <v>90.3807866202946</v>
      </c>
    </row>
    <row r="637" spans="1:19" x14ac:dyDescent="0.3">
      <c r="A637">
        <v>13635.4</v>
      </c>
      <c r="B637">
        <v>162.49065999999999</v>
      </c>
      <c r="C637">
        <v>169.140548</v>
      </c>
      <c r="D637">
        <v>175.488629</v>
      </c>
      <c r="E637">
        <v>90.714623000000003</v>
      </c>
      <c r="F637">
        <v>58.577620000000003</v>
      </c>
      <c r="G637">
        <v>29.993561</v>
      </c>
      <c r="H637">
        <v>33.644458999999998</v>
      </c>
      <c r="I637"/>
      <c r="N637"/>
      <c r="O637"/>
      <c r="P637" s="1">
        <f t="shared" si="59"/>
        <v>155.56955792682928</v>
      </c>
      <c r="Q637" s="1">
        <f t="shared" si="60"/>
        <v>161.7038556910569</v>
      </c>
      <c r="R637" s="1">
        <f t="shared" si="61"/>
        <v>168.05335780564903</v>
      </c>
      <c r="S637" s="1">
        <f t="shared" si="62"/>
        <v>90.314741202945982</v>
      </c>
    </row>
    <row r="638" spans="1:19" x14ac:dyDescent="0.3">
      <c r="A638">
        <v>13635.6</v>
      </c>
      <c r="B638">
        <v>162.49065999999999</v>
      </c>
      <c r="C638">
        <v>169.140548</v>
      </c>
      <c r="D638">
        <v>175.488629</v>
      </c>
      <c r="E638">
        <v>90.714623000000003</v>
      </c>
      <c r="F638">
        <v>58.577620000000003</v>
      </c>
      <c r="G638">
        <v>29.993561</v>
      </c>
      <c r="H638">
        <v>33.644458999999998</v>
      </c>
      <c r="I638"/>
      <c r="N638"/>
      <c r="O638"/>
      <c r="P638" s="1">
        <f t="shared" si="59"/>
        <v>155.56955792682928</v>
      </c>
      <c r="Q638" s="1">
        <f t="shared" si="60"/>
        <v>161.7038556910569</v>
      </c>
      <c r="R638" s="1">
        <f t="shared" si="61"/>
        <v>168.05335780564903</v>
      </c>
      <c r="S638" s="1">
        <f t="shared" si="62"/>
        <v>90.314741202945982</v>
      </c>
    </row>
    <row r="639" spans="1:19" x14ac:dyDescent="0.3">
      <c r="A639">
        <v>13635.8</v>
      </c>
      <c r="B639">
        <v>162.48140900000001</v>
      </c>
      <c r="C639">
        <v>169.16229000000001</v>
      </c>
      <c r="D639">
        <v>175.490148</v>
      </c>
      <c r="E639">
        <v>90.588685999999996</v>
      </c>
      <c r="F639">
        <v>58.985388999999998</v>
      </c>
      <c r="G639">
        <v>30.013818000000001</v>
      </c>
      <c r="H639">
        <v>33.650120999999999</v>
      </c>
      <c r="I639"/>
      <c r="N639"/>
      <c r="O639"/>
      <c r="P639" s="1">
        <f t="shared" si="59"/>
        <v>155.6002794715447</v>
      </c>
      <c r="Q639" s="1">
        <f t="shared" si="60"/>
        <v>161.70993292682925</v>
      </c>
      <c r="R639" s="1">
        <f t="shared" si="61"/>
        <v>168.08467013357807</v>
      </c>
      <c r="S639" s="1">
        <f t="shared" si="62"/>
        <v>90.412660597381333</v>
      </c>
    </row>
    <row r="640" spans="1:19" x14ac:dyDescent="0.3">
      <c r="A640">
        <v>13636</v>
      </c>
      <c r="B640">
        <v>162.48140900000001</v>
      </c>
      <c r="C640">
        <v>169.16229000000001</v>
      </c>
      <c r="D640">
        <v>175.490148</v>
      </c>
      <c r="E640">
        <v>90.588685999999996</v>
      </c>
      <c r="F640">
        <v>58.985388999999998</v>
      </c>
      <c r="G640">
        <v>30.013818000000001</v>
      </c>
      <c r="H640">
        <v>33.650120999999999</v>
      </c>
      <c r="I640" t="s">
        <v>56</v>
      </c>
      <c r="N640"/>
      <c r="O640"/>
      <c r="P640" s="1">
        <f t="shared" si="59"/>
        <v>155.6002794715447</v>
      </c>
      <c r="Q640" s="1">
        <f t="shared" si="60"/>
        <v>161.70993292682925</v>
      </c>
      <c r="R640" s="1">
        <f t="shared" si="61"/>
        <v>168.08467013357807</v>
      </c>
      <c r="S640" s="1">
        <f t="shared" si="62"/>
        <v>90.412660597381333</v>
      </c>
    </row>
    <row r="641" spans="1:19" x14ac:dyDescent="0.3">
      <c r="A641">
        <v>13636.2</v>
      </c>
      <c r="B641">
        <v>162.49077600000001</v>
      </c>
      <c r="C641">
        <v>169.167226</v>
      </c>
      <c r="D641">
        <v>175.50746100000001</v>
      </c>
      <c r="E641">
        <v>90.608232999999998</v>
      </c>
      <c r="F641">
        <v>58.978068999999998</v>
      </c>
      <c r="G641">
        <v>30.015658999999999</v>
      </c>
      <c r="H641">
        <v>33.667183999999999</v>
      </c>
      <c r="I641"/>
      <c r="N641"/>
      <c r="O641"/>
      <c r="P641" s="1">
        <f t="shared" si="59"/>
        <v>155.58727235772358</v>
      </c>
      <c r="Q641" s="1">
        <f t="shared" si="60"/>
        <v>161.70759044715444</v>
      </c>
      <c r="R641" s="1">
        <f t="shared" si="61"/>
        <v>168.06113694299992</v>
      </c>
      <c r="S641" s="1">
        <f t="shared" si="62"/>
        <v>90.334639934533541</v>
      </c>
    </row>
    <row r="642" spans="1:19" x14ac:dyDescent="0.3">
      <c r="A642">
        <v>13636.4</v>
      </c>
      <c r="B642">
        <v>162.49077600000001</v>
      </c>
      <c r="C642">
        <v>169.167226</v>
      </c>
      <c r="D642">
        <v>175.50746100000001</v>
      </c>
      <c r="E642">
        <v>90.608232999999998</v>
      </c>
      <c r="F642">
        <v>58.978068999999998</v>
      </c>
      <c r="G642">
        <v>30.015658999999999</v>
      </c>
      <c r="H642">
        <v>33.667183999999999</v>
      </c>
      <c r="I642"/>
      <c r="N642"/>
      <c r="O642"/>
      <c r="P642" s="1">
        <f t="shared" si="59"/>
        <v>155.58727235772358</v>
      </c>
      <c r="Q642" s="1">
        <f t="shared" si="60"/>
        <v>161.70759044715444</v>
      </c>
      <c r="R642" s="1">
        <f t="shared" si="61"/>
        <v>168.06113694299992</v>
      </c>
      <c r="S642" s="1">
        <f t="shared" si="62"/>
        <v>90.334639934533541</v>
      </c>
    </row>
    <row r="643" spans="1:19" x14ac:dyDescent="0.3">
      <c r="A643">
        <v>13636.6</v>
      </c>
      <c r="B643">
        <v>162.50255100000001</v>
      </c>
      <c r="C643">
        <v>169.15742</v>
      </c>
      <c r="D643">
        <v>175.501912</v>
      </c>
      <c r="E643">
        <v>90.598859000000004</v>
      </c>
      <c r="F643">
        <v>59.167087000000002</v>
      </c>
      <c r="G643">
        <v>30.026916</v>
      </c>
      <c r="H643">
        <v>33.659426000000003</v>
      </c>
      <c r="I643"/>
      <c r="N643"/>
      <c r="O643"/>
      <c r="P643" s="1">
        <f t="shared" si="59"/>
        <v>165.93354166666666</v>
      </c>
      <c r="Q643" s="1">
        <f t="shared" si="60"/>
        <v>172.70756808943088</v>
      </c>
      <c r="R643" s="1">
        <f t="shared" si="61"/>
        <v>179.75370959518713</v>
      </c>
      <c r="S643" s="1">
        <f t="shared" si="62"/>
        <v>93.714064034369883</v>
      </c>
    </row>
    <row r="644" spans="1:19" x14ac:dyDescent="0.3">
      <c r="A644">
        <v>13636.8</v>
      </c>
      <c r="B644">
        <v>162.50255100000001</v>
      </c>
      <c r="C644">
        <v>169.15742</v>
      </c>
      <c r="D644">
        <v>175.501912</v>
      </c>
      <c r="E644">
        <v>90.598859000000004</v>
      </c>
      <c r="F644">
        <v>59.167087000000002</v>
      </c>
      <c r="G644">
        <v>30.026916</v>
      </c>
      <c r="H644">
        <v>33.659426000000003</v>
      </c>
      <c r="I644"/>
      <c r="N644"/>
      <c r="O644"/>
      <c r="P644" s="1">
        <f t="shared" si="59"/>
        <v>165.93354166666666</v>
      </c>
      <c r="Q644" s="1">
        <f t="shared" si="60"/>
        <v>172.70756808943088</v>
      </c>
      <c r="R644" s="1">
        <f t="shared" si="61"/>
        <v>179.75370959518713</v>
      </c>
      <c r="S644" s="1">
        <f t="shared" si="62"/>
        <v>93.714064034369883</v>
      </c>
    </row>
    <row r="645" spans="1:19" x14ac:dyDescent="0.3">
      <c r="A645">
        <v>13637</v>
      </c>
      <c r="B645">
        <v>162.50780499999999</v>
      </c>
      <c r="C645">
        <v>169.15681699999999</v>
      </c>
      <c r="D645">
        <v>175.491252</v>
      </c>
      <c r="E645">
        <v>90.711524999999995</v>
      </c>
      <c r="F645">
        <v>59.313930999999997</v>
      </c>
      <c r="G645">
        <v>30.027702999999999</v>
      </c>
      <c r="H645">
        <v>33.656227999999999</v>
      </c>
      <c r="I645" t="s">
        <v>56</v>
      </c>
      <c r="N645"/>
      <c r="O645"/>
      <c r="P645" s="1">
        <f t="shared" si="59"/>
        <v>165.91366463414633</v>
      </c>
      <c r="Q645" s="1">
        <f t="shared" si="60"/>
        <v>172.716043699187</v>
      </c>
      <c r="R645" s="1">
        <f t="shared" si="61"/>
        <v>179.77123891098196</v>
      </c>
      <c r="S645" s="1">
        <f t="shared" si="62"/>
        <v>93.645683306055645</v>
      </c>
    </row>
    <row r="646" spans="1:19" x14ac:dyDescent="0.3">
      <c r="A646">
        <v>13637.2</v>
      </c>
      <c r="B646">
        <v>162.50780499999999</v>
      </c>
      <c r="C646">
        <v>169.15681699999999</v>
      </c>
      <c r="D646">
        <v>175.491252</v>
      </c>
      <c r="E646">
        <v>90.711524999999995</v>
      </c>
      <c r="F646">
        <v>59.313930999999997</v>
      </c>
      <c r="G646">
        <v>30.027702999999999</v>
      </c>
      <c r="H646">
        <v>33.656227999999999</v>
      </c>
      <c r="I646"/>
      <c r="N646"/>
      <c r="O646"/>
      <c r="P646" s="1">
        <f t="shared" si="59"/>
        <v>165.91366463414633</v>
      </c>
      <c r="Q646" s="1">
        <f t="shared" si="60"/>
        <v>172.716043699187</v>
      </c>
      <c r="R646" s="1">
        <f t="shared" si="61"/>
        <v>179.77123891098196</v>
      </c>
      <c r="S646" s="1">
        <f t="shared" si="62"/>
        <v>93.645683306055645</v>
      </c>
    </row>
    <row r="647" spans="1:19" x14ac:dyDescent="0.3">
      <c r="A647">
        <v>13637.4</v>
      </c>
      <c r="B647">
        <v>162.489971</v>
      </c>
      <c r="C647">
        <v>169.155135</v>
      </c>
      <c r="D647">
        <v>175.510166</v>
      </c>
      <c r="E647">
        <v>90.613975999999994</v>
      </c>
      <c r="F647">
        <v>58.899554999999999</v>
      </c>
      <c r="G647">
        <v>30.017935000000001</v>
      </c>
      <c r="H647">
        <v>33.650475999999998</v>
      </c>
      <c r="I647"/>
      <c r="N647"/>
      <c r="O647"/>
      <c r="P647" s="1">
        <f t="shared" si="59"/>
        <v>165.92944207317072</v>
      </c>
      <c r="Q647" s="1">
        <f t="shared" si="60"/>
        <v>172.70560365853657</v>
      </c>
      <c r="R647" s="1">
        <f t="shared" si="61"/>
        <v>179.76486795146326</v>
      </c>
      <c r="S647" s="1">
        <f t="shared" si="62"/>
        <v>93.739064034369875</v>
      </c>
    </row>
    <row r="648" spans="1:19" x14ac:dyDescent="0.3">
      <c r="A648">
        <v>13637.6</v>
      </c>
      <c r="B648">
        <v>162.489971</v>
      </c>
      <c r="C648">
        <v>169.155135</v>
      </c>
      <c r="D648">
        <v>175.510166</v>
      </c>
      <c r="E648">
        <v>90.613975999999994</v>
      </c>
      <c r="F648">
        <v>58.899554999999999</v>
      </c>
      <c r="G648">
        <v>30.017935000000001</v>
      </c>
      <c r="H648">
        <v>33.650475999999998</v>
      </c>
      <c r="I648"/>
      <c r="N648"/>
      <c r="O648"/>
      <c r="P648" s="1">
        <f t="shared" si="59"/>
        <v>165.92944207317072</v>
      </c>
      <c r="Q648" s="1">
        <f t="shared" si="60"/>
        <v>172.70560365853657</v>
      </c>
      <c r="R648" s="1">
        <f t="shared" si="61"/>
        <v>179.76486795146326</v>
      </c>
      <c r="S648" s="1">
        <f t="shared" si="62"/>
        <v>93.739064034369875</v>
      </c>
    </row>
    <row r="649" spans="1:19" x14ac:dyDescent="0.3">
      <c r="A649">
        <v>13637.8</v>
      </c>
      <c r="B649">
        <v>162.50512699999999</v>
      </c>
      <c r="C649">
        <v>169.17175800000001</v>
      </c>
      <c r="D649">
        <v>175.48927800000001</v>
      </c>
      <c r="E649">
        <v>90.607173000000003</v>
      </c>
      <c r="F649">
        <v>59.042928000000003</v>
      </c>
      <c r="G649">
        <v>30.031451000000001</v>
      </c>
      <c r="H649">
        <v>33.662070999999997</v>
      </c>
      <c r="I649"/>
      <c r="N649"/>
      <c r="O649"/>
      <c r="P649" s="1">
        <f t="shared" si="59"/>
        <v>165.91873983739836</v>
      </c>
      <c r="Q649" s="1">
        <f t="shared" si="60"/>
        <v>172.69247256097557</v>
      </c>
      <c r="R649" s="1">
        <f t="shared" si="61"/>
        <v>179.78133680024473</v>
      </c>
      <c r="S649" s="1">
        <f t="shared" si="62"/>
        <v>93.625303805237323</v>
      </c>
    </row>
    <row r="650" spans="1:19" x14ac:dyDescent="0.3">
      <c r="A650">
        <v>13638</v>
      </c>
      <c r="B650">
        <v>162.50512699999999</v>
      </c>
      <c r="C650">
        <v>169.17175800000001</v>
      </c>
      <c r="D650">
        <v>175.48927800000001</v>
      </c>
      <c r="E650">
        <v>90.607173000000003</v>
      </c>
      <c r="F650">
        <v>59.042928000000003</v>
      </c>
      <c r="G650">
        <v>30.031451000000001</v>
      </c>
      <c r="H650">
        <v>33.662070999999997</v>
      </c>
      <c r="I650" t="s">
        <v>56</v>
      </c>
      <c r="N650"/>
      <c r="O650"/>
      <c r="P650" s="1">
        <f t="shared" si="59"/>
        <v>165.91873983739836</v>
      </c>
      <c r="Q650" s="1">
        <f t="shared" si="60"/>
        <v>172.69247256097557</v>
      </c>
      <c r="R650" s="1">
        <f t="shared" si="61"/>
        <v>179.78133680024473</v>
      </c>
      <c r="S650" s="1">
        <f t="shared" si="62"/>
        <v>93.625303805237323</v>
      </c>
    </row>
    <row r="651" spans="1:19" x14ac:dyDescent="0.3">
      <c r="A651">
        <v>13638.2</v>
      </c>
      <c r="B651">
        <v>162.510998</v>
      </c>
      <c r="C651">
        <v>169.18305699999999</v>
      </c>
      <c r="D651">
        <v>175.48344499999999</v>
      </c>
      <c r="E651">
        <v>90.623365000000007</v>
      </c>
      <c r="F651">
        <v>59.224359999999997</v>
      </c>
      <c r="G651">
        <v>30.031358999999998</v>
      </c>
      <c r="H651">
        <v>33.665492999999998</v>
      </c>
      <c r="I651"/>
      <c r="N651"/>
      <c r="O651"/>
      <c r="P651" s="1">
        <f t="shared" si="59"/>
        <v>165.93943800813008</v>
      </c>
      <c r="Q651" s="1">
        <f t="shared" si="60"/>
        <v>172.69461483739838</v>
      </c>
      <c r="R651" s="1">
        <f t="shared" si="61"/>
        <v>179.77965942693996</v>
      </c>
      <c r="S651" s="1">
        <f t="shared" si="62"/>
        <v>93.594728927986893</v>
      </c>
    </row>
    <row r="652" spans="1:19" x14ac:dyDescent="0.3">
      <c r="A652">
        <v>13638.4</v>
      </c>
      <c r="B652">
        <v>162.510998</v>
      </c>
      <c r="C652">
        <v>169.18305699999999</v>
      </c>
      <c r="D652">
        <v>175.48344499999999</v>
      </c>
      <c r="E652">
        <v>90.623365000000007</v>
      </c>
      <c r="F652">
        <v>59.224359999999997</v>
      </c>
      <c r="G652">
        <v>30.031358999999998</v>
      </c>
      <c r="H652">
        <v>33.665492999999998</v>
      </c>
      <c r="I652"/>
      <c r="N652"/>
      <c r="O652"/>
      <c r="P652" s="1">
        <f t="shared" si="59"/>
        <v>165.93943800813008</v>
      </c>
      <c r="Q652" s="1">
        <f t="shared" si="60"/>
        <v>172.69461483739838</v>
      </c>
      <c r="R652" s="1">
        <f t="shared" si="61"/>
        <v>179.77965942693996</v>
      </c>
      <c r="S652" s="1">
        <f t="shared" si="62"/>
        <v>93.594728927986893</v>
      </c>
    </row>
    <row r="653" spans="1:19" x14ac:dyDescent="0.3">
      <c r="A653">
        <v>13638.6</v>
      </c>
      <c r="B653">
        <v>162.50565800000001</v>
      </c>
      <c r="C653">
        <v>169.16618</v>
      </c>
      <c r="D653">
        <v>175.497997</v>
      </c>
      <c r="E653">
        <v>90.651270999999994</v>
      </c>
      <c r="F653">
        <v>59.326009999999997</v>
      </c>
      <c r="G653">
        <v>30.028511000000002</v>
      </c>
      <c r="H653">
        <v>33.646725000000004</v>
      </c>
      <c r="I653"/>
      <c r="N653"/>
      <c r="O653"/>
      <c r="P653" s="1">
        <f t="shared" si="59"/>
        <v>165.92330487804878</v>
      </c>
      <c r="Q653" s="1">
        <f t="shared" si="60"/>
        <v>172.70422052845527</v>
      </c>
      <c r="R653" s="1">
        <f t="shared" si="61"/>
        <v>179.77303048842666</v>
      </c>
      <c r="S653" s="1">
        <f t="shared" si="62"/>
        <v>93.667403846153846</v>
      </c>
    </row>
    <row r="654" spans="1:19" x14ac:dyDescent="0.3">
      <c r="A654">
        <v>13638.8</v>
      </c>
      <c r="B654">
        <v>162.50565800000001</v>
      </c>
      <c r="C654">
        <v>169.16618</v>
      </c>
      <c r="D654">
        <v>175.497997</v>
      </c>
      <c r="E654">
        <v>90.651270999999994</v>
      </c>
      <c r="F654">
        <v>59.326009999999997</v>
      </c>
      <c r="G654">
        <v>30.028511000000002</v>
      </c>
      <c r="H654">
        <v>33.646725000000004</v>
      </c>
      <c r="I654"/>
      <c r="N654"/>
      <c r="O654"/>
      <c r="P654" s="1">
        <f t="shared" si="59"/>
        <v>165.92330487804878</v>
      </c>
      <c r="Q654" s="1">
        <f t="shared" si="60"/>
        <v>172.70422052845527</v>
      </c>
      <c r="R654" s="1">
        <f t="shared" si="61"/>
        <v>179.77303048842666</v>
      </c>
      <c r="S654" s="1">
        <f t="shared" si="62"/>
        <v>93.667403846153846</v>
      </c>
    </row>
    <row r="655" spans="1:19" x14ac:dyDescent="0.3">
      <c r="A655">
        <v>13639</v>
      </c>
      <c r="B655">
        <v>162.49391499999999</v>
      </c>
      <c r="C655">
        <v>169.15909400000001</v>
      </c>
      <c r="D655">
        <v>175.491647</v>
      </c>
      <c r="E655">
        <v>90.597089999999994</v>
      </c>
      <c r="F655">
        <v>58.892744</v>
      </c>
      <c r="G655">
        <v>30.025223</v>
      </c>
      <c r="H655">
        <v>33.666640999999998</v>
      </c>
      <c r="I655" t="s">
        <v>56</v>
      </c>
      <c r="N655"/>
      <c r="O655"/>
      <c r="P655" s="1">
        <f t="shared" si="59"/>
        <v>165.93207317073168</v>
      </c>
      <c r="Q655" s="1">
        <f t="shared" si="60"/>
        <v>172.69008943089429</v>
      </c>
      <c r="R655" s="1">
        <f t="shared" si="61"/>
        <v>179.768460283471</v>
      </c>
      <c r="S655" s="1">
        <f t="shared" si="62"/>
        <v>93.738157733224227</v>
      </c>
    </row>
    <row r="656" spans="1:19" x14ac:dyDescent="0.3">
      <c r="A656">
        <v>13639.2</v>
      </c>
      <c r="B656">
        <v>162.49391499999999</v>
      </c>
      <c r="C656">
        <v>169.15909400000001</v>
      </c>
      <c r="D656">
        <v>175.491647</v>
      </c>
      <c r="E656">
        <v>90.597089999999994</v>
      </c>
      <c r="F656">
        <v>58.892744</v>
      </c>
      <c r="G656">
        <v>30.025223</v>
      </c>
      <c r="H656">
        <v>33.666640999999998</v>
      </c>
      <c r="I656"/>
      <c r="N656"/>
      <c r="O656"/>
      <c r="P656" s="1">
        <f t="shared" si="59"/>
        <v>165.93207317073168</v>
      </c>
      <c r="Q656" s="1">
        <f t="shared" si="60"/>
        <v>172.69008943089429</v>
      </c>
      <c r="R656" s="1">
        <f t="shared" si="61"/>
        <v>179.768460283471</v>
      </c>
      <c r="S656" s="1">
        <f t="shared" si="62"/>
        <v>93.738157733224227</v>
      </c>
    </row>
    <row r="657" spans="1:19" x14ac:dyDescent="0.3">
      <c r="A657">
        <v>13639.4</v>
      </c>
      <c r="B657">
        <v>162.48992899999999</v>
      </c>
      <c r="C657">
        <v>169.159088</v>
      </c>
      <c r="D657">
        <v>175.495384</v>
      </c>
      <c r="E657">
        <v>90.700215</v>
      </c>
      <c r="F657">
        <v>59.106921999999997</v>
      </c>
      <c r="G657">
        <v>30.048024999999999</v>
      </c>
      <c r="H657">
        <v>33.686084999999999</v>
      </c>
      <c r="I657"/>
      <c r="N657"/>
      <c r="O657"/>
      <c r="P657" s="1">
        <f t="shared" si="59"/>
        <v>165.92267174796748</v>
      </c>
      <c r="Q657" s="1">
        <f t="shared" si="60"/>
        <v>172.7121849593496</v>
      </c>
      <c r="R657" s="1">
        <f t="shared" si="61"/>
        <v>179.7700091771184</v>
      </c>
      <c r="S657" s="1">
        <f t="shared" si="62"/>
        <v>93.609335106382972</v>
      </c>
    </row>
    <row r="658" spans="1:19" x14ac:dyDescent="0.3">
      <c r="A658">
        <v>13639.6</v>
      </c>
      <c r="B658">
        <v>162.48992899999999</v>
      </c>
      <c r="C658">
        <v>169.159088</v>
      </c>
      <c r="D658">
        <v>175.495384</v>
      </c>
      <c r="E658">
        <v>90.700215</v>
      </c>
      <c r="F658">
        <v>59.106921999999997</v>
      </c>
      <c r="G658">
        <v>30.048024999999999</v>
      </c>
      <c r="H658">
        <v>33.686084999999999</v>
      </c>
      <c r="I658"/>
      <c r="N658"/>
      <c r="O658"/>
      <c r="P658" s="1">
        <f t="shared" si="59"/>
        <v>165.92267174796748</v>
      </c>
      <c r="Q658" s="1">
        <f t="shared" si="60"/>
        <v>172.7121849593496</v>
      </c>
      <c r="R658" s="1">
        <f t="shared" si="61"/>
        <v>179.7700091771184</v>
      </c>
      <c r="S658" s="1">
        <f t="shared" si="62"/>
        <v>93.609335106382972</v>
      </c>
    </row>
    <row r="659" spans="1:19" x14ac:dyDescent="0.3">
      <c r="A659">
        <v>13639.8</v>
      </c>
      <c r="B659">
        <v>162.52305999999999</v>
      </c>
      <c r="C659">
        <v>169.15073799999999</v>
      </c>
      <c r="D659">
        <v>175.51023499999999</v>
      </c>
      <c r="E659">
        <v>90.621905999999996</v>
      </c>
      <c r="F659">
        <v>58.885975000000002</v>
      </c>
      <c r="G659">
        <v>30.024794</v>
      </c>
      <c r="H659">
        <v>33.648878000000003</v>
      </c>
      <c r="I659"/>
      <c r="N659"/>
      <c r="O659"/>
      <c r="P659" s="1">
        <f t="shared" si="59"/>
        <v>165.93219105691057</v>
      </c>
      <c r="Q659" s="1">
        <f t="shared" si="60"/>
        <v>172.71720121951219</v>
      </c>
      <c r="R659" s="1">
        <f t="shared" si="61"/>
        <v>179.78766289385135</v>
      </c>
      <c r="S659" s="1">
        <f t="shared" si="62"/>
        <v>93.629329991816689</v>
      </c>
    </row>
    <row r="660" spans="1:19" x14ac:dyDescent="0.3">
      <c r="A660">
        <v>13640</v>
      </c>
      <c r="B660">
        <v>162.52305999999999</v>
      </c>
      <c r="C660">
        <v>169.15073799999999</v>
      </c>
      <c r="D660">
        <v>175.51023499999999</v>
      </c>
      <c r="E660">
        <v>90.621905999999996</v>
      </c>
      <c r="F660">
        <v>58.885975000000002</v>
      </c>
      <c r="G660">
        <v>30.024794</v>
      </c>
      <c r="H660">
        <v>33.648878000000003</v>
      </c>
      <c r="I660" t="s">
        <v>56</v>
      </c>
      <c r="N660"/>
      <c r="O660"/>
      <c r="P660" s="1">
        <f t="shared" si="59"/>
        <v>165.93219105691057</v>
      </c>
      <c r="Q660" s="1">
        <f t="shared" si="60"/>
        <v>172.71720121951219</v>
      </c>
      <c r="R660" s="1">
        <f t="shared" si="61"/>
        <v>179.78766289385135</v>
      </c>
      <c r="S660" s="1">
        <f t="shared" si="62"/>
        <v>93.629329991816689</v>
      </c>
    </row>
    <row r="661" spans="1:19" x14ac:dyDescent="0.3">
      <c r="A661">
        <v>13640.2</v>
      </c>
      <c r="B661">
        <v>162.49520200000001</v>
      </c>
      <c r="C661">
        <v>169.146987</v>
      </c>
      <c r="D661">
        <v>175.503694</v>
      </c>
      <c r="E661">
        <v>90.663482999999999</v>
      </c>
      <c r="F661">
        <v>58.85736</v>
      </c>
      <c r="G661">
        <v>30.012136999999999</v>
      </c>
      <c r="H661">
        <v>33.639544000000001</v>
      </c>
      <c r="I661"/>
      <c r="N661"/>
      <c r="O661"/>
      <c r="P661" s="1">
        <f t="shared" si="59"/>
        <v>165.94415752032521</v>
      </c>
      <c r="Q661" s="1">
        <f t="shared" si="60"/>
        <v>172.70723577235771</v>
      </c>
      <c r="R661" s="1">
        <f t="shared" si="61"/>
        <v>179.7820046905272</v>
      </c>
      <c r="S661" s="1">
        <f t="shared" si="62"/>
        <v>93.619741202945988</v>
      </c>
    </row>
    <row r="662" spans="1:19" x14ac:dyDescent="0.3">
      <c r="A662">
        <v>13640.4</v>
      </c>
      <c r="B662">
        <v>162.49520200000001</v>
      </c>
      <c r="C662">
        <v>169.146987</v>
      </c>
      <c r="D662">
        <v>175.503694</v>
      </c>
      <c r="E662">
        <v>90.663482999999999</v>
      </c>
      <c r="F662">
        <v>58.85736</v>
      </c>
      <c r="G662">
        <v>30.012136999999999</v>
      </c>
      <c r="H662">
        <v>33.639544000000001</v>
      </c>
      <c r="I662"/>
      <c r="N662"/>
      <c r="O662"/>
      <c r="P662" s="1">
        <f t="shared" si="59"/>
        <v>165.94415752032521</v>
      </c>
      <c r="Q662" s="1">
        <f t="shared" si="60"/>
        <v>172.70723577235771</v>
      </c>
      <c r="R662" s="1">
        <f t="shared" si="61"/>
        <v>179.7820046905272</v>
      </c>
      <c r="S662" s="1">
        <f t="shared" si="62"/>
        <v>93.619741202945988</v>
      </c>
    </row>
    <row r="663" spans="1:19" x14ac:dyDescent="0.3">
      <c r="A663">
        <v>13640.6</v>
      </c>
      <c r="B663">
        <v>162.50341499999999</v>
      </c>
      <c r="C663">
        <v>169.167924</v>
      </c>
      <c r="D663">
        <v>175.49084300000001</v>
      </c>
      <c r="E663">
        <v>90.703492999999995</v>
      </c>
      <c r="F663">
        <v>58.673954000000002</v>
      </c>
      <c r="G663">
        <v>30.021802000000001</v>
      </c>
      <c r="H663">
        <v>33.669322999999999</v>
      </c>
      <c r="I663"/>
      <c r="N663"/>
      <c r="O663"/>
      <c r="P663" s="1">
        <f t="shared" si="59"/>
        <v>165.94949695121949</v>
      </c>
      <c r="Q663" s="1">
        <f t="shared" si="60"/>
        <v>172.70662296747966</v>
      </c>
      <c r="R663" s="1">
        <f t="shared" si="61"/>
        <v>179.77113490364027</v>
      </c>
      <c r="S663" s="1">
        <f t="shared" si="62"/>
        <v>93.734988747954162</v>
      </c>
    </row>
    <row r="664" spans="1:19" x14ac:dyDescent="0.3">
      <c r="A664">
        <v>13640.8</v>
      </c>
      <c r="B664">
        <v>162.50341499999999</v>
      </c>
      <c r="C664">
        <v>169.167924</v>
      </c>
      <c r="D664">
        <v>175.49084300000001</v>
      </c>
      <c r="E664">
        <v>90.703492999999995</v>
      </c>
      <c r="F664">
        <v>58.673954000000002</v>
      </c>
      <c r="G664">
        <v>30.021802000000001</v>
      </c>
      <c r="H664">
        <v>33.669322999999999</v>
      </c>
      <c r="I664"/>
      <c r="N664"/>
      <c r="O664"/>
      <c r="P664" s="1">
        <f t="shared" si="59"/>
        <v>165.94949695121949</v>
      </c>
      <c r="Q664" s="1">
        <f t="shared" si="60"/>
        <v>172.70662296747966</v>
      </c>
      <c r="R664" s="1">
        <f t="shared" si="61"/>
        <v>179.77113490364027</v>
      </c>
      <c r="S664" s="1">
        <f t="shared" si="62"/>
        <v>93.734988747954162</v>
      </c>
    </row>
    <row r="665" spans="1:19" x14ac:dyDescent="0.3">
      <c r="A665">
        <v>13641</v>
      </c>
      <c r="B665">
        <v>162.52628200000001</v>
      </c>
      <c r="C665">
        <v>169.17794900000001</v>
      </c>
      <c r="D665">
        <v>175.49263199999999</v>
      </c>
      <c r="E665">
        <v>90.672182000000006</v>
      </c>
      <c r="F665">
        <v>58.854219000000001</v>
      </c>
      <c r="G665">
        <v>30.009464000000001</v>
      </c>
      <c r="H665">
        <v>33.683968</v>
      </c>
      <c r="I665" t="s">
        <v>56</v>
      </c>
      <c r="N665"/>
      <c r="O665"/>
      <c r="P665" s="1">
        <f t="shared" si="59"/>
        <v>165.93137296747966</v>
      </c>
      <c r="Q665" s="1">
        <f t="shared" si="60"/>
        <v>172.70491361788618</v>
      </c>
      <c r="R665" s="1">
        <f t="shared" si="61"/>
        <v>179.79042112776588</v>
      </c>
      <c r="S665" s="1">
        <f t="shared" si="62"/>
        <v>93.635204582651383</v>
      </c>
    </row>
    <row r="666" spans="1:19" x14ac:dyDescent="0.3">
      <c r="A666">
        <v>13641.2</v>
      </c>
      <c r="B666">
        <v>162.52628200000001</v>
      </c>
      <c r="C666">
        <v>169.17794900000001</v>
      </c>
      <c r="D666">
        <v>175.49263199999999</v>
      </c>
      <c r="E666">
        <v>90.672182000000006</v>
      </c>
      <c r="F666">
        <v>58.854219000000001</v>
      </c>
      <c r="G666">
        <v>30.009464000000001</v>
      </c>
      <c r="H666">
        <v>33.683968</v>
      </c>
      <c r="I666"/>
      <c r="N666"/>
      <c r="O666"/>
      <c r="P666" s="1">
        <f t="shared" si="59"/>
        <v>165.93137296747966</v>
      </c>
      <c r="Q666" s="1">
        <f t="shared" si="60"/>
        <v>172.70491361788618</v>
      </c>
      <c r="R666" s="1">
        <f t="shared" si="61"/>
        <v>179.79042112776588</v>
      </c>
      <c r="S666" s="1">
        <f t="shared" si="62"/>
        <v>93.635204582651383</v>
      </c>
    </row>
    <row r="667" spans="1:19" x14ac:dyDescent="0.3">
      <c r="A667">
        <v>13641.4</v>
      </c>
      <c r="B667">
        <v>162.517449</v>
      </c>
      <c r="C667">
        <v>169.177075</v>
      </c>
      <c r="D667">
        <v>175.496441</v>
      </c>
      <c r="E667">
        <v>90.644834000000003</v>
      </c>
      <c r="F667">
        <v>58.865160000000003</v>
      </c>
      <c r="G667">
        <v>30.009837000000001</v>
      </c>
      <c r="H667">
        <v>33.647793999999998</v>
      </c>
      <c r="I667"/>
      <c r="N667"/>
      <c r="O667"/>
      <c r="P667" s="1">
        <f t="shared" si="59"/>
        <v>165.94677540650403</v>
      </c>
      <c r="Q667" s="1">
        <f t="shared" si="60"/>
        <v>172.72180691056911</v>
      </c>
      <c r="R667" s="1">
        <f t="shared" si="61"/>
        <v>179.76912205567453</v>
      </c>
      <c r="S667" s="1">
        <f t="shared" si="62"/>
        <v>93.628245703764321</v>
      </c>
    </row>
    <row r="668" spans="1:19" x14ac:dyDescent="0.3">
      <c r="A668">
        <v>13641.6</v>
      </c>
      <c r="B668">
        <v>162.517449</v>
      </c>
      <c r="C668">
        <v>169.177075</v>
      </c>
      <c r="D668">
        <v>175.496441</v>
      </c>
      <c r="E668">
        <v>90.644834000000003</v>
      </c>
      <c r="F668">
        <v>58.865160000000003</v>
      </c>
      <c r="G668">
        <v>30.009837000000001</v>
      </c>
      <c r="H668">
        <v>33.647793999999998</v>
      </c>
      <c r="I668"/>
      <c r="N668"/>
      <c r="O668"/>
      <c r="P668" s="1">
        <f t="shared" si="59"/>
        <v>165.94677540650403</v>
      </c>
      <c r="Q668" s="1">
        <f t="shared" si="60"/>
        <v>172.72180691056911</v>
      </c>
      <c r="R668" s="1">
        <f t="shared" si="61"/>
        <v>179.76912205567453</v>
      </c>
      <c r="S668" s="1">
        <f t="shared" si="62"/>
        <v>93.628245703764321</v>
      </c>
    </row>
    <row r="669" spans="1:19" x14ac:dyDescent="0.3">
      <c r="A669">
        <v>13641.8</v>
      </c>
      <c r="B669">
        <v>162.510503</v>
      </c>
      <c r="C669">
        <v>169.165166</v>
      </c>
      <c r="D669">
        <v>175.503773</v>
      </c>
      <c r="E669">
        <v>90.581998999999996</v>
      </c>
      <c r="F669">
        <v>58.811574999999998</v>
      </c>
      <c r="G669">
        <v>30.019438000000001</v>
      </c>
      <c r="H669">
        <v>33.667904</v>
      </c>
      <c r="I669"/>
      <c r="N669"/>
      <c r="O669"/>
      <c r="P669" s="1">
        <f t="shared" si="59"/>
        <v>165.9527418699187</v>
      </c>
      <c r="Q669" s="1">
        <f t="shared" si="60"/>
        <v>172.73328963414633</v>
      </c>
      <c r="R669" s="1">
        <f t="shared" si="61"/>
        <v>179.76317426328131</v>
      </c>
      <c r="S669" s="1">
        <f t="shared" si="62"/>
        <v>93.644808715220961</v>
      </c>
    </row>
    <row r="670" spans="1:19" x14ac:dyDescent="0.3">
      <c r="A670">
        <v>13642</v>
      </c>
      <c r="B670">
        <v>162.510503</v>
      </c>
      <c r="C670">
        <v>169.165166</v>
      </c>
      <c r="D670">
        <v>175.503773</v>
      </c>
      <c r="E670">
        <v>90.581998999999996</v>
      </c>
      <c r="F670">
        <v>58.811574999999998</v>
      </c>
      <c r="G670">
        <v>30.019438000000001</v>
      </c>
      <c r="H670">
        <v>33.667904</v>
      </c>
      <c r="I670" t="s">
        <v>56</v>
      </c>
      <c r="N670"/>
      <c r="O670"/>
      <c r="P670" s="1">
        <f t="shared" si="59"/>
        <v>165.9527418699187</v>
      </c>
      <c r="Q670" s="1">
        <f t="shared" si="60"/>
        <v>172.73328963414633</v>
      </c>
      <c r="R670" s="1">
        <f t="shared" si="61"/>
        <v>179.76317426328131</v>
      </c>
      <c r="S670" s="1">
        <f t="shared" si="62"/>
        <v>93.644808715220961</v>
      </c>
    </row>
    <row r="671" spans="1:19" x14ac:dyDescent="0.3">
      <c r="A671">
        <v>13642.2</v>
      </c>
      <c r="B671">
        <v>162.53047100000001</v>
      </c>
      <c r="C671">
        <v>169.18920600000001</v>
      </c>
      <c r="D671">
        <v>175.518575</v>
      </c>
      <c r="E671">
        <v>90.725858000000002</v>
      </c>
      <c r="F671">
        <v>59.139358000000001</v>
      </c>
      <c r="G671">
        <v>30.013732000000001</v>
      </c>
      <c r="H671">
        <v>33.649568000000002</v>
      </c>
      <c r="I671"/>
      <c r="N671"/>
      <c r="O671"/>
      <c r="P671" s="1">
        <f t="shared" si="59"/>
        <v>165.94731504065041</v>
      </c>
      <c r="Q671" s="1">
        <f t="shared" si="60"/>
        <v>172.71613821138212</v>
      </c>
      <c r="R671" s="1">
        <f t="shared" si="61"/>
        <v>179.77801264402979</v>
      </c>
      <c r="S671" s="1">
        <f t="shared" si="62"/>
        <v>93.673354132569543</v>
      </c>
    </row>
    <row r="672" spans="1:19" x14ac:dyDescent="0.3">
      <c r="A672">
        <v>13642.4</v>
      </c>
      <c r="B672">
        <v>162.53047100000001</v>
      </c>
      <c r="C672">
        <v>169.18920600000001</v>
      </c>
      <c r="D672">
        <v>175.518575</v>
      </c>
      <c r="E672">
        <v>90.725858000000002</v>
      </c>
      <c r="F672">
        <v>59.139358000000001</v>
      </c>
      <c r="G672">
        <v>30.013732000000001</v>
      </c>
      <c r="H672">
        <v>33.649568000000002</v>
      </c>
      <c r="I672"/>
      <c r="N672"/>
      <c r="O672"/>
      <c r="P672" s="1">
        <f t="shared" si="59"/>
        <v>165.94731504065041</v>
      </c>
      <c r="Q672" s="1">
        <f t="shared" si="60"/>
        <v>172.71613821138212</v>
      </c>
      <c r="R672" s="1">
        <f t="shared" si="61"/>
        <v>179.77801264402979</v>
      </c>
      <c r="S672" s="1">
        <f t="shared" si="62"/>
        <v>93.673354132569543</v>
      </c>
    </row>
    <row r="673" spans="1:19" x14ac:dyDescent="0.3">
      <c r="A673">
        <v>13642.6</v>
      </c>
      <c r="B673">
        <v>162.51383100000001</v>
      </c>
      <c r="C673">
        <v>169.17555899999999</v>
      </c>
      <c r="D673">
        <v>175.50288699999999</v>
      </c>
      <c r="E673">
        <v>90.613951</v>
      </c>
      <c r="F673">
        <v>58.719062999999998</v>
      </c>
      <c r="G673">
        <v>30.015702999999998</v>
      </c>
      <c r="H673">
        <v>33.645909000000003</v>
      </c>
      <c r="I673"/>
      <c r="N673"/>
      <c r="O673"/>
      <c r="P673" s="1">
        <f t="shared" si="59"/>
        <v>165.93538109756096</v>
      </c>
      <c r="Q673" s="1">
        <f t="shared" si="60"/>
        <v>172.70893699186993</v>
      </c>
      <c r="R673" s="1">
        <f t="shared" si="61"/>
        <v>179.77153767716939</v>
      </c>
      <c r="S673" s="1">
        <f t="shared" si="62"/>
        <v>93.617931669394423</v>
      </c>
    </row>
    <row r="674" spans="1:19" x14ac:dyDescent="0.3">
      <c r="A674">
        <v>13642.8</v>
      </c>
      <c r="B674">
        <v>162.51383100000001</v>
      </c>
      <c r="C674">
        <v>169.17555899999999</v>
      </c>
      <c r="D674">
        <v>175.50288699999999</v>
      </c>
      <c r="E674">
        <v>90.613951</v>
      </c>
      <c r="F674">
        <v>58.719062999999998</v>
      </c>
      <c r="G674">
        <v>30.015702999999998</v>
      </c>
      <c r="H674">
        <v>33.645909000000003</v>
      </c>
      <c r="I674"/>
      <c r="N674"/>
      <c r="O674"/>
      <c r="P674" s="1">
        <f t="shared" si="59"/>
        <v>165.93538109756096</v>
      </c>
      <c r="Q674" s="1">
        <f t="shared" si="60"/>
        <v>172.70893699186993</v>
      </c>
      <c r="R674" s="1">
        <f t="shared" si="61"/>
        <v>179.77153767716939</v>
      </c>
      <c r="S674" s="1">
        <f t="shared" si="62"/>
        <v>93.617931669394423</v>
      </c>
    </row>
    <row r="675" spans="1:19" x14ac:dyDescent="0.3">
      <c r="A675">
        <v>14253</v>
      </c>
      <c r="B675">
        <v>172.08932999999999</v>
      </c>
      <c r="C675">
        <v>179.479229</v>
      </c>
      <c r="D675">
        <v>186.511076</v>
      </c>
      <c r="E675">
        <v>93.322500000000005</v>
      </c>
      <c r="F675">
        <v>60.210549999999998</v>
      </c>
      <c r="G675">
        <v>30.018098999999999</v>
      </c>
      <c r="H675">
        <v>34.057495000000003</v>
      </c>
      <c r="I675" t="s">
        <v>56</v>
      </c>
      <c r="N675"/>
      <c r="O675"/>
      <c r="P675" s="1">
        <f t="shared" si="59"/>
        <v>165.93133028455281</v>
      </c>
      <c r="Q675" s="1">
        <f t="shared" si="60"/>
        <v>172.70893089430893</v>
      </c>
      <c r="R675" s="1">
        <f t="shared" si="61"/>
        <v>179.77534822065871</v>
      </c>
      <c r="S675" s="1">
        <f t="shared" si="62"/>
        <v>93.723419599018001</v>
      </c>
    </row>
    <row r="676" spans="1:19" x14ac:dyDescent="0.3">
      <c r="A676">
        <v>14253.2</v>
      </c>
      <c r="B676">
        <v>172.08932999999999</v>
      </c>
      <c r="C676">
        <v>179.479229</v>
      </c>
      <c r="D676">
        <v>186.511076</v>
      </c>
      <c r="E676">
        <v>93.322500000000005</v>
      </c>
      <c r="F676">
        <v>60.210549999999998</v>
      </c>
      <c r="G676">
        <v>30.018098999999999</v>
      </c>
      <c r="H676">
        <v>34.057495000000003</v>
      </c>
      <c r="I676"/>
      <c r="N676"/>
      <c r="O676"/>
      <c r="P676" s="1">
        <f t="shared" si="59"/>
        <v>165.93133028455281</v>
      </c>
      <c r="Q676" s="1">
        <f t="shared" si="60"/>
        <v>172.70893089430893</v>
      </c>
      <c r="R676" s="1">
        <f t="shared" si="61"/>
        <v>179.77534822065871</v>
      </c>
      <c r="S676" s="1">
        <f t="shared" si="62"/>
        <v>93.723419599018001</v>
      </c>
    </row>
    <row r="677" spans="1:19" x14ac:dyDescent="0.3">
      <c r="A677">
        <v>14253.4</v>
      </c>
      <c r="B677">
        <v>172.070956</v>
      </c>
      <c r="C677">
        <v>179.470213</v>
      </c>
      <c r="D677">
        <v>186.530428</v>
      </c>
      <c r="E677">
        <v>93.353019000000003</v>
      </c>
      <c r="F677">
        <v>59.756534000000002</v>
      </c>
      <c r="G677">
        <v>30.021141</v>
      </c>
      <c r="H677">
        <v>34.048113999999998</v>
      </c>
      <c r="I677"/>
      <c r="N677"/>
      <c r="O677"/>
      <c r="P677" s="1">
        <f t="shared" si="59"/>
        <v>165.96499999999997</v>
      </c>
      <c r="Q677" s="1">
        <f t="shared" si="60"/>
        <v>172.70044512195119</v>
      </c>
      <c r="R677" s="1">
        <f t="shared" si="61"/>
        <v>179.7904914856735</v>
      </c>
      <c r="S677" s="1">
        <f t="shared" si="62"/>
        <v>93.643316284779047</v>
      </c>
    </row>
    <row r="678" spans="1:19" x14ac:dyDescent="0.3">
      <c r="A678">
        <v>14253.6</v>
      </c>
      <c r="B678">
        <v>172.070956</v>
      </c>
      <c r="C678">
        <v>179.470213</v>
      </c>
      <c r="D678">
        <v>186.530428</v>
      </c>
      <c r="E678">
        <v>93.353019000000003</v>
      </c>
      <c r="F678">
        <v>59.756534000000002</v>
      </c>
      <c r="G678">
        <v>30.021141</v>
      </c>
      <c r="H678">
        <v>34.048113999999998</v>
      </c>
      <c r="I678"/>
      <c r="N678"/>
      <c r="O678"/>
      <c r="P678" s="1">
        <f t="shared" si="59"/>
        <v>165.96499999999997</v>
      </c>
      <c r="Q678" s="1">
        <f t="shared" si="60"/>
        <v>172.70044512195119</v>
      </c>
      <c r="R678" s="1">
        <f t="shared" si="61"/>
        <v>179.7904914856735</v>
      </c>
      <c r="S678" s="1">
        <f t="shared" si="62"/>
        <v>93.643316284779047</v>
      </c>
    </row>
    <row r="679" spans="1:19" x14ac:dyDescent="0.3">
      <c r="A679">
        <v>14253.8</v>
      </c>
      <c r="B679">
        <v>172.10475400000001</v>
      </c>
      <c r="C679">
        <v>179.47587100000001</v>
      </c>
      <c r="D679">
        <v>186.524587</v>
      </c>
      <c r="E679">
        <v>93.302422000000007</v>
      </c>
      <c r="F679">
        <v>60.094512999999999</v>
      </c>
      <c r="G679">
        <v>30.030712999999999</v>
      </c>
      <c r="H679">
        <v>34.040554</v>
      </c>
      <c r="I679"/>
      <c r="N679"/>
      <c r="O679"/>
      <c r="P679" s="1">
        <f t="shared" si="59"/>
        <v>165.93668902439023</v>
      </c>
      <c r="Q679" s="1">
        <f t="shared" si="60"/>
        <v>172.6966331300813</v>
      </c>
      <c r="R679" s="1">
        <f t="shared" si="61"/>
        <v>179.78382175996737</v>
      </c>
      <c r="S679" s="1">
        <f t="shared" si="62"/>
        <v>93.685845949263495</v>
      </c>
    </row>
    <row r="680" spans="1:19" x14ac:dyDescent="0.3">
      <c r="A680">
        <v>14254</v>
      </c>
      <c r="B680">
        <v>172.10475400000001</v>
      </c>
      <c r="C680">
        <v>179.47587100000001</v>
      </c>
      <c r="D680">
        <v>186.524587</v>
      </c>
      <c r="E680">
        <v>93.302422000000007</v>
      </c>
      <c r="F680">
        <v>60.094512999999999</v>
      </c>
      <c r="G680">
        <v>30.030712999999999</v>
      </c>
      <c r="H680">
        <v>34.040554</v>
      </c>
      <c r="I680" t="s">
        <v>56</v>
      </c>
      <c r="N680"/>
      <c r="O680"/>
      <c r="P680" s="1">
        <f t="shared" si="59"/>
        <v>165.93668902439023</v>
      </c>
      <c r="Q680" s="1">
        <f t="shared" si="60"/>
        <v>172.6966331300813</v>
      </c>
      <c r="R680" s="1">
        <f t="shared" si="61"/>
        <v>179.78382175996737</v>
      </c>
      <c r="S680" s="1">
        <f t="shared" si="62"/>
        <v>93.685845949263495</v>
      </c>
    </row>
    <row r="681" spans="1:19" x14ac:dyDescent="0.3">
      <c r="A681">
        <v>14254.2</v>
      </c>
      <c r="B681">
        <v>172.10515000000001</v>
      </c>
      <c r="C681">
        <v>179.48238799999999</v>
      </c>
      <c r="D681">
        <v>186.52498199999999</v>
      </c>
      <c r="E681">
        <v>93.247248999999996</v>
      </c>
      <c r="F681">
        <v>59.614887000000003</v>
      </c>
      <c r="G681">
        <v>30.021535</v>
      </c>
      <c r="H681">
        <v>34.072158999999999</v>
      </c>
      <c r="I681"/>
      <c r="N681"/>
      <c r="O681"/>
      <c r="P681" s="1">
        <f t="shared" si="59"/>
        <v>165.94503556910567</v>
      </c>
      <c r="Q681" s="1">
        <f t="shared" si="60"/>
        <v>172.71791056910567</v>
      </c>
      <c r="R681" s="1">
        <f t="shared" si="61"/>
        <v>179.77071785459367</v>
      </c>
      <c r="S681" s="1">
        <f t="shared" si="62"/>
        <v>93.726772708674289</v>
      </c>
    </row>
    <row r="682" spans="1:19" x14ac:dyDescent="0.3">
      <c r="A682">
        <v>14254.4</v>
      </c>
      <c r="B682">
        <v>172.10515000000001</v>
      </c>
      <c r="C682">
        <v>179.48238799999999</v>
      </c>
      <c r="D682">
        <v>186.52498199999999</v>
      </c>
      <c r="E682">
        <v>93.247248999999996</v>
      </c>
      <c r="F682">
        <v>59.614887000000003</v>
      </c>
      <c r="G682">
        <v>30.021535</v>
      </c>
      <c r="H682">
        <v>34.072158999999999</v>
      </c>
      <c r="I682"/>
      <c r="N682"/>
      <c r="O682"/>
      <c r="P682" s="1">
        <f t="shared" si="59"/>
        <v>165.94503556910567</v>
      </c>
      <c r="Q682" s="1">
        <f t="shared" si="60"/>
        <v>172.71791056910567</v>
      </c>
      <c r="R682" s="1">
        <f t="shared" si="61"/>
        <v>179.77071785459367</v>
      </c>
      <c r="S682" s="1">
        <f t="shared" si="62"/>
        <v>93.726772708674289</v>
      </c>
    </row>
    <row r="683" spans="1:19" x14ac:dyDescent="0.3">
      <c r="A683">
        <v>14254.6</v>
      </c>
      <c r="B683">
        <v>172.094109</v>
      </c>
      <c r="C683">
        <v>179.47860900000001</v>
      </c>
      <c r="D683">
        <v>186.50648100000001</v>
      </c>
      <c r="E683">
        <v>93.306388999999996</v>
      </c>
      <c r="F683">
        <v>60.114105000000002</v>
      </c>
      <c r="G683">
        <v>30.021184000000002</v>
      </c>
      <c r="H683">
        <v>34.077429000000002</v>
      </c>
      <c r="I683"/>
      <c r="N683"/>
      <c r="O683"/>
      <c r="P683" s="1">
        <f t="shared" si="59"/>
        <v>165.96827439024389</v>
      </c>
      <c r="Q683" s="1">
        <f t="shared" si="60"/>
        <v>172.72809857723578</v>
      </c>
      <c r="R683" s="1">
        <f t="shared" si="61"/>
        <v>179.77254206179259</v>
      </c>
      <c r="S683" s="1">
        <f t="shared" si="62"/>
        <v>93.694744271685764</v>
      </c>
    </row>
    <row r="684" spans="1:19" x14ac:dyDescent="0.3">
      <c r="A684">
        <v>14254.8</v>
      </c>
      <c r="B684">
        <v>172.094109</v>
      </c>
      <c r="C684">
        <v>179.47860900000001</v>
      </c>
      <c r="D684">
        <v>186.50648100000001</v>
      </c>
      <c r="E684">
        <v>93.306388999999996</v>
      </c>
      <c r="F684">
        <v>60.114105000000002</v>
      </c>
      <c r="G684">
        <v>30.021184000000002</v>
      </c>
      <c r="H684">
        <v>34.077429000000002</v>
      </c>
      <c r="I684"/>
      <c r="N684"/>
      <c r="O684"/>
      <c r="P684" s="1">
        <f t="shared" ref="P684:P747" si="63">(B666+Q$36)/P$36</f>
        <v>165.96827439024389</v>
      </c>
      <c r="Q684" s="1">
        <f t="shared" ref="Q684:Q747" si="64">(C666+Q$36)/P$36</f>
        <v>172.72809857723578</v>
      </c>
      <c r="R684" s="1">
        <f t="shared" ref="R684:R747" si="65">(D666+Q$38)/P$38</f>
        <v>179.77254206179259</v>
      </c>
      <c r="S684" s="1">
        <f t="shared" ref="S684:S747" si="66">(E666+Q$39)/P$39</f>
        <v>93.694744271685764</v>
      </c>
    </row>
    <row r="685" spans="1:19" x14ac:dyDescent="0.3">
      <c r="A685">
        <v>14255</v>
      </c>
      <c r="B685">
        <v>172.11641599999999</v>
      </c>
      <c r="C685">
        <v>179.48992200000001</v>
      </c>
      <c r="D685">
        <v>186.515625</v>
      </c>
      <c r="E685">
        <v>93.363309000000001</v>
      </c>
      <c r="F685">
        <v>60.088805999999998</v>
      </c>
      <c r="G685">
        <v>30.009952999999999</v>
      </c>
      <c r="H685">
        <v>34.084975999999997</v>
      </c>
      <c r="I685" t="s">
        <v>56</v>
      </c>
      <c r="N685"/>
      <c r="O685"/>
      <c r="P685" s="1">
        <f t="shared" si="63"/>
        <v>165.95929776422764</v>
      </c>
      <c r="Q685" s="1">
        <f t="shared" si="64"/>
        <v>172.72721036585367</v>
      </c>
      <c r="R685" s="1">
        <f t="shared" si="65"/>
        <v>179.77642602222903</v>
      </c>
      <c r="S685" s="1">
        <f t="shared" si="66"/>
        <v>93.666769639934529</v>
      </c>
    </row>
    <row r="686" spans="1:19" x14ac:dyDescent="0.3">
      <c r="A686">
        <v>14255.2</v>
      </c>
      <c r="B686">
        <v>172.11641599999999</v>
      </c>
      <c r="C686">
        <v>179.48992200000001</v>
      </c>
      <c r="D686">
        <v>186.515625</v>
      </c>
      <c r="E686">
        <v>93.363309000000001</v>
      </c>
      <c r="F686">
        <v>60.088805999999998</v>
      </c>
      <c r="G686">
        <v>30.009952999999999</v>
      </c>
      <c r="H686">
        <v>34.084975999999997</v>
      </c>
      <c r="I686"/>
      <c r="N686"/>
      <c r="O686"/>
      <c r="P686" s="1">
        <f t="shared" si="63"/>
        <v>165.95929776422764</v>
      </c>
      <c r="Q686" s="1">
        <f t="shared" si="64"/>
        <v>172.72721036585367</v>
      </c>
      <c r="R686" s="1">
        <f t="shared" si="65"/>
        <v>179.77642602222903</v>
      </c>
      <c r="S686" s="1">
        <f t="shared" si="66"/>
        <v>93.666769639934529</v>
      </c>
    </row>
    <row r="687" spans="1:19" x14ac:dyDescent="0.3">
      <c r="A687">
        <v>14255.4</v>
      </c>
      <c r="B687">
        <v>172.09829999999999</v>
      </c>
      <c r="C687">
        <v>179.490343</v>
      </c>
      <c r="D687">
        <v>186.524936</v>
      </c>
      <c r="E687">
        <v>93.363035999999994</v>
      </c>
      <c r="F687">
        <v>60.574696000000003</v>
      </c>
      <c r="G687">
        <v>30.021501000000001</v>
      </c>
      <c r="H687">
        <v>34.073295999999999</v>
      </c>
      <c r="I687"/>
      <c r="N687"/>
      <c r="O687"/>
      <c r="P687" s="1">
        <f t="shared" si="63"/>
        <v>165.9522388211382</v>
      </c>
      <c r="Q687" s="1">
        <f t="shared" si="64"/>
        <v>172.71510772357723</v>
      </c>
      <c r="R687" s="1">
        <f t="shared" si="65"/>
        <v>179.78390231467318</v>
      </c>
      <c r="S687" s="1">
        <f t="shared" si="66"/>
        <v>93.602494885433714</v>
      </c>
    </row>
    <row r="688" spans="1:19" x14ac:dyDescent="0.3">
      <c r="A688">
        <v>14255.6</v>
      </c>
      <c r="B688">
        <v>172.09829999999999</v>
      </c>
      <c r="C688">
        <v>179.490343</v>
      </c>
      <c r="D688">
        <v>186.524936</v>
      </c>
      <c r="E688">
        <v>93.363035999999994</v>
      </c>
      <c r="F688">
        <v>60.574696000000003</v>
      </c>
      <c r="G688">
        <v>30.021501000000001</v>
      </c>
      <c r="H688">
        <v>34.073295999999999</v>
      </c>
      <c r="I688"/>
      <c r="N688"/>
      <c r="O688"/>
      <c r="P688" s="1">
        <f t="shared" si="63"/>
        <v>165.9522388211382</v>
      </c>
      <c r="Q688" s="1">
        <f t="shared" si="64"/>
        <v>172.71510772357723</v>
      </c>
      <c r="R688" s="1">
        <f t="shared" si="65"/>
        <v>179.78390231467318</v>
      </c>
      <c r="S688" s="1">
        <f t="shared" si="66"/>
        <v>93.602494885433714</v>
      </c>
    </row>
    <row r="689" spans="1:19" x14ac:dyDescent="0.3">
      <c r="A689">
        <v>14255.8</v>
      </c>
      <c r="B689">
        <v>172.092321</v>
      </c>
      <c r="C689">
        <v>179.48317</v>
      </c>
      <c r="D689">
        <v>186.53863200000001</v>
      </c>
      <c r="E689">
        <v>93.332339000000005</v>
      </c>
      <c r="F689">
        <v>59.965774000000003</v>
      </c>
      <c r="G689">
        <v>30.018858999999999</v>
      </c>
      <c r="H689">
        <v>34.061062999999997</v>
      </c>
      <c r="I689"/>
      <c r="N689"/>
      <c r="O689"/>
      <c r="P689" s="1">
        <f t="shared" si="63"/>
        <v>165.97253150406505</v>
      </c>
      <c r="Q689" s="1">
        <f t="shared" si="64"/>
        <v>172.73953861788618</v>
      </c>
      <c r="R689" s="1">
        <f t="shared" si="65"/>
        <v>179.79899561537678</v>
      </c>
      <c r="S689" s="1">
        <f t="shared" si="66"/>
        <v>93.749650163666118</v>
      </c>
    </row>
    <row r="690" spans="1:19" x14ac:dyDescent="0.3">
      <c r="A690">
        <v>14256</v>
      </c>
      <c r="B690">
        <v>172.092321</v>
      </c>
      <c r="C690">
        <v>179.48317</v>
      </c>
      <c r="D690">
        <v>186.53863200000001</v>
      </c>
      <c r="E690">
        <v>93.332339000000005</v>
      </c>
      <c r="F690">
        <v>59.965774000000003</v>
      </c>
      <c r="G690">
        <v>30.018858999999999</v>
      </c>
      <c r="H690">
        <v>34.061062999999997</v>
      </c>
      <c r="I690" t="s">
        <v>56</v>
      </c>
      <c r="N690"/>
      <c r="O690"/>
      <c r="P690" s="1">
        <f t="shared" si="63"/>
        <v>165.97253150406505</v>
      </c>
      <c r="Q690" s="1">
        <f t="shared" si="64"/>
        <v>172.73953861788618</v>
      </c>
      <c r="R690" s="1">
        <f t="shared" si="65"/>
        <v>179.79899561537678</v>
      </c>
      <c r="S690" s="1">
        <f t="shared" si="66"/>
        <v>93.749650163666118</v>
      </c>
    </row>
    <row r="691" spans="1:19" x14ac:dyDescent="0.3">
      <c r="A691">
        <v>14256.2</v>
      </c>
      <c r="B691">
        <v>172.080355</v>
      </c>
      <c r="C691">
        <v>179.47681600000001</v>
      </c>
      <c r="D691">
        <v>186.518272</v>
      </c>
      <c r="E691">
        <v>93.347633999999999</v>
      </c>
      <c r="F691">
        <v>60.134310999999997</v>
      </c>
      <c r="G691">
        <v>30.038598</v>
      </c>
      <c r="H691">
        <v>34.099460999999998</v>
      </c>
      <c r="I691"/>
      <c r="N691"/>
      <c r="O691"/>
      <c r="P691" s="1">
        <f t="shared" si="63"/>
        <v>165.95562093495934</v>
      </c>
      <c r="Q691" s="1">
        <f t="shared" si="64"/>
        <v>172.72566971544714</v>
      </c>
      <c r="R691" s="1">
        <f t="shared" si="65"/>
        <v>179.7829988783522</v>
      </c>
      <c r="S691" s="1">
        <f t="shared" si="66"/>
        <v>93.635179009819964</v>
      </c>
    </row>
    <row r="692" spans="1:19" x14ac:dyDescent="0.3">
      <c r="A692">
        <v>14256.4</v>
      </c>
      <c r="B692">
        <v>172.080355</v>
      </c>
      <c r="C692">
        <v>179.47681600000001</v>
      </c>
      <c r="D692">
        <v>186.518272</v>
      </c>
      <c r="E692">
        <v>93.347633999999999</v>
      </c>
      <c r="F692">
        <v>60.134310999999997</v>
      </c>
      <c r="G692">
        <v>30.038598</v>
      </c>
      <c r="H692">
        <v>34.099460999999998</v>
      </c>
      <c r="I692"/>
      <c r="N692"/>
      <c r="O692"/>
      <c r="P692" s="1">
        <f t="shared" si="63"/>
        <v>165.95562093495934</v>
      </c>
      <c r="Q692" s="1">
        <f t="shared" si="64"/>
        <v>172.72566971544714</v>
      </c>
      <c r="R692" s="1">
        <f t="shared" si="65"/>
        <v>179.7829988783522</v>
      </c>
      <c r="S692" s="1">
        <f t="shared" si="66"/>
        <v>93.635179009819964</v>
      </c>
    </row>
    <row r="693" spans="1:19" x14ac:dyDescent="0.3">
      <c r="A693">
        <v>14256.6</v>
      </c>
      <c r="B693">
        <v>172.097454</v>
      </c>
      <c r="C693">
        <v>179.491377</v>
      </c>
      <c r="D693">
        <v>186.52339000000001</v>
      </c>
      <c r="E693">
        <v>93.290701999999996</v>
      </c>
      <c r="F693">
        <v>59.906436999999997</v>
      </c>
      <c r="G693">
        <v>29.995642</v>
      </c>
      <c r="H693">
        <v>34.097416000000003</v>
      </c>
      <c r="I693"/>
      <c r="N693"/>
      <c r="O693"/>
      <c r="P693" s="1">
        <f t="shared" si="63"/>
        <v>175.68681910569103</v>
      </c>
      <c r="Q693" s="1">
        <f t="shared" si="64"/>
        <v>183.19687906504063</v>
      </c>
      <c r="R693" s="1">
        <f t="shared" si="65"/>
        <v>191.00782706230245</v>
      </c>
      <c r="S693" s="1">
        <f t="shared" si="66"/>
        <v>96.405789689034378</v>
      </c>
    </row>
    <row r="694" spans="1:19" x14ac:dyDescent="0.3">
      <c r="A694">
        <v>14256.8</v>
      </c>
      <c r="B694">
        <v>172.097454</v>
      </c>
      <c r="C694">
        <v>179.491377</v>
      </c>
      <c r="D694">
        <v>186.52339000000001</v>
      </c>
      <c r="E694">
        <v>93.290701999999996</v>
      </c>
      <c r="F694">
        <v>59.906436999999997</v>
      </c>
      <c r="G694">
        <v>29.995642</v>
      </c>
      <c r="H694">
        <v>34.097416000000003</v>
      </c>
      <c r="I694"/>
      <c r="N694"/>
      <c r="O694"/>
      <c r="P694" s="1">
        <f t="shared" si="63"/>
        <v>175.68681910569103</v>
      </c>
      <c r="Q694" s="1">
        <f t="shared" si="64"/>
        <v>183.19687906504063</v>
      </c>
      <c r="R694" s="1">
        <f t="shared" si="65"/>
        <v>191.00782706230245</v>
      </c>
      <c r="S694" s="1">
        <f t="shared" si="66"/>
        <v>96.405789689034378</v>
      </c>
    </row>
    <row r="695" spans="1:19" x14ac:dyDescent="0.3">
      <c r="A695">
        <v>14257</v>
      </c>
      <c r="B695">
        <v>172.10436999999999</v>
      </c>
      <c r="C695">
        <v>179.44771600000001</v>
      </c>
      <c r="D695">
        <v>186.507589</v>
      </c>
      <c r="E695">
        <v>93.353110999999998</v>
      </c>
      <c r="F695">
        <v>59.790882000000003</v>
      </c>
      <c r="G695">
        <v>30.012985</v>
      </c>
      <c r="H695">
        <v>34.046779999999998</v>
      </c>
      <c r="I695" t="s">
        <v>56</v>
      </c>
      <c r="N695"/>
      <c r="O695"/>
      <c r="P695" s="1">
        <f t="shared" si="63"/>
        <v>175.6681463414634</v>
      </c>
      <c r="Q695" s="1">
        <f t="shared" si="64"/>
        <v>183.18771646341463</v>
      </c>
      <c r="R695" s="1">
        <f t="shared" si="65"/>
        <v>191.02755990618945</v>
      </c>
      <c r="S695" s="1">
        <f t="shared" si="66"/>
        <v>96.4370079787234</v>
      </c>
    </row>
    <row r="696" spans="1:19" x14ac:dyDescent="0.3">
      <c r="A696">
        <v>14257.2</v>
      </c>
      <c r="B696">
        <v>172.10436999999999</v>
      </c>
      <c r="C696">
        <v>179.44771600000001</v>
      </c>
      <c r="D696">
        <v>186.507589</v>
      </c>
      <c r="E696">
        <v>93.353110999999998</v>
      </c>
      <c r="F696">
        <v>59.790882000000003</v>
      </c>
      <c r="G696">
        <v>30.012985</v>
      </c>
      <c r="H696">
        <v>34.046779999999998</v>
      </c>
      <c r="I696"/>
      <c r="N696"/>
      <c r="O696"/>
      <c r="P696" s="1">
        <f t="shared" si="63"/>
        <v>175.6681463414634</v>
      </c>
      <c r="Q696" s="1">
        <f t="shared" si="64"/>
        <v>183.18771646341463</v>
      </c>
      <c r="R696" s="1">
        <f t="shared" si="65"/>
        <v>191.02755990618945</v>
      </c>
      <c r="S696" s="1">
        <f t="shared" si="66"/>
        <v>96.4370079787234</v>
      </c>
    </row>
    <row r="697" spans="1:19" x14ac:dyDescent="0.3">
      <c r="A697">
        <v>14257.4</v>
      </c>
      <c r="B697">
        <v>172.07849400000001</v>
      </c>
      <c r="C697">
        <v>179.48977600000001</v>
      </c>
      <c r="D697">
        <v>186.522266</v>
      </c>
      <c r="E697">
        <v>93.314587000000003</v>
      </c>
      <c r="F697">
        <v>60.356498999999999</v>
      </c>
      <c r="G697">
        <v>30.020872000000001</v>
      </c>
      <c r="H697">
        <v>34.046207000000003</v>
      </c>
      <c r="I697"/>
      <c r="N697"/>
      <c r="O697"/>
      <c r="P697" s="1">
        <f t="shared" si="63"/>
        <v>175.70249390243902</v>
      </c>
      <c r="Q697" s="1">
        <f t="shared" si="64"/>
        <v>183.19346646341464</v>
      </c>
      <c r="R697" s="1">
        <f t="shared" si="65"/>
        <v>191.02160395635772</v>
      </c>
      <c r="S697" s="1">
        <f t="shared" si="66"/>
        <v>96.385251636661209</v>
      </c>
    </row>
    <row r="698" spans="1:19" x14ac:dyDescent="0.3">
      <c r="A698">
        <v>14257.6</v>
      </c>
      <c r="B698">
        <v>172.07849400000001</v>
      </c>
      <c r="C698">
        <v>179.48977600000001</v>
      </c>
      <c r="D698">
        <v>186.522266</v>
      </c>
      <c r="E698">
        <v>93.314587000000003</v>
      </c>
      <c r="F698">
        <v>60.356498999999999</v>
      </c>
      <c r="G698">
        <v>30.020872000000001</v>
      </c>
      <c r="H698">
        <v>34.046207000000003</v>
      </c>
      <c r="I698"/>
      <c r="N698"/>
      <c r="O698"/>
      <c r="P698" s="1">
        <f t="shared" si="63"/>
        <v>175.70249390243902</v>
      </c>
      <c r="Q698" s="1">
        <f t="shared" si="64"/>
        <v>183.19346646341464</v>
      </c>
      <c r="R698" s="1">
        <f t="shared" si="65"/>
        <v>191.02160395635772</v>
      </c>
      <c r="S698" s="1">
        <f t="shared" si="66"/>
        <v>96.385251636661209</v>
      </c>
    </row>
    <row r="699" spans="1:19" x14ac:dyDescent="0.3">
      <c r="A699">
        <v>14257.8</v>
      </c>
      <c r="B699">
        <v>172.117569</v>
      </c>
      <c r="C699">
        <v>179.476958</v>
      </c>
      <c r="D699">
        <v>186.523796</v>
      </c>
      <c r="E699">
        <v>93.332476</v>
      </c>
      <c r="F699">
        <v>60.469918</v>
      </c>
      <c r="G699">
        <v>30.017166</v>
      </c>
      <c r="H699">
        <v>34.056331999999998</v>
      </c>
      <c r="I699"/>
      <c r="N699"/>
      <c r="O699"/>
      <c r="P699" s="1">
        <f t="shared" si="63"/>
        <v>175.70289634146343</v>
      </c>
      <c r="Q699" s="1">
        <f t="shared" si="64"/>
        <v>183.20008943089428</v>
      </c>
      <c r="R699" s="1">
        <f t="shared" si="65"/>
        <v>191.02200672988681</v>
      </c>
      <c r="S699" s="1">
        <f t="shared" si="66"/>
        <v>96.32881444353518</v>
      </c>
    </row>
    <row r="700" spans="1:19" x14ac:dyDescent="0.3">
      <c r="A700">
        <v>14258</v>
      </c>
      <c r="B700">
        <v>172.117569</v>
      </c>
      <c r="C700">
        <v>179.476958</v>
      </c>
      <c r="D700">
        <v>186.523796</v>
      </c>
      <c r="E700">
        <v>93.332476</v>
      </c>
      <c r="F700">
        <v>60.469918</v>
      </c>
      <c r="G700">
        <v>30.017166</v>
      </c>
      <c r="H700">
        <v>34.056331999999998</v>
      </c>
      <c r="I700" t="s">
        <v>56</v>
      </c>
      <c r="N700"/>
      <c r="O700"/>
      <c r="P700" s="1">
        <f t="shared" si="63"/>
        <v>175.70289634146343</v>
      </c>
      <c r="Q700" s="1">
        <f t="shared" si="64"/>
        <v>183.20008943089428</v>
      </c>
      <c r="R700" s="1">
        <f t="shared" si="65"/>
        <v>191.02200672988681</v>
      </c>
      <c r="S700" s="1">
        <f t="shared" si="66"/>
        <v>96.32881444353518</v>
      </c>
    </row>
    <row r="701" spans="1:19" x14ac:dyDescent="0.3">
      <c r="A701">
        <v>14258.2</v>
      </c>
      <c r="B701">
        <v>172.108653</v>
      </c>
      <c r="C701">
        <v>179.52449799999999</v>
      </c>
      <c r="D701">
        <v>186.52660399999999</v>
      </c>
      <c r="E701">
        <v>93.348219999999998</v>
      </c>
      <c r="F701">
        <v>60.557279000000001</v>
      </c>
      <c r="G701">
        <v>30.014163</v>
      </c>
      <c r="H701">
        <v>34.070436000000001</v>
      </c>
      <c r="I701"/>
      <c r="N701"/>
      <c r="O701"/>
      <c r="P701" s="1">
        <f t="shared" si="63"/>
        <v>175.69167581300812</v>
      </c>
      <c r="Q701" s="1">
        <f t="shared" si="64"/>
        <v>183.19624898373985</v>
      </c>
      <c r="R701" s="1">
        <f t="shared" si="65"/>
        <v>191.00314163352709</v>
      </c>
      <c r="S701" s="1">
        <f t="shared" si="66"/>
        <v>96.389309533551554</v>
      </c>
    </row>
    <row r="702" spans="1:19" x14ac:dyDescent="0.3">
      <c r="A702">
        <v>14258.4</v>
      </c>
      <c r="B702">
        <v>172.108653</v>
      </c>
      <c r="C702">
        <v>179.52449799999999</v>
      </c>
      <c r="D702">
        <v>186.52660399999999</v>
      </c>
      <c r="E702">
        <v>93.348219999999998</v>
      </c>
      <c r="F702">
        <v>60.557279000000001</v>
      </c>
      <c r="G702">
        <v>30.014163</v>
      </c>
      <c r="H702">
        <v>34.070436000000001</v>
      </c>
      <c r="I702"/>
      <c r="N702"/>
      <c r="O702"/>
      <c r="P702" s="1">
        <f t="shared" si="63"/>
        <v>175.69167581300812</v>
      </c>
      <c r="Q702" s="1">
        <f t="shared" si="64"/>
        <v>183.19624898373985</v>
      </c>
      <c r="R702" s="1">
        <f t="shared" si="65"/>
        <v>191.00314163352709</v>
      </c>
      <c r="S702" s="1">
        <f t="shared" si="66"/>
        <v>96.389309533551554</v>
      </c>
    </row>
    <row r="703" spans="1:19" x14ac:dyDescent="0.3">
      <c r="A703">
        <v>14258.6</v>
      </c>
      <c r="B703">
        <v>172.099816</v>
      </c>
      <c r="C703">
        <v>179.49869000000001</v>
      </c>
      <c r="D703">
        <v>186.54329899999999</v>
      </c>
      <c r="E703">
        <v>93.326704000000007</v>
      </c>
      <c r="F703">
        <v>60.477739999999997</v>
      </c>
      <c r="G703">
        <v>29.996556000000002</v>
      </c>
      <c r="H703">
        <v>34.065072999999998</v>
      </c>
      <c r="I703"/>
      <c r="N703"/>
      <c r="O703"/>
      <c r="P703" s="1">
        <f t="shared" si="63"/>
        <v>175.71434552845525</v>
      </c>
      <c r="Q703" s="1">
        <f t="shared" si="64"/>
        <v>183.20774593495935</v>
      </c>
      <c r="R703" s="1">
        <f t="shared" si="65"/>
        <v>191.01246558580607</v>
      </c>
      <c r="S703" s="1">
        <f t="shared" si="66"/>
        <v>96.447533756137474</v>
      </c>
    </row>
    <row r="704" spans="1:19" x14ac:dyDescent="0.3">
      <c r="A704">
        <v>14258.8</v>
      </c>
      <c r="B704">
        <v>172.099816</v>
      </c>
      <c r="C704">
        <v>179.49869000000001</v>
      </c>
      <c r="D704">
        <v>186.54329899999999</v>
      </c>
      <c r="E704">
        <v>93.326704000000007</v>
      </c>
      <c r="F704">
        <v>60.477739999999997</v>
      </c>
      <c r="G704">
        <v>29.996556000000002</v>
      </c>
      <c r="H704">
        <v>34.065072999999998</v>
      </c>
      <c r="I704"/>
      <c r="N704"/>
      <c r="O704"/>
      <c r="P704" s="1">
        <f t="shared" si="63"/>
        <v>175.71434552845525</v>
      </c>
      <c r="Q704" s="1">
        <f t="shared" si="64"/>
        <v>183.20774593495935</v>
      </c>
      <c r="R704" s="1">
        <f t="shared" si="65"/>
        <v>191.01246558580607</v>
      </c>
      <c r="S704" s="1">
        <f t="shared" si="66"/>
        <v>96.447533756137474</v>
      </c>
    </row>
    <row r="705" spans="1:19" x14ac:dyDescent="0.3">
      <c r="A705">
        <v>14259</v>
      </c>
      <c r="B705">
        <v>172.08873199999999</v>
      </c>
      <c r="C705">
        <v>179.497221</v>
      </c>
      <c r="D705">
        <v>186.530372</v>
      </c>
      <c r="E705">
        <v>93.316979000000003</v>
      </c>
      <c r="F705">
        <v>59.958373000000002</v>
      </c>
      <c r="G705">
        <v>30.005336</v>
      </c>
      <c r="H705">
        <v>34.050401000000001</v>
      </c>
      <c r="I705" t="s">
        <v>56</v>
      </c>
      <c r="N705"/>
      <c r="O705"/>
      <c r="P705" s="1">
        <f t="shared" si="63"/>
        <v>175.69593495934959</v>
      </c>
      <c r="Q705" s="1">
        <f t="shared" si="64"/>
        <v>183.20817378048778</v>
      </c>
      <c r="R705" s="1">
        <f t="shared" si="65"/>
        <v>191.02195982461507</v>
      </c>
      <c r="S705" s="1">
        <f t="shared" si="66"/>
        <v>96.447254500818318</v>
      </c>
    </row>
    <row r="706" spans="1:19" x14ac:dyDescent="0.3">
      <c r="A706">
        <v>14259.2</v>
      </c>
      <c r="B706">
        <v>172.08873199999999</v>
      </c>
      <c r="C706">
        <v>179.497221</v>
      </c>
      <c r="D706">
        <v>186.530372</v>
      </c>
      <c r="E706">
        <v>93.316979000000003</v>
      </c>
      <c r="F706">
        <v>59.958373000000002</v>
      </c>
      <c r="G706">
        <v>30.005336</v>
      </c>
      <c r="H706">
        <v>34.050401000000001</v>
      </c>
      <c r="I706"/>
      <c r="N706"/>
      <c r="O706"/>
      <c r="P706" s="1">
        <f t="shared" si="63"/>
        <v>175.69593495934959</v>
      </c>
      <c r="Q706" s="1">
        <f t="shared" si="64"/>
        <v>183.20817378048778</v>
      </c>
      <c r="R706" s="1">
        <f t="shared" si="65"/>
        <v>191.02195982461507</v>
      </c>
      <c r="S706" s="1">
        <f t="shared" si="66"/>
        <v>96.447254500818318</v>
      </c>
    </row>
    <row r="707" spans="1:19" x14ac:dyDescent="0.3">
      <c r="A707">
        <v>14259.4</v>
      </c>
      <c r="B707">
        <v>172.09058999999999</v>
      </c>
      <c r="C707">
        <v>179.49743699999999</v>
      </c>
      <c r="D707">
        <v>186.510694</v>
      </c>
      <c r="E707">
        <v>93.348673000000005</v>
      </c>
      <c r="F707">
        <v>59.888703999999997</v>
      </c>
      <c r="G707">
        <v>30.021844000000002</v>
      </c>
      <c r="H707">
        <v>34.055840000000003</v>
      </c>
      <c r="I707"/>
      <c r="N707"/>
      <c r="O707"/>
      <c r="P707" s="1">
        <f t="shared" si="63"/>
        <v>175.68985873983738</v>
      </c>
      <c r="Q707" s="1">
        <f t="shared" si="64"/>
        <v>183.20088414634145</v>
      </c>
      <c r="R707" s="1">
        <f t="shared" si="65"/>
        <v>191.03592535943716</v>
      </c>
      <c r="S707" s="1">
        <f t="shared" si="66"/>
        <v>96.415854132569564</v>
      </c>
    </row>
    <row r="708" spans="1:19" x14ac:dyDescent="0.3">
      <c r="A708">
        <v>14259.6</v>
      </c>
      <c r="B708">
        <v>172.09058999999999</v>
      </c>
      <c r="C708">
        <v>179.49743699999999</v>
      </c>
      <c r="D708">
        <v>186.510694</v>
      </c>
      <c r="E708">
        <v>93.348673000000005</v>
      </c>
      <c r="F708">
        <v>59.888703999999997</v>
      </c>
      <c r="G708">
        <v>30.021844000000002</v>
      </c>
      <c r="H708">
        <v>34.055840000000003</v>
      </c>
      <c r="I708"/>
      <c r="N708"/>
      <c r="O708"/>
      <c r="P708" s="1">
        <f t="shared" si="63"/>
        <v>175.68985873983738</v>
      </c>
      <c r="Q708" s="1">
        <f t="shared" si="64"/>
        <v>183.20088414634145</v>
      </c>
      <c r="R708" s="1">
        <f t="shared" si="65"/>
        <v>191.03592535943716</v>
      </c>
      <c r="S708" s="1">
        <f t="shared" si="66"/>
        <v>96.415854132569564</v>
      </c>
    </row>
    <row r="709" spans="1:19" x14ac:dyDescent="0.3">
      <c r="A709">
        <v>14259.8</v>
      </c>
      <c r="B709">
        <v>172.09214600000001</v>
      </c>
      <c r="C709">
        <v>179.499233</v>
      </c>
      <c r="D709">
        <v>186.527458</v>
      </c>
      <c r="E709">
        <v>93.326774</v>
      </c>
      <c r="F709">
        <v>60.03284</v>
      </c>
      <c r="G709">
        <v>30.001626999999999</v>
      </c>
      <c r="H709">
        <v>34.052326999999998</v>
      </c>
      <c r="I709"/>
      <c r="N709"/>
      <c r="O709"/>
      <c r="P709" s="1">
        <f t="shared" si="63"/>
        <v>175.6776981707317</v>
      </c>
      <c r="Q709" s="1">
        <f t="shared" si="64"/>
        <v>183.19442682926831</v>
      </c>
      <c r="R709" s="1">
        <f t="shared" si="65"/>
        <v>191.01516467829103</v>
      </c>
      <c r="S709" s="1">
        <f t="shared" si="66"/>
        <v>96.43149959083469</v>
      </c>
    </row>
    <row r="710" spans="1:19" x14ac:dyDescent="0.3">
      <c r="A710">
        <v>14260</v>
      </c>
      <c r="B710">
        <v>172.09214600000001</v>
      </c>
      <c r="C710">
        <v>179.499233</v>
      </c>
      <c r="D710">
        <v>186.527458</v>
      </c>
      <c r="E710">
        <v>93.326774</v>
      </c>
      <c r="F710">
        <v>60.03284</v>
      </c>
      <c r="G710">
        <v>30.001626999999999</v>
      </c>
      <c r="H710">
        <v>34.052326999999998</v>
      </c>
      <c r="I710" t="s">
        <v>56</v>
      </c>
      <c r="N710"/>
      <c r="O710"/>
      <c r="P710" s="1">
        <f t="shared" si="63"/>
        <v>175.6776981707317</v>
      </c>
      <c r="Q710" s="1">
        <f t="shared" si="64"/>
        <v>183.19442682926831</v>
      </c>
      <c r="R710" s="1">
        <f t="shared" si="65"/>
        <v>191.01516467829103</v>
      </c>
      <c r="S710" s="1">
        <f t="shared" si="66"/>
        <v>96.43149959083469</v>
      </c>
    </row>
    <row r="711" spans="1:19" x14ac:dyDescent="0.3">
      <c r="A711">
        <v>14260.2</v>
      </c>
      <c r="B711">
        <v>172.08121399999999</v>
      </c>
      <c r="C711">
        <v>179.48967999999999</v>
      </c>
      <c r="D711">
        <v>186.52123499999999</v>
      </c>
      <c r="E711">
        <v>93.449223000000003</v>
      </c>
      <c r="F711">
        <v>60.399565000000003</v>
      </c>
      <c r="G711">
        <v>30.020751000000001</v>
      </c>
      <c r="H711">
        <v>34.068567999999999</v>
      </c>
      <c r="I711"/>
      <c r="N711"/>
      <c r="O711"/>
      <c r="P711" s="1">
        <f t="shared" si="63"/>
        <v>175.69507520325203</v>
      </c>
      <c r="Q711" s="1">
        <f t="shared" si="64"/>
        <v>183.20922459349592</v>
      </c>
      <c r="R711" s="1">
        <f t="shared" si="65"/>
        <v>191.02038339961254</v>
      </c>
      <c r="S711" s="1">
        <f t="shared" si="66"/>
        <v>96.37326309328968</v>
      </c>
    </row>
    <row r="712" spans="1:19" x14ac:dyDescent="0.3">
      <c r="A712">
        <v>14260.4</v>
      </c>
      <c r="B712">
        <v>172.08121399999999</v>
      </c>
      <c r="C712">
        <v>179.48967999999999</v>
      </c>
      <c r="D712">
        <v>186.52123499999999</v>
      </c>
      <c r="E712">
        <v>93.449223000000003</v>
      </c>
      <c r="F712">
        <v>60.399565000000003</v>
      </c>
      <c r="G712">
        <v>30.020751000000001</v>
      </c>
      <c r="H712">
        <v>34.068567999999999</v>
      </c>
      <c r="I712"/>
      <c r="N712"/>
      <c r="O712"/>
      <c r="P712" s="1">
        <f t="shared" si="63"/>
        <v>175.69507520325203</v>
      </c>
      <c r="Q712" s="1">
        <f t="shared" si="64"/>
        <v>183.20922459349592</v>
      </c>
      <c r="R712" s="1">
        <f t="shared" si="65"/>
        <v>191.02038339961254</v>
      </c>
      <c r="S712" s="1">
        <f t="shared" si="66"/>
        <v>96.37326309328968</v>
      </c>
    </row>
    <row r="713" spans="1:19" x14ac:dyDescent="0.3">
      <c r="A713">
        <v>14260.6</v>
      </c>
      <c r="B713">
        <v>172.085758</v>
      </c>
      <c r="C713">
        <v>179.502004</v>
      </c>
      <c r="D713">
        <v>186.525533</v>
      </c>
      <c r="E713">
        <v>93.321325000000002</v>
      </c>
      <c r="F713">
        <v>60.176805000000002</v>
      </c>
      <c r="G713">
        <v>30.017213999999999</v>
      </c>
      <c r="H713">
        <v>34.058487999999997</v>
      </c>
      <c r="I713"/>
      <c r="N713"/>
      <c r="O713"/>
      <c r="P713" s="1">
        <f t="shared" si="63"/>
        <v>175.70210365853657</v>
      </c>
      <c r="Q713" s="1">
        <f t="shared" si="64"/>
        <v>183.1648536585366</v>
      </c>
      <c r="R713" s="1">
        <f t="shared" si="65"/>
        <v>191.00427143876823</v>
      </c>
      <c r="S713" s="1">
        <f t="shared" si="66"/>
        <v>96.437102086743039</v>
      </c>
    </row>
    <row r="714" spans="1:19" x14ac:dyDescent="0.3">
      <c r="A714">
        <v>14260.8</v>
      </c>
      <c r="B714">
        <v>172.085758</v>
      </c>
      <c r="C714">
        <v>179.502004</v>
      </c>
      <c r="D714">
        <v>186.525533</v>
      </c>
      <c r="E714">
        <v>93.321325000000002</v>
      </c>
      <c r="F714">
        <v>60.176805000000002</v>
      </c>
      <c r="G714">
        <v>30.017213999999999</v>
      </c>
      <c r="H714">
        <v>34.058487999999997</v>
      </c>
      <c r="I714"/>
      <c r="N714"/>
      <c r="O714"/>
      <c r="P714" s="1">
        <f t="shared" si="63"/>
        <v>175.70210365853657</v>
      </c>
      <c r="Q714" s="1">
        <f t="shared" si="64"/>
        <v>183.1648536585366</v>
      </c>
      <c r="R714" s="1">
        <f t="shared" si="65"/>
        <v>191.00427143876823</v>
      </c>
      <c r="S714" s="1">
        <f t="shared" si="66"/>
        <v>96.437102086743039</v>
      </c>
    </row>
    <row r="715" spans="1:19" x14ac:dyDescent="0.3">
      <c r="A715">
        <v>14261</v>
      </c>
      <c r="B715">
        <v>172.094526</v>
      </c>
      <c r="C715">
        <v>179.53080299999999</v>
      </c>
      <c r="D715">
        <v>186.49636599999999</v>
      </c>
      <c r="E715">
        <v>93.333327999999995</v>
      </c>
      <c r="F715">
        <v>60.301296000000001</v>
      </c>
      <c r="G715">
        <v>30.015891</v>
      </c>
      <c r="H715">
        <v>34.056232000000001</v>
      </c>
      <c r="I715" t="s">
        <v>56</v>
      </c>
      <c r="N715"/>
      <c r="O715"/>
      <c r="P715" s="1">
        <f t="shared" si="63"/>
        <v>175.67580691056909</v>
      </c>
      <c r="Q715" s="1">
        <f t="shared" si="64"/>
        <v>183.20759756097561</v>
      </c>
      <c r="R715" s="1">
        <f t="shared" si="65"/>
        <v>191.01923727949426</v>
      </c>
      <c r="S715" s="1">
        <f t="shared" si="66"/>
        <v>96.397695376432083</v>
      </c>
    </row>
    <row r="716" spans="1:19" x14ac:dyDescent="0.3">
      <c r="A716">
        <v>14261.2</v>
      </c>
      <c r="B716">
        <v>172.094526</v>
      </c>
      <c r="C716">
        <v>179.53080299999999</v>
      </c>
      <c r="D716">
        <v>186.49636599999999</v>
      </c>
      <c r="E716">
        <v>93.333327999999995</v>
      </c>
      <c r="F716">
        <v>60.301296000000001</v>
      </c>
      <c r="G716">
        <v>30.015891</v>
      </c>
      <c r="H716">
        <v>34.056232000000001</v>
      </c>
      <c r="I716"/>
      <c r="N716"/>
      <c r="O716"/>
      <c r="P716" s="1">
        <f t="shared" si="63"/>
        <v>175.67580691056909</v>
      </c>
      <c r="Q716" s="1">
        <f t="shared" si="64"/>
        <v>183.20759756097561</v>
      </c>
      <c r="R716" s="1">
        <f t="shared" si="65"/>
        <v>191.01923727949426</v>
      </c>
      <c r="S716" s="1">
        <f t="shared" si="66"/>
        <v>96.397695376432083</v>
      </c>
    </row>
    <row r="717" spans="1:19" x14ac:dyDescent="0.3">
      <c r="A717">
        <v>14261.4</v>
      </c>
      <c r="B717">
        <v>172.11405600000001</v>
      </c>
      <c r="C717">
        <v>179.52050399999999</v>
      </c>
      <c r="D717">
        <v>186.49501799999999</v>
      </c>
      <c r="E717">
        <v>93.412329</v>
      </c>
      <c r="F717">
        <v>60.568945999999997</v>
      </c>
      <c r="G717">
        <v>30.030080000000002</v>
      </c>
      <c r="H717">
        <v>34.063811000000001</v>
      </c>
      <c r="I717"/>
      <c r="N717"/>
      <c r="O717"/>
      <c r="P717" s="1">
        <f t="shared" si="63"/>
        <v>175.71551727642276</v>
      </c>
      <c r="Q717" s="1">
        <f t="shared" si="64"/>
        <v>183.19457113821136</v>
      </c>
      <c r="R717" s="1">
        <f t="shared" si="65"/>
        <v>191.02079738961967</v>
      </c>
      <c r="S717" s="1">
        <f t="shared" si="66"/>
        <v>96.415994271685761</v>
      </c>
    </row>
    <row r="718" spans="1:19" x14ac:dyDescent="0.3">
      <c r="A718">
        <v>14261.6</v>
      </c>
      <c r="B718">
        <v>172.11405600000001</v>
      </c>
      <c r="C718">
        <v>179.52050399999999</v>
      </c>
      <c r="D718">
        <v>186.49501799999999</v>
      </c>
      <c r="E718">
        <v>93.412329</v>
      </c>
      <c r="F718">
        <v>60.568945999999997</v>
      </c>
      <c r="G718">
        <v>30.030080000000002</v>
      </c>
      <c r="H718">
        <v>34.063811000000001</v>
      </c>
      <c r="I718"/>
      <c r="N718"/>
      <c r="O718"/>
      <c r="P718" s="1">
        <f t="shared" si="63"/>
        <v>175.71551727642276</v>
      </c>
      <c r="Q718" s="1">
        <f t="shared" si="64"/>
        <v>183.19457113821136</v>
      </c>
      <c r="R718" s="1">
        <f t="shared" si="65"/>
        <v>191.02079738961967</v>
      </c>
      <c r="S718" s="1">
        <f t="shared" si="66"/>
        <v>96.415994271685761</v>
      </c>
    </row>
    <row r="719" spans="1:19" x14ac:dyDescent="0.3">
      <c r="A719">
        <v>14261.8</v>
      </c>
      <c r="B719">
        <v>172.118191</v>
      </c>
      <c r="C719">
        <v>179.50582299999999</v>
      </c>
      <c r="D719">
        <v>186.50405599999999</v>
      </c>
      <c r="E719">
        <v>93.357138000000006</v>
      </c>
      <c r="F719">
        <v>60.248233999999997</v>
      </c>
      <c r="G719">
        <v>30.006001999999999</v>
      </c>
      <c r="H719">
        <v>34.074483000000001</v>
      </c>
      <c r="I719"/>
      <c r="N719"/>
      <c r="O719"/>
      <c r="P719" s="1">
        <f t="shared" si="63"/>
        <v>175.70645630081302</v>
      </c>
      <c r="Q719" s="1">
        <f t="shared" si="64"/>
        <v>183.24288414634145</v>
      </c>
      <c r="R719" s="1">
        <f t="shared" si="65"/>
        <v>191.02366065055574</v>
      </c>
      <c r="S719" s="1">
        <f t="shared" si="66"/>
        <v>96.432099018003271</v>
      </c>
    </row>
    <row r="720" spans="1:19" x14ac:dyDescent="0.3">
      <c r="A720">
        <v>14262</v>
      </c>
      <c r="B720">
        <v>172.118191</v>
      </c>
      <c r="C720">
        <v>179.50582299999999</v>
      </c>
      <c r="D720">
        <v>186.50405599999999</v>
      </c>
      <c r="E720">
        <v>93.357138000000006</v>
      </c>
      <c r="F720">
        <v>60.248233999999997</v>
      </c>
      <c r="G720">
        <v>30.006001999999999</v>
      </c>
      <c r="H720">
        <v>34.074483000000001</v>
      </c>
      <c r="I720" t="s">
        <v>56</v>
      </c>
      <c r="N720"/>
      <c r="O720"/>
      <c r="P720" s="1">
        <f t="shared" si="63"/>
        <v>175.70645630081302</v>
      </c>
      <c r="Q720" s="1">
        <f t="shared" si="64"/>
        <v>183.24288414634145</v>
      </c>
      <c r="R720" s="1">
        <f t="shared" si="65"/>
        <v>191.02366065055574</v>
      </c>
      <c r="S720" s="1">
        <f t="shared" si="66"/>
        <v>96.432099018003271</v>
      </c>
    </row>
    <row r="721" spans="1:19" x14ac:dyDescent="0.3">
      <c r="A721">
        <v>14262.2</v>
      </c>
      <c r="B721">
        <v>172.11426800000001</v>
      </c>
      <c r="C721">
        <v>179.51247900000001</v>
      </c>
      <c r="D721">
        <v>186.50950399999999</v>
      </c>
      <c r="E721">
        <v>93.315590999999998</v>
      </c>
      <c r="F721">
        <v>60.196416999999997</v>
      </c>
      <c r="G721">
        <v>29.998771999999999</v>
      </c>
      <c r="H721">
        <v>34.041052000000001</v>
      </c>
      <c r="I721"/>
      <c r="N721"/>
      <c r="O721"/>
      <c r="P721" s="1">
        <f t="shared" si="63"/>
        <v>175.69747560975608</v>
      </c>
      <c r="Q721" s="1">
        <f t="shared" si="64"/>
        <v>183.21665650406504</v>
      </c>
      <c r="R721" s="1">
        <f t="shared" si="65"/>
        <v>191.04068420515958</v>
      </c>
      <c r="S721" s="1">
        <f t="shared" si="66"/>
        <v>96.41009001636661</v>
      </c>
    </row>
    <row r="722" spans="1:19" x14ac:dyDescent="0.3">
      <c r="A722">
        <v>14262.4</v>
      </c>
      <c r="B722">
        <v>172.11426800000001</v>
      </c>
      <c r="C722">
        <v>179.51247900000001</v>
      </c>
      <c r="D722">
        <v>186.50950399999999</v>
      </c>
      <c r="E722">
        <v>93.315590999999998</v>
      </c>
      <c r="F722">
        <v>60.196416999999997</v>
      </c>
      <c r="G722">
        <v>29.998771999999999</v>
      </c>
      <c r="H722">
        <v>34.041052000000001</v>
      </c>
      <c r="I722"/>
      <c r="N722"/>
      <c r="O722"/>
      <c r="P722" s="1">
        <f t="shared" si="63"/>
        <v>175.69747560975608</v>
      </c>
      <c r="Q722" s="1">
        <f t="shared" si="64"/>
        <v>183.21665650406504</v>
      </c>
      <c r="R722" s="1">
        <f t="shared" si="65"/>
        <v>191.04068420515958</v>
      </c>
      <c r="S722" s="1">
        <f t="shared" si="66"/>
        <v>96.41009001636661</v>
      </c>
    </row>
    <row r="723" spans="1:19" x14ac:dyDescent="0.3">
      <c r="A723">
        <v>14262.6</v>
      </c>
      <c r="B723">
        <v>172.12500800000001</v>
      </c>
      <c r="C723">
        <v>179.50348299999999</v>
      </c>
      <c r="D723">
        <v>186.509919</v>
      </c>
      <c r="E723">
        <v>93.314415999999994</v>
      </c>
      <c r="F723">
        <v>59.638395000000003</v>
      </c>
      <c r="G723">
        <v>29.986772999999999</v>
      </c>
      <c r="H723">
        <v>34.038933999999998</v>
      </c>
      <c r="I723"/>
      <c r="N723"/>
      <c r="O723"/>
      <c r="P723" s="1">
        <f t="shared" si="63"/>
        <v>175.68621138211381</v>
      </c>
      <c r="Q723" s="1">
        <f t="shared" si="64"/>
        <v>183.21516361788616</v>
      </c>
      <c r="R723" s="1">
        <f t="shared" si="65"/>
        <v>191.02750280411951</v>
      </c>
      <c r="S723" s="1">
        <f t="shared" si="66"/>
        <v>96.400142184942723</v>
      </c>
    </row>
    <row r="724" spans="1:19" x14ac:dyDescent="0.3">
      <c r="A724">
        <v>14262.8</v>
      </c>
      <c r="B724">
        <v>172.12500800000001</v>
      </c>
      <c r="C724">
        <v>179.50348299999999</v>
      </c>
      <c r="D724">
        <v>186.509919</v>
      </c>
      <c r="E724">
        <v>93.314415999999994</v>
      </c>
      <c r="F724">
        <v>59.638395000000003</v>
      </c>
      <c r="G724">
        <v>29.986772999999999</v>
      </c>
      <c r="H724">
        <v>34.038933999999998</v>
      </c>
      <c r="I724"/>
      <c r="N724"/>
      <c r="O724"/>
      <c r="P724" s="1">
        <f t="shared" si="63"/>
        <v>175.68621138211381</v>
      </c>
      <c r="Q724" s="1">
        <f t="shared" si="64"/>
        <v>183.21516361788616</v>
      </c>
      <c r="R724" s="1">
        <f t="shared" si="65"/>
        <v>191.02750280411951</v>
      </c>
      <c r="S724" s="1">
        <f t="shared" si="66"/>
        <v>96.400142184942723</v>
      </c>
    </row>
    <row r="725" spans="1:19" x14ac:dyDescent="0.3">
      <c r="A725">
        <v>14800</v>
      </c>
      <c r="B725">
        <v>182.02039099999999</v>
      </c>
      <c r="C725">
        <v>190.11915200000001</v>
      </c>
      <c r="D725">
        <v>197.903627</v>
      </c>
      <c r="E725">
        <v>96.057845</v>
      </c>
      <c r="F725">
        <v>61.066139999999997</v>
      </c>
      <c r="G725">
        <v>29.989571999999999</v>
      </c>
      <c r="H725">
        <v>34.464348999999999</v>
      </c>
      <c r="I725" t="s">
        <v>56</v>
      </c>
      <c r="N725"/>
      <c r="O725"/>
      <c r="P725" s="1">
        <f t="shared" si="63"/>
        <v>175.68809959349591</v>
      </c>
      <c r="Q725" s="1">
        <f t="shared" si="64"/>
        <v>183.21538313008128</v>
      </c>
      <c r="R725" s="1">
        <f t="shared" si="65"/>
        <v>191.00743754461101</v>
      </c>
      <c r="S725" s="1">
        <f t="shared" si="66"/>
        <v>96.432562397708679</v>
      </c>
    </row>
    <row r="726" spans="1:19" x14ac:dyDescent="0.3">
      <c r="A726">
        <v>14800.2</v>
      </c>
      <c r="B726">
        <v>182.03453200000001</v>
      </c>
      <c r="C726">
        <v>190.114262</v>
      </c>
      <c r="D726">
        <v>197.93920800000001</v>
      </c>
      <c r="E726">
        <v>95.991692999999998</v>
      </c>
      <c r="F726">
        <v>60.979193000000002</v>
      </c>
      <c r="G726">
        <v>29.973694999999999</v>
      </c>
      <c r="H726">
        <v>34.452987</v>
      </c>
      <c r="I726"/>
      <c r="N726"/>
      <c r="O726"/>
      <c r="P726" s="1">
        <f t="shared" si="63"/>
        <v>175.68809959349591</v>
      </c>
      <c r="Q726" s="1">
        <f t="shared" si="64"/>
        <v>183.21538313008128</v>
      </c>
      <c r="R726" s="1">
        <f t="shared" si="65"/>
        <v>191.00743754461101</v>
      </c>
      <c r="S726" s="1">
        <f t="shared" si="66"/>
        <v>96.432562397708679</v>
      </c>
    </row>
    <row r="727" spans="1:19" x14ac:dyDescent="0.3">
      <c r="A727">
        <v>14800.4</v>
      </c>
      <c r="B727">
        <v>182.03453200000001</v>
      </c>
      <c r="C727">
        <v>190.114262</v>
      </c>
      <c r="D727">
        <v>197.93920800000001</v>
      </c>
      <c r="E727">
        <v>95.991692999999998</v>
      </c>
      <c r="F727">
        <v>60.979193000000002</v>
      </c>
      <c r="G727">
        <v>29.973694999999999</v>
      </c>
      <c r="H727">
        <v>34.452987</v>
      </c>
      <c r="I727"/>
      <c r="N727"/>
      <c r="O727"/>
      <c r="P727" s="1">
        <f t="shared" si="63"/>
        <v>175.68968089430894</v>
      </c>
      <c r="Q727" s="1">
        <f t="shared" si="64"/>
        <v>183.21720833333333</v>
      </c>
      <c r="R727" s="1">
        <f t="shared" si="65"/>
        <v>191.02453145712246</v>
      </c>
      <c r="S727" s="1">
        <f t="shared" si="66"/>
        <v>96.410161620294602</v>
      </c>
    </row>
    <row r="728" spans="1:19" x14ac:dyDescent="0.3">
      <c r="A728">
        <v>14800.6</v>
      </c>
      <c r="B728">
        <v>182.02891099999999</v>
      </c>
      <c r="C728">
        <v>190.09968599999999</v>
      </c>
      <c r="D728">
        <v>197.92262700000001</v>
      </c>
      <c r="E728">
        <v>95.985401999999993</v>
      </c>
      <c r="F728">
        <v>60.897841</v>
      </c>
      <c r="G728">
        <v>30.008799</v>
      </c>
      <c r="H728">
        <v>34.471556</v>
      </c>
      <c r="I728"/>
      <c r="N728"/>
      <c r="O728"/>
      <c r="P728" s="1">
        <f t="shared" si="63"/>
        <v>175.68968089430894</v>
      </c>
      <c r="Q728" s="1">
        <f t="shared" si="64"/>
        <v>183.21720833333333</v>
      </c>
      <c r="R728" s="1">
        <f t="shared" si="65"/>
        <v>191.02453145712246</v>
      </c>
      <c r="S728" s="1">
        <f t="shared" si="66"/>
        <v>96.410161620294602</v>
      </c>
    </row>
    <row r="729" spans="1:19" x14ac:dyDescent="0.3">
      <c r="A729">
        <v>14800.8</v>
      </c>
      <c r="B729">
        <v>182.02891099999999</v>
      </c>
      <c r="C729">
        <v>190.09968599999999</v>
      </c>
      <c r="D729">
        <v>197.92262700000001</v>
      </c>
      <c r="E729">
        <v>95.985401999999993</v>
      </c>
      <c r="F729">
        <v>60.897841</v>
      </c>
      <c r="G729">
        <v>30.008799</v>
      </c>
      <c r="H729">
        <v>34.471556</v>
      </c>
      <c r="I729"/>
      <c r="N729"/>
      <c r="O729"/>
      <c r="P729" s="1">
        <f t="shared" si="63"/>
        <v>175.67857113821137</v>
      </c>
      <c r="Q729" s="1">
        <f t="shared" si="64"/>
        <v>183.20749999999998</v>
      </c>
      <c r="R729" s="1">
        <f t="shared" si="65"/>
        <v>191.01818598959926</v>
      </c>
      <c r="S729" s="1">
        <f t="shared" si="66"/>
        <v>96.535416325695579</v>
      </c>
    </row>
    <row r="730" spans="1:19" x14ac:dyDescent="0.3">
      <c r="A730">
        <v>14801</v>
      </c>
      <c r="B730">
        <v>182.04595</v>
      </c>
      <c r="C730">
        <v>190.127115</v>
      </c>
      <c r="D730">
        <v>197.920186</v>
      </c>
      <c r="E730">
        <v>96.039794999999998</v>
      </c>
      <c r="F730">
        <v>60.846975</v>
      </c>
      <c r="G730">
        <v>30.002037999999999</v>
      </c>
      <c r="H730">
        <v>34.457332999999998</v>
      </c>
      <c r="I730" t="s">
        <v>56</v>
      </c>
      <c r="N730"/>
      <c r="O730"/>
      <c r="P730" s="1">
        <f t="shared" si="63"/>
        <v>175.67857113821137</v>
      </c>
      <c r="Q730" s="1">
        <f t="shared" si="64"/>
        <v>183.20749999999998</v>
      </c>
      <c r="R730" s="1">
        <f t="shared" si="65"/>
        <v>191.01818598959926</v>
      </c>
      <c r="S730" s="1">
        <f t="shared" si="66"/>
        <v>96.535416325695579</v>
      </c>
    </row>
    <row r="731" spans="1:19" x14ac:dyDescent="0.3">
      <c r="A731">
        <v>14801.2</v>
      </c>
      <c r="B731">
        <v>182.04595</v>
      </c>
      <c r="C731">
        <v>190.127115</v>
      </c>
      <c r="D731">
        <v>197.920186</v>
      </c>
      <c r="E731">
        <v>96.039794999999998</v>
      </c>
      <c r="F731">
        <v>60.846975</v>
      </c>
      <c r="G731">
        <v>30.002037999999999</v>
      </c>
      <c r="H731">
        <v>34.457332999999998</v>
      </c>
      <c r="I731"/>
      <c r="N731"/>
      <c r="O731"/>
      <c r="P731" s="1">
        <f t="shared" si="63"/>
        <v>175.68318902439023</v>
      </c>
      <c r="Q731" s="1">
        <f t="shared" si="64"/>
        <v>183.22002439024391</v>
      </c>
      <c r="R731" s="1">
        <f t="shared" si="65"/>
        <v>191.02256857346794</v>
      </c>
      <c r="S731" s="1">
        <f t="shared" si="66"/>
        <v>96.404587765957444</v>
      </c>
    </row>
    <row r="732" spans="1:19" x14ac:dyDescent="0.3">
      <c r="A732">
        <v>14801.4</v>
      </c>
      <c r="B732">
        <v>182.03723500000001</v>
      </c>
      <c r="C732">
        <v>190.10967500000001</v>
      </c>
      <c r="D732">
        <v>197.94306700000001</v>
      </c>
      <c r="E732">
        <v>95.886653999999993</v>
      </c>
      <c r="F732">
        <v>60.672068000000003</v>
      </c>
      <c r="G732">
        <v>30.002434999999998</v>
      </c>
      <c r="H732">
        <v>34.464517000000001</v>
      </c>
      <c r="I732"/>
      <c r="N732"/>
      <c r="O732"/>
      <c r="P732" s="1">
        <f t="shared" si="63"/>
        <v>175.68318902439023</v>
      </c>
      <c r="Q732" s="1">
        <f t="shared" si="64"/>
        <v>183.22002439024391</v>
      </c>
      <c r="R732" s="1">
        <f t="shared" si="65"/>
        <v>191.02256857346794</v>
      </c>
      <c r="S732" s="1">
        <f t="shared" si="66"/>
        <v>96.404587765957444</v>
      </c>
    </row>
    <row r="733" spans="1:19" x14ac:dyDescent="0.3">
      <c r="A733">
        <v>14801.6</v>
      </c>
      <c r="B733">
        <v>182.03723500000001</v>
      </c>
      <c r="C733">
        <v>190.10967500000001</v>
      </c>
      <c r="D733">
        <v>197.94306700000001</v>
      </c>
      <c r="E733">
        <v>95.886653999999993</v>
      </c>
      <c r="F733">
        <v>60.672068000000003</v>
      </c>
      <c r="G733">
        <v>30.002434999999998</v>
      </c>
      <c r="H733">
        <v>34.464517000000001</v>
      </c>
      <c r="I733"/>
      <c r="N733"/>
      <c r="O733"/>
      <c r="P733" s="1">
        <f t="shared" si="63"/>
        <v>175.69209959349593</v>
      </c>
      <c r="Q733" s="1">
        <f t="shared" si="64"/>
        <v>183.24929166666664</v>
      </c>
      <c r="R733" s="1">
        <f t="shared" si="65"/>
        <v>190.99282757214235</v>
      </c>
      <c r="S733" s="1">
        <f t="shared" si="66"/>
        <v>96.416865793780673</v>
      </c>
    </row>
    <row r="734" spans="1:19" x14ac:dyDescent="0.3">
      <c r="A734">
        <v>14801.8</v>
      </c>
      <c r="B734">
        <v>182.03798399999999</v>
      </c>
      <c r="C734">
        <v>190.10972000000001</v>
      </c>
      <c r="D734">
        <v>197.928853</v>
      </c>
      <c r="E734">
        <v>95.779071999999999</v>
      </c>
      <c r="F734">
        <v>61.143579000000003</v>
      </c>
      <c r="G734">
        <v>30.015673</v>
      </c>
      <c r="H734">
        <v>34.484019000000004</v>
      </c>
      <c r="I734"/>
      <c r="N734"/>
      <c r="O734"/>
      <c r="P734" s="1">
        <f t="shared" si="63"/>
        <v>175.69209959349593</v>
      </c>
      <c r="Q734" s="1">
        <f t="shared" si="64"/>
        <v>183.24929166666664</v>
      </c>
      <c r="R734" s="1">
        <f t="shared" si="65"/>
        <v>190.99282757214235</v>
      </c>
      <c r="S734" s="1">
        <f t="shared" si="66"/>
        <v>96.416865793780673</v>
      </c>
    </row>
    <row r="735" spans="1:19" x14ac:dyDescent="0.3">
      <c r="A735">
        <v>14802</v>
      </c>
      <c r="B735">
        <v>182.03798399999999</v>
      </c>
      <c r="C735">
        <v>190.10972000000001</v>
      </c>
      <c r="D735">
        <v>197.928853</v>
      </c>
      <c r="E735">
        <v>95.779071999999999</v>
      </c>
      <c r="F735">
        <v>61.143579000000003</v>
      </c>
      <c r="G735">
        <v>30.015673</v>
      </c>
      <c r="H735">
        <v>34.484019000000004</v>
      </c>
      <c r="I735" t="s">
        <v>56</v>
      </c>
      <c r="N735"/>
      <c r="O735"/>
      <c r="P735" s="1">
        <f t="shared" si="63"/>
        <v>175.71194715447155</v>
      </c>
      <c r="Q735" s="1">
        <f t="shared" si="64"/>
        <v>183.23882520325202</v>
      </c>
      <c r="R735" s="1">
        <f t="shared" si="65"/>
        <v>190.99145304374426</v>
      </c>
      <c r="S735" s="1">
        <f t="shared" si="66"/>
        <v>96.497676963993456</v>
      </c>
    </row>
    <row r="736" spans="1:19" x14ac:dyDescent="0.3">
      <c r="A736">
        <v>14802.2</v>
      </c>
      <c r="B736">
        <v>182.03899000000001</v>
      </c>
      <c r="C736">
        <v>190.11237499999999</v>
      </c>
      <c r="D736">
        <v>197.92891900000001</v>
      </c>
      <c r="E736">
        <v>95.832723000000001</v>
      </c>
      <c r="F736">
        <v>60.861485000000002</v>
      </c>
      <c r="G736">
        <v>29.996827</v>
      </c>
      <c r="H736">
        <v>34.481639000000001</v>
      </c>
      <c r="I736"/>
      <c r="N736"/>
      <c r="O736"/>
      <c r="P736" s="1">
        <f t="shared" si="63"/>
        <v>175.71194715447155</v>
      </c>
      <c r="Q736" s="1">
        <f t="shared" si="64"/>
        <v>183.23882520325202</v>
      </c>
      <c r="R736" s="1">
        <f t="shared" si="65"/>
        <v>190.99145304374426</v>
      </c>
      <c r="S736" s="1">
        <f t="shared" si="66"/>
        <v>96.497676963993456</v>
      </c>
    </row>
    <row r="737" spans="1:19" x14ac:dyDescent="0.3">
      <c r="A737">
        <v>14802.4</v>
      </c>
      <c r="B737">
        <v>182.03899000000001</v>
      </c>
      <c r="C737">
        <v>190.11237499999999</v>
      </c>
      <c r="D737">
        <v>197.92891900000001</v>
      </c>
      <c r="E737">
        <v>95.832723000000001</v>
      </c>
      <c r="F737">
        <v>60.861485000000002</v>
      </c>
      <c r="G737">
        <v>29.996827</v>
      </c>
      <c r="H737">
        <v>34.481639000000001</v>
      </c>
      <c r="I737"/>
      <c r="N737"/>
      <c r="O737"/>
      <c r="P737" s="1">
        <f t="shared" si="63"/>
        <v>175.71614939024388</v>
      </c>
      <c r="Q737" s="1">
        <f t="shared" si="64"/>
        <v>183.22390548780487</v>
      </c>
      <c r="R737" s="1">
        <f t="shared" si="65"/>
        <v>191.00066890996229</v>
      </c>
      <c r="S737" s="1">
        <f t="shared" si="66"/>
        <v>96.441221358428805</v>
      </c>
    </row>
    <row r="738" spans="1:19" x14ac:dyDescent="0.3">
      <c r="A738">
        <v>14802.6</v>
      </c>
      <c r="B738">
        <v>182.04606899999999</v>
      </c>
      <c r="C738">
        <v>190.11994000000001</v>
      </c>
      <c r="D738">
        <v>197.94438099999999</v>
      </c>
      <c r="E738">
        <v>95.901880000000006</v>
      </c>
      <c r="F738">
        <v>61.093392000000001</v>
      </c>
      <c r="G738">
        <v>29.995246999999999</v>
      </c>
      <c r="H738">
        <v>34.490132000000003</v>
      </c>
      <c r="I738"/>
      <c r="N738"/>
      <c r="O738"/>
      <c r="P738" s="1">
        <f t="shared" si="63"/>
        <v>175.71614939024388</v>
      </c>
      <c r="Q738" s="1">
        <f t="shared" si="64"/>
        <v>183.22390548780487</v>
      </c>
      <c r="R738" s="1">
        <f t="shared" si="65"/>
        <v>191.00066890996229</v>
      </c>
      <c r="S738" s="1">
        <f t="shared" si="66"/>
        <v>96.441221358428805</v>
      </c>
    </row>
    <row r="739" spans="1:19" x14ac:dyDescent="0.3">
      <c r="A739">
        <v>14802.8</v>
      </c>
      <c r="B739">
        <v>182.04606899999999</v>
      </c>
      <c r="C739">
        <v>190.11994000000001</v>
      </c>
      <c r="D739">
        <v>197.94438099999999</v>
      </c>
      <c r="E739">
        <v>95.901880000000006</v>
      </c>
      <c r="F739">
        <v>61.093392000000001</v>
      </c>
      <c r="G739">
        <v>29.995246999999999</v>
      </c>
      <c r="H739">
        <v>34.490132000000003</v>
      </c>
      <c r="I739"/>
      <c r="N739"/>
      <c r="O739"/>
      <c r="P739" s="1">
        <f t="shared" si="63"/>
        <v>175.71216260162601</v>
      </c>
      <c r="Q739" s="1">
        <f t="shared" si="64"/>
        <v>183.23066971544716</v>
      </c>
      <c r="R739" s="1">
        <f t="shared" si="65"/>
        <v>191.00622412562456</v>
      </c>
      <c r="S739" s="1">
        <f t="shared" si="66"/>
        <v>96.398722381342054</v>
      </c>
    </row>
    <row r="740" spans="1:19" x14ac:dyDescent="0.3">
      <c r="A740">
        <v>14803</v>
      </c>
      <c r="B740">
        <v>182.02084600000001</v>
      </c>
      <c r="C740">
        <v>190.10384099999999</v>
      </c>
      <c r="D740">
        <v>197.946155</v>
      </c>
      <c r="E740">
        <v>95.961455999999998</v>
      </c>
      <c r="F740">
        <v>60.437919000000001</v>
      </c>
      <c r="G740">
        <v>29.998985000000001</v>
      </c>
      <c r="H740">
        <v>34.479574999999997</v>
      </c>
      <c r="I740" t="s">
        <v>56</v>
      </c>
      <c r="N740"/>
      <c r="O740"/>
      <c r="P740" s="1">
        <f t="shared" si="63"/>
        <v>175.71216260162601</v>
      </c>
      <c r="Q740" s="1">
        <f t="shared" si="64"/>
        <v>183.23066971544716</v>
      </c>
      <c r="R740" s="1">
        <f t="shared" si="65"/>
        <v>191.00622412562456</v>
      </c>
      <c r="S740" s="1">
        <f t="shared" si="66"/>
        <v>96.398722381342054</v>
      </c>
    </row>
    <row r="741" spans="1:19" x14ac:dyDescent="0.3">
      <c r="A741">
        <v>14803.2</v>
      </c>
      <c r="B741">
        <v>182.02084600000001</v>
      </c>
      <c r="C741">
        <v>190.10384099999999</v>
      </c>
      <c r="D741">
        <v>197.946155</v>
      </c>
      <c r="E741">
        <v>95.961455999999998</v>
      </c>
      <c r="F741">
        <v>60.437919000000001</v>
      </c>
      <c r="G741">
        <v>29.998985000000001</v>
      </c>
      <c r="H741">
        <v>34.479574999999997</v>
      </c>
      <c r="I741"/>
      <c r="N741"/>
      <c r="O741"/>
      <c r="P741" s="1">
        <f t="shared" si="63"/>
        <v>175.72307723577237</v>
      </c>
      <c r="Q741" s="1">
        <f t="shared" si="64"/>
        <v>183.22152743902436</v>
      </c>
      <c r="R741" s="1">
        <f t="shared" si="65"/>
        <v>191.00664729275007</v>
      </c>
      <c r="S741" s="1">
        <f t="shared" si="66"/>
        <v>96.397520458265134</v>
      </c>
    </row>
    <row r="742" spans="1:19" x14ac:dyDescent="0.3">
      <c r="A742">
        <v>14803.4</v>
      </c>
      <c r="B742">
        <v>182.01989</v>
      </c>
      <c r="C742">
        <v>190.08993899999999</v>
      </c>
      <c r="D742">
        <v>197.92626899999999</v>
      </c>
      <c r="E742">
        <v>95.912352999999996</v>
      </c>
      <c r="F742">
        <v>60.746667000000002</v>
      </c>
      <c r="G742">
        <v>30.00076</v>
      </c>
      <c r="H742">
        <v>34.475490000000001</v>
      </c>
      <c r="I742"/>
      <c r="N742"/>
      <c r="O742"/>
      <c r="P742" s="1">
        <f t="shared" si="63"/>
        <v>175.72307723577237</v>
      </c>
      <c r="Q742" s="1">
        <f t="shared" si="64"/>
        <v>183.22152743902436</v>
      </c>
      <c r="R742" s="1">
        <f t="shared" si="65"/>
        <v>191.00664729275007</v>
      </c>
      <c r="S742" s="1">
        <f t="shared" si="66"/>
        <v>96.397520458265134</v>
      </c>
    </row>
    <row r="743" spans="1:19" x14ac:dyDescent="0.3">
      <c r="A743">
        <v>14803.6</v>
      </c>
      <c r="B743">
        <v>182.01989</v>
      </c>
      <c r="C743">
        <v>190.08993899999999</v>
      </c>
      <c r="D743">
        <v>197.92626899999999</v>
      </c>
      <c r="E743">
        <v>95.912352999999996</v>
      </c>
      <c r="F743">
        <v>60.746667000000002</v>
      </c>
      <c r="G743">
        <v>30.00076</v>
      </c>
      <c r="H743">
        <v>34.475490000000001</v>
      </c>
      <c r="I743"/>
      <c r="N743"/>
      <c r="O743"/>
      <c r="P743" s="1">
        <f t="shared" si="63"/>
        <v>185.77936077235771</v>
      </c>
      <c r="Q743" s="1">
        <f t="shared" si="64"/>
        <v>194.00980894308944</v>
      </c>
      <c r="R743" s="1">
        <f t="shared" si="65"/>
        <v>202.62458142143367</v>
      </c>
      <c r="S743" s="1">
        <f t="shared" si="66"/>
        <v>99.203810351882154</v>
      </c>
    </row>
    <row r="744" spans="1:19" x14ac:dyDescent="0.3">
      <c r="A744">
        <v>14803.8</v>
      </c>
      <c r="B744">
        <v>182.025507</v>
      </c>
      <c r="C744">
        <v>190.10780500000001</v>
      </c>
      <c r="D744">
        <v>197.91970499999999</v>
      </c>
      <c r="E744">
        <v>95.892521000000002</v>
      </c>
      <c r="F744">
        <v>61.316693000000001</v>
      </c>
      <c r="G744">
        <v>29.99776</v>
      </c>
      <c r="H744">
        <v>34.488889</v>
      </c>
      <c r="I744"/>
      <c r="N744"/>
      <c r="O744"/>
      <c r="P744" s="1">
        <f t="shared" si="63"/>
        <v>185.79373170731708</v>
      </c>
      <c r="Q744" s="1">
        <f t="shared" si="64"/>
        <v>194.00483943089429</v>
      </c>
      <c r="R744" s="1">
        <f t="shared" si="65"/>
        <v>202.66086264912818</v>
      </c>
      <c r="S744" s="1">
        <f t="shared" si="66"/>
        <v>99.136142594108009</v>
      </c>
    </row>
    <row r="745" spans="1:19" x14ac:dyDescent="0.3">
      <c r="A745">
        <v>14804</v>
      </c>
      <c r="B745">
        <v>182.025507</v>
      </c>
      <c r="C745">
        <v>190.10780500000001</v>
      </c>
      <c r="D745">
        <v>197.91970499999999</v>
      </c>
      <c r="E745">
        <v>95.892521000000002</v>
      </c>
      <c r="F745">
        <v>61.316693000000001</v>
      </c>
      <c r="G745">
        <v>29.99776</v>
      </c>
      <c r="H745">
        <v>34.488889</v>
      </c>
      <c r="I745" t="s">
        <v>56</v>
      </c>
      <c r="N745"/>
      <c r="O745"/>
      <c r="P745" s="1">
        <f t="shared" si="63"/>
        <v>185.79373170731708</v>
      </c>
      <c r="Q745" s="1">
        <f t="shared" si="64"/>
        <v>194.00483943089429</v>
      </c>
      <c r="R745" s="1">
        <f t="shared" si="65"/>
        <v>202.66086264912818</v>
      </c>
      <c r="S745" s="1">
        <f t="shared" si="66"/>
        <v>99.136142594108009</v>
      </c>
    </row>
    <row r="746" spans="1:19" x14ac:dyDescent="0.3">
      <c r="A746">
        <v>14804.2</v>
      </c>
      <c r="B746">
        <v>182.020611</v>
      </c>
      <c r="C746">
        <v>190.107606</v>
      </c>
      <c r="D746">
        <v>197.938908</v>
      </c>
      <c r="E746">
        <v>95.967085999999995</v>
      </c>
      <c r="F746">
        <v>60.931592999999999</v>
      </c>
      <c r="G746">
        <v>29.995125000000002</v>
      </c>
      <c r="H746">
        <v>34.473390000000002</v>
      </c>
      <c r="I746"/>
      <c r="N746"/>
      <c r="O746"/>
      <c r="P746" s="1">
        <f t="shared" si="63"/>
        <v>185.78801930894306</v>
      </c>
      <c r="Q746" s="1">
        <f t="shared" si="64"/>
        <v>193.9900264227642</v>
      </c>
      <c r="R746" s="1">
        <f t="shared" si="65"/>
        <v>202.64395533802389</v>
      </c>
      <c r="S746" s="1">
        <f t="shared" si="66"/>
        <v>99.129707446808496</v>
      </c>
    </row>
    <row r="747" spans="1:19" x14ac:dyDescent="0.3">
      <c r="A747">
        <v>14804.4</v>
      </c>
      <c r="B747">
        <v>182.020611</v>
      </c>
      <c r="C747">
        <v>190.107606</v>
      </c>
      <c r="D747">
        <v>197.938908</v>
      </c>
      <c r="E747">
        <v>95.967085999999995</v>
      </c>
      <c r="F747">
        <v>60.931592999999999</v>
      </c>
      <c r="G747">
        <v>29.995125000000002</v>
      </c>
      <c r="H747">
        <v>34.473390000000002</v>
      </c>
      <c r="I747"/>
      <c r="N747"/>
      <c r="O747"/>
      <c r="P747" s="1">
        <f t="shared" si="63"/>
        <v>185.78801930894306</v>
      </c>
      <c r="Q747" s="1">
        <f t="shared" si="64"/>
        <v>193.9900264227642</v>
      </c>
      <c r="R747" s="1">
        <f t="shared" si="65"/>
        <v>202.64395533802389</v>
      </c>
      <c r="S747" s="1">
        <f t="shared" si="66"/>
        <v>99.129707446808496</v>
      </c>
    </row>
    <row r="748" spans="1:19" x14ac:dyDescent="0.3">
      <c r="A748">
        <v>14804.6</v>
      </c>
      <c r="B748">
        <v>182.040876</v>
      </c>
      <c r="C748">
        <v>190.10485199999999</v>
      </c>
      <c r="D748">
        <v>197.93780899999999</v>
      </c>
      <c r="E748">
        <v>95.795580000000001</v>
      </c>
      <c r="F748">
        <v>61.502775999999997</v>
      </c>
      <c r="G748">
        <v>29.984860000000001</v>
      </c>
      <c r="H748">
        <v>34.468786999999999</v>
      </c>
      <c r="I748"/>
      <c r="N748"/>
      <c r="O748"/>
      <c r="P748" s="1">
        <f t="shared" ref="P748:P811" si="67">(B730+Q$36)/P$36</f>
        <v>185.80533536585367</v>
      </c>
      <c r="Q748" s="1">
        <f t="shared" ref="Q748:Q811" si="68">(C730+Q$36)/P$36</f>
        <v>194.01790142276423</v>
      </c>
      <c r="R748" s="1">
        <f t="shared" ref="R748:R811" si="69">(D730+Q$38)/P$38</f>
        <v>202.64146629958194</v>
      </c>
      <c r="S748" s="1">
        <f t="shared" ref="S748:S811" si="70">(E730+Q$39)/P$39</f>
        <v>99.185346767594098</v>
      </c>
    </row>
    <row r="749" spans="1:19" x14ac:dyDescent="0.3">
      <c r="A749">
        <v>14804.8</v>
      </c>
      <c r="B749">
        <v>182.040876</v>
      </c>
      <c r="C749">
        <v>190.10485199999999</v>
      </c>
      <c r="D749">
        <v>197.93780899999999</v>
      </c>
      <c r="E749">
        <v>95.795580000000001</v>
      </c>
      <c r="F749">
        <v>61.502775999999997</v>
      </c>
      <c r="G749">
        <v>29.984860000000001</v>
      </c>
      <c r="H749">
        <v>34.468786999999999</v>
      </c>
      <c r="I749"/>
      <c r="N749"/>
      <c r="O749"/>
      <c r="P749" s="1">
        <f t="shared" si="67"/>
        <v>185.80533536585367</v>
      </c>
      <c r="Q749" s="1">
        <f t="shared" si="68"/>
        <v>194.01790142276423</v>
      </c>
      <c r="R749" s="1">
        <f t="shared" si="69"/>
        <v>202.64146629958194</v>
      </c>
      <c r="S749" s="1">
        <f t="shared" si="70"/>
        <v>99.185346767594098</v>
      </c>
    </row>
    <row r="750" spans="1:19" x14ac:dyDescent="0.3">
      <c r="A750">
        <v>14805</v>
      </c>
      <c r="B750">
        <v>182.04347300000001</v>
      </c>
      <c r="C750">
        <v>190.10204200000001</v>
      </c>
      <c r="D750">
        <v>197.95161400000001</v>
      </c>
      <c r="E750">
        <v>95.812928999999997</v>
      </c>
      <c r="F750">
        <v>61.916677999999997</v>
      </c>
      <c r="G750">
        <v>29.995519000000002</v>
      </c>
      <c r="H750">
        <v>34.468398000000001</v>
      </c>
      <c r="I750" t="s">
        <v>56</v>
      </c>
      <c r="N750"/>
      <c r="O750"/>
      <c r="P750" s="1">
        <f t="shared" si="67"/>
        <v>185.79647865853659</v>
      </c>
      <c r="Q750" s="1">
        <f t="shared" si="68"/>
        <v>194.00017784552847</v>
      </c>
      <c r="R750" s="1">
        <f t="shared" si="69"/>
        <v>202.66479759355565</v>
      </c>
      <c r="S750" s="1">
        <f t="shared" si="70"/>
        <v>99.028696808510631</v>
      </c>
    </row>
    <row r="751" spans="1:19" x14ac:dyDescent="0.3">
      <c r="A751">
        <v>14805.2</v>
      </c>
      <c r="B751">
        <v>182.04347300000001</v>
      </c>
      <c r="C751">
        <v>190.10204200000001</v>
      </c>
      <c r="D751">
        <v>197.95161400000001</v>
      </c>
      <c r="E751">
        <v>95.812928999999997</v>
      </c>
      <c r="F751">
        <v>61.916677999999997</v>
      </c>
      <c r="G751">
        <v>29.995519000000002</v>
      </c>
      <c r="H751">
        <v>34.468398000000001</v>
      </c>
      <c r="I751"/>
      <c r="N751"/>
      <c r="O751"/>
      <c r="P751" s="1">
        <f t="shared" si="67"/>
        <v>185.79647865853659</v>
      </c>
      <c r="Q751" s="1">
        <f t="shared" si="68"/>
        <v>194.00017784552847</v>
      </c>
      <c r="R751" s="1">
        <f t="shared" si="69"/>
        <v>202.66479759355565</v>
      </c>
      <c r="S751" s="1">
        <f t="shared" si="70"/>
        <v>99.028696808510631</v>
      </c>
    </row>
    <row r="752" spans="1:19" x14ac:dyDescent="0.3">
      <c r="A752">
        <v>14805.4</v>
      </c>
      <c r="B752">
        <v>182.02921499999999</v>
      </c>
      <c r="C752">
        <v>190.11858100000001</v>
      </c>
      <c r="D752">
        <v>197.92900599999999</v>
      </c>
      <c r="E752">
        <v>95.902381000000005</v>
      </c>
      <c r="F752">
        <v>61.441155000000002</v>
      </c>
      <c r="G752">
        <v>29.997402999999998</v>
      </c>
      <c r="H752">
        <v>34.494151000000002</v>
      </c>
      <c r="I752"/>
      <c r="N752"/>
      <c r="O752"/>
      <c r="P752" s="1">
        <f t="shared" si="67"/>
        <v>185.79723983739837</v>
      </c>
      <c r="Q752" s="1">
        <f t="shared" si="68"/>
        <v>194.00022357723577</v>
      </c>
      <c r="R752" s="1">
        <f t="shared" si="69"/>
        <v>202.65030386458653</v>
      </c>
      <c r="S752" s="1">
        <f t="shared" si="70"/>
        <v>98.918649754500819</v>
      </c>
    </row>
    <row r="753" spans="1:19" x14ac:dyDescent="0.3">
      <c r="A753">
        <v>14805.6</v>
      </c>
      <c r="B753">
        <v>182.02921499999999</v>
      </c>
      <c r="C753">
        <v>190.11858100000001</v>
      </c>
      <c r="D753">
        <v>197.92900599999999</v>
      </c>
      <c r="E753">
        <v>95.902381000000005</v>
      </c>
      <c r="F753">
        <v>61.441155000000002</v>
      </c>
      <c r="G753">
        <v>29.997402999999998</v>
      </c>
      <c r="H753">
        <v>34.494151000000002</v>
      </c>
      <c r="I753"/>
      <c r="N753"/>
      <c r="O753"/>
      <c r="P753" s="1">
        <f t="shared" si="67"/>
        <v>185.79723983739837</v>
      </c>
      <c r="Q753" s="1">
        <f t="shared" si="68"/>
        <v>194.00022357723577</v>
      </c>
      <c r="R753" s="1">
        <f t="shared" si="69"/>
        <v>202.65030386458653</v>
      </c>
      <c r="S753" s="1">
        <f t="shared" si="70"/>
        <v>98.918649754500819</v>
      </c>
    </row>
    <row r="754" spans="1:19" x14ac:dyDescent="0.3">
      <c r="A754">
        <v>14805.8</v>
      </c>
      <c r="B754">
        <v>182.01989800000001</v>
      </c>
      <c r="C754">
        <v>190.117716</v>
      </c>
      <c r="D754">
        <v>197.940068</v>
      </c>
      <c r="E754">
        <v>95.999275999999995</v>
      </c>
      <c r="F754">
        <v>61.437612999999999</v>
      </c>
      <c r="G754">
        <v>29.973165000000002</v>
      </c>
      <c r="H754">
        <v>34.470250999999998</v>
      </c>
      <c r="I754"/>
      <c r="N754"/>
      <c r="O754"/>
      <c r="P754" s="1">
        <f t="shared" si="67"/>
        <v>185.79826219512196</v>
      </c>
      <c r="Q754" s="1">
        <f t="shared" si="68"/>
        <v>194.00292174796746</v>
      </c>
      <c r="R754" s="1">
        <f t="shared" si="69"/>
        <v>202.65037116345468</v>
      </c>
      <c r="S754" s="1">
        <f t="shared" si="70"/>
        <v>98.973530073649755</v>
      </c>
    </row>
    <row r="755" spans="1:19" x14ac:dyDescent="0.3">
      <c r="A755">
        <v>14806</v>
      </c>
      <c r="B755">
        <v>182.01989800000001</v>
      </c>
      <c r="C755">
        <v>190.117716</v>
      </c>
      <c r="D755">
        <v>197.940068</v>
      </c>
      <c r="E755">
        <v>95.999275999999995</v>
      </c>
      <c r="F755">
        <v>61.437612999999999</v>
      </c>
      <c r="G755">
        <v>29.973165000000002</v>
      </c>
      <c r="H755">
        <v>34.470250999999998</v>
      </c>
      <c r="I755" t="s">
        <v>56</v>
      </c>
      <c r="N755"/>
      <c r="O755"/>
      <c r="P755" s="1">
        <f t="shared" si="67"/>
        <v>185.79826219512196</v>
      </c>
      <c r="Q755" s="1">
        <f t="shared" si="68"/>
        <v>194.00292174796746</v>
      </c>
      <c r="R755" s="1">
        <f t="shared" si="69"/>
        <v>202.65037116345468</v>
      </c>
      <c r="S755" s="1">
        <f t="shared" si="70"/>
        <v>98.973530073649755</v>
      </c>
    </row>
    <row r="756" spans="1:19" x14ac:dyDescent="0.3">
      <c r="A756">
        <v>14806.2</v>
      </c>
      <c r="B756">
        <v>182.03527099999999</v>
      </c>
      <c r="C756">
        <v>190.09617600000001</v>
      </c>
      <c r="D756">
        <v>197.90768600000001</v>
      </c>
      <c r="E756">
        <v>95.939261000000002</v>
      </c>
      <c r="F756">
        <v>61.497905000000003</v>
      </c>
      <c r="G756">
        <v>29.986561999999999</v>
      </c>
      <c r="H756">
        <v>34.467204000000002</v>
      </c>
      <c r="I756"/>
      <c r="N756"/>
      <c r="O756"/>
      <c r="P756" s="1">
        <f t="shared" si="67"/>
        <v>185.80545630081298</v>
      </c>
      <c r="Q756" s="1">
        <f t="shared" si="68"/>
        <v>194.01060975609758</v>
      </c>
      <c r="R756" s="1">
        <f t="shared" si="69"/>
        <v>202.66613745283982</v>
      </c>
      <c r="S756" s="1">
        <f t="shared" si="70"/>
        <v>99.044271685761046</v>
      </c>
    </row>
    <row r="757" spans="1:19" x14ac:dyDescent="0.3">
      <c r="A757">
        <v>14806.4</v>
      </c>
      <c r="B757">
        <v>182.03527099999999</v>
      </c>
      <c r="C757">
        <v>190.09617600000001</v>
      </c>
      <c r="D757">
        <v>197.90768600000001</v>
      </c>
      <c r="E757">
        <v>95.939261000000002</v>
      </c>
      <c r="F757">
        <v>61.497905000000003</v>
      </c>
      <c r="G757">
        <v>29.986561999999999</v>
      </c>
      <c r="H757">
        <v>34.467204000000002</v>
      </c>
      <c r="I757"/>
      <c r="N757"/>
      <c r="O757"/>
      <c r="P757" s="1">
        <f t="shared" si="67"/>
        <v>185.80545630081298</v>
      </c>
      <c r="Q757" s="1">
        <f t="shared" si="68"/>
        <v>194.01060975609758</v>
      </c>
      <c r="R757" s="1">
        <f t="shared" si="69"/>
        <v>202.66613745283982</v>
      </c>
      <c r="S757" s="1">
        <f t="shared" si="70"/>
        <v>99.044271685761046</v>
      </c>
    </row>
    <row r="758" spans="1:19" x14ac:dyDescent="0.3">
      <c r="A758">
        <v>14806.6</v>
      </c>
      <c r="B758">
        <v>182.02583799999999</v>
      </c>
      <c r="C758">
        <v>190.111197</v>
      </c>
      <c r="D758">
        <v>197.93522899999999</v>
      </c>
      <c r="E758">
        <v>95.911302000000006</v>
      </c>
      <c r="F758">
        <v>60.695639</v>
      </c>
      <c r="G758">
        <v>29.985377</v>
      </c>
      <c r="H758">
        <v>34.476792000000003</v>
      </c>
      <c r="I758"/>
      <c r="N758"/>
      <c r="O758"/>
      <c r="P758" s="1">
        <f t="shared" si="67"/>
        <v>185.7798231707317</v>
      </c>
      <c r="Q758" s="1">
        <f t="shared" si="68"/>
        <v>193.99424898373982</v>
      </c>
      <c r="R758" s="1">
        <f t="shared" si="69"/>
        <v>202.66794636484144</v>
      </c>
      <c r="S758" s="1">
        <f t="shared" si="70"/>
        <v>99.105212765957447</v>
      </c>
    </row>
    <row r="759" spans="1:19" x14ac:dyDescent="0.3">
      <c r="A759">
        <v>14806.8</v>
      </c>
      <c r="B759">
        <v>182.02583799999999</v>
      </c>
      <c r="C759">
        <v>190.111197</v>
      </c>
      <c r="D759">
        <v>197.93522899999999</v>
      </c>
      <c r="E759">
        <v>95.911302000000006</v>
      </c>
      <c r="F759">
        <v>60.695639</v>
      </c>
      <c r="G759">
        <v>29.985377</v>
      </c>
      <c r="H759">
        <v>34.476792000000003</v>
      </c>
      <c r="I759"/>
      <c r="N759"/>
      <c r="O759"/>
      <c r="P759" s="1">
        <f t="shared" si="67"/>
        <v>185.7798231707317</v>
      </c>
      <c r="Q759" s="1">
        <f t="shared" si="68"/>
        <v>193.99424898373982</v>
      </c>
      <c r="R759" s="1">
        <f t="shared" si="69"/>
        <v>202.66794636484144</v>
      </c>
      <c r="S759" s="1">
        <f t="shared" si="70"/>
        <v>99.105212765957447</v>
      </c>
    </row>
    <row r="760" spans="1:19" x14ac:dyDescent="0.3">
      <c r="A760">
        <v>14807</v>
      </c>
      <c r="B760">
        <v>182.00993700000001</v>
      </c>
      <c r="C760">
        <v>190.140444</v>
      </c>
      <c r="D760">
        <v>197.94300899999999</v>
      </c>
      <c r="E760">
        <v>95.897631000000004</v>
      </c>
      <c r="F760">
        <v>60.983800000000002</v>
      </c>
      <c r="G760">
        <v>29.984658</v>
      </c>
      <c r="H760">
        <v>34.491292000000001</v>
      </c>
      <c r="I760" t="s">
        <v>56</v>
      </c>
      <c r="N760"/>
      <c r="O760"/>
      <c r="P760" s="1">
        <f t="shared" si="67"/>
        <v>185.77885162601626</v>
      </c>
      <c r="Q760" s="1">
        <f t="shared" si="68"/>
        <v>193.98012093495933</v>
      </c>
      <c r="R760" s="1">
        <f t="shared" si="69"/>
        <v>202.64766901193025</v>
      </c>
      <c r="S760" s="1">
        <f t="shared" si="70"/>
        <v>99.054984656301144</v>
      </c>
    </row>
    <row r="761" spans="1:19" x14ac:dyDescent="0.3">
      <c r="A761">
        <v>14807.2</v>
      </c>
      <c r="B761">
        <v>182.00993700000001</v>
      </c>
      <c r="C761">
        <v>190.140444</v>
      </c>
      <c r="D761">
        <v>197.94300899999999</v>
      </c>
      <c r="E761">
        <v>95.897631000000004</v>
      </c>
      <c r="F761">
        <v>60.983800000000002</v>
      </c>
      <c r="G761">
        <v>29.984658</v>
      </c>
      <c r="H761">
        <v>34.491292000000001</v>
      </c>
      <c r="I761"/>
      <c r="N761"/>
      <c r="O761"/>
      <c r="P761" s="1">
        <f t="shared" si="67"/>
        <v>185.77885162601626</v>
      </c>
      <c r="Q761" s="1">
        <f t="shared" si="68"/>
        <v>193.98012093495933</v>
      </c>
      <c r="R761" s="1">
        <f t="shared" si="69"/>
        <v>202.64766901193025</v>
      </c>
      <c r="S761" s="1">
        <f t="shared" si="70"/>
        <v>99.054984656301144</v>
      </c>
    </row>
    <row r="762" spans="1:19" x14ac:dyDescent="0.3">
      <c r="A762">
        <v>14807.4</v>
      </c>
      <c r="B762">
        <v>182.02173500000001</v>
      </c>
      <c r="C762">
        <v>190.09508299999999</v>
      </c>
      <c r="D762">
        <v>197.93768900000001</v>
      </c>
      <c r="E762">
        <v>95.965686000000005</v>
      </c>
      <c r="F762">
        <v>61.367384999999999</v>
      </c>
      <c r="G762">
        <v>29.995892999999999</v>
      </c>
      <c r="H762">
        <v>34.466897000000003</v>
      </c>
      <c r="I762"/>
      <c r="N762"/>
      <c r="O762"/>
      <c r="P762" s="1">
        <f t="shared" si="67"/>
        <v>185.78455995934959</v>
      </c>
      <c r="Q762" s="1">
        <f t="shared" si="68"/>
        <v>193.99827743902441</v>
      </c>
      <c r="R762" s="1">
        <f t="shared" si="69"/>
        <v>202.64097583358824</v>
      </c>
      <c r="S762" s="1">
        <f t="shared" si="70"/>
        <v>99.034698240589194</v>
      </c>
    </row>
    <row r="763" spans="1:19" x14ac:dyDescent="0.3">
      <c r="A763">
        <v>14807.6</v>
      </c>
      <c r="B763">
        <v>182.02173500000001</v>
      </c>
      <c r="C763">
        <v>190.09508299999999</v>
      </c>
      <c r="D763">
        <v>197.93768900000001</v>
      </c>
      <c r="E763">
        <v>95.965686000000005</v>
      </c>
      <c r="F763">
        <v>61.367384999999999</v>
      </c>
      <c r="G763">
        <v>29.995892999999999</v>
      </c>
      <c r="H763">
        <v>34.466897000000003</v>
      </c>
      <c r="I763"/>
      <c r="N763"/>
      <c r="O763"/>
      <c r="P763" s="1">
        <f t="shared" si="67"/>
        <v>185.78455995934959</v>
      </c>
      <c r="Q763" s="1">
        <f t="shared" si="68"/>
        <v>193.99827743902441</v>
      </c>
      <c r="R763" s="1">
        <f t="shared" si="69"/>
        <v>202.64097583358824</v>
      </c>
      <c r="S763" s="1">
        <f t="shared" si="70"/>
        <v>99.034698240589194</v>
      </c>
    </row>
    <row r="764" spans="1:19" x14ac:dyDescent="0.3">
      <c r="A764">
        <v>14807.8</v>
      </c>
      <c r="B764">
        <v>181.99615299999999</v>
      </c>
      <c r="C764">
        <v>190.09062499999999</v>
      </c>
      <c r="D764">
        <v>197.92110600000001</v>
      </c>
      <c r="E764">
        <v>96.009382000000002</v>
      </c>
      <c r="F764">
        <v>61.744557</v>
      </c>
      <c r="G764">
        <v>29.990880000000001</v>
      </c>
      <c r="H764">
        <v>34.464480999999999</v>
      </c>
      <c r="I764"/>
      <c r="N764"/>
      <c r="O764"/>
      <c r="P764" s="1">
        <f t="shared" si="67"/>
        <v>185.77958434959348</v>
      </c>
      <c r="Q764" s="1">
        <f t="shared" si="68"/>
        <v>193.99807520325203</v>
      </c>
      <c r="R764" s="1">
        <f t="shared" si="69"/>
        <v>202.66055674518202</v>
      </c>
      <c r="S764" s="1">
        <f t="shared" si="70"/>
        <v>99.110971767594094</v>
      </c>
    </row>
    <row r="765" spans="1:19" x14ac:dyDescent="0.3">
      <c r="A765">
        <v>14808</v>
      </c>
      <c r="B765">
        <v>181.99615299999999</v>
      </c>
      <c r="C765">
        <v>190.09062499999999</v>
      </c>
      <c r="D765">
        <v>197.92110600000001</v>
      </c>
      <c r="E765">
        <v>96.009382000000002</v>
      </c>
      <c r="F765">
        <v>61.744557</v>
      </c>
      <c r="G765">
        <v>29.990880000000001</v>
      </c>
      <c r="H765">
        <v>34.464480999999999</v>
      </c>
      <c r="I765" t="s">
        <v>56</v>
      </c>
      <c r="N765"/>
      <c r="O765"/>
      <c r="P765" s="1">
        <f t="shared" si="67"/>
        <v>185.77958434959348</v>
      </c>
      <c r="Q765" s="1">
        <f t="shared" si="68"/>
        <v>193.99807520325203</v>
      </c>
      <c r="R765" s="1">
        <f t="shared" si="69"/>
        <v>202.66055674518202</v>
      </c>
      <c r="S765" s="1">
        <f t="shared" si="70"/>
        <v>99.110971767594094</v>
      </c>
    </row>
    <row r="766" spans="1:19" x14ac:dyDescent="0.3">
      <c r="A766">
        <v>14808.2</v>
      </c>
      <c r="B766">
        <v>182.034504</v>
      </c>
      <c r="C766">
        <v>190.103644</v>
      </c>
      <c r="D766">
        <v>197.944323</v>
      </c>
      <c r="E766">
        <v>95.891917000000007</v>
      </c>
      <c r="F766">
        <v>61.655203</v>
      </c>
      <c r="G766">
        <v>29.990905999999999</v>
      </c>
      <c r="H766">
        <v>34.503833999999998</v>
      </c>
      <c r="I766"/>
      <c r="N766"/>
      <c r="O766"/>
      <c r="P766" s="1">
        <f t="shared" si="67"/>
        <v>185.80017886178859</v>
      </c>
      <c r="Q766" s="1">
        <f t="shared" si="68"/>
        <v>193.99527642276422</v>
      </c>
      <c r="R766" s="1">
        <f t="shared" si="69"/>
        <v>202.65943611705924</v>
      </c>
      <c r="S766" s="1">
        <f t="shared" si="70"/>
        <v>98.935536006546641</v>
      </c>
    </row>
    <row r="767" spans="1:19" x14ac:dyDescent="0.3">
      <c r="A767">
        <v>14808.4</v>
      </c>
      <c r="B767">
        <v>182.034504</v>
      </c>
      <c r="C767">
        <v>190.103644</v>
      </c>
      <c r="D767">
        <v>197.944323</v>
      </c>
      <c r="E767">
        <v>95.891917000000007</v>
      </c>
      <c r="F767">
        <v>61.655203</v>
      </c>
      <c r="G767">
        <v>29.990905999999999</v>
      </c>
      <c r="H767">
        <v>34.503833999999998</v>
      </c>
      <c r="I767"/>
      <c r="N767"/>
      <c r="O767"/>
      <c r="P767" s="1">
        <f t="shared" si="67"/>
        <v>185.80017886178859</v>
      </c>
      <c r="Q767" s="1">
        <f t="shared" si="68"/>
        <v>193.99527642276422</v>
      </c>
      <c r="R767" s="1">
        <f t="shared" si="69"/>
        <v>202.65943611705924</v>
      </c>
      <c r="S767" s="1">
        <f t="shared" si="70"/>
        <v>98.935536006546641</v>
      </c>
    </row>
    <row r="768" spans="1:19" x14ac:dyDescent="0.3">
      <c r="A768">
        <v>14808.6</v>
      </c>
      <c r="B768">
        <v>182.02636899999999</v>
      </c>
      <c r="C768">
        <v>190.146557</v>
      </c>
      <c r="D768">
        <v>197.950951</v>
      </c>
      <c r="E768">
        <v>95.855069999999998</v>
      </c>
      <c r="F768">
        <v>61.04081</v>
      </c>
      <c r="G768">
        <v>29.975245000000001</v>
      </c>
      <c r="H768">
        <v>34.515394000000001</v>
      </c>
      <c r="I768"/>
      <c r="N768"/>
      <c r="O768"/>
      <c r="P768" s="1">
        <f t="shared" si="67"/>
        <v>185.8028180894309</v>
      </c>
      <c r="Q768" s="1">
        <f t="shared" si="68"/>
        <v>193.99242073170731</v>
      </c>
      <c r="R768" s="1">
        <f t="shared" si="69"/>
        <v>202.67351279698175</v>
      </c>
      <c r="S768" s="1">
        <f t="shared" si="70"/>
        <v>98.953282528641566</v>
      </c>
    </row>
    <row r="769" spans="1:19" x14ac:dyDescent="0.3">
      <c r="A769">
        <v>14808.8</v>
      </c>
      <c r="B769">
        <v>182.02636899999999</v>
      </c>
      <c r="C769">
        <v>190.146557</v>
      </c>
      <c r="D769">
        <v>197.950951</v>
      </c>
      <c r="E769">
        <v>95.855069999999998</v>
      </c>
      <c r="F769">
        <v>61.04081</v>
      </c>
      <c r="G769">
        <v>29.975245000000001</v>
      </c>
      <c r="H769">
        <v>34.515394000000001</v>
      </c>
      <c r="I769"/>
      <c r="N769"/>
      <c r="O769"/>
      <c r="P769" s="1">
        <f t="shared" si="67"/>
        <v>185.8028180894309</v>
      </c>
      <c r="Q769" s="1">
        <f t="shared" si="68"/>
        <v>193.99242073170731</v>
      </c>
      <c r="R769" s="1">
        <f t="shared" si="69"/>
        <v>202.67351279698175</v>
      </c>
      <c r="S769" s="1">
        <f t="shared" si="70"/>
        <v>98.953282528641566</v>
      </c>
    </row>
    <row r="770" spans="1:19" x14ac:dyDescent="0.3">
      <c r="A770">
        <v>14809</v>
      </c>
      <c r="B770">
        <v>182.00164100000001</v>
      </c>
      <c r="C770">
        <v>190.12695299999999</v>
      </c>
      <c r="D770">
        <v>197.928673</v>
      </c>
      <c r="E770">
        <v>95.791957999999994</v>
      </c>
      <c r="F770">
        <v>60.919449999999998</v>
      </c>
      <c r="G770">
        <v>29.998944999999999</v>
      </c>
      <c r="H770">
        <v>34.492176000000001</v>
      </c>
      <c r="I770" t="s">
        <v>56</v>
      </c>
      <c r="N770"/>
      <c r="O770"/>
      <c r="P770" s="1">
        <f t="shared" si="67"/>
        <v>185.7883282520325</v>
      </c>
      <c r="Q770" s="1">
        <f t="shared" si="68"/>
        <v>194.00922865853659</v>
      </c>
      <c r="R770" s="1">
        <f t="shared" si="69"/>
        <v>202.65045987559907</v>
      </c>
      <c r="S770" s="1">
        <f t="shared" si="70"/>
        <v>99.044784165302787</v>
      </c>
    </row>
    <row r="771" spans="1:19" x14ac:dyDescent="0.3">
      <c r="A771">
        <v>14809.2</v>
      </c>
      <c r="B771">
        <v>182.00164100000001</v>
      </c>
      <c r="C771">
        <v>190.12695299999999</v>
      </c>
      <c r="D771">
        <v>197.928673</v>
      </c>
      <c r="E771">
        <v>95.791957999999994</v>
      </c>
      <c r="F771">
        <v>60.919449999999998</v>
      </c>
      <c r="G771">
        <v>29.998944999999999</v>
      </c>
      <c r="H771">
        <v>34.492176000000001</v>
      </c>
      <c r="I771"/>
      <c r="N771"/>
      <c r="O771"/>
      <c r="P771" s="1">
        <f t="shared" si="67"/>
        <v>185.7883282520325</v>
      </c>
      <c r="Q771" s="1">
        <f t="shared" si="68"/>
        <v>194.00922865853659</v>
      </c>
      <c r="R771" s="1">
        <f t="shared" si="69"/>
        <v>202.65045987559907</v>
      </c>
      <c r="S771" s="1">
        <f t="shared" si="70"/>
        <v>99.044784165302787</v>
      </c>
    </row>
    <row r="772" spans="1:19" x14ac:dyDescent="0.3">
      <c r="A772">
        <v>14809.4</v>
      </c>
      <c r="B772">
        <v>182.027401</v>
      </c>
      <c r="C772">
        <v>190.11699899999999</v>
      </c>
      <c r="D772">
        <v>197.93491399999999</v>
      </c>
      <c r="E772">
        <v>95.702055999999999</v>
      </c>
      <c r="F772">
        <v>60.939898999999997</v>
      </c>
      <c r="G772">
        <v>29.986284000000001</v>
      </c>
      <c r="H772">
        <v>34.480972999999999</v>
      </c>
      <c r="I772"/>
      <c r="N772"/>
      <c r="O772"/>
      <c r="P772" s="1">
        <f t="shared" si="67"/>
        <v>185.77885975609757</v>
      </c>
      <c r="Q772" s="1">
        <f t="shared" si="68"/>
        <v>194.00834959349592</v>
      </c>
      <c r="R772" s="1">
        <f t="shared" si="69"/>
        <v>202.66173957377384</v>
      </c>
      <c r="S772" s="1">
        <f t="shared" si="70"/>
        <v>99.143899345335512</v>
      </c>
    </row>
    <row r="773" spans="1:19" x14ac:dyDescent="0.3">
      <c r="A773">
        <v>14809.6</v>
      </c>
      <c r="B773">
        <v>182.027401</v>
      </c>
      <c r="C773">
        <v>190.11699899999999</v>
      </c>
      <c r="D773">
        <v>197.93491399999999</v>
      </c>
      <c r="E773">
        <v>95.702055999999999</v>
      </c>
      <c r="F773">
        <v>60.939898999999997</v>
      </c>
      <c r="G773">
        <v>29.986284000000001</v>
      </c>
      <c r="H773">
        <v>34.480972999999999</v>
      </c>
      <c r="I773"/>
      <c r="N773"/>
      <c r="O773"/>
      <c r="P773" s="1">
        <f t="shared" si="67"/>
        <v>185.77885975609757</v>
      </c>
      <c r="Q773" s="1">
        <f t="shared" si="68"/>
        <v>194.00834959349592</v>
      </c>
      <c r="R773" s="1">
        <f t="shared" si="69"/>
        <v>202.66173957377384</v>
      </c>
      <c r="S773" s="1">
        <f t="shared" si="70"/>
        <v>99.143899345335512</v>
      </c>
    </row>
    <row r="774" spans="1:19" x14ac:dyDescent="0.3">
      <c r="A774">
        <v>14809.8</v>
      </c>
      <c r="B774">
        <v>182.03569200000001</v>
      </c>
      <c r="C774">
        <v>190.12789599999999</v>
      </c>
      <c r="D774">
        <v>197.94036199999999</v>
      </c>
      <c r="E774">
        <v>95.965333999999999</v>
      </c>
      <c r="F774">
        <v>61.307113000000001</v>
      </c>
      <c r="G774">
        <v>29.983695000000001</v>
      </c>
      <c r="H774">
        <v>34.497590000000002</v>
      </c>
      <c r="I774"/>
      <c r="N774"/>
      <c r="O774"/>
      <c r="P774" s="1">
        <f t="shared" si="67"/>
        <v>185.79448272357723</v>
      </c>
      <c r="Q774" s="1">
        <f t="shared" si="68"/>
        <v>193.9864593495935</v>
      </c>
      <c r="R774" s="1">
        <f t="shared" si="69"/>
        <v>202.62872030182524</v>
      </c>
      <c r="S774" s="1">
        <f t="shared" si="70"/>
        <v>99.082509206219314</v>
      </c>
    </row>
    <row r="775" spans="1:19" x14ac:dyDescent="0.3">
      <c r="A775">
        <v>15458</v>
      </c>
      <c r="B775">
        <v>192.70038500000001</v>
      </c>
      <c r="C775">
        <v>201.50871699999999</v>
      </c>
      <c r="D775">
        <v>210.075828</v>
      </c>
      <c r="E775">
        <v>98.362680999999995</v>
      </c>
      <c r="F775">
        <v>62.154193999999997</v>
      </c>
      <c r="G775">
        <v>30.017516000000001</v>
      </c>
      <c r="H775">
        <v>34.984819999999999</v>
      </c>
      <c r="I775" t="s">
        <v>56</v>
      </c>
      <c r="N775"/>
      <c r="O775"/>
      <c r="P775" s="1">
        <f t="shared" si="67"/>
        <v>185.79448272357723</v>
      </c>
      <c r="Q775" s="1">
        <f t="shared" si="68"/>
        <v>193.9864593495935</v>
      </c>
      <c r="R775" s="1">
        <f t="shared" si="69"/>
        <v>202.62872030182524</v>
      </c>
      <c r="S775" s="1">
        <f t="shared" si="70"/>
        <v>99.082509206219314</v>
      </c>
    </row>
    <row r="776" spans="1:19" x14ac:dyDescent="0.3">
      <c r="A776">
        <v>15458.2</v>
      </c>
      <c r="B776">
        <v>192.70016799999999</v>
      </c>
      <c r="C776">
        <v>201.48570599999999</v>
      </c>
      <c r="D776">
        <v>210.095662</v>
      </c>
      <c r="E776">
        <v>98.574828999999994</v>
      </c>
      <c r="F776">
        <v>62.028903999999997</v>
      </c>
      <c r="G776">
        <v>30.005258000000001</v>
      </c>
      <c r="H776">
        <v>34.968407999999997</v>
      </c>
      <c r="I776"/>
      <c r="N776"/>
      <c r="O776"/>
      <c r="P776" s="1">
        <f t="shared" si="67"/>
        <v>185.78489634146339</v>
      </c>
      <c r="Q776" s="1">
        <f t="shared" si="68"/>
        <v>194.00172459349594</v>
      </c>
      <c r="R776" s="1">
        <f t="shared" si="69"/>
        <v>202.65680534312227</v>
      </c>
      <c r="S776" s="1">
        <f t="shared" si="70"/>
        <v>99.053909574468094</v>
      </c>
    </row>
    <row r="777" spans="1:19" x14ac:dyDescent="0.3">
      <c r="A777">
        <v>15458.4</v>
      </c>
      <c r="B777">
        <v>192.70016799999999</v>
      </c>
      <c r="C777">
        <v>201.48570599999999</v>
      </c>
      <c r="D777">
        <v>210.095662</v>
      </c>
      <c r="E777">
        <v>98.574828999999994</v>
      </c>
      <c r="F777">
        <v>62.028903999999997</v>
      </c>
      <c r="G777">
        <v>30.005258000000001</v>
      </c>
      <c r="H777">
        <v>34.968407999999997</v>
      </c>
      <c r="I777"/>
      <c r="N777"/>
      <c r="O777"/>
      <c r="P777" s="1">
        <f t="shared" si="67"/>
        <v>185.78489634146339</v>
      </c>
      <c r="Q777" s="1">
        <f t="shared" si="68"/>
        <v>194.00172459349594</v>
      </c>
      <c r="R777" s="1">
        <f t="shared" si="69"/>
        <v>202.65680534312227</v>
      </c>
      <c r="S777" s="1">
        <f t="shared" si="70"/>
        <v>99.053909574468094</v>
      </c>
    </row>
    <row r="778" spans="1:19" x14ac:dyDescent="0.3">
      <c r="A778">
        <v>15458.6</v>
      </c>
      <c r="B778">
        <v>192.703091</v>
      </c>
      <c r="C778">
        <v>201.48792700000001</v>
      </c>
      <c r="D778">
        <v>210.08364499999999</v>
      </c>
      <c r="E778">
        <v>98.545849000000004</v>
      </c>
      <c r="F778">
        <v>61.988717000000001</v>
      </c>
      <c r="G778">
        <v>30.019991999999998</v>
      </c>
      <c r="H778">
        <v>34.962014000000003</v>
      </c>
      <c r="I778"/>
      <c r="N778"/>
      <c r="O778"/>
      <c r="P778" s="1">
        <f t="shared" si="67"/>
        <v>185.7687367886179</v>
      </c>
      <c r="Q778" s="1">
        <f t="shared" si="68"/>
        <v>194.03144715447155</v>
      </c>
      <c r="R778" s="1">
        <f t="shared" si="69"/>
        <v>202.66473845212604</v>
      </c>
      <c r="S778" s="1">
        <f t="shared" si="70"/>
        <v>99.039925327332242</v>
      </c>
    </row>
    <row r="779" spans="1:19" x14ac:dyDescent="0.3">
      <c r="A779">
        <v>15458.8</v>
      </c>
      <c r="B779">
        <v>192.703091</v>
      </c>
      <c r="C779">
        <v>201.48792700000001</v>
      </c>
      <c r="D779">
        <v>210.08364499999999</v>
      </c>
      <c r="E779">
        <v>98.545849000000004</v>
      </c>
      <c r="F779">
        <v>61.988717000000001</v>
      </c>
      <c r="G779">
        <v>30.019991999999998</v>
      </c>
      <c r="H779">
        <v>34.962014000000003</v>
      </c>
      <c r="I779"/>
      <c r="N779"/>
      <c r="O779"/>
      <c r="P779" s="1">
        <f t="shared" si="67"/>
        <v>185.7687367886179</v>
      </c>
      <c r="Q779" s="1">
        <f t="shared" si="68"/>
        <v>194.03144715447155</v>
      </c>
      <c r="R779" s="1">
        <f t="shared" si="69"/>
        <v>202.66473845212604</v>
      </c>
      <c r="S779" s="1">
        <f t="shared" si="70"/>
        <v>99.039925327332242</v>
      </c>
    </row>
    <row r="780" spans="1:19" x14ac:dyDescent="0.3">
      <c r="A780">
        <v>15459</v>
      </c>
      <c r="B780">
        <v>192.706829</v>
      </c>
      <c r="C780">
        <v>201.48555899999999</v>
      </c>
      <c r="D780">
        <v>210.102743</v>
      </c>
      <c r="E780">
        <v>98.578294999999997</v>
      </c>
      <c r="F780">
        <v>62.176057</v>
      </c>
      <c r="G780">
        <v>29.993822000000002</v>
      </c>
      <c r="H780">
        <v>34.949537999999997</v>
      </c>
      <c r="I780" t="s">
        <v>56</v>
      </c>
      <c r="N780"/>
      <c r="O780"/>
      <c r="P780" s="1">
        <f t="shared" si="67"/>
        <v>185.78072662601625</v>
      </c>
      <c r="Q780" s="1">
        <f t="shared" si="68"/>
        <v>193.98534857723575</v>
      </c>
      <c r="R780" s="1">
        <f t="shared" si="69"/>
        <v>202.65931375548078</v>
      </c>
      <c r="S780" s="1">
        <f t="shared" si="70"/>
        <v>99.109539689034378</v>
      </c>
    </row>
    <row r="781" spans="1:19" x14ac:dyDescent="0.3">
      <c r="A781">
        <v>15459.2</v>
      </c>
      <c r="B781">
        <v>192.706829</v>
      </c>
      <c r="C781">
        <v>201.48555899999999</v>
      </c>
      <c r="D781">
        <v>210.102743</v>
      </c>
      <c r="E781">
        <v>98.578294999999997</v>
      </c>
      <c r="F781">
        <v>62.176057</v>
      </c>
      <c r="G781">
        <v>29.993822000000002</v>
      </c>
      <c r="H781">
        <v>34.949537999999997</v>
      </c>
      <c r="I781"/>
      <c r="N781"/>
      <c r="O781"/>
      <c r="P781" s="1">
        <f t="shared" si="67"/>
        <v>185.78072662601625</v>
      </c>
      <c r="Q781" s="1">
        <f t="shared" si="68"/>
        <v>193.98534857723575</v>
      </c>
      <c r="R781" s="1">
        <f t="shared" si="69"/>
        <v>202.65931375548078</v>
      </c>
      <c r="S781" s="1">
        <f t="shared" si="70"/>
        <v>99.109539689034378</v>
      </c>
    </row>
    <row r="782" spans="1:19" x14ac:dyDescent="0.3">
      <c r="A782">
        <v>15459.4</v>
      </c>
      <c r="B782">
        <v>192.715261</v>
      </c>
      <c r="C782">
        <v>201.48765700000001</v>
      </c>
      <c r="D782">
        <v>210.06868900000001</v>
      </c>
      <c r="E782">
        <v>98.626749000000004</v>
      </c>
      <c r="F782">
        <v>62.297811000000003</v>
      </c>
      <c r="G782">
        <v>30.009595000000001</v>
      </c>
      <c r="H782">
        <v>34.978808999999998</v>
      </c>
      <c r="I782"/>
      <c r="N782"/>
      <c r="O782"/>
      <c r="P782" s="1">
        <f t="shared" si="67"/>
        <v>185.75472865853658</v>
      </c>
      <c r="Q782" s="1">
        <f t="shared" si="68"/>
        <v>193.98081808943087</v>
      </c>
      <c r="R782" s="1">
        <f t="shared" si="69"/>
        <v>202.64240440501683</v>
      </c>
      <c r="S782" s="1">
        <f t="shared" si="70"/>
        <v>99.15423690671031</v>
      </c>
    </row>
    <row r="783" spans="1:19" x14ac:dyDescent="0.3">
      <c r="A783">
        <v>15459.6</v>
      </c>
      <c r="B783">
        <v>192.715261</v>
      </c>
      <c r="C783">
        <v>201.48765700000001</v>
      </c>
      <c r="D783">
        <v>210.06868900000001</v>
      </c>
      <c r="E783">
        <v>98.626749000000004</v>
      </c>
      <c r="F783">
        <v>62.297811000000003</v>
      </c>
      <c r="G783">
        <v>30.009595000000001</v>
      </c>
      <c r="H783">
        <v>34.978808999999998</v>
      </c>
      <c r="I783"/>
      <c r="N783"/>
      <c r="O783"/>
      <c r="P783" s="1">
        <f t="shared" si="67"/>
        <v>185.75472865853658</v>
      </c>
      <c r="Q783" s="1">
        <f t="shared" si="68"/>
        <v>193.98081808943087</v>
      </c>
      <c r="R783" s="1">
        <f t="shared" si="69"/>
        <v>202.64240440501683</v>
      </c>
      <c r="S783" s="1">
        <f t="shared" si="70"/>
        <v>99.15423690671031</v>
      </c>
    </row>
    <row r="784" spans="1:19" x14ac:dyDescent="0.3">
      <c r="A784">
        <v>15459.8</v>
      </c>
      <c r="B784">
        <v>192.704362</v>
      </c>
      <c r="C784">
        <v>201.50447299999999</v>
      </c>
      <c r="D784">
        <v>210.08560600000001</v>
      </c>
      <c r="E784">
        <v>98.634992999999994</v>
      </c>
      <c r="F784">
        <v>62.026069999999997</v>
      </c>
      <c r="G784">
        <v>30.011351000000001</v>
      </c>
      <c r="H784">
        <v>34.974471999999999</v>
      </c>
      <c r="I784"/>
      <c r="N784"/>
      <c r="O784"/>
      <c r="P784" s="1">
        <f t="shared" si="67"/>
        <v>185.79370325203251</v>
      </c>
      <c r="Q784" s="1">
        <f t="shared" si="68"/>
        <v>193.99404878048779</v>
      </c>
      <c r="R784" s="1">
        <f t="shared" si="69"/>
        <v>202.66607831141022</v>
      </c>
      <c r="S784" s="1">
        <f t="shared" si="70"/>
        <v>99.034080400982006</v>
      </c>
    </row>
    <row r="785" spans="1:19" x14ac:dyDescent="0.3">
      <c r="A785">
        <v>15460</v>
      </c>
      <c r="B785">
        <v>192.704362</v>
      </c>
      <c r="C785">
        <v>201.50447299999999</v>
      </c>
      <c r="D785">
        <v>210.08560600000001</v>
      </c>
      <c r="E785">
        <v>98.634992999999994</v>
      </c>
      <c r="F785">
        <v>62.026069999999997</v>
      </c>
      <c r="G785">
        <v>30.011351000000001</v>
      </c>
      <c r="H785">
        <v>34.974471999999999</v>
      </c>
      <c r="I785" t="s">
        <v>56</v>
      </c>
      <c r="N785"/>
      <c r="O785"/>
      <c r="P785" s="1">
        <f t="shared" si="67"/>
        <v>185.79370325203251</v>
      </c>
      <c r="Q785" s="1">
        <f t="shared" si="68"/>
        <v>193.99404878048779</v>
      </c>
      <c r="R785" s="1">
        <f t="shared" si="69"/>
        <v>202.66607831141022</v>
      </c>
      <c r="S785" s="1">
        <f t="shared" si="70"/>
        <v>99.034080400982006</v>
      </c>
    </row>
    <row r="786" spans="1:19" x14ac:dyDescent="0.3">
      <c r="A786">
        <v>15460.2</v>
      </c>
      <c r="B786">
        <v>192.70831699999999</v>
      </c>
      <c r="C786">
        <v>201.50044299999999</v>
      </c>
      <c r="D786">
        <v>210.09349700000001</v>
      </c>
      <c r="E786">
        <v>98.539596000000003</v>
      </c>
      <c r="F786">
        <v>62.035457000000001</v>
      </c>
      <c r="G786">
        <v>30.006888</v>
      </c>
      <c r="H786">
        <v>34.946630999999996</v>
      </c>
      <c r="I786"/>
      <c r="N786"/>
      <c r="O786"/>
      <c r="P786" s="1">
        <f t="shared" si="67"/>
        <v>185.78543597560974</v>
      </c>
      <c r="Q786" s="1">
        <f t="shared" si="68"/>
        <v>194.03765955284553</v>
      </c>
      <c r="R786" s="1">
        <f t="shared" si="69"/>
        <v>202.67283674926074</v>
      </c>
      <c r="S786" s="1">
        <f t="shared" si="70"/>
        <v>98.996389116202934</v>
      </c>
    </row>
    <row r="787" spans="1:19" x14ac:dyDescent="0.3">
      <c r="A787">
        <v>15460.4</v>
      </c>
      <c r="B787">
        <v>192.70831699999999</v>
      </c>
      <c r="C787">
        <v>201.50044299999999</v>
      </c>
      <c r="D787">
        <v>210.09349700000001</v>
      </c>
      <c r="E787">
        <v>98.539596000000003</v>
      </c>
      <c r="F787">
        <v>62.035457000000001</v>
      </c>
      <c r="G787">
        <v>30.006888</v>
      </c>
      <c r="H787">
        <v>34.946630999999996</v>
      </c>
      <c r="I787"/>
      <c r="N787"/>
      <c r="O787"/>
      <c r="P787" s="1">
        <f t="shared" si="67"/>
        <v>185.78543597560974</v>
      </c>
      <c r="Q787" s="1">
        <f t="shared" si="68"/>
        <v>194.03765955284553</v>
      </c>
      <c r="R787" s="1">
        <f t="shared" si="69"/>
        <v>202.67283674926074</v>
      </c>
      <c r="S787" s="1">
        <f t="shared" si="70"/>
        <v>98.996389116202934</v>
      </c>
    </row>
    <row r="788" spans="1:19" x14ac:dyDescent="0.3">
      <c r="A788">
        <v>15460.6</v>
      </c>
      <c r="B788">
        <v>192.724211</v>
      </c>
      <c r="C788">
        <v>201.48792299999999</v>
      </c>
      <c r="D788">
        <v>210.10019199999999</v>
      </c>
      <c r="E788">
        <v>98.578083000000007</v>
      </c>
      <c r="F788">
        <v>62.085911000000003</v>
      </c>
      <c r="G788">
        <v>30.013728</v>
      </c>
      <c r="H788">
        <v>34.952036</v>
      </c>
      <c r="I788"/>
      <c r="N788"/>
      <c r="O788"/>
      <c r="P788" s="1">
        <f t="shared" si="67"/>
        <v>185.76030589430894</v>
      </c>
      <c r="Q788" s="1">
        <f t="shared" si="68"/>
        <v>194.01773678861787</v>
      </c>
      <c r="R788" s="1">
        <f t="shared" si="69"/>
        <v>202.65012032221884</v>
      </c>
      <c r="S788" s="1">
        <f t="shared" si="70"/>
        <v>98.931831014729937</v>
      </c>
    </row>
    <row r="789" spans="1:19" x14ac:dyDescent="0.3">
      <c r="A789">
        <v>15460.8</v>
      </c>
      <c r="B789">
        <v>192.724211</v>
      </c>
      <c r="C789">
        <v>201.48792299999999</v>
      </c>
      <c r="D789">
        <v>210.10019199999999</v>
      </c>
      <c r="E789">
        <v>98.578083000000007</v>
      </c>
      <c r="F789">
        <v>62.085911000000003</v>
      </c>
      <c r="G789">
        <v>30.013728</v>
      </c>
      <c r="H789">
        <v>34.952036</v>
      </c>
      <c r="I789"/>
      <c r="N789"/>
      <c r="O789"/>
      <c r="P789" s="1">
        <f t="shared" si="67"/>
        <v>185.76030589430894</v>
      </c>
      <c r="Q789" s="1">
        <f t="shared" si="68"/>
        <v>194.01773678861787</v>
      </c>
      <c r="R789" s="1">
        <f t="shared" si="69"/>
        <v>202.65012032221884</v>
      </c>
      <c r="S789" s="1">
        <f t="shared" si="70"/>
        <v>98.931831014729937</v>
      </c>
    </row>
    <row r="790" spans="1:19" x14ac:dyDescent="0.3">
      <c r="A790">
        <v>15461</v>
      </c>
      <c r="B790">
        <v>192.70846700000001</v>
      </c>
      <c r="C790">
        <v>201.50317799999999</v>
      </c>
      <c r="D790">
        <v>210.08129099999999</v>
      </c>
      <c r="E790">
        <v>98.556197999999995</v>
      </c>
      <c r="F790">
        <v>62.690421000000001</v>
      </c>
      <c r="G790">
        <v>30.017126000000001</v>
      </c>
      <c r="H790">
        <v>34.944654</v>
      </c>
      <c r="I790" t="s">
        <v>56</v>
      </c>
      <c r="N790"/>
      <c r="O790"/>
      <c r="P790" s="1">
        <f t="shared" si="67"/>
        <v>185.78648475609756</v>
      </c>
      <c r="Q790" s="1">
        <f t="shared" si="68"/>
        <v>194.00762093495933</v>
      </c>
      <c r="R790" s="1">
        <f t="shared" si="69"/>
        <v>202.65648414397879</v>
      </c>
      <c r="S790" s="1">
        <f t="shared" si="70"/>
        <v>98.839869067103109</v>
      </c>
    </row>
    <row r="791" spans="1:19" x14ac:dyDescent="0.3">
      <c r="A791">
        <v>15461.2</v>
      </c>
      <c r="B791">
        <v>192.70846700000001</v>
      </c>
      <c r="C791">
        <v>201.50317799999999</v>
      </c>
      <c r="D791">
        <v>210.08129099999999</v>
      </c>
      <c r="E791">
        <v>98.556197999999995</v>
      </c>
      <c r="F791">
        <v>62.690421000000001</v>
      </c>
      <c r="G791">
        <v>30.017126000000001</v>
      </c>
      <c r="H791">
        <v>34.944654</v>
      </c>
      <c r="I791"/>
      <c r="N791"/>
      <c r="O791"/>
      <c r="P791" s="1">
        <f t="shared" si="67"/>
        <v>185.78648475609756</v>
      </c>
      <c r="Q791" s="1">
        <f t="shared" si="68"/>
        <v>194.00762093495933</v>
      </c>
      <c r="R791" s="1">
        <f t="shared" si="69"/>
        <v>202.65648414397879</v>
      </c>
      <c r="S791" s="1">
        <f t="shared" si="70"/>
        <v>98.839869067103109</v>
      </c>
    </row>
    <row r="792" spans="1:19" x14ac:dyDescent="0.3">
      <c r="A792">
        <v>15461.4</v>
      </c>
      <c r="B792">
        <v>192.70305099999999</v>
      </c>
      <c r="C792">
        <v>201.50316100000001</v>
      </c>
      <c r="D792">
        <v>210.10621800000001</v>
      </c>
      <c r="E792">
        <v>98.412128999999993</v>
      </c>
      <c r="F792">
        <v>62.262583999999997</v>
      </c>
      <c r="G792">
        <v>29.994033999999999</v>
      </c>
      <c r="H792">
        <v>34.927754</v>
      </c>
      <c r="I792"/>
      <c r="N792"/>
      <c r="O792"/>
      <c r="P792" s="1">
        <f t="shared" si="67"/>
        <v>185.7949105691057</v>
      </c>
      <c r="Q792" s="1">
        <f t="shared" si="68"/>
        <v>194.0186951219512</v>
      </c>
      <c r="R792" s="1">
        <f t="shared" si="69"/>
        <v>202.66203935964108</v>
      </c>
      <c r="S792" s="1">
        <f t="shared" si="70"/>
        <v>99.109179623567911</v>
      </c>
    </row>
    <row r="793" spans="1:19" x14ac:dyDescent="0.3">
      <c r="A793">
        <v>15461.6</v>
      </c>
      <c r="B793">
        <v>192.70305099999999</v>
      </c>
      <c r="C793">
        <v>201.50316100000001</v>
      </c>
      <c r="D793">
        <v>210.10621800000001</v>
      </c>
      <c r="E793">
        <v>98.412128999999993</v>
      </c>
      <c r="F793">
        <v>62.262583999999997</v>
      </c>
      <c r="G793">
        <v>29.994033999999999</v>
      </c>
      <c r="H793">
        <v>34.927754</v>
      </c>
      <c r="I793"/>
      <c r="N793"/>
      <c r="O793"/>
      <c r="P793" s="1">
        <f t="shared" si="67"/>
        <v>196.63301321138212</v>
      </c>
      <c r="Q793" s="1">
        <f t="shared" si="68"/>
        <v>205.5845701219512</v>
      </c>
      <c r="R793" s="1">
        <f t="shared" si="69"/>
        <v>215.03632915264609</v>
      </c>
      <c r="S793" s="1">
        <f t="shared" si="70"/>
        <v>101.56145765139115</v>
      </c>
    </row>
    <row r="794" spans="1:19" x14ac:dyDescent="0.3">
      <c r="A794">
        <v>15461.8</v>
      </c>
      <c r="B794">
        <v>192.70076599999999</v>
      </c>
      <c r="C794">
        <v>201.49711300000001</v>
      </c>
      <c r="D794">
        <v>210.068746</v>
      </c>
      <c r="E794">
        <v>98.488382999999999</v>
      </c>
      <c r="F794">
        <v>62.027676</v>
      </c>
      <c r="G794">
        <v>30.000031</v>
      </c>
      <c r="H794">
        <v>34.940508000000001</v>
      </c>
      <c r="I794"/>
      <c r="N794"/>
      <c r="O794"/>
      <c r="P794" s="1">
        <f t="shared" si="67"/>
        <v>196.63279268292681</v>
      </c>
      <c r="Q794" s="1">
        <f t="shared" si="68"/>
        <v>205.56118495934959</v>
      </c>
      <c r="R794" s="1">
        <f t="shared" si="69"/>
        <v>215.0565534822066</v>
      </c>
      <c r="S794" s="1">
        <f t="shared" si="70"/>
        <v>101.77846665302782</v>
      </c>
    </row>
    <row r="795" spans="1:19" x14ac:dyDescent="0.3">
      <c r="A795">
        <v>15462</v>
      </c>
      <c r="B795">
        <v>192.70076599999999</v>
      </c>
      <c r="C795">
        <v>201.49711300000001</v>
      </c>
      <c r="D795">
        <v>210.068746</v>
      </c>
      <c r="E795">
        <v>98.488382999999999</v>
      </c>
      <c r="F795">
        <v>62.027676</v>
      </c>
      <c r="G795">
        <v>30.000031</v>
      </c>
      <c r="H795">
        <v>34.940508000000001</v>
      </c>
      <c r="I795" t="s">
        <v>56</v>
      </c>
      <c r="N795"/>
      <c r="O795"/>
      <c r="P795" s="1">
        <f t="shared" si="67"/>
        <v>196.63279268292681</v>
      </c>
      <c r="Q795" s="1">
        <f t="shared" si="68"/>
        <v>205.56118495934959</v>
      </c>
      <c r="R795" s="1">
        <f t="shared" si="69"/>
        <v>215.0565534822066</v>
      </c>
      <c r="S795" s="1">
        <f t="shared" si="70"/>
        <v>101.77846665302782</v>
      </c>
    </row>
    <row r="796" spans="1:19" x14ac:dyDescent="0.3">
      <c r="A796">
        <v>15462.2</v>
      </c>
      <c r="B796">
        <v>192.706288</v>
      </c>
      <c r="C796">
        <v>201.485018</v>
      </c>
      <c r="D796">
        <v>210.09428</v>
      </c>
      <c r="E796">
        <v>98.484669999999994</v>
      </c>
      <c r="F796">
        <v>61.809488000000002</v>
      </c>
      <c r="G796">
        <v>30.002113999999999</v>
      </c>
      <c r="H796">
        <v>34.943752000000003</v>
      </c>
      <c r="I796"/>
      <c r="N796"/>
      <c r="O796"/>
      <c r="P796" s="1">
        <f t="shared" si="67"/>
        <v>196.63576321138211</v>
      </c>
      <c r="Q796" s="1">
        <f t="shared" si="68"/>
        <v>205.56344207317073</v>
      </c>
      <c r="R796" s="1">
        <f t="shared" si="69"/>
        <v>215.04429998980319</v>
      </c>
      <c r="S796" s="1">
        <f t="shared" si="70"/>
        <v>101.74882262684125</v>
      </c>
    </row>
    <row r="797" spans="1:19" x14ac:dyDescent="0.3">
      <c r="A797">
        <v>15462.4</v>
      </c>
      <c r="B797">
        <v>192.706288</v>
      </c>
      <c r="C797">
        <v>201.485018</v>
      </c>
      <c r="D797">
        <v>210.09428</v>
      </c>
      <c r="E797">
        <v>98.484669999999994</v>
      </c>
      <c r="F797">
        <v>61.809488000000002</v>
      </c>
      <c r="G797">
        <v>30.002113999999999</v>
      </c>
      <c r="H797">
        <v>34.943752000000003</v>
      </c>
      <c r="I797"/>
      <c r="N797"/>
      <c r="O797"/>
      <c r="P797" s="1">
        <f t="shared" si="67"/>
        <v>196.63576321138211</v>
      </c>
      <c r="Q797" s="1">
        <f t="shared" si="68"/>
        <v>205.56344207317073</v>
      </c>
      <c r="R797" s="1">
        <f t="shared" si="69"/>
        <v>215.04429998980319</v>
      </c>
      <c r="S797" s="1">
        <f t="shared" si="70"/>
        <v>101.74882262684125</v>
      </c>
    </row>
    <row r="798" spans="1:19" x14ac:dyDescent="0.3">
      <c r="A798">
        <v>15462.6</v>
      </c>
      <c r="B798">
        <v>192.712502</v>
      </c>
      <c r="C798">
        <v>201.50110799999999</v>
      </c>
      <c r="D798">
        <v>210.08203399999999</v>
      </c>
      <c r="E798">
        <v>98.452539999999999</v>
      </c>
      <c r="F798">
        <v>61.982633</v>
      </c>
      <c r="G798">
        <v>30.021417</v>
      </c>
      <c r="H798">
        <v>34.930207000000003</v>
      </c>
      <c r="I798"/>
      <c r="N798"/>
      <c r="O798"/>
      <c r="P798" s="1">
        <f t="shared" si="67"/>
        <v>196.6395619918699</v>
      </c>
      <c r="Q798" s="1">
        <f t="shared" si="68"/>
        <v>205.56103556910568</v>
      </c>
      <c r="R798" s="1">
        <f t="shared" si="69"/>
        <v>215.06377383501581</v>
      </c>
      <c r="S798" s="1">
        <f t="shared" si="70"/>
        <v>101.78201207037642</v>
      </c>
    </row>
    <row r="799" spans="1:19" x14ac:dyDescent="0.3">
      <c r="A799">
        <v>15462.8</v>
      </c>
      <c r="B799">
        <v>192.712502</v>
      </c>
      <c r="C799">
        <v>201.50110799999999</v>
      </c>
      <c r="D799">
        <v>210.08203399999999</v>
      </c>
      <c r="E799">
        <v>98.452539999999999</v>
      </c>
      <c r="F799">
        <v>61.982633</v>
      </c>
      <c r="G799">
        <v>30.021417</v>
      </c>
      <c r="H799">
        <v>34.930207000000003</v>
      </c>
      <c r="I799"/>
      <c r="N799"/>
      <c r="O799"/>
      <c r="P799" s="1">
        <f t="shared" si="67"/>
        <v>196.6395619918699</v>
      </c>
      <c r="Q799" s="1">
        <f t="shared" si="68"/>
        <v>205.56103556910568</v>
      </c>
      <c r="R799" s="1">
        <f t="shared" si="69"/>
        <v>215.06377383501581</v>
      </c>
      <c r="S799" s="1">
        <f t="shared" si="70"/>
        <v>101.78201207037642</v>
      </c>
    </row>
    <row r="800" spans="1:19" x14ac:dyDescent="0.3">
      <c r="A800">
        <v>15463</v>
      </c>
      <c r="B800">
        <v>192.70896300000001</v>
      </c>
      <c r="C800">
        <v>201.50344000000001</v>
      </c>
      <c r="D800">
        <v>210.086679</v>
      </c>
      <c r="E800">
        <v>98.417355999999998</v>
      </c>
      <c r="F800">
        <v>62.578037999999999</v>
      </c>
      <c r="G800">
        <v>29.997564000000001</v>
      </c>
      <c r="H800">
        <v>34.957942000000003</v>
      </c>
      <c r="I800" t="s">
        <v>56</v>
      </c>
      <c r="N800"/>
      <c r="O800"/>
      <c r="P800" s="1">
        <f t="shared" si="67"/>
        <v>196.64813109756096</v>
      </c>
      <c r="Q800" s="1">
        <f t="shared" si="68"/>
        <v>205.56316768292683</v>
      </c>
      <c r="R800" s="1">
        <f t="shared" si="69"/>
        <v>215.02904965840727</v>
      </c>
      <c r="S800" s="1">
        <f t="shared" si="70"/>
        <v>101.83157630932897</v>
      </c>
    </row>
    <row r="801" spans="1:19" x14ac:dyDescent="0.3">
      <c r="A801">
        <v>15463.2</v>
      </c>
      <c r="B801">
        <v>192.70896300000001</v>
      </c>
      <c r="C801">
        <v>201.50344000000001</v>
      </c>
      <c r="D801">
        <v>210.086679</v>
      </c>
      <c r="E801">
        <v>98.417355999999998</v>
      </c>
      <c r="F801">
        <v>62.578037999999999</v>
      </c>
      <c r="G801">
        <v>29.997564000000001</v>
      </c>
      <c r="H801">
        <v>34.957942000000003</v>
      </c>
      <c r="I801"/>
      <c r="N801"/>
      <c r="O801"/>
      <c r="P801" s="1">
        <f t="shared" si="67"/>
        <v>196.64813109756096</v>
      </c>
      <c r="Q801" s="1">
        <f t="shared" si="68"/>
        <v>205.56316768292683</v>
      </c>
      <c r="R801" s="1">
        <f t="shared" si="69"/>
        <v>215.02904965840727</v>
      </c>
      <c r="S801" s="1">
        <f t="shared" si="70"/>
        <v>101.83157630932897</v>
      </c>
    </row>
    <row r="802" spans="1:19" x14ac:dyDescent="0.3">
      <c r="A802">
        <v>15463.4</v>
      </c>
      <c r="B802">
        <v>192.725314</v>
      </c>
      <c r="C802">
        <v>201.478217</v>
      </c>
      <c r="D802">
        <v>210.074477</v>
      </c>
      <c r="E802">
        <v>98.431481000000005</v>
      </c>
      <c r="F802">
        <v>61.944136999999998</v>
      </c>
      <c r="G802">
        <v>30.003995</v>
      </c>
      <c r="H802">
        <v>34.953812999999997</v>
      </c>
      <c r="I802"/>
      <c r="N802"/>
      <c r="O802"/>
      <c r="P802" s="1">
        <f t="shared" si="67"/>
        <v>196.63705487804879</v>
      </c>
      <c r="Q802" s="1">
        <f t="shared" si="68"/>
        <v>205.58025711382112</v>
      </c>
      <c r="R802" s="1">
        <f t="shared" si="69"/>
        <v>215.04629958193129</v>
      </c>
      <c r="S802" s="1">
        <f t="shared" si="70"/>
        <v>101.84000920621931</v>
      </c>
    </row>
    <row r="803" spans="1:19" x14ac:dyDescent="0.3">
      <c r="A803">
        <v>15463.6</v>
      </c>
      <c r="B803">
        <v>192.725314</v>
      </c>
      <c r="C803">
        <v>201.478217</v>
      </c>
      <c r="D803">
        <v>210.074477</v>
      </c>
      <c r="E803">
        <v>98.431481000000005</v>
      </c>
      <c r="F803">
        <v>61.944136999999998</v>
      </c>
      <c r="G803">
        <v>30.003995</v>
      </c>
      <c r="H803">
        <v>34.953812999999997</v>
      </c>
      <c r="I803"/>
      <c r="N803"/>
      <c r="O803"/>
      <c r="P803" s="1">
        <f t="shared" si="67"/>
        <v>196.63705487804879</v>
      </c>
      <c r="Q803" s="1">
        <f t="shared" si="68"/>
        <v>205.58025711382112</v>
      </c>
      <c r="R803" s="1">
        <f t="shared" si="69"/>
        <v>215.04629958193129</v>
      </c>
      <c r="S803" s="1">
        <f t="shared" si="70"/>
        <v>101.84000920621931</v>
      </c>
    </row>
    <row r="804" spans="1:19" x14ac:dyDescent="0.3">
      <c r="A804">
        <v>15463.8</v>
      </c>
      <c r="B804">
        <v>192.69861800000001</v>
      </c>
      <c r="C804">
        <v>201.50624199999999</v>
      </c>
      <c r="D804">
        <v>210.08269799999999</v>
      </c>
      <c r="E804">
        <v>98.540875999999997</v>
      </c>
      <c r="F804">
        <v>61.623116000000003</v>
      </c>
      <c r="G804">
        <v>30.014232</v>
      </c>
      <c r="H804">
        <v>34.957217999999997</v>
      </c>
      <c r="I804"/>
      <c r="N804"/>
      <c r="O804"/>
      <c r="P804" s="1">
        <f t="shared" si="67"/>
        <v>196.64107418699186</v>
      </c>
      <c r="Q804" s="1">
        <f t="shared" si="68"/>
        <v>205.57616158536584</v>
      </c>
      <c r="R804" s="1">
        <f t="shared" si="69"/>
        <v>215.05434587539514</v>
      </c>
      <c r="S804" s="1">
        <f t="shared" si="70"/>
        <v>101.74242635024549</v>
      </c>
    </row>
    <row r="805" spans="1:19" x14ac:dyDescent="0.3">
      <c r="A805">
        <v>15464</v>
      </c>
      <c r="B805">
        <v>192.69861800000001</v>
      </c>
      <c r="C805">
        <v>201.50624199999999</v>
      </c>
      <c r="D805">
        <v>210.08269799999999</v>
      </c>
      <c r="E805">
        <v>98.540875999999997</v>
      </c>
      <c r="F805">
        <v>61.623116000000003</v>
      </c>
      <c r="G805">
        <v>30.014232</v>
      </c>
      <c r="H805">
        <v>34.957217999999997</v>
      </c>
      <c r="I805" t="s">
        <v>56</v>
      </c>
      <c r="N805"/>
      <c r="O805"/>
      <c r="P805" s="1">
        <f t="shared" si="67"/>
        <v>196.64107418699186</v>
      </c>
      <c r="Q805" s="1">
        <f t="shared" si="68"/>
        <v>205.57616158536584</v>
      </c>
      <c r="R805" s="1">
        <f t="shared" si="69"/>
        <v>215.05434587539514</v>
      </c>
      <c r="S805" s="1">
        <f t="shared" si="70"/>
        <v>101.74242635024549</v>
      </c>
    </row>
    <row r="806" spans="1:19" x14ac:dyDescent="0.3">
      <c r="A806">
        <v>15464.2</v>
      </c>
      <c r="B806">
        <v>192.71365299999999</v>
      </c>
      <c r="C806">
        <v>201.49591599999999</v>
      </c>
      <c r="D806">
        <v>210.09879699999999</v>
      </c>
      <c r="E806">
        <v>98.490166000000002</v>
      </c>
      <c r="F806">
        <v>61.733105000000002</v>
      </c>
      <c r="G806">
        <v>29.999621000000001</v>
      </c>
      <c r="H806">
        <v>34.976134000000002</v>
      </c>
      <c r="I806"/>
      <c r="N806"/>
      <c r="O806"/>
      <c r="P806" s="1">
        <f t="shared" si="67"/>
        <v>196.65722662601624</v>
      </c>
      <c r="Q806" s="1">
        <f t="shared" si="68"/>
        <v>205.56343800813008</v>
      </c>
      <c r="R806" s="1">
        <f t="shared" si="69"/>
        <v>215.06117263179362</v>
      </c>
      <c r="S806" s="1">
        <f t="shared" si="70"/>
        <v>101.78179521276596</v>
      </c>
    </row>
    <row r="807" spans="1:19" x14ac:dyDescent="0.3">
      <c r="A807">
        <v>15464.4</v>
      </c>
      <c r="B807">
        <v>192.71365299999999</v>
      </c>
      <c r="C807">
        <v>201.49591599999999</v>
      </c>
      <c r="D807">
        <v>210.09879699999999</v>
      </c>
      <c r="E807">
        <v>98.490166000000002</v>
      </c>
      <c r="F807">
        <v>61.733105000000002</v>
      </c>
      <c r="G807">
        <v>29.999621000000001</v>
      </c>
      <c r="H807">
        <v>34.976134000000002</v>
      </c>
      <c r="I807"/>
      <c r="N807"/>
      <c r="O807"/>
      <c r="P807" s="1">
        <f t="shared" si="67"/>
        <v>196.65722662601624</v>
      </c>
      <c r="Q807" s="1">
        <f t="shared" si="68"/>
        <v>205.56343800813008</v>
      </c>
      <c r="R807" s="1">
        <f t="shared" si="69"/>
        <v>215.06117263179362</v>
      </c>
      <c r="S807" s="1">
        <f t="shared" si="70"/>
        <v>101.78179521276596</v>
      </c>
    </row>
    <row r="808" spans="1:19" x14ac:dyDescent="0.3">
      <c r="A808">
        <v>15464.6</v>
      </c>
      <c r="B808">
        <v>192.691213</v>
      </c>
      <c r="C808">
        <v>201.50869800000001</v>
      </c>
      <c r="D808">
        <v>210.08070599999999</v>
      </c>
      <c r="E808">
        <v>98.491382000000002</v>
      </c>
      <c r="F808">
        <v>61.963507999999997</v>
      </c>
      <c r="G808">
        <v>30.017531000000002</v>
      </c>
      <c r="H808">
        <v>34.981558999999997</v>
      </c>
      <c r="I808"/>
      <c r="N808"/>
      <c r="O808"/>
      <c r="P808" s="1">
        <f t="shared" si="67"/>
        <v>196.64122662601628</v>
      </c>
      <c r="Q808" s="1">
        <f t="shared" si="68"/>
        <v>205.57894105691057</v>
      </c>
      <c r="R808" s="1">
        <f t="shared" si="69"/>
        <v>215.04189966350566</v>
      </c>
      <c r="S808" s="1">
        <f t="shared" si="70"/>
        <v>101.75940875613747</v>
      </c>
    </row>
    <row r="809" spans="1:19" x14ac:dyDescent="0.3">
      <c r="A809">
        <v>15464.8</v>
      </c>
      <c r="B809">
        <v>192.691213</v>
      </c>
      <c r="C809">
        <v>201.50869800000001</v>
      </c>
      <c r="D809">
        <v>210.08070599999999</v>
      </c>
      <c r="E809">
        <v>98.491382000000002</v>
      </c>
      <c r="F809">
        <v>61.963507999999997</v>
      </c>
      <c r="G809">
        <v>30.017531000000002</v>
      </c>
      <c r="H809">
        <v>34.981558999999997</v>
      </c>
      <c r="I809"/>
      <c r="N809"/>
      <c r="O809"/>
      <c r="P809" s="1">
        <f t="shared" si="67"/>
        <v>196.64122662601628</v>
      </c>
      <c r="Q809" s="1">
        <f t="shared" si="68"/>
        <v>205.57894105691057</v>
      </c>
      <c r="R809" s="1">
        <f t="shared" si="69"/>
        <v>215.04189966350566</v>
      </c>
      <c r="S809" s="1">
        <f t="shared" si="70"/>
        <v>101.75940875613747</v>
      </c>
    </row>
    <row r="810" spans="1:19" x14ac:dyDescent="0.3">
      <c r="A810">
        <v>15465</v>
      </c>
      <c r="B810">
        <v>192.69094699999999</v>
      </c>
      <c r="C810">
        <v>201.493393</v>
      </c>
      <c r="D810">
        <v>210.082773</v>
      </c>
      <c r="E810">
        <v>98.461821</v>
      </c>
      <c r="F810">
        <v>62.945259</v>
      </c>
      <c r="G810">
        <v>30.015412000000001</v>
      </c>
      <c r="H810">
        <v>34.969622999999999</v>
      </c>
      <c r="I810" t="s">
        <v>56</v>
      </c>
      <c r="N810"/>
      <c r="O810"/>
      <c r="P810" s="1">
        <f t="shared" si="67"/>
        <v>196.63572256097558</v>
      </c>
      <c r="Q810" s="1">
        <f t="shared" si="68"/>
        <v>205.5789237804878</v>
      </c>
      <c r="R810" s="1">
        <f t="shared" si="69"/>
        <v>215.06731722239218</v>
      </c>
      <c r="S810" s="1">
        <f t="shared" si="70"/>
        <v>101.61203866612111</v>
      </c>
    </row>
    <row r="811" spans="1:19" x14ac:dyDescent="0.3">
      <c r="A811">
        <v>15465.2</v>
      </c>
      <c r="B811">
        <v>192.69094699999999</v>
      </c>
      <c r="C811">
        <v>201.493393</v>
      </c>
      <c r="D811">
        <v>210.082773</v>
      </c>
      <c r="E811">
        <v>98.461821</v>
      </c>
      <c r="F811">
        <v>62.945259</v>
      </c>
      <c r="G811">
        <v>30.015412000000001</v>
      </c>
      <c r="H811">
        <v>34.969622999999999</v>
      </c>
      <c r="I811"/>
      <c r="N811"/>
      <c r="O811"/>
      <c r="P811" s="1">
        <f t="shared" si="67"/>
        <v>196.63572256097558</v>
      </c>
      <c r="Q811" s="1">
        <f t="shared" si="68"/>
        <v>205.5789237804878</v>
      </c>
      <c r="R811" s="1">
        <f t="shared" si="69"/>
        <v>215.06731722239218</v>
      </c>
      <c r="S811" s="1">
        <f t="shared" si="70"/>
        <v>101.61203866612111</v>
      </c>
    </row>
    <row r="812" spans="1:19" x14ac:dyDescent="0.3">
      <c r="A812">
        <v>15465.4</v>
      </c>
      <c r="B812">
        <v>192.710486</v>
      </c>
      <c r="C812">
        <v>201.50261499999999</v>
      </c>
      <c r="D812">
        <v>210.07863399999999</v>
      </c>
      <c r="E812">
        <v>98.467962999999997</v>
      </c>
      <c r="F812">
        <v>62.60116</v>
      </c>
      <c r="G812">
        <v>30.01416</v>
      </c>
      <c r="H812">
        <v>34.993178999999998</v>
      </c>
      <c r="I812"/>
      <c r="N812"/>
      <c r="O812"/>
      <c r="P812" s="1">
        <f t="shared" ref="P812:P875" si="71">(B794+Q$36)/P$36</f>
        <v>196.63340040650405</v>
      </c>
      <c r="Q812" s="1">
        <f t="shared" ref="Q812:Q875" si="72">(C794+Q$36)/P$36</f>
        <v>205.57277743902441</v>
      </c>
      <c r="R812" s="1">
        <f t="shared" ref="R812:R875" si="73">(D794+Q$38)/P$38</f>
        <v>215.02910778015703</v>
      </c>
      <c r="S812" s="1">
        <f t="shared" ref="S812:S875" si="74">(E794+Q$39)/P$39</f>
        <v>101.69003989361701</v>
      </c>
    </row>
    <row r="813" spans="1:19" x14ac:dyDescent="0.3">
      <c r="A813">
        <v>15465.6</v>
      </c>
      <c r="B813">
        <v>192.710486</v>
      </c>
      <c r="C813">
        <v>201.50261499999999</v>
      </c>
      <c r="D813">
        <v>210.07863399999999</v>
      </c>
      <c r="E813">
        <v>98.467962999999997</v>
      </c>
      <c r="F813">
        <v>62.60116</v>
      </c>
      <c r="G813">
        <v>30.01416</v>
      </c>
      <c r="H813">
        <v>34.993178999999998</v>
      </c>
      <c r="I813"/>
      <c r="N813"/>
      <c r="O813"/>
      <c r="P813" s="1">
        <f t="shared" si="71"/>
        <v>196.63340040650405</v>
      </c>
      <c r="Q813" s="1">
        <f t="shared" si="72"/>
        <v>205.57277743902441</v>
      </c>
      <c r="R813" s="1">
        <f t="shared" si="73"/>
        <v>215.02910778015703</v>
      </c>
      <c r="S813" s="1">
        <f t="shared" si="74"/>
        <v>101.69003989361701</v>
      </c>
    </row>
    <row r="814" spans="1:19" x14ac:dyDescent="0.3">
      <c r="A814">
        <v>15465.8</v>
      </c>
      <c r="B814">
        <v>192.70825400000001</v>
      </c>
      <c r="C814">
        <v>201.512835</v>
      </c>
      <c r="D814">
        <v>210.08504300000001</v>
      </c>
      <c r="E814">
        <v>98.559375000000003</v>
      </c>
      <c r="F814">
        <v>62.876184000000002</v>
      </c>
      <c r="G814">
        <v>30.005405</v>
      </c>
      <c r="H814">
        <v>34.967618999999999</v>
      </c>
      <c r="I814"/>
      <c r="N814"/>
      <c r="O814"/>
      <c r="P814" s="1">
        <f t="shared" si="71"/>
        <v>196.63901219512195</v>
      </c>
      <c r="Q814" s="1">
        <f t="shared" si="72"/>
        <v>205.56048577235771</v>
      </c>
      <c r="R814" s="1">
        <f t="shared" si="73"/>
        <v>215.05514428469462</v>
      </c>
      <c r="S814" s="1">
        <f t="shared" si="74"/>
        <v>101.68624181669394</v>
      </c>
    </row>
    <row r="815" spans="1:19" x14ac:dyDescent="0.3">
      <c r="A815">
        <v>15466</v>
      </c>
      <c r="B815">
        <v>192.70825400000001</v>
      </c>
      <c r="C815">
        <v>201.512835</v>
      </c>
      <c r="D815">
        <v>210.08504300000001</v>
      </c>
      <c r="E815">
        <v>98.559375000000003</v>
      </c>
      <c r="F815">
        <v>62.876184000000002</v>
      </c>
      <c r="G815">
        <v>30.005405</v>
      </c>
      <c r="H815">
        <v>34.967618999999999</v>
      </c>
      <c r="I815" t="s">
        <v>56</v>
      </c>
      <c r="N815"/>
      <c r="O815"/>
      <c r="P815" s="1">
        <f t="shared" si="71"/>
        <v>196.63901219512195</v>
      </c>
      <c r="Q815" s="1">
        <f t="shared" si="72"/>
        <v>205.56048577235771</v>
      </c>
      <c r="R815" s="1">
        <f t="shared" si="73"/>
        <v>215.05514428469462</v>
      </c>
      <c r="S815" s="1">
        <f t="shared" si="74"/>
        <v>101.68624181669394</v>
      </c>
    </row>
    <row r="816" spans="1:19" x14ac:dyDescent="0.3">
      <c r="A816">
        <v>15466.2</v>
      </c>
      <c r="B816">
        <v>192.705398</v>
      </c>
      <c r="C816">
        <v>201.49987100000001</v>
      </c>
      <c r="D816">
        <v>210.09479400000001</v>
      </c>
      <c r="E816">
        <v>98.574892000000006</v>
      </c>
      <c r="F816">
        <v>62.396425999999998</v>
      </c>
      <c r="G816">
        <v>30.006177000000001</v>
      </c>
      <c r="H816">
        <v>34.990147</v>
      </c>
      <c r="I816"/>
      <c r="N816"/>
      <c r="O816"/>
      <c r="P816" s="1">
        <f t="shared" si="71"/>
        <v>196.64532723577236</v>
      </c>
      <c r="Q816" s="1">
        <f t="shared" si="72"/>
        <v>205.57683739837395</v>
      </c>
      <c r="R816" s="1">
        <f t="shared" si="73"/>
        <v>215.04265728561231</v>
      </c>
      <c r="S816" s="1">
        <f t="shared" si="74"/>
        <v>101.65337561374795</v>
      </c>
    </row>
    <row r="817" spans="1:19" x14ac:dyDescent="0.3">
      <c r="A817">
        <v>15466.4</v>
      </c>
      <c r="B817">
        <v>192.705398</v>
      </c>
      <c r="C817">
        <v>201.49987100000001</v>
      </c>
      <c r="D817">
        <v>210.09479400000001</v>
      </c>
      <c r="E817">
        <v>98.574892000000006</v>
      </c>
      <c r="F817">
        <v>62.396425999999998</v>
      </c>
      <c r="G817">
        <v>30.006177000000001</v>
      </c>
      <c r="H817">
        <v>34.990147</v>
      </c>
      <c r="I817"/>
      <c r="N817"/>
      <c r="O817"/>
      <c r="P817" s="1">
        <f t="shared" si="71"/>
        <v>196.64532723577236</v>
      </c>
      <c r="Q817" s="1">
        <f t="shared" si="72"/>
        <v>205.57683739837395</v>
      </c>
      <c r="R817" s="1">
        <f t="shared" si="73"/>
        <v>215.04265728561231</v>
      </c>
      <c r="S817" s="1">
        <f t="shared" si="74"/>
        <v>101.65337561374795</v>
      </c>
    </row>
    <row r="818" spans="1:19" x14ac:dyDescent="0.3">
      <c r="A818">
        <v>15466.6</v>
      </c>
      <c r="B818">
        <v>192.72542000000001</v>
      </c>
      <c r="C818">
        <v>201.50041200000001</v>
      </c>
      <c r="D818">
        <v>210.09929399999999</v>
      </c>
      <c r="E818">
        <v>98.438571999999994</v>
      </c>
      <c r="F818">
        <v>62.303344000000003</v>
      </c>
      <c r="G818">
        <v>30.030184999999999</v>
      </c>
      <c r="H818">
        <v>35.002578</v>
      </c>
      <c r="I818"/>
      <c r="N818"/>
      <c r="O818"/>
      <c r="P818" s="1">
        <f t="shared" si="71"/>
        <v>196.64173069105692</v>
      </c>
      <c r="Q818" s="1">
        <f t="shared" si="72"/>
        <v>205.57920731707318</v>
      </c>
      <c r="R818" s="1">
        <f t="shared" si="73"/>
        <v>215.04739369837873</v>
      </c>
      <c r="S818" s="1">
        <f t="shared" si="74"/>
        <v>101.61738543371521</v>
      </c>
    </row>
    <row r="819" spans="1:19" x14ac:dyDescent="0.3">
      <c r="A819">
        <v>15466.8</v>
      </c>
      <c r="B819">
        <v>192.72542000000001</v>
      </c>
      <c r="C819">
        <v>201.50041200000001</v>
      </c>
      <c r="D819">
        <v>210.09929399999999</v>
      </c>
      <c r="E819">
        <v>98.438571999999994</v>
      </c>
      <c r="F819">
        <v>62.303344000000003</v>
      </c>
      <c r="G819">
        <v>30.030184999999999</v>
      </c>
      <c r="H819">
        <v>35.002578</v>
      </c>
      <c r="I819"/>
      <c r="N819"/>
      <c r="O819"/>
      <c r="P819" s="1">
        <f t="shared" si="71"/>
        <v>196.64173069105692</v>
      </c>
      <c r="Q819" s="1">
        <f t="shared" si="72"/>
        <v>205.57920731707318</v>
      </c>
      <c r="R819" s="1">
        <f t="shared" si="73"/>
        <v>215.04739369837873</v>
      </c>
      <c r="S819" s="1">
        <f t="shared" si="74"/>
        <v>101.61738543371521</v>
      </c>
    </row>
    <row r="820" spans="1:19" x14ac:dyDescent="0.3">
      <c r="A820">
        <v>15467</v>
      </c>
      <c r="B820">
        <v>192.715588</v>
      </c>
      <c r="C820">
        <v>201.48281499999999</v>
      </c>
      <c r="D820">
        <v>210.09652299999999</v>
      </c>
      <c r="E820">
        <v>98.383368000000004</v>
      </c>
      <c r="F820">
        <v>62.540081999999998</v>
      </c>
      <c r="G820">
        <v>30.018995</v>
      </c>
      <c r="H820">
        <v>34.990036000000003</v>
      </c>
      <c r="I820" t="s">
        <v>56</v>
      </c>
      <c r="N820"/>
      <c r="O820"/>
      <c r="P820" s="1">
        <f t="shared" si="71"/>
        <v>196.65834756097559</v>
      </c>
      <c r="Q820" s="1">
        <f t="shared" si="72"/>
        <v>205.55357418699185</v>
      </c>
      <c r="R820" s="1">
        <f t="shared" si="73"/>
        <v>215.03495156520853</v>
      </c>
      <c r="S820" s="1">
        <f t="shared" si="74"/>
        <v>101.63183408346973</v>
      </c>
    </row>
    <row r="821" spans="1:19" x14ac:dyDescent="0.3">
      <c r="A821">
        <v>15467.2</v>
      </c>
      <c r="B821">
        <v>192.715588</v>
      </c>
      <c r="C821">
        <v>201.48281499999999</v>
      </c>
      <c r="D821">
        <v>210.09652299999999</v>
      </c>
      <c r="E821">
        <v>98.383368000000004</v>
      </c>
      <c r="F821">
        <v>62.540081999999998</v>
      </c>
      <c r="G821">
        <v>30.018995</v>
      </c>
      <c r="H821">
        <v>34.990036000000003</v>
      </c>
      <c r="I821"/>
      <c r="N821"/>
      <c r="O821"/>
      <c r="P821" s="1">
        <f t="shared" si="71"/>
        <v>196.65834756097559</v>
      </c>
      <c r="Q821" s="1">
        <f t="shared" si="72"/>
        <v>205.55357418699185</v>
      </c>
      <c r="R821" s="1">
        <f t="shared" si="73"/>
        <v>215.03495156520853</v>
      </c>
      <c r="S821" s="1">
        <f t="shared" si="74"/>
        <v>101.63183408346973</v>
      </c>
    </row>
    <row r="822" spans="1:19" x14ac:dyDescent="0.3">
      <c r="A822">
        <v>15467.4</v>
      </c>
      <c r="B822">
        <v>192.715947</v>
      </c>
      <c r="C822">
        <v>201.465315</v>
      </c>
      <c r="D822">
        <v>210.12112400000001</v>
      </c>
      <c r="E822">
        <v>98.445027999999994</v>
      </c>
      <c r="F822">
        <v>62.359026999999998</v>
      </c>
      <c r="G822">
        <v>30.011240999999998</v>
      </c>
      <c r="H822">
        <v>35.009926999999998</v>
      </c>
      <c r="I822"/>
      <c r="N822"/>
      <c r="O822"/>
      <c r="P822" s="1">
        <f t="shared" si="71"/>
        <v>196.6312174796748</v>
      </c>
      <c r="Q822" s="1">
        <f t="shared" si="72"/>
        <v>205.58205487804875</v>
      </c>
      <c r="R822" s="1">
        <f t="shared" si="73"/>
        <v>215.04333435301317</v>
      </c>
      <c r="S822" s="1">
        <f t="shared" si="74"/>
        <v>101.7437356792144</v>
      </c>
    </row>
    <row r="823" spans="1:19" x14ac:dyDescent="0.3">
      <c r="A823">
        <v>15467.6</v>
      </c>
      <c r="B823">
        <v>192.715947</v>
      </c>
      <c r="C823">
        <v>201.465315</v>
      </c>
      <c r="D823">
        <v>210.12112400000001</v>
      </c>
      <c r="E823">
        <v>98.445027999999994</v>
      </c>
      <c r="F823">
        <v>62.359026999999998</v>
      </c>
      <c r="G823">
        <v>30.011240999999998</v>
      </c>
      <c r="H823">
        <v>35.009926999999998</v>
      </c>
      <c r="I823"/>
      <c r="N823"/>
      <c r="O823"/>
      <c r="P823" s="1">
        <f t="shared" si="71"/>
        <v>196.6312174796748</v>
      </c>
      <c r="Q823" s="1">
        <f t="shared" si="72"/>
        <v>205.58205487804875</v>
      </c>
      <c r="R823" s="1">
        <f t="shared" si="73"/>
        <v>215.04333435301317</v>
      </c>
      <c r="S823" s="1">
        <f t="shared" si="74"/>
        <v>101.7437356792144</v>
      </c>
    </row>
    <row r="824" spans="1:19" x14ac:dyDescent="0.3">
      <c r="A824">
        <v>15467.8</v>
      </c>
      <c r="B824">
        <v>192.70550900000001</v>
      </c>
      <c r="C824">
        <v>201.50914599999999</v>
      </c>
      <c r="D824">
        <v>210.11635200000001</v>
      </c>
      <c r="E824">
        <v>98.476031000000006</v>
      </c>
      <c r="F824">
        <v>61.829386</v>
      </c>
      <c r="G824">
        <v>30.010770000000001</v>
      </c>
      <c r="H824">
        <v>34.967810999999998</v>
      </c>
      <c r="I824"/>
      <c r="N824"/>
      <c r="O824"/>
      <c r="P824" s="1">
        <f t="shared" si="71"/>
        <v>196.64649695121949</v>
      </c>
      <c r="Q824" s="1">
        <f t="shared" si="72"/>
        <v>205.57156097560974</v>
      </c>
      <c r="R824" s="1">
        <f t="shared" si="73"/>
        <v>215.05975017844398</v>
      </c>
      <c r="S824" s="1">
        <f t="shared" si="74"/>
        <v>101.69186374795417</v>
      </c>
    </row>
    <row r="825" spans="1:19" x14ac:dyDescent="0.3">
      <c r="A825">
        <v>16554</v>
      </c>
      <c r="B825">
        <v>203.73605800000001</v>
      </c>
      <c r="C825">
        <v>213.21387300000001</v>
      </c>
      <c r="D825">
        <v>222.643317</v>
      </c>
      <c r="E825">
        <v>101.148421</v>
      </c>
      <c r="F825">
        <v>62.849721000000002</v>
      </c>
      <c r="G825">
        <v>29.589497999999999</v>
      </c>
      <c r="H825">
        <v>34.978183000000001</v>
      </c>
      <c r="I825" t="s">
        <v>56</v>
      </c>
      <c r="N825"/>
      <c r="O825"/>
      <c r="P825" s="1">
        <f t="shared" si="71"/>
        <v>196.64649695121949</v>
      </c>
      <c r="Q825" s="1">
        <f t="shared" si="72"/>
        <v>205.57156097560974</v>
      </c>
      <c r="R825" s="1">
        <f t="shared" si="73"/>
        <v>215.05975017844398</v>
      </c>
      <c r="S825" s="1">
        <f t="shared" si="74"/>
        <v>101.69186374795417</v>
      </c>
    </row>
    <row r="826" spans="1:19" x14ac:dyDescent="0.3">
      <c r="A826">
        <v>16554.2</v>
      </c>
      <c r="B826">
        <v>203.71231299999999</v>
      </c>
      <c r="C826">
        <v>213.20793599999999</v>
      </c>
      <c r="D826">
        <v>222.650203</v>
      </c>
      <c r="E826">
        <v>101.286948</v>
      </c>
      <c r="F826">
        <v>63.128419999999998</v>
      </c>
      <c r="G826">
        <v>29.615020999999999</v>
      </c>
      <c r="H826">
        <v>34.991878</v>
      </c>
      <c r="I826"/>
      <c r="N826"/>
      <c r="O826"/>
      <c r="P826" s="1">
        <f t="shared" si="71"/>
        <v>196.62369207317073</v>
      </c>
      <c r="Q826" s="1">
        <f t="shared" si="72"/>
        <v>205.58455081300812</v>
      </c>
      <c r="R826" s="1">
        <f t="shared" si="73"/>
        <v>215.04130315081065</v>
      </c>
      <c r="S826" s="1">
        <f t="shared" si="74"/>
        <v>101.69310761047463</v>
      </c>
    </row>
    <row r="827" spans="1:19" x14ac:dyDescent="0.3">
      <c r="A827">
        <v>16554.400000000001</v>
      </c>
      <c r="B827">
        <v>203.71231299999999</v>
      </c>
      <c r="C827">
        <v>213.20793599999999</v>
      </c>
      <c r="D827">
        <v>222.650203</v>
      </c>
      <c r="E827">
        <v>101.286948</v>
      </c>
      <c r="F827">
        <v>63.128419999999998</v>
      </c>
      <c r="G827">
        <v>29.615020999999999</v>
      </c>
      <c r="H827">
        <v>34.991878</v>
      </c>
      <c r="I827"/>
      <c r="N827"/>
      <c r="O827"/>
      <c r="P827" s="1">
        <f t="shared" si="71"/>
        <v>196.62369207317073</v>
      </c>
      <c r="Q827" s="1">
        <f t="shared" si="72"/>
        <v>205.58455081300812</v>
      </c>
      <c r="R827" s="1">
        <f t="shared" si="73"/>
        <v>215.04130315081065</v>
      </c>
      <c r="S827" s="1">
        <f t="shared" si="74"/>
        <v>101.69310761047463</v>
      </c>
    </row>
    <row r="828" spans="1:19" x14ac:dyDescent="0.3">
      <c r="A828">
        <v>16554.599999999999</v>
      </c>
      <c r="B828">
        <v>203.71694600000001</v>
      </c>
      <c r="C828">
        <v>213.220067</v>
      </c>
      <c r="D828">
        <v>222.61694800000001</v>
      </c>
      <c r="E828">
        <v>101.190505</v>
      </c>
      <c r="F828">
        <v>63.076790000000003</v>
      </c>
      <c r="G828">
        <v>29.587226000000001</v>
      </c>
      <c r="H828">
        <v>34.991833</v>
      </c>
      <c r="I828"/>
      <c r="N828"/>
      <c r="O828"/>
      <c r="P828" s="1">
        <f t="shared" si="71"/>
        <v>196.62342174796746</v>
      </c>
      <c r="Q828" s="1">
        <f t="shared" si="72"/>
        <v>205.5689969512195</v>
      </c>
      <c r="R828" s="1">
        <f t="shared" si="73"/>
        <v>215.0434108289997</v>
      </c>
      <c r="S828" s="1">
        <f t="shared" si="74"/>
        <v>101.66286927168576</v>
      </c>
    </row>
    <row r="829" spans="1:19" x14ac:dyDescent="0.3">
      <c r="A829">
        <v>16554.8</v>
      </c>
      <c r="B829">
        <v>203.71694600000001</v>
      </c>
      <c r="C829">
        <v>213.220067</v>
      </c>
      <c r="D829">
        <v>222.61694800000001</v>
      </c>
      <c r="E829">
        <v>101.190505</v>
      </c>
      <c r="F829">
        <v>63.076790000000003</v>
      </c>
      <c r="G829">
        <v>29.587226000000001</v>
      </c>
      <c r="H829">
        <v>34.991833</v>
      </c>
      <c r="I829"/>
      <c r="N829"/>
      <c r="O829"/>
      <c r="P829" s="1">
        <f t="shared" si="71"/>
        <v>196.62342174796746</v>
      </c>
      <c r="Q829" s="1">
        <f t="shared" si="72"/>
        <v>205.5689969512195</v>
      </c>
      <c r="R829" s="1">
        <f t="shared" si="73"/>
        <v>215.0434108289997</v>
      </c>
      <c r="S829" s="1">
        <f t="shared" si="74"/>
        <v>101.66286927168576</v>
      </c>
    </row>
    <row r="830" spans="1:19" x14ac:dyDescent="0.3">
      <c r="A830">
        <v>16555</v>
      </c>
      <c r="B830">
        <v>203.74593899999999</v>
      </c>
      <c r="C830">
        <v>213.23172199999999</v>
      </c>
      <c r="D830">
        <v>222.63290799999999</v>
      </c>
      <c r="E830">
        <v>101.115503</v>
      </c>
      <c r="F830">
        <v>63.693105000000003</v>
      </c>
      <c r="G830">
        <v>29.600546999999999</v>
      </c>
      <c r="H830">
        <v>35.006489999999999</v>
      </c>
      <c r="I830" t="s">
        <v>56</v>
      </c>
      <c r="N830"/>
      <c r="O830"/>
      <c r="P830" s="1">
        <f t="shared" si="71"/>
        <v>196.64327845528456</v>
      </c>
      <c r="Q830" s="1">
        <f t="shared" si="72"/>
        <v>205.578368902439</v>
      </c>
      <c r="R830" s="1">
        <f t="shared" si="73"/>
        <v>215.0391903742225</v>
      </c>
      <c r="S830" s="1">
        <f t="shared" si="74"/>
        <v>101.66915200490998</v>
      </c>
    </row>
    <row r="831" spans="1:19" x14ac:dyDescent="0.3">
      <c r="A831">
        <v>16555.2</v>
      </c>
      <c r="B831">
        <v>203.74593899999999</v>
      </c>
      <c r="C831">
        <v>213.23172199999999</v>
      </c>
      <c r="D831">
        <v>222.63290799999999</v>
      </c>
      <c r="E831">
        <v>101.115503</v>
      </c>
      <c r="F831">
        <v>63.693105000000003</v>
      </c>
      <c r="G831">
        <v>29.600546999999999</v>
      </c>
      <c r="H831">
        <v>35.006489999999999</v>
      </c>
      <c r="I831"/>
      <c r="N831"/>
      <c r="O831"/>
      <c r="P831" s="1">
        <f t="shared" si="71"/>
        <v>196.64327845528456</v>
      </c>
      <c r="Q831" s="1">
        <f t="shared" si="72"/>
        <v>205.578368902439</v>
      </c>
      <c r="R831" s="1">
        <f t="shared" si="73"/>
        <v>215.0391903742225</v>
      </c>
      <c r="S831" s="1">
        <f t="shared" si="74"/>
        <v>101.66915200490998</v>
      </c>
    </row>
    <row r="832" spans="1:19" x14ac:dyDescent="0.3">
      <c r="A832">
        <v>16555.400000000001</v>
      </c>
      <c r="B832">
        <v>203.735435</v>
      </c>
      <c r="C832">
        <v>213.24230600000001</v>
      </c>
      <c r="D832">
        <v>222.65871999999999</v>
      </c>
      <c r="E832">
        <v>101.19748199999999</v>
      </c>
      <c r="F832">
        <v>63.486058</v>
      </c>
      <c r="G832">
        <v>29.576763</v>
      </c>
      <c r="H832">
        <v>34.994058000000003</v>
      </c>
      <c r="I832"/>
      <c r="N832"/>
      <c r="O832"/>
      <c r="P832" s="1">
        <f t="shared" si="71"/>
        <v>196.64101016260162</v>
      </c>
      <c r="Q832" s="1">
        <f t="shared" si="72"/>
        <v>205.5887550813008</v>
      </c>
      <c r="R832" s="1">
        <f t="shared" si="73"/>
        <v>215.04572550219234</v>
      </c>
      <c r="S832" s="1">
        <f t="shared" si="74"/>
        <v>101.76265855155482</v>
      </c>
    </row>
    <row r="833" spans="1:19" x14ac:dyDescent="0.3">
      <c r="A833">
        <v>16555.599999999999</v>
      </c>
      <c r="B833">
        <v>203.735435</v>
      </c>
      <c r="C833">
        <v>213.24230600000001</v>
      </c>
      <c r="D833">
        <v>222.65871999999999</v>
      </c>
      <c r="E833">
        <v>101.19748199999999</v>
      </c>
      <c r="F833">
        <v>63.486058</v>
      </c>
      <c r="G833">
        <v>29.576763</v>
      </c>
      <c r="H833">
        <v>34.994058000000003</v>
      </c>
      <c r="I833"/>
      <c r="N833"/>
      <c r="O833"/>
      <c r="P833" s="1">
        <f t="shared" si="71"/>
        <v>196.64101016260162</v>
      </c>
      <c r="Q833" s="1">
        <f t="shared" si="72"/>
        <v>205.5887550813008</v>
      </c>
      <c r="R833" s="1">
        <f t="shared" si="73"/>
        <v>215.04572550219234</v>
      </c>
      <c r="S833" s="1">
        <f t="shared" si="74"/>
        <v>101.76265855155482</v>
      </c>
    </row>
    <row r="834" spans="1:19" x14ac:dyDescent="0.3">
      <c r="A834">
        <v>16555.8</v>
      </c>
      <c r="B834">
        <v>203.77140299999999</v>
      </c>
      <c r="C834">
        <v>213.23914500000001</v>
      </c>
      <c r="D834">
        <v>222.665108</v>
      </c>
      <c r="E834">
        <v>101.25945</v>
      </c>
      <c r="F834">
        <v>63.206327999999999</v>
      </c>
      <c r="G834">
        <v>29.594857999999999</v>
      </c>
      <c r="H834">
        <v>34.989131</v>
      </c>
      <c r="I834"/>
      <c r="N834"/>
      <c r="O834"/>
      <c r="P834" s="1">
        <f t="shared" si="71"/>
        <v>196.63810772357724</v>
      </c>
      <c r="Q834" s="1">
        <f t="shared" si="72"/>
        <v>205.57558028455284</v>
      </c>
      <c r="R834" s="1">
        <f t="shared" si="73"/>
        <v>215.05566840012239</v>
      </c>
      <c r="S834" s="1">
        <f t="shared" si="74"/>
        <v>101.77853109656301</v>
      </c>
    </row>
    <row r="835" spans="1:19" x14ac:dyDescent="0.3">
      <c r="A835">
        <v>16556</v>
      </c>
      <c r="B835">
        <v>203.77140299999999</v>
      </c>
      <c r="C835">
        <v>213.23914500000001</v>
      </c>
      <c r="D835">
        <v>222.665108</v>
      </c>
      <c r="E835">
        <v>101.25945</v>
      </c>
      <c r="F835">
        <v>63.206327999999999</v>
      </c>
      <c r="G835">
        <v>29.594857999999999</v>
      </c>
      <c r="H835">
        <v>34.989131</v>
      </c>
      <c r="I835" t="s">
        <v>56</v>
      </c>
      <c r="N835"/>
      <c r="O835"/>
      <c r="P835" s="1">
        <f t="shared" si="71"/>
        <v>196.63810772357724</v>
      </c>
      <c r="Q835" s="1">
        <f t="shared" si="72"/>
        <v>205.57558028455284</v>
      </c>
      <c r="R835" s="1">
        <f t="shared" si="73"/>
        <v>215.05566840012239</v>
      </c>
      <c r="S835" s="1">
        <f t="shared" si="74"/>
        <v>101.77853109656301</v>
      </c>
    </row>
    <row r="836" spans="1:19" x14ac:dyDescent="0.3">
      <c r="A836">
        <v>16556.2</v>
      </c>
      <c r="B836">
        <v>203.75304800000001</v>
      </c>
      <c r="C836">
        <v>213.24304900000001</v>
      </c>
      <c r="D836">
        <v>222.66595699999999</v>
      </c>
      <c r="E836">
        <v>101.220095</v>
      </c>
      <c r="F836">
        <v>63.680033999999999</v>
      </c>
      <c r="G836">
        <v>29.604132</v>
      </c>
      <c r="H836">
        <v>35.014268999999999</v>
      </c>
      <c r="I836"/>
      <c r="N836"/>
      <c r="O836"/>
      <c r="P836" s="1">
        <f t="shared" si="71"/>
        <v>196.65845528455284</v>
      </c>
      <c r="Q836" s="1">
        <f t="shared" si="72"/>
        <v>205.57613008130082</v>
      </c>
      <c r="R836" s="1">
        <f t="shared" si="73"/>
        <v>215.06025695931476</v>
      </c>
      <c r="S836" s="1">
        <f t="shared" si="74"/>
        <v>101.63908756137478</v>
      </c>
    </row>
    <row r="837" spans="1:19" x14ac:dyDescent="0.3">
      <c r="A837">
        <v>16556.400000000001</v>
      </c>
      <c r="B837">
        <v>203.75304800000001</v>
      </c>
      <c r="C837">
        <v>213.24304900000001</v>
      </c>
      <c r="D837">
        <v>222.66595699999999</v>
      </c>
      <c r="E837">
        <v>101.220095</v>
      </c>
      <c r="F837">
        <v>63.680033999999999</v>
      </c>
      <c r="G837">
        <v>29.604132</v>
      </c>
      <c r="H837">
        <v>35.014268999999999</v>
      </c>
      <c r="I837"/>
      <c r="N837"/>
      <c r="O837"/>
      <c r="P837" s="1">
        <f t="shared" si="71"/>
        <v>196.65845528455284</v>
      </c>
      <c r="Q837" s="1">
        <f t="shared" si="72"/>
        <v>205.57613008130082</v>
      </c>
      <c r="R837" s="1">
        <f t="shared" si="73"/>
        <v>215.06025695931476</v>
      </c>
      <c r="S837" s="1">
        <f t="shared" si="74"/>
        <v>101.63908756137478</v>
      </c>
    </row>
    <row r="838" spans="1:19" x14ac:dyDescent="0.3">
      <c r="A838">
        <v>16556.599999999999</v>
      </c>
      <c r="B838">
        <v>203.74571800000001</v>
      </c>
      <c r="C838">
        <v>213.23688999999999</v>
      </c>
      <c r="D838">
        <v>222.649406</v>
      </c>
      <c r="E838">
        <v>101.07940000000001</v>
      </c>
      <c r="F838">
        <v>62.583652000000001</v>
      </c>
      <c r="G838">
        <v>29.593598</v>
      </c>
      <c r="H838">
        <v>34.994428999999997</v>
      </c>
      <c r="I838"/>
      <c r="N838"/>
      <c r="O838"/>
      <c r="P838" s="1">
        <f t="shared" si="71"/>
        <v>196.64846341463414</v>
      </c>
      <c r="Q838" s="1">
        <f t="shared" si="72"/>
        <v>205.5582469512195</v>
      </c>
      <c r="R838" s="1">
        <f t="shared" si="73"/>
        <v>215.05743142653208</v>
      </c>
      <c r="S838" s="1">
        <f t="shared" si="74"/>
        <v>101.58261865793781</v>
      </c>
    </row>
    <row r="839" spans="1:19" x14ac:dyDescent="0.3">
      <c r="A839">
        <v>16556.8</v>
      </c>
      <c r="B839">
        <v>203.74571800000001</v>
      </c>
      <c r="C839">
        <v>213.23688999999999</v>
      </c>
      <c r="D839">
        <v>222.649406</v>
      </c>
      <c r="E839">
        <v>101.07940000000001</v>
      </c>
      <c r="F839">
        <v>62.583652000000001</v>
      </c>
      <c r="G839">
        <v>29.593598</v>
      </c>
      <c r="H839">
        <v>34.994428999999997</v>
      </c>
      <c r="I839"/>
      <c r="N839"/>
      <c r="O839"/>
      <c r="P839" s="1">
        <f t="shared" si="71"/>
        <v>196.64846341463414</v>
      </c>
      <c r="Q839" s="1">
        <f t="shared" si="72"/>
        <v>205.5582469512195</v>
      </c>
      <c r="R839" s="1">
        <f t="shared" si="73"/>
        <v>215.05743142653208</v>
      </c>
      <c r="S839" s="1">
        <f t="shared" si="74"/>
        <v>101.58261865793781</v>
      </c>
    </row>
    <row r="840" spans="1:19" x14ac:dyDescent="0.3">
      <c r="A840">
        <v>16557</v>
      </c>
      <c r="B840">
        <v>203.74443099999999</v>
      </c>
      <c r="C840">
        <v>213.25411500000001</v>
      </c>
      <c r="D840">
        <v>222.67111800000001</v>
      </c>
      <c r="E840">
        <v>101.04024</v>
      </c>
      <c r="F840">
        <v>63.380251000000001</v>
      </c>
      <c r="G840">
        <v>29.591982999999999</v>
      </c>
      <c r="H840">
        <v>35.001244999999997</v>
      </c>
      <c r="I840" t="s">
        <v>56</v>
      </c>
      <c r="N840"/>
      <c r="O840"/>
      <c r="P840" s="1">
        <f t="shared" si="71"/>
        <v>196.6488282520325</v>
      </c>
      <c r="Q840" s="1">
        <f t="shared" si="72"/>
        <v>205.54046239837399</v>
      </c>
      <c r="R840" s="1">
        <f t="shared" si="73"/>
        <v>215.08251656979709</v>
      </c>
      <c r="S840" s="1">
        <f t="shared" si="74"/>
        <v>101.6456914893617</v>
      </c>
    </row>
    <row r="841" spans="1:19" x14ac:dyDescent="0.3">
      <c r="A841">
        <v>16557.2</v>
      </c>
      <c r="B841">
        <v>203.74443099999999</v>
      </c>
      <c r="C841">
        <v>213.25411500000001</v>
      </c>
      <c r="D841">
        <v>222.67111800000001</v>
      </c>
      <c r="E841">
        <v>101.04024</v>
      </c>
      <c r="F841">
        <v>63.380251000000001</v>
      </c>
      <c r="G841">
        <v>29.591982999999999</v>
      </c>
      <c r="H841">
        <v>35.001244999999997</v>
      </c>
      <c r="I841"/>
      <c r="N841"/>
      <c r="O841"/>
      <c r="P841" s="1">
        <f t="shared" si="71"/>
        <v>196.6488282520325</v>
      </c>
      <c r="Q841" s="1">
        <f t="shared" si="72"/>
        <v>205.54046239837399</v>
      </c>
      <c r="R841" s="1">
        <f t="shared" si="73"/>
        <v>215.08251656979709</v>
      </c>
      <c r="S841" s="1">
        <f t="shared" si="74"/>
        <v>101.6456914893617</v>
      </c>
    </row>
    <row r="842" spans="1:19" x14ac:dyDescent="0.3">
      <c r="A842">
        <v>16557.400000000001</v>
      </c>
      <c r="B842">
        <v>203.77833999999999</v>
      </c>
      <c r="C842">
        <v>213.24701899999999</v>
      </c>
      <c r="D842">
        <v>222.659907</v>
      </c>
      <c r="E842">
        <v>101.113084</v>
      </c>
      <c r="F842">
        <v>63.632787</v>
      </c>
      <c r="G842">
        <v>29.584253</v>
      </c>
      <c r="H842">
        <v>35.030523000000002</v>
      </c>
      <c r="I842"/>
      <c r="N842"/>
      <c r="O842"/>
      <c r="P842" s="1">
        <f t="shared" si="71"/>
        <v>196.63822052845529</v>
      </c>
      <c r="Q842" s="1">
        <f t="shared" si="72"/>
        <v>205.58500609756095</v>
      </c>
      <c r="R842" s="1">
        <f t="shared" si="73"/>
        <v>215.07765065769351</v>
      </c>
      <c r="S842" s="1">
        <f t="shared" si="74"/>
        <v>101.6774048690671</v>
      </c>
    </row>
    <row r="843" spans="1:19" x14ac:dyDescent="0.3">
      <c r="A843">
        <v>16557.599999999999</v>
      </c>
      <c r="B843">
        <v>203.77833999999999</v>
      </c>
      <c r="C843">
        <v>213.24701899999999</v>
      </c>
      <c r="D843">
        <v>222.659907</v>
      </c>
      <c r="E843">
        <v>101.113084</v>
      </c>
      <c r="F843">
        <v>63.632787</v>
      </c>
      <c r="G843">
        <v>29.584253</v>
      </c>
      <c r="H843">
        <v>35.030523000000002</v>
      </c>
      <c r="I843"/>
      <c r="N843"/>
      <c r="O843"/>
      <c r="P843" s="1">
        <f t="shared" si="71"/>
        <v>207.8481280487805</v>
      </c>
      <c r="Q843" s="1">
        <f t="shared" si="72"/>
        <v>217.4800538617886</v>
      </c>
      <c r="R843" s="1">
        <f t="shared" si="73"/>
        <v>227.85114408075864</v>
      </c>
      <c r="S843" s="1">
        <f t="shared" si="74"/>
        <v>104.41102802782324</v>
      </c>
    </row>
    <row r="844" spans="1:19" x14ac:dyDescent="0.3">
      <c r="A844">
        <v>16557.8</v>
      </c>
      <c r="B844">
        <v>203.75184100000001</v>
      </c>
      <c r="C844">
        <v>213.25074599999999</v>
      </c>
      <c r="D844">
        <v>222.66777999999999</v>
      </c>
      <c r="E844">
        <v>101.04308899999999</v>
      </c>
      <c r="F844">
        <v>63.343259000000003</v>
      </c>
      <c r="G844">
        <v>29.588273999999998</v>
      </c>
      <c r="H844">
        <v>34.991939000000002</v>
      </c>
      <c r="I844"/>
      <c r="N844"/>
      <c r="O844"/>
      <c r="P844" s="1">
        <f t="shared" si="71"/>
        <v>207.8239969512195</v>
      </c>
      <c r="Q844" s="1">
        <f t="shared" si="72"/>
        <v>217.47402032520324</v>
      </c>
      <c r="R844" s="1">
        <f t="shared" si="73"/>
        <v>227.85816559600286</v>
      </c>
      <c r="S844" s="1">
        <f t="shared" si="74"/>
        <v>104.55272913256955</v>
      </c>
    </row>
    <row r="845" spans="1:19" x14ac:dyDescent="0.3">
      <c r="A845">
        <v>16558</v>
      </c>
      <c r="B845">
        <v>203.75184100000001</v>
      </c>
      <c r="C845">
        <v>213.25074599999999</v>
      </c>
      <c r="D845">
        <v>222.66777999999999</v>
      </c>
      <c r="E845">
        <v>101.04308899999999</v>
      </c>
      <c r="F845">
        <v>63.343259000000003</v>
      </c>
      <c r="G845">
        <v>29.588273999999998</v>
      </c>
      <c r="H845">
        <v>34.991939000000002</v>
      </c>
      <c r="I845" t="s">
        <v>56</v>
      </c>
      <c r="N845"/>
      <c r="O845"/>
      <c r="P845" s="1">
        <f t="shared" si="71"/>
        <v>207.8239969512195</v>
      </c>
      <c r="Q845" s="1">
        <f t="shared" si="72"/>
        <v>217.47402032520324</v>
      </c>
      <c r="R845" s="1">
        <f t="shared" si="73"/>
        <v>227.85816559600286</v>
      </c>
      <c r="S845" s="1">
        <f t="shared" si="74"/>
        <v>104.55272913256955</v>
      </c>
    </row>
    <row r="846" spans="1:19" x14ac:dyDescent="0.3">
      <c r="A846">
        <v>16558.2</v>
      </c>
      <c r="B846">
        <v>203.78198699999999</v>
      </c>
      <c r="C846">
        <v>213.26542800000001</v>
      </c>
      <c r="D846">
        <v>222.65748500000001</v>
      </c>
      <c r="E846">
        <v>101.022021</v>
      </c>
      <c r="F846">
        <v>63.491152999999997</v>
      </c>
      <c r="G846">
        <v>29.596456</v>
      </c>
      <c r="H846">
        <v>35.009906999999998</v>
      </c>
      <c r="I846"/>
      <c r="N846"/>
      <c r="O846"/>
      <c r="P846" s="1">
        <f t="shared" si="71"/>
        <v>207.82870528455285</v>
      </c>
      <c r="Q846" s="1">
        <f t="shared" si="72"/>
        <v>217.48634857723576</v>
      </c>
      <c r="R846" s="1">
        <f t="shared" si="73"/>
        <v>227.82425614357095</v>
      </c>
      <c r="S846" s="1">
        <f t="shared" si="74"/>
        <v>104.45407630932897</v>
      </c>
    </row>
    <row r="847" spans="1:19" x14ac:dyDescent="0.3">
      <c r="A847">
        <v>16558.400000000001</v>
      </c>
      <c r="B847">
        <v>203.78198699999999</v>
      </c>
      <c r="C847">
        <v>213.26542800000001</v>
      </c>
      <c r="D847">
        <v>222.65748500000001</v>
      </c>
      <c r="E847">
        <v>101.022021</v>
      </c>
      <c r="F847">
        <v>63.491152999999997</v>
      </c>
      <c r="G847">
        <v>29.596456</v>
      </c>
      <c r="H847">
        <v>35.009906999999998</v>
      </c>
      <c r="I847"/>
      <c r="N847"/>
      <c r="O847"/>
      <c r="P847" s="1">
        <f t="shared" si="71"/>
        <v>207.82870528455285</v>
      </c>
      <c r="Q847" s="1">
        <f t="shared" si="72"/>
        <v>217.48634857723576</v>
      </c>
      <c r="R847" s="1">
        <f t="shared" si="73"/>
        <v>227.82425614357095</v>
      </c>
      <c r="S847" s="1">
        <f t="shared" si="74"/>
        <v>104.45407630932897</v>
      </c>
    </row>
    <row r="848" spans="1:19" x14ac:dyDescent="0.3">
      <c r="A848">
        <v>16558.599999999999</v>
      </c>
      <c r="B848">
        <v>203.76626200000001</v>
      </c>
      <c r="C848">
        <v>213.24056400000001</v>
      </c>
      <c r="D848">
        <v>222.65443999999999</v>
      </c>
      <c r="E848">
        <v>101.005067</v>
      </c>
      <c r="F848">
        <v>63.569671999999997</v>
      </c>
      <c r="G848">
        <v>29.592435999999999</v>
      </c>
      <c r="H848">
        <v>35.011522999999997</v>
      </c>
      <c r="I848"/>
      <c r="N848"/>
      <c r="O848"/>
      <c r="P848" s="1">
        <f t="shared" si="71"/>
        <v>207.85816971544713</v>
      </c>
      <c r="Q848" s="1">
        <f t="shared" si="72"/>
        <v>217.49819308943088</v>
      </c>
      <c r="R848" s="1">
        <f t="shared" si="73"/>
        <v>227.84053023350668</v>
      </c>
      <c r="S848" s="1">
        <f t="shared" si="74"/>
        <v>104.37735576923077</v>
      </c>
    </row>
    <row r="849" spans="1:19" x14ac:dyDescent="0.3">
      <c r="A849">
        <v>16558.8</v>
      </c>
      <c r="B849">
        <v>203.76626200000001</v>
      </c>
      <c r="C849">
        <v>213.24056400000001</v>
      </c>
      <c r="D849">
        <v>222.65443999999999</v>
      </c>
      <c r="E849">
        <v>101.005067</v>
      </c>
      <c r="F849">
        <v>63.569671999999997</v>
      </c>
      <c r="G849">
        <v>29.592435999999999</v>
      </c>
      <c r="H849">
        <v>35.011522999999997</v>
      </c>
      <c r="I849"/>
      <c r="N849"/>
      <c r="O849"/>
      <c r="P849" s="1">
        <f t="shared" si="71"/>
        <v>207.85816971544713</v>
      </c>
      <c r="Q849" s="1">
        <f t="shared" si="72"/>
        <v>217.49819308943088</v>
      </c>
      <c r="R849" s="1">
        <f t="shared" si="73"/>
        <v>227.84053023350668</v>
      </c>
      <c r="S849" s="1">
        <f t="shared" si="74"/>
        <v>104.37735576923077</v>
      </c>
    </row>
    <row r="850" spans="1:19" x14ac:dyDescent="0.3">
      <c r="A850">
        <v>16559</v>
      </c>
      <c r="B850">
        <v>203.73627500000001</v>
      </c>
      <c r="C850">
        <v>213.23025899999999</v>
      </c>
      <c r="D850">
        <v>222.667215</v>
      </c>
      <c r="E850">
        <v>101.002137</v>
      </c>
      <c r="F850">
        <v>63.855890000000002</v>
      </c>
      <c r="G850">
        <v>29.580411000000002</v>
      </c>
      <c r="H850">
        <v>35.042141999999998</v>
      </c>
      <c r="I850" t="s">
        <v>56</v>
      </c>
      <c r="N850"/>
      <c r="O850"/>
      <c r="P850" s="1">
        <f t="shared" si="71"/>
        <v>207.84749491869917</v>
      </c>
      <c r="Q850" s="1">
        <f t="shared" si="72"/>
        <v>217.50894918699188</v>
      </c>
      <c r="R850" s="1">
        <f t="shared" si="73"/>
        <v>227.86685020903437</v>
      </c>
      <c r="S850" s="1">
        <f t="shared" si="74"/>
        <v>104.46121317512274</v>
      </c>
    </row>
    <row r="851" spans="1:19" x14ac:dyDescent="0.3">
      <c r="A851">
        <v>16559.2</v>
      </c>
      <c r="B851">
        <v>203.73627500000001</v>
      </c>
      <c r="C851">
        <v>213.23025899999999</v>
      </c>
      <c r="D851">
        <v>222.667215</v>
      </c>
      <c r="E851">
        <v>101.002137</v>
      </c>
      <c r="F851">
        <v>63.855890000000002</v>
      </c>
      <c r="G851">
        <v>29.580411000000002</v>
      </c>
      <c r="H851">
        <v>35.042141999999998</v>
      </c>
      <c r="I851"/>
      <c r="N851"/>
      <c r="O851"/>
      <c r="P851" s="1">
        <f t="shared" si="71"/>
        <v>207.84749491869917</v>
      </c>
      <c r="Q851" s="1">
        <f t="shared" si="72"/>
        <v>217.50894918699188</v>
      </c>
      <c r="R851" s="1">
        <f t="shared" si="73"/>
        <v>227.86685020903437</v>
      </c>
      <c r="S851" s="1">
        <f t="shared" si="74"/>
        <v>104.46121317512274</v>
      </c>
    </row>
    <row r="852" spans="1:19" x14ac:dyDescent="0.3">
      <c r="A852">
        <v>16559.400000000001</v>
      </c>
      <c r="B852">
        <v>203.76741699999999</v>
      </c>
      <c r="C852">
        <v>213.235861</v>
      </c>
      <c r="D852">
        <v>222.65395899999999</v>
      </c>
      <c r="E852">
        <v>101.027171</v>
      </c>
      <c r="F852">
        <v>64.085390000000004</v>
      </c>
      <c r="G852">
        <v>29.602285999999999</v>
      </c>
      <c r="H852">
        <v>35.043315999999997</v>
      </c>
      <c r="I852"/>
      <c r="N852"/>
      <c r="O852"/>
      <c r="P852" s="1">
        <f t="shared" si="71"/>
        <v>207.88404776422763</v>
      </c>
      <c r="Q852" s="1">
        <f t="shared" si="72"/>
        <v>217.5057367886179</v>
      </c>
      <c r="R852" s="1">
        <f t="shared" si="73"/>
        <v>227.87336392372796</v>
      </c>
      <c r="S852" s="1">
        <f t="shared" si="74"/>
        <v>104.52460106382979</v>
      </c>
    </row>
    <row r="853" spans="1:19" x14ac:dyDescent="0.3">
      <c r="A853">
        <v>16559.599999999999</v>
      </c>
      <c r="B853">
        <v>203.76741699999999</v>
      </c>
      <c r="C853">
        <v>213.235861</v>
      </c>
      <c r="D853">
        <v>222.65395899999999</v>
      </c>
      <c r="E853">
        <v>101.027171</v>
      </c>
      <c r="F853">
        <v>64.085390000000004</v>
      </c>
      <c r="G853">
        <v>29.602285999999999</v>
      </c>
      <c r="H853">
        <v>35.043315999999997</v>
      </c>
      <c r="I853"/>
      <c r="N853"/>
      <c r="O853"/>
      <c r="P853" s="1">
        <f t="shared" si="71"/>
        <v>207.88404776422763</v>
      </c>
      <c r="Q853" s="1">
        <f t="shared" si="72"/>
        <v>217.5057367886179</v>
      </c>
      <c r="R853" s="1">
        <f t="shared" si="73"/>
        <v>227.87336392372796</v>
      </c>
      <c r="S853" s="1">
        <f t="shared" si="74"/>
        <v>104.52460106382979</v>
      </c>
    </row>
    <row r="854" spans="1:19" x14ac:dyDescent="0.3">
      <c r="A854">
        <v>16559.8</v>
      </c>
      <c r="B854">
        <v>203.728566</v>
      </c>
      <c r="C854">
        <v>213.233328</v>
      </c>
      <c r="D854">
        <v>222.65261100000001</v>
      </c>
      <c r="E854">
        <v>101.08229</v>
      </c>
      <c r="F854">
        <v>63.626665000000003</v>
      </c>
      <c r="G854">
        <v>29.596456</v>
      </c>
      <c r="H854">
        <v>35.046875</v>
      </c>
      <c r="I854"/>
      <c r="N854"/>
      <c r="O854"/>
      <c r="P854" s="1">
        <f t="shared" si="71"/>
        <v>207.86539430894308</v>
      </c>
      <c r="Q854" s="1">
        <f t="shared" si="72"/>
        <v>217.50970426829269</v>
      </c>
      <c r="R854" s="1">
        <f t="shared" si="73"/>
        <v>227.87422963189559</v>
      </c>
      <c r="S854" s="1">
        <f t="shared" si="74"/>
        <v>104.48434431260229</v>
      </c>
    </row>
    <row r="855" spans="1:19" x14ac:dyDescent="0.3">
      <c r="A855">
        <v>16560</v>
      </c>
      <c r="B855">
        <v>203.728566</v>
      </c>
      <c r="C855">
        <v>213.233328</v>
      </c>
      <c r="D855">
        <v>222.65261100000001</v>
      </c>
      <c r="E855">
        <v>101.08229</v>
      </c>
      <c r="F855">
        <v>63.626665000000003</v>
      </c>
      <c r="G855">
        <v>29.596456</v>
      </c>
      <c r="H855">
        <v>35.046875</v>
      </c>
      <c r="I855" t="s">
        <v>56</v>
      </c>
      <c r="N855"/>
      <c r="O855"/>
      <c r="P855" s="1">
        <f t="shared" si="71"/>
        <v>207.86539430894308</v>
      </c>
      <c r="Q855" s="1">
        <f t="shared" si="72"/>
        <v>217.50970426829269</v>
      </c>
      <c r="R855" s="1">
        <f t="shared" si="73"/>
        <v>227.87422963189559</v>
      </c>
      <c r="S855" s="1">
        <f t="shared" si="74"/>
        <v>104.48434431260229</v>
      </c>
    </row>
    <row r="856" spans="1:19" x14ac:dyDescent="0.3">
      <c r="A856">
        <v>16560.2</v>
      </c>
      <c r="B856">
        <v>203.75852599999999</v>
      </c>
      <c r="C856">
        <v>213.23540600000001</v>
      </c>
      <c r="D856">
        <v>222.65675899999999</v>
      </c>
      <c r="E856">
        <v>101.19489799999999</v>
      </c>
      <c r="F856">
        <v>63.905330999999997</v>
      </c>
      <c r="G856">
        <v>29.590501</v>
      </c>
      <c r="H856">
        <v>35.033931000000003</v>
      </c>
      <c r="I856"/>
      <c r="N856"/>
      <c r="O856"/>
      <c r="P856" s="1">
        <f t="shared" si="71"/>
        <v>207.85794512195122</v>
      </c>
      <c r="Q856" s="1">
        <f t="shared" si="72"/>
        <v>217.50344512195119</v>
      </c>
      <c r="R856" s="1">
        <f t="shared" si="73"/>
        <v>227.8573529111859</v>
      </c>
      <c r="S856" s="1">
        <f t="shared" si="74"/>
        <v>104.3404255319149</v>
      </c>
    </row>
    <row r="857" spans="1:19" x14ac:dyDescent="0.3">
      <c r="A857">
        <v>16560.400000000001</v>
      </c>
      <c r="B857">
        <v>203.75852599999999</v>
      </c>
      <c r="C857">
        <v>213.23540600000001</v>
      </c>
      <c r="D857">
        <v>222.65675899999999</v>
      </c>
      <c r="E857">
        <v>101.19489799999999</v>
      </c>
      <c r="F857">
        <v>63.905330999999997</v>
      </c>
      <c r="G857">
        <v>29.590501</v>
      </c>
      <c r="H857">
        <v>35.033931000000003</v>
      </c>
      <c r="I857"/>
      <c r="N857"/>
      <c r="O857"/>
      <c r="P857" s="1">
        <f t="shared" si="71"/>
        <v>207.85794512195122</v>
      </c>
      <c r="Q857" s="1">
        <f t="shared" si="72"/>
        <v>217.50344512195119</v>
      </c>
      <c r="R857" s="1">
        <f t="shared" si="73"/>
        <v>227.8573529111859</v>
      </c>
      <c r="S857" s="1">
        <f t="shared" si="74"/>
        <v>104.3404255319149</v>
      </c>
    </row>
    <row r="858" spans="1:19" x14ac:dyDescent="0.3">
      <c r="A858">
        <v>16560.599999999999</v>
      </c>
      <c r="B858">
        <v>203.76908399999999</v>
      </c>
      <c r="C858">
        <v>213.23846499999999</v>
      </c>
      <c r="D858">
        <v>222.65166400000001</v>
      </c>
      <c r="E858">
        <v>101.283176</v>
      </c>
      <c r="F858">
        <v>63.809738000000003</v>
      </c>
      <c r="G858">
        <v>29.614542</v>
      </c>
      <c r="H858">
        <v>35.035387999999998</v>
      </c>
      <c r="I858"/>
      <c r="N858"/>
      <c r="O858"/>
      <c r="P858" s="1">
        <f t="shared" si="71"/>
        <v>207.85663719512195</v>
      </c>
      <c r="Q858" s="1">
        <f t="shared" si="72"/>
        <v>217.52095020325203</v>
      </c>
      <c r="R858" s="1">
        <f t="shared" si="73"/>
        <v>227.8794921994494</v>
      </c>
      <c r="S858" s="1">
        <f t="shared" si="74"/>
        <v>104.3003682487725</v>
      </c>
    </row>
    <row r="859" spans="1:19" x14ac:dyDescent="0.3">
      <c r="A859">
        <v>16560.8</v>
      </c>
      <c r="B859">
        <v>203.76908399999999</v>
      </c>
      <c r="C859">
        <v>213.23846499999999</v>
      </c>
      <c r="D859">
        <v>222.65166400000001</v>
      </c>
      <c r="E859">
        <v>101.283176</v>
      </c>
      <c r="F859">
        <v>63.809738000000003</v>
      </c>
      <c r="G859">
        <v>29.614542</v>
      </c>
      <c r="H859">
        <v>35.035387999999998</v>
      </c>
      <c r="I859"/>
      <c r="N859"/>
      <c r="O859"/>
      <c r="P859" s="1">
        <f t="shared" si="71"/>
        <v>207.85663719512195</v>
      </c>
      <c r="Q859" s="1">
        <f t="shared" si="72"/>
        <v>217.52095020325203</v>
      </c>
      <c r="R859" s="1">
        <f t="shared" si="73"/>
        <v>227.8794921994494</v>
      </c>
      <c r="S859" s="1">
        <f t="shared" si="74"/>
        <v>104.3003682487725</v>
      </c>
    </row>
    <row r="860" spans="1:19" x14ac:dyDescent="0.3">
      <c r="A860">
        <v>16561</v>
      </c>
      <c r="B860">
        <v>203.74071900000001</v>
      </c>
      <c r="C860">
        <v>213.22814199999999</v>
      </c>
      <c r="D860">
        <v>222.664421</v>
      </c>
      <c r="E860">
        <v>101.242529</v>
      </c>
      <c r="F860">
        <v>63.652759000000003</v>
      </c>
      <c r="G860">
        <v>29.585709000000001</v>
      </c>
      <c r="H860">
        <v>35.035246999999998</v>
      </c>
      <c r="I860" t="s">
        <v>56</v>
      </c>
      <c r="N860"/>
      <c r="O860"/>
      <c r="P860" s="1">
        <f t="shared" si="71"/>
        <v>207.8910975609756</v>
      </c>
      <c r="Q860" s="1">
        <f t="shared" si="72"/>
        <v>217.51373882113819</v>
      </c>
      <c r="R860" s="1">
        <f t="shared" si="73"/>
        <v>227.86806056898135</v>
      </c>
      <c r="S860" s="1">
        <f t="shared" si="74"/>
        <v>104.3748813420622</v>
      </c>
    </row>
    <row r="861" spans="1:19" x14ac:dyDescent="0.3">
      <c r="A861">
        <v>16561.2</v>
      </c>
      <c r="B861">
        <v>203.74071900000001</v>
      </c>
      <c r="C861">
        <v>213.22814199999999</v>
      </c>
      <c r="D861">
        <v>222.664421</v>
      </c>
      <c r="E861">
        <v>101.242529</v>
      </c>
      <c r="F861">
        <v>63.652759000000003</v>
      </c>
      <c r="G861">
        <v>29.585709000000001</v>
      </c>
      <c r="H861">
        <v>35.035246999999998</v>
      </c>
      <c r="I861"/>
      <c r="N861"/>
      <c r="O861"/>
      <c r="P861" s="1">
        <f t="shared" si="71"/>
        <v>207.8910975609756</v>
      </c>
      <c r="Q861" s="1">
        <f t="shared" si="72"/>
        <v>217.51373882113819</v>
      </c>
      <c r="R861" s="1">
        <f t="shared" si="73"/>
        <v>227.86806056898135</v>
      </c>
      <c r="S861" s="1">
        <f t="shared" si="74"/>
        <v>104.3748813420622</v>
      </c>
    </row>
    <row r="862" spans="1:19" x14ac:dyDescent="0.3">
      <c r="A862">
        <v>16561.400000000001</v>
      </c>
      <c r="B862">
        <v>203.74725799999999</v>
      </c>
      <c r="C862">
        <v>213.24077299999999</v>
      </c>
      <c r="D862">
        <v>222.681117</v>
      </c>
      <c r="E862">
        <v>101.100071</v>
      </c>
      <c r="F862">
        <v>63.260505000000002</v>
      </c>
      <c r="G862">
        <v>29.596046999999999</v>
      </c>
      <c r="H862">
        <v>35.043661</v>
      </c>
      <c r="I862"/>
      <c r="N862"/>
      <c r="O862"/>
      <c r="P862" s="1">
        <f t="shared" si="71"/>
        <v>207.86416768292685</v>
      </c>
      <c r="Q862" s="1">
        <f t="shared" si="72"/>
        <v>217.51752642276421</v>
      </c>
      <c r="R862" s="1">
        <f t="shared" si="73"/>
        <v>227.87608850820843</v>
      </c>
      <c r="S862" s="1">
        <f t="shared" si="74"/>
        <v>104.30328252864156</v>
      </c>
    </row>
    <row r="863" spans="1:19" x14ac:dyDescent="0.3">
      <c r="A863">
        <v>16561.599999999999</v>
      </c>
      <c r="B863">
        <v>203.74725799999999</v>
      </c>
      <c r="C863">
        <v>213.24077299999999</v>
      </c>
      <c r="D863">
        <v>222.681117</v>
      </c>
      <c r="E863">
        <v>101.100071</v>
      </c>
      <c r="F863">
        <v>63.260505000000002</v>
      </c>
      <c r="G863">
        <v>29.596046999999999</v>
      </c>
      <c r="H863">
        <v>35.043661</v>
      </c>
      <c r="I863"/>
      <c r="N863"/>
      <c r="O863"/>
      <c r="P863" s="1">
        <f t="shared" si="71"/>
        <v>207.86416768292685</v>
      </c>
      <c r="Q863" s="1">
        <f t="shared" si="72"/>
        <v>217.51752642276421</v>
      </c>
      <c r="R863" s="1">
        <f t="shared" si="73"/>
        <v>227.87608850820843</v>
      </c>
      <c r="S863" s="1">
        <f t="shared" si="74"/>
        <v>104.30328252864156</v>
      </c>
    </row>
    <row r="864" spans="1:19" x14ac:dyDescent="0.3">
      <c r="A864">
        <v>16561.8</v>
      </c>
      <c r="B864">
        <v>203.772369</v>
      </c>
      <c r="C864">
        <v>213.23753300000001</v>
      </c>
      <c r="D864">
        <v>222.66861800000001</v>
      </c>
      <c r="E864">
        <v>101.225842</v>
      </c>
      <c r="F864">
        <v>63.437972000000002</v>
      </c>
      <c r="G864">
        <v>29.593909</v>
      </c>
      <c r="H864">
        <v>35.043872999999998</v>
      </c>
      <c r="I864"/>
      <c r="N864"/>
      <c r="O864"/>
      <c r="P864" s="1">
        <f t="shared" si="71"/>
        <v>207.8948038617886</v>
      </c>
      <c r="Q864" s="1">
        <f t="shared" si="72"/>
        <v>217.53244715447155</v>
      </c>
      <c r="R864" s="1">
        <f t="shared" si="73"/>
        <v>227.86559090445601</v>
      </c>
      <c r="S864" s="1">
        <f t="shared" si="74"/>
        <v>104.28173179214402</v>
      </c>
    </row>
    <row r="865" spans="1:19" x14ac:dyDescent="0.3">
      <c r="A865">
        <v>16562</v>
      </c>
      <c r="B865">
        <v>203.772369</v>
      </c>
      <c r="C865">
        <v>213.23753300000001</v>
      </c>
      <c r="D865">
        <v>222.66861800000001</v>
      </c>
      <c r="E865">
        <v>101.225842</v>
      </c>
      <c r="F865">
        <v>63.437972000000002</v>
      </c>
      <c r="G865">
        <v>29.593909</v>
      </c>
      <c r="H865">
        <v>35.043872999999998</v>
      </c>
      <c r="I865" t="s">
        <v>56</v>
      </c>
      <c r="N865"/>
      <c r="O865"/>
      <c r="P865" s="1">
        <f t="shared" si="71"/>
        <v>207.8948038617886</v>
      </c>
      <c r="Q865" s="1">
        <f t="shared" si="72"/>
        <v>217.53244715447155</v>
      </c>
      <c r="R865" s="1">
        <f t="shared" si="73"/>
        <v>227.86559090445601</v>
      </c>
      <c r="S865" s="1">
        <f t="shared" si="74"/>
        <v>104.28173179214402</v>
      </c>
    </row>
    <row r="866" spans="1:19" x14ac:dyDescent="0.3">
      <c r="A866">
        <v>16562.2</v>
      </c>
      <c r="B866">
        <v>203.77406199999999</v>
      </c>
      <c r="C866">
        <v>213.25773699999999</v>
      </c>
      <c r="D866">
        <v>222.65613300000001</v>
      </c>
      <c r="E866">
        <v>101.13853400000001</v>
      </c>
      <c r="F866">
        <v>62.774095000000003</v>
      </c>
      <c r="G866">
        <v>29.611488999999999</v>
      </c>
      <c r="H866">
        <v>35.050131999999998</v>
      </c>
      <c r="I866"/>
      <c r="N866"/>
      <c r="O866"/>
      <c r="P866" s="1">
        <f t="shared" si="71"/>
        <v>207.87882317073172</v>
      </c>
      <c r="Q866" s="1">
        <f t="shared" si="72"/>
        <v>217.50717886178862</v>
      </c>
      <c r="R866" s="1">
        <f t="shared" si="73"/>
        <v>227.86248597940246</v>
      </c>
      <c r="S866" s="1">
        <f t="shared" si="74"/>
        <v>104.2643893207856</v>
      </c>
    </row>
    <row r="867" spans="1:19" x14ac:dyDescent="0.3">
      <c r="A867">
        <v>16562.400000000001</v>
      </c>
      <c r="B867">
        <v>203.77406199999999</v>
      </c>
      <c r="C867">
        <v>213.25773699999999</v>
      </c>
      <c r="D867">
        <v>222.65613300000001</v>
      </c>
      <c r="E867">
        <v>101.13853400000001</v>
      </c>
      <c r="F867">
        <v>62.774095000000003</v>
      </c>
      <c r="G867">
        <v>29.611488999999999</v>
      </c>
      <c r="H867">
        <v>35.050131999999998</v>
      </c>
      <c r="I867"/>
      <c r="N867"/>
      <c r="O867"/>
      <c r="P867" s="1">
        <f t="shared" si="71"/>
        <v>207.87882317073172</v>
      </c>
      <c r="Q867" s="1">
        <f t="shared" si="72"/>
        <v>217.50717886178862</v>
      </c>
      <c r="R867" s="1">
        <f t="shared" si="73"/>
        <v>227.86248597940246</v>
      </c>
      <c r="S867" s="1">
        <f t="shared" si="74"/>
        <v>104.2643893207856</v>
      </c>
    </row>
    <row r="868" spans="1:19" x14ac:dyDescent="0.3">
      <c r="A868">
        <v>16562.599999999999</v>
      </c>
      <c r="B868">
        <v>203.80592300000001</v>
      </c>
      <c r="C868">
        <v>213.27085400000001</v>
      </c>
      <c r="D868">
        <v>222.666809</v>
      </c>
      <c r="E868">
        <v>101.137852</v>
      </c>
      <c r="F868">
        <v>63.130750999999997</v>
      </c>
      <c r="G868">
        <v>29.599957</v>
      </c>
      <c r="H868">
        <v>35.013624</v>
      </c>
      <c r="I868"/>
      <c r="N868"/>
      <c r="O868"/>
      <c r="P868" s="1">
        <f t="shared" si="71"/>
        <v>207.84834857723578</v>
      </c>
      <c r="Q868" s="1">
        <f t="shared" si="72"/>
        <v>217.496706300813</v>
      </c>
      <c r="R868" s="1">
        <f t="shared" si="73"/>
        <v>227.87551238910982</v>
      </c>
      <c r="S868" s="1">
        <f t="shared" si="74"/>
        <v>104.26139218494272</v>
      </c>
    </row>
    <row r="869" spans="1:19" x14ac:dyDescent="0.3">
      <c r="A869">
        <v>16562.8</v>
      </c>
      <c r="B869">
        <v>203.80592300000001</v>
      </c>
      <c r="C869">
        <v>213.27085400000001</v>
      </c>
      <c r="D869">
        <v>222.666809</v>
      </c>
      <c r="E869">
        <v>101.137852</v>
      </c>
      <c r="F869">
        <v>63.130750999999997</v>
      </c>
      <c r="G869">
        <v>29.599957</v>
      </c>
      <c r="H869">
        <v>35.013624</v>
      </c>
      <c r="I869"/>
      <c r="N869"/>
      <c r="O869"/>
      <c r="P869" s="1">
        <f t="shared" si="71"/>
        <v>207.84834857723578</v>
      </c>
      <c r="Q869" s="1">
        <f t="shared" si="72"/>
        <v>217.496706300813</v>
      </c>
      <c r="R869" s="1">
        <f t="shared" si="73"/>
        <v>227.87551238910982</v>
      </c>
      <c r="S869" s="1">
        <f t="shared" si="74"/>
        <v>104.26139218494272</v>
      </c>
    </row>
    <row r="870" spans="1:19" x14ac:dyDescent="0.3">
      <c r="A870">
        <v>16563</v>
      </c>
      <c r="B870">
        <v>203.78768400000001</v>
      </c>
      <c r="C870">
        <v>213.28049799999999</v>
      </c>
      <c r="D870">
        <v>222.669399</v>
      </c>
      <c r="E870">
        <v>101.17468100000001</v>
      </c>
      <c r="F870">
        <v>63.501035999999999</v>
      </c>
      <c r="G870">
        <v>29.592728000000001</v>
      </c>
      <c r="H870">
        <v>35.042230000000004</v>
      </c>
      <c r="I870" t="s">
        <v>56</v>
      </c>
      <c r="N870"/>
      <c r="O870"/>
      <c r="P870" s="1">
        <f t="shared" si="71"/>
        <v>207.87999695121951</v>
      </c>
      <c r="Q870" s="1">
        <f t="shared" si="72"/>
        <v>217.50239939024391</v>
      </c>
      <c r="R870" s="1">
        <f t="shared" si="73"/>
        <v>227.86199551340877</v>
      </c>
      <c r="S870" s="1">
        <f t="shared" si="74"/>
        <v>104.28699979541734</v>
      </c>
    </row>
    <row r="871" spans="1:19" x14ac:dyDescent="0.3">
      <c r="A871">
        <v>16563.2</v>
      </c>
      <c r="B871">
        <v>203.78768400000001</v>
      </c>
      <c r="C871">
        <v>213.28049799999999</v>
      </c>
      <c r="D871">
        <v>222.669399</v>
      </c>
      <c r="E871">
        <v>101.17468100000001</v>
      </c>
      <c r="F871">
        <v>63.501035999999999</v>
      </c>
      <c r="G871">
        <v>29.592728000000001</v>
      </c>
      <c r="H871">
        <v>35.042230000000004</v>
      </c>
      <c r="I871"/>
      <c r="N871"/>
      <c r="O871"/>
      <c r="P871" s="1">
        <f t="shared" si="71"/>
        <v>207.87999695121951</v>
      </c>
      <c r="Q871" s="1">
        <f t="shared" si="72"/>
        <v>217.50239939024391</v>
      </c>
      <c r="R871" s="1">
        <f t="shared" si="73"/>
        <v>227.86199551340877</v>
      </c>
      <c r="S871" s="1">
        <f t="shared" si="74"/>
        <v>104.28699979541734</v>
      </c>
    </row>
    <row r="872" spans="1:19" x14ac:dyDescent="0.3">
      <c r="A872">
        <v>16563.400000000001</v>
      </c>
      <c r="B872">
        <v>203.78320500000001</v>
      </c>
      <c r="C872">
        <v>213.29687300000001</v>
      </c>
      <c r="D872">
        <v>222.682143</v>
      </c>
      <c r="E872">
        <v>101.124544</v>
      </c>
      <c r="F872">
        <v>62.779263</v>
      </c>
      <c r="G872">
        <v>29.594094999999999</v>
      </c>
      <c r="H872">
        <v>35.037975000000003</v>
      </c>
      <c r="I872"/>
      <c r="N872"/>
      <c r="O872"/>
      <c r="P872" s="1">
        <f t="shared" si="71"/>
        <v>207.84051422764227</v>
      </c>
      <c r="Q872" s="1">
        <f t="shared" si="72"/>
        <v>217.49982520325202</v>
      </c>
      <c r="R872" s="1">
        <f t="shared" si="73"/>
        <v>227.86062098501071</v>
      </c>
      <c r="S872" s="1">
        <f t="shared" si="74"/>
        <v>104.3433817512275</v>
      </c>
    </row>
    <row r="873" spans="1:19" x14ac:dyDescent="0.3">
      <c r="A873">
        <v>16563.599999999999</v>
      </c>
      <c r="B873">
        <v>203.78320500000001</v>
      </c>
      <c r="C873">
        <v>213.29687300000001</v>
      </c>
      <c r="D873">
        <v>222.682143</v>
      </c>
      <c r="E873">
        <v>101.124544</v>
      </c>
      <c r="F873">
        <v>62.779263</v>
      </c>
      <c r="G873">
        <v>29.594094999999999</v>
      </c>
      <c r="H873">
        <v>35.037975000000003</v>
      </c>
      <c r="I873"/>
      <c r="N873"/>
      <c r="O873"/>
      <c r="P873" s="1">
        <f t="shared" si="71"/>
        <v>207.84051422764227</v>
      </c>
      <c r="Q873" s="1">
        <f t="shared" si="72"/>
        <v>217.49982520325202</v>
      </c>
      <c r="R873" s="1">
        <f t="shared" si="73"/>
        <v>227.86062098501071</v>
      </c>
      <c r="S873" s="1">
        <f t="shared" si="74"/>
        <v>104.3433817512275</v>
      </c>
    </row>
    <row r="874" spans="1:19" x14ac:dyDescent="0.3">
      <c r="A874">
        <v>16563.8</v>
      </c>
      <c r="B874">
        <v>203.78079199999999</v>
      </c>
      <c r="C874">
        <v>213.269857</v>
      </c>
      <c r="D874">
        <v>222.68741399999999</v>
      </c>
      <c r="E874">
        <v>101.094455</v>
      </c>
      <c r="F874">
        <v>62.174562999999999</v>
      </c>
      <c r="G874">
        <v>29.597778000000002</v>
      </c>
      <c r="H874">
        <v>35.004202999999997</v>
      </c>
      <c r="I874"/>
      <c r="N874"/>
      <c r="O874"/>
      <c r="P874" s="1">
        <f t="shared" si="71"/>
        <v>207.87096138211379</v>
      </c>
      <c r="Q874" s="1">
        <f t="shared" si="72"/>
        <v>217.50193699186991</v>
      </c>
      <c r="R874" s="1">
        <f t="shared" si="73"/>
        <v>227.8648506169063</v>
      </c>
      <c r="S874" s="1">
        <f t="shared" si="74"/>
        <v>104.45856996726677</v>
      </c>
    </row>
    <row r="875" spans="1:19" x14ac:dyDescent="0.3">
      <c r="A875"/>
      <c r="B875"/>
      <c r="C875"/>
      <c r="D875"/>
      <c r="E875"/>
      <c r="F875"/>
      <c r="G875"/>
      <c r="H875"/>
      <c r="I875"/>
      <c r="N875"/>
      <c r="O875"/>
      <c r="P875" s="1">
        <f t="shared" si="71"/>
        <v>207.87096138211379</v>
      </c>
      <c r="Q875" s="1">
        <f t="shared" si="72"/>
        <v>217.50193699186991</v>
      </c>
      <c r="R875" s="1">
        <f t="shared" si="73"/>
        <v>227.8648506169063</v>
      </c>
      <c r="S875" s="1">
        <f t="shared" si="74"/>
        <v>104.45856996726677</v>
      </c>
    </row>
    <row r="876" spans="1:19" x14ac:dyDescent="0.3">
      <c r="A876"/>
      <c r="B876"/>
      <c r="C876"/>
      <c r="D876"/>
      <c r="E876"/>
      <c r="F876"/>
      <c r="G876"/>
      <c r="H876"/>
      <c r="I876"/>
      <c r="N876"/>
      <c r="O876"/>
      <c r="P876" s="1">
        <f t="shared" ref="P876:P924" si="75">(B858+Q$36)/P$36</f>
        <v>207.88169105691054</v>
      </c>
      <c r="Q876" s="1">
        <f t="shared" ref="Q876:Q924" si="76">(C858+Q$36)/P$36</f>
        <v>217.5050457317073</v>
      </c>
      <c r="R876" s="1">
        <f t="shared" ref="R876:R924" si="77">(D858+Q$38)/P$38</f>
        <v>227.85965534822068</v>
      </c>
      <c r="S876" s="1">
        <f t="shared" ref="S876:S924" si="78">(E858+Q$39)/P$39</f>
        <v>104.54887070376432</v>
      </c>
    </row>
    <row r="877" spans="1:19" x14ac:dyDescent="0.3">
      <c r="A877"/>
      <c r="B877"/>
      <c r="C877"/>
      <c r="D877"/>
      <c r="E877"/>
      <c r="F877"/>
      <c r="G877"/>
      <c r="H877"/>
      <c r="I877"/>
      <c r="N877"/>
      <c r="O877"/>
      <c r="P877" s="1">
        <f t="shared" si="75"/>
        <v>207.88169105691054</v>
      </c>
      <c r="Q877" s="1">
        <f t="shared" si="76"/>
        <v>217.5050457317073</v>
      </c>
      <c r="R877" s="1">
        <f t="shared" si="77"/>
        <v>227.85965534822068</v>
      </c>
      <c r="S877" s="1">
        <f t="shared" si="78"/>
        <v>104.54887070376432</v>
      </c>
    </row>
    <row r="878" spans="1:19" x14ac:dyDescent="0.3">
      <c r="A878"/>
      <c r="B878"/>
      <c r="C878"/>
      <c r="D878"/>
      <c r="E878"/>
      <c r="F878"/>
      <c r="G878"/>
      <c r="H878"/>
      <c r="I878"/>
      <c r="N878"/>
      <c r="O878"/>
      <c r="P878" s="1">
        <f t="shared" si="75"/>
        <v>207.85286483739839</v>
      </c>
      <c r="Q878" s="1">
        <f t="shared" si="76"/>
        <v>217.49455487804877</v>
      </c>
      <c r="R878" s="1">
        <f t="shared" si="77"/>
        <v>227.87266340369126</v>
      </c>
      <c r="S878" s="1">
        <f t="shared" si="78"/>
        <v>104.50729234860884</v>
      </c>
    </row>
    <row r="879" spans="1:19" x14ac:dyDescent="0.3">
      <c r="A879"/>
      <c r="B879"/>
      <c r="C879"/>
      <c r="D879"/>
      <c r="E879"/>
      <c r="F879"/>
      <c r="G879"/>
      <c r="H879"/>
      <c r="I879"/>
      <c r="N879"/>
      <c r="O879"/>
      <c r="P879" s="1">
        <f t="shared" si="75"/>
        <v>207.85286483739839</v>
      </c>
      <c r="Q879" s="1">
        <f t="shared" si="76"/>
        <v>217.49455487804877</v>
      </c>
      <c r="R879" s="1">
        <f t="shared" si="77"/>
        <v>227.87266340369126</v>
      </c>
      <c r="S879" s="1">
        <f t="shared" si="78"/>
        <v>104.50729234860884</v>
      </c>
    </row>
    <row r="880" spans="1:19" x14ac:dyDescent="0.3">
      <c r="A880"/>
      <c r="B880"/>
      <c r="C880"/>
      <c r="D880"/>
      <c r="E880"/>
      <c r="F880"/>
      <c r="G880"/>
      <c r="H880"/>
      <c r="I880"/>
      <c r="N880"/>
      <c r="O880"/>
      <c r="P880" s="1">
        <f t="shared" si="75"/>
        <v>207.85951016260159</v>
      </c>
      <c r="Q880" s="1">
        <f t="shared" si="76"/>
        <v>217.50739126016259</v>
      </c>
      <c r="R880" s="1">
        <f t="shared" si="77"/>
        <v>227.88968797797492</v>
      </c>
      <c r="S880" s="1">
        <f t="shared" si="78"/>
        <v>104.36157017184942</v>
      </c>
    </row>
    <row r="881" spans="1:19" x14ac:dyDescent="0.3">
      <c r="A881"/>
      <c r="B881"/>
      <c r="C881"/>
      <c r="D881"/>
      <c r="E881"/>
      <c r="F881"/>
      <c r="G881"/>
      <c r="H881"/>
      <c r="I881"/>
      <c r="N881"/>
      <c r="O881"/>
      <c r="P881" s="1">
        <f t="shared" si="75"/>
        <v>207.85951016260159</v>
      </c>
      <c r="Q881" s="1">
        <f t="shared" si="76"/>
        <v>217.50739126016259</v>
      </c>
      <c r="R881" s="1">
        <f t="shared" si="77"/>
        <v>227.88968797797492</v>
      </c>
      <c r="S881" s="1">
        <f t="shared" si="78"/>
        <v>104.36157017184942</v>
      </c>
    </row>
    <row r="882" spans="1:19" x14ac:dyDescent="0.3">
      <c r="A882"/>
      <c r="B882"/>
      <c r="C882"/>
      <c r="D882"/>
      <c r="E882"/>
      <c r="F882"/>
      <c r="G882"/>
      <c r="H882"/>
      <c r="I882"/>
      <c r="N882"/>
      <c r="O882"/>
      <c r="P882" s="1">
        <f t="shared" si="75"/>
        <v>207.8850294715447</v>
      </c>
      <c r="Q882" s="1">
        <f t="shared" si="76"/>
        <v>217.50409857723577</v>
      </c>
      <c r="R882" s="1">
        <f t="shared" si="77"/>
        <v>227.87694299989806</v>
      </c>
      <c r="S882" s="1">
        <f t="shared" si="78"/>
        <v>104.49022299509001</v>
      </c>
    </row>
    <row r="883" spans="1:19" x14ac:dyDescent="0.3">
      <c r="A883"/>
      <c r="B883"/>
      <c r="C883"/>
      <c r="D883"/>
      <c r="E883"/>
      <c r="F883"/>
      <c r="G883"/>
      <c r="H883"/>
      <c r="I883"/>
      <c r="N883"/>
      <c r="O883"/>
      <c r="P883" s="1">
        <f t="shared" si="75"/>
        <v>207.8850294715447</v>
      </c>
      <c r="Q883" s="1">
        <f t="shared" si="76"/>
        <v>217.50409857723577</v>
      </c>
      <c r="R883" s="1">
        <f t="shared" si="77"/>
        <v>227.87694299989806</v>
      </c>
      <c r="S883" s="1">
        <f t="shared" si="78"/>
        <v>104.49022299509001</v>
      </c>
    </row>
    <row r="884" spans="1:19" x14ac:dyDescent="0.3">
      <c r="A884"/>
      <c r="B884"/>
      <c r="C884"/>
      <c r="D884"/>
      <c r="E884"/>
      <c r="F884"/>
      <c r="G884"/>
      <c r="H884"/>
      <c r="I884"/>
      <c r="N884"/>
      <c r="O884"/>
      <c r="P884" s="1">
        <f t="shared" si="75"/>
        <v>207.88674999999998</v>
      </c>
      <c r="Q884" s="1">
        <f t="shared" si="76"/>
        <v>217.52463109756096</v>
      </c>
      <c r="R884" s="1">
        <f t="shared" si="77"/>
        <v>227.86421229733867</v>
      </c>
      <c r="S884" s="1">
        <f t="shared" si="78"/>
        <v>104.40091448445172</v>
      </c>
    </row>
    <row r="885" spans="1:19" x14ac:dyDescent="0.3">
      <c r="A885"/>
      <c r="B885"/>
      <c r="C885"/>
      <c r="D885"/>
      <c r="E885"/>
      <c r="F885"/>
      <c r="G885"/>
      <c r="H885"/>
      <c r="I885"/>
      <c r="N885"/>
      <c r="O885"/>
      <c r="P885" s="1">
        <f t="shared" si="75"/>
        <v>207.88674999999998</v>
      </c>
      <c r="Q885" s="1">
        <f t="shared" si="76"/>
        <v>217.52463109756096</v>
      </c>
      <c r="R885" s="1">
        <f t="shared" si="77"/>
        <v>227.86421229733867</v>
      </c>
      <c r="S885" s="1">
        <f t="shared" si="78"/>
        <v>104.40091448445172</v>
      </c>
    </row>
    <row r="886" spans="1:19" x14ac:dyDescent="0.3">
      <c r="A886"/>
      <c r="B886"/>
      <c r="C886"/>
      <c r="D886"/>
      <c r="E886"/>
      <c r="F886"/>
      <c r="G886"/>
      <c r="H886"/>
      <c r="I886"/>
      <c r="N886"/>
      <c r="O886"/>
      <c r="P886" s="1">
        <f t="shared" si="75"/>
        <v>207.91912906504064</v>
      </c>
      <c r="Q886" s="1">
        <f t="shared" si="76"/>
        <v>217.53796138211382</v>
      </c>
      <c r="R886" s="1">
        <f t="shared" si="77"/>
        <v>227.87509839910268</v>
      </c>
      <c r="S886" s="1">
        <f t="shared" si="78"/>
        <v>104.40021685761047</v>
      </c>
    </row>
    <row r="887" spans="1:19" x14ac:dyDescent="0.3">
      <c r="A887"/>
      <c r="B887"/>
      <c r="C887"/>
      <c r="D887"/>
      <c r="E887"/>
      <c r="F887"/>
      <c r="G887"/>
      <c r="H887"/>
      <c r="I887"/>
      <c r="N887"/>
      <c r="O887"/>
      <c r="P887" s="1">
        <f t="shared" si="75"/>
        <v>207.91912906504064</v>
      </c>
      <c r="Q887" s="1">
        <f t="shared" si="76"/>
        <v>217.53796138211382</v>
      </c>
      <c r="R887" s="1">
        <f t="shared" si="77"/>
        <v>227.87509839910268</v>
      </c>
      <c r="S887" s="1">
        <f t="shared" si="78"/>
        <v>104.40021685761047</v>
      </c>
    </row>
    <row r="888" spans="1:19" x14ac:dyDescent="0.3">
      <c r="A888"/>
      <c r="B888"/>
      <c r="C888"/>
      <c r="D888"/>
      <c r="E888"/>
      <c r="F888"/>
      <c r="G888"/>
      <c r="H888"/>
      <c r="I888"/>
      <c r="N888"/>
      <c r="O888"/>
      <c r="P888" s="1">
        <f t="shared" si="75"/>
        <v>207.90059349593497</v>
      </c>
      <c r="Q888" s="1">
        <f t="shared" si="76"/>
        <v>217.54776219512195</v>
      </c>
      <c r="R888" s="1">
        <f t="shared" si="77"/>
        <v>227.87773936983788</v>
      </c>
      <c r="S888" s="1">
        <f t="shared" si="78"/>
        <v>104.43788972995091</v>
      </c>
    </row>
    <row r="889" spans="1:19" x14ac:dyDescent="0.3">
      <c r="A889"/>
      <c r="B889"/>
      <c r="C889"/>
      <c r="D889"/>
      <c r="E889"/>
      <c r="F889"/>
      <c r="G889"/>
      <c r="H889"/>
      <c r="I889"/>
      <c r="N889"/>
      <c r="O889"/>
      <c r="P889" s="1">
        <f t="shared" si="75"/>
        <v>207.90059349593497</v>
      </c>
      <c r="Q889" s="1">
        <f t="shared" si="76"/>
        <v>217.54776219512195</v>
      </c>
      <c r="R889" s="1">
        <f t="shared" si="77"/>
        <v>227.87773936983788</v>
      </c>
      <c r="S889" s="1">
        <f t="shared" si="78"/>
        <v>104.43788972995091</v>
      </c>
    </row>
    <row r="890" spans="1:19" x14ac:dyDescent="0.3">
      <c r="A890"/>
      <c r="B890"/>
      <c r="C890"/>
      <c r="D890"/>
      <c r="E890"/>
      <c r="F890"/>
      <c r="G890"/>
      <c r="H890"/>
      <c r="I890"/>
      <c r="N890"/>
      <c r="O890"/>
      <c r="P890" s="1">
        <f t="shared" si="75"/>
        <v>207.89604166666666</v>
      </c>
      <c r="Q890" s="1">
        <f t="shared" si="76"/>
        <v>217.56440345528455</v>
      </c>
      <c r="R890" s="1">
        <f t="shared" si="77"/>
        <v>227.89073416947079</v>
      </c>
      <c r="S890" s="1">
        <f t="shared" si="78"/>
        <v>104.38660392798691</v>
      </c>
    </row>
    <row r="891" spans="1:19" x14ac:dyDescent="0.3">
      <c r="A891"/>
      <c r="B891"/>
      <c r="C891"/>
      <c r="D891"/>
      <c r="E891"/>
      <c r="F891"/>
      <c r="G891"/>
      <c r="H891"/>
      <c r="I891"/>
      <c r="N891"/>
      <c r="O891"/>
      <c r="P891" s="1">
        <f t="shared" si="75"/>
        <v>207.89604166666666</v>
      </c>
      <c r="Q891" s="1">
        <f t="shared" si="76"/>
        <v>217.56440345528455</v>
      </c>
      <c r="R891" s="1">
        <f t="shared" si="77"/>
        <v>227.89073416947079</v>
      </c>
      <c r="S891" s="1">
        <f t="shared" si="78"/>
        <v>104.38660392798691</v>
      </c>
    </row>
    <row r="892" spans="1:19" x14ac:dyDescent="0.3">
      <c r="A892"/>
      <c r="B892"/>
      <c r="C892"/>
      <c r="D892"/>
      <c r="E892"/>
      <c r="F892"/>
      <c r="G892"/>
      <c r="H892"/>
      <c r="I892"/>
      <c r="N892"/>
      <c r="O892"/>
      <c r="P892" s="1">
        <f t="shared" si="75"/>
        <v>207.89358943089428</v>
      </c>
      <c r="Q892" s="1">
        <f t="shared" si="76"/>
        <v>217.5369481707317</v>
      </c>
      <c r="R892" s="1">
        <f t="shared" si="77"/>
        <v>227.89610890180484</v>
      </c>
      <c r="S892" s="1">
        <f t="shared" si="78"/>
        <v>104.35582549099836</v>
      </c>
    </row>
    <row r="893" spans="1:19" x14ac:dyDescent="0.3">
      <c r="A893"/>
      <c r="B893"/>
      <c r="C893"/>
      <c r="D893"/>
      <c r="E893"/>
      <c r="F893"/>
      <c r="G893"/>
      <c r="H893"/>
      <c r="I893"/>
      <c r="N893"/>
      <c r="P893" s="1">
        <f t="shared" si="75"/>
        <v>0.79928861788617889</v>
      </c>
      <c r="Q893" s="1">
        <f t="shared" si="76"/>
        <v>0.79928861788617889</v>
      </c>
      <c r="R893" s="1">
        <f t="shared" si="77"/>
        <v>0.82624655858060569</v>
      </c>
      <c r="S893" s="1">
        <f t="shared" si="78"/>
        <v>0.94496726677577736</v>
      </c>
    </row>
    <row r="894" spans="1:19" x14ac:dyDescent="0.3">
      <c r="A894"/>
      <c r="B894"/>
      <c r="C894"/>
      <c r="D894"/>
      <c r="E894"/>
      <c r="F894"/>
      <c r="G894"/>
      <c r="H894"/>
      <c r="I894"/>
      <c r="N894"/>
      <c r="O894" s="26"/>
      <c r="P894" s="1">
        <f t="shared" si="75"/>
        <v>0.79928861788617889</v>
      </c>
      <c r="Q894" s="1">
        <f t="shared" si="76"/>
        <v>0.79928861788617889</v>
      </c>
      <c r="R894" s="1">
        <f t="shared" si="77"/>
        <v>0.82624655858060569</v>
      </c>
      <c r="S894" s="1">
        <f t="shared" si="78"/>
        <v>0.94496726677577736</v>
      </c>
    </row>
    <row r="895" spans="1:19" x14ac:dyDescent="0.3">
      <c r="A895"/>
      <c r="B895"/>
      <c r="C895"/>
      <c r="D895"/>
      <c r="E895"/>
      <c r="F895"/>
      <c r="G895"/>
      <c r="H895"/>
      <c r="I895"/>
      <c r="N895"/>
      <c r="O895" s="26"/>
      <c r="P895" s="1">
        <f t="shared" si="75"/>
        <v>0.79928861788617889</v>
      </c>
      <c r="Q895" s="1">
        <f t="shared" si="76"/>
        <v>0.79928861788617889</v>
      </c>
      <c r="R895" s="1">
        <f t="shared" si="77"/>
        <v>0.82624655858060569</v>
      </c>
      <c r="S895" s="1">
        <f t="shared" si="78"/>
        <v>0.94496726677577736</v>
      </c>
    </row>
    <row r="896" spans="1:19" x14ac:dyDescent="0.3">
      <c r="A896"/>
      <c r="B896"/>
      <c r="C896"/>
      <c r="D896"/>
      <c r="E896"/>
      <c r="F896"/>
      <c r="G896"/>
      <c r="H896"/>
      <c r="I896"/>
      <c r="N896"/>
      <c r="O896" s="26"/>
      <c r="P896" s="1">
        <f t="shared" si="75"/>
        <v>0.79928861788617889</v>
      </c>
      <c r="Q896" s="1">
        <f t="shared" si="76"/>
        <v>0.79928861788617889</v>
      </c>
      <c r="R896" s="1">
        <f t="shared" si="77"/>
        <v>0.82624655858060569</v>
      </c>
      <c r="S896" s="1">
        <f t="shared" si="78"/>
        <v>0.94496726677577736</v>
      </c>
    </row>
    <row r="897" spans="1:19" x14ac:dyDescent="0.3">
      <c r="A897"/>
      <c r="B897"/>
      <c r="C897"/>
      <c r="D897"/>
      <c r="E897"/>
      <c r="F897"/>
      <c r="G897"/>
      <c r="H897"/>
      <c r="I897"/>
      <c r="N897"/>
      <c r="O897" s="26"/>
      <c r="P897" s="1">
        <f t="shared" si="75"/>
        <v>0.79928861788617889</v>
      </c>
      <c r="Q897" s="1">
        <f t="shared" si="76"/>
        <v>0.79928861788617889</v>
      </c>
      <c r="R897" s="1">
        <f t="shared" si="77"/>
        <v>0.82624655858060569</v>
      </c>
      <c r="S897" s="1">
        <f t="shared" si="78"/>
        <v>0.94496726677577736</v>
      </c>
    </row>
    <row r="898" spans="1:19" x14ac:dyDescent="0.3">
      <c r="A898"/>
      <c r="B898"/>
      <c r="C898"/>
      <c r="D898"/>
      <c r="E898"/>
      <c r="F898"/>
      <c r="G898"/>
      <c r="H898"/>
      <c r="I898"/>
      <c r="N898"/>
      <c r="O898"/>
      <c r="P898" s="1">
        <f t="shared" si="75"/>
        <v>0.79928861788617889</v>
      </c>
      <c r="Q898" s="1">
        <f t="shared" si="76"/>
        <v>0.79928861788617889</v>
      </c>
      <c r="R898" s="1">
        <f t="shared" si="77"/>
        <v>0.82624655858060569</v>
      </c>
      <c r="S898" s="1">
        <f t="shared" si="78"/>
        <v>0.94496726677577736</v>
      </c>
    </row>
    <row r="899" spans="1:19" x14ac:dyDescent="0.3">
      <c r="A899"/>
      <c r="B899"/>
      <c r="C899"/>
      <c r="D899"/>
      <c r="E899"/>
      <c r="F899"/>
      <c r="G899"/>
      <c r="H899"/>
      <c r="I899"/>
      <c r="N899"/>
      <c r="O899"/>
      <c r="P899" s="1">
        <f t="shared" si="75"/>
        <v>0.79928861788617889</v>
      </c>
      <c r="Q899" s="1">
        <f t="shared" si="76"/>
        <v>0.79928861788617889</v>
      </c>
      <c r="R899" s="1">
        <f t="shared" si="77"/>
        <v>0.82624655858060569</v>
      </c>
      <c r="S899" s="1">
        <f t="shared" si="78"/>
        <v>0.94496726677577736</v>
      </c>
    </row>
    <row r="900" spans="1:19" x14ac:dyDescent="0.3">
      <c r="A900"/>
      <c r="B900"/>
      <c r="C900"/>
      <c r="D900"/>
      <c r="E900"/>
      <c r="F900"/>
      <c r="G900"/>
      <c r="H900"/>
      <c r="I900"/>
      <c r="N900"/>
      <c r="O900"/>
      <c r="P900" s="1">
        <f t="shared" si="75"/>
        <v>0.79928861788617889</v>
      </c>
      <c r="Q900" s="1">
        <f t="shared" si="76"/>
        <v>0.79928861788617889</v>
      </c>
      <c r="R900" s="1">
        <f t="shared" si="77"/>
        <v>0.82624655858060569</v>
      </c>
      <c r="S900" s="1">
        <f t="shared" si="78"/>
        <v>0.94496726677577736</v>
      </c>
    </row>
    <row r="901" spans="1:19" x14ac:dyDescent="0.3">
      <c r="A901"/>
      <c r="B901"/>
      <c r="C901"/>
      <c r="D901"/>
      <c r="E901"/>
      <c r="F901"/>
      <c r="G901"/>
      <c r="H901"/>
      <c r="I901"/>
      <c r="N901"/>
      <c r="O901"/>
      <c r="P901" s="1">
        <f t="shared" si="75"/>
        <v>0.79928861788617889</v>
      </c>
      <c r="Q901" s="1">
        <f t="shared" si="76"/>
        <v>0.79928861788617889</v>
      </c>
      <c r="R901" s="1">
        <f t="shared" si="77"/>
        <v>0.82624655858060569</v>
      </c>
      <c r="S901" s="1">
        <f t="shared" si="78"/>
        <v>0.94496726677577736</v>
      </c>
    </row>
    <row r="902" spans="1:19" x14ac:dyDescent="0.3">
      <c r="A902"/>
      <c r="B902"/>
      <c r="C902"/>
      <c r="D902"/>
      <c r="E902"/>
      <c r="F902"/>
      <c r="G902"/>
      <c r="H902"/>
      <c r="I902"/>
      <c r="N902"/>
      <c r="O902"/>
      <c r="P902" s="1">
        <f t="shared" si="75"/>
        <v>0.79928861788617889</v>
      </c>
      <c r="Q902" s="1">
        <f t="shared" si="76"/>
        <v>0.79928861788617889</v>
      </c>
      <c r="R902" s="1">
        <f t="shared" si="77"/>
        <v>0.82624655858060569</v>
      </c>
      <c r="S902" s="1">
        <f t="shared" si="78"/>
        <v>0.94496726677577736</v>
      </c>
    </row>
    <row r="903" spans="1:19" x14ac:dyDescent="0.3">
      <c r="A903"/>
      <c r="B903"/>
      <c r="C903"/>
      <c r="D903"/>
      <c r="E903"/>
      <c r="F903"/>
      <c r="G903"/>
      <c r="H903"/>
      <c r="I903"/>
      <c r="N903"/>
      <c r="O903"/>
      <c r="P903" s="1">
        <f t="shared" si="75"/>
        <v>0.79928861788617889</v>
      </c>
      <c r="Q903" s="1">
        <f t="shared" si="76"/>
        <v>0.79928861788617889</v>
      </c>
      <c r="R903" s="1">
        <f t="shared" si="77"/>
        <v>0.82624655858060569</v>
      </c>
      <c r="S903" s="1">
        <f t="shared" si="78"/>
        <v>0.94496726677577736</v>
      </c>
    </row>
    <row r="904" spans="1:19" x14ac:dyDescent="0.3">
      <c r="A904"/>
      <c r="B904"/>
      <c r="C904"/>
      <c r="D904"/>
      <c r="E904"/>
      <c r="F904"/>
      <c r="G904"/>
      <c r="H904"/>
      <c r="I904"/>
      <c r="N904"/>
      <c r="O904"/>
      <c r="P904" s="1">
        <f t="shared" si="75"/>
        <v>0.79928861788617889</v>
      </c>
      <c r="Q904" s="1">
        <f t="shared" si="76"/>
        <v>0.79928861788617889</v>
      </c>
      <c r="R904" s="1">
        <f t="shared" si="77"/>
        <v>0.82624655858060569</v>
      </c>
      <c r="S904" s="1">
        <f t="shared" si="78"/>
        <v>0.94496726677577736</v>
      </c>
    </row>
    <row r="905" spans="1:19" x14ac:dyDescent="0.3">
      <c r="A905"/>
      <c r="B905"/>
      <c r="C905"/>
      <c r="D905"/>
      <c r="E905"/>
      <c r="F905"/>
      <c r="G905"/>
      <c r="H905"/>
      <c r="I905"/>
      <c r="N905"/>
      <c r="O905"/>
      <c r="P905" s="1">
        <f t="shared" si="75"/>
        <v>0.79928861788617889</v>
      </c>
      <c r="Q905" s="1">
        <f t="shared" si="76"/>
        <v>0.79928861788617889</v>
      </c>
      <c r="R905" s="1">
        <f t="shared" si="77"/>
        <v>0.82624655858060569</v>
      </c>
      <c r="S905" s="1">
        <f t="shared" si="78"/>
        <v>0.94496726677577736</v>
      </c>
    </row>
    <row r="906" spans="1:19" x14ac:dyDescent="0.3">
      <c r="A906"/>
      <c r="B906"/>
      <c r="C906"/>
      <c r="D906"/>
      <c r="E906"/>
      <c r="F906"/>
      <c r="G906"/>
      <c r="H906"/>
      <c r="I906"/>
      <c r="N906"/>
      <c r="O906"/>
      <c r="P906" s="1">
        <f t="shared" si="75"/>
        <v>0.79928861788617889</v>
      </c>
      <c r="Q906" s="1">
        <f t="shared" si="76"/>
        <v>0.79928861788617889</v>
      </c>
      <c r="R906" s="1">
        <f t="shared" si="77"/>
        <v>0.82624655858060569</v>
      </c>
      <c r="S906" s="1">
        <f t="shared" si="78"/>
        <v>0.94496726677577736</v>
      </c>
    </row>
    <row r="907" spans="1:19" x14ac:dyDescent="0.3">
      <c r="A907"/>
      <c r="B907"/>
      <c r="C907"/>
      <c r="D907"/>
      <c r="E907"/>
      <c r="F907"/>
      <c r="G907"/>
      <c r="H907"/>
      <c r="I907"/>
      <c r="N907"/>
      <c r="O907"/>
      <c r="P907" s="1">
        <f t="shared" si="75"/>
        <v>0.79928861788617889</v>
      </c>
      <c r="Q907" s="1">
        <f t="shared" si="76"/>
        <v>0.79928861788617889</v>
      </c>
      <c r="R907" s="1">
        <f t="shared" si="77"/>
        <v>0.82624655858060569</v>
      </c>
      <c r="S907" s="1">
        <f t="shared" si="78"/>
        <v>0.94496726677577736</v>
      </c>
    </row>
    <row r="908" spans="1:19" x14ac:dyDescent="0.3">
      <c r="A908"/>
      <c r="B908"/>
      <c r="C908"/>
      <c r="D908"/>
      <c r="E908"/>
      <c r="F908"/>
      <c r="G908"/>
      <c r="H908"/>
      <c r="I908"/>
      <c r="N908"/>
      <c r="O908"/>
      <c r="P908" s="1">
        <f t="shared" si="75"/>
        <v>0.79928861788617889</v>
      </c>
      <c r="Q908" s="1">
        <f t="shared" si="76"/>
        <v>0.79928861788617889</v>
      </c>
      <c r="R908" s="1">
        <f t="shared" si="77"/>
        <v>0.82624655858060569</v>
      </c>
      <c r="S908" s="1">
        <f t="shared" si="78"/>
        <v>0.94496726677577736</v>
      </c>
    </row>
    <row r="909" spans="1:19" x14ac:dyDescent="0.3">
      <c r="A909"/>
      <c r="B909"/>
      <c r="C909"/>
      <c r="D909"/>
      <c r="E909"/>
      <c r="F909"/>
      <c r="G909"/>
      <c r="H909"/>
      <c r="I909"/>
      <c r="N909"/>
      <c r="O909"/>
      <c r="P909" s="1">
        <f t="shared" si="75"/>
        <v>0.79928861788617889</v>
      </c>
      <c r="Q909" s="1">
        <f t="shared" si="76"/>
        <v>0.79928861788617889</v>
      </c>
      <c r="R909" s="1">
        <f t="shared" si="77"/>
        <v>0.82624655858060569</v>
      </c>
      <c r="S909" s="1">
        <f t="shared" si="78"/>
        <v>0.94496726677577736</v>
      </c>
    </row>
    <row r="910" spans="1:19" x14ac:dyDescent="0.3">
      <c r="A910"/>
      <c r="B910"/>
      <c r="C910"/>
      <c r="D910"/>
      <c r="E910"/>
      <c r="F910"/>
      <c r="G910"/>
      <c r="H910"/>
      <c r="I910"/>
      <c r="N910"/>
      <c r="O910"/>
      <c r="P910" s="1">
        <f t="shared" si="75"/>
        <v>0.79928861788617889</v>
      </c>
      <c r="Q910" s="1">
        <f t="shared" si="76"/>
        <v>0.79928861788617889</v>
      </c>
      <c r="R910" s="1">
        <f t="shared" si="77"/>
        <v>0.82624655858060569</v>
      </c>
      <c r="S910" s="1">
        <f t="shared" si="78"/>
        <v>0.94496726677577736</v>
      </c>
    </row>
    <row r="911" spans="1:19" x14ac:dyDescent="0.3">
      <c r="A911"/>
      <c r="B911"/>
      <c r="C911"/>
      <c r="D911"/>
      <c r="E911"/>
      <c r="F911"/>
      <c r="G911"/>
      <c r="H911"/>
      <c r="I911"/>
      <c r="N911"/>
      <c r="O911"/>
      <c r="P911" s="1">
        <f t="shared" si="75"/>
        <v>0.79928861788617889</v>
      </c>
      <c r="Q911" s="1">
        <f t="shared" si="76"/>
        <v>0.79928861788617889</v>
      </c>
      <c r="R911" s="1">
        <f t="shared" si="77"/>
        <v>0.82624655858060569</v>
      </c>
      <c r="S911" s="1">
        <f t="shared" si="78"/>
        <v>0.94496726677577736</v>
      </c>
    </row>
    <row r="912" spans="1:19" x14ac:dyDescent="0.3">
      <c r="A912"/>
      <c r="B912"/>
      <c r="C912"/>
      <c r="D912"/>
      <c r="E912"/>
      <c r="F912"/>
      <c r="G912"/>
      <c r="H912"/>
      <c r="I912"/>
      <c r="N912"/>
      <c r="O912"/>
      <c r="P912" s="1">
        <f t="shared" si="75"/>
        <v>0.79928861788617889</v>
      </c>
      <c r="Q912" s="1">
        <f t="shared" si="76"/>
        <v>0.79928861788617889</v>
      </c>
      <c r="R912" s="1">
        <f t="shared" si="77"/>
        <v>0.82624655858060569</v>
      </c>
      <c r="S912" s="1">
        <f t="shared" si="78"/>
        <v>0.94496726677577736</v>
      </c>
    </row>
    <row r="913" spans="1:19" x14ac:dyDescent="0.3">
      <c r="A913"/>
      <c r="B913"/>
      <c r="C913"/>
      <c r="D913"/>
      <c r="E913"/>
      <c r="F913"/>
      <c r="G913"/>
      <c r="H913"/>
      <c r="I913"/>
      <c r="N913"/>
      <c r="O913"/>
      <c r="P913" s="1">
        <f t="shared" si="75"/>
        <v>0.79928861788617889</v>
      </c>
      <c r="Q913" s="1">
        <f t="shared" si="76"/>
        <v>0.79928861788617889</v>
      </c>
      <c r="R913" s="1">
        <f t="shared" si="77"/>
        <v>0.82624655858060569</v>
      </c>
      <c r="S913" s="1">
        <f t="shared" si="78"/>
        <v>0.94496726677577736</v>
      </c>
    </row>
    <row r="914" spans="1:19" x14ac:dyDescent="0.3">
      <c r="A914"/>
      <c r="B914"/>
      <c r="C914"/>
      <c r="D914"/>
      <c r="E914"/>
      <c r="F914"/>
      <c r="G914"/>
      <c r="H914"/>
      <c r="I914"/>
      <c r="N914"/>
      <c r="O914"/>
      <c r="P914" s="1">
        <f t="shared" si="75"/>
        <v>0.79928861788617889</v>
      </c>
      <c r="Q914" s="1">
        <f t="shared" si="76"/>
        <v>0.79928861788617889</v>
      </c>
      <c r="R914" s="1">
        <f t="shared" si="77"/>
        <v>0.82624655858060569</v>
      </c>
      <c r="S914" s="1">
        <f t="shared" si="78"/>
        <v>0.94496726677577736</v>
      </c>
    </row>
    <row r="915" spans="1:19" x14ac:dyDescent="0.3">
      <c r="A915"/>
      <c r="B915"/>
      <c r="C915"/>
      <c r="D915"/>
      <c r="E915"/>
      <c r="F915"/>
      <c r="G915"/>
      <c r="H915"/>
      <c r="I915"/>
      <c r="N915"/>
      <c r="O915"/>
      <c r="P915" s="1">
        <f t="shared" si="75"/>
        <v>0.79928861788617889</v>
      </c>
      <c r="Q915" s="1">
        <f t="shared" si="76"/>
        <v>0.79928861788617889</v>
      </c>
      <c r="R915" s="1">
        <f t="shared" si="77"/>
        <v>0.82624655858060569</v>
      </c>
      <c r="S915" s="1">
        <f t="shared" si="78"/>
        <v>0.94496726677577736</v>
      </c>
    </row>
    <row r="916" spans="1:19" x14ac:dyDescent="0.3">
      <c r="A916"/>
      <c r="B916"/>
      <c r="C916"/>
      <c r="D916"/>
      <c r="E916"/>
      <c r="F916"/>
      <c r="G916"/>
      <c r="H916"/>
      <c r="I916"/>
      <c r="N916"/>
      <c r="O916"/>
      <c r="P916" s="1">
        <f t="shared" si="75"/>
        <v>0.79928861788617889</v>
      </c>
      <c r="Q916" s="1">
        <f t="shared" si="76"/>
        <v>0.79928861788617889</v>
      </c>
      <c r="R916" s="1">
        <f t="shared" si="77"/>
        <v>0.82624655858060569</v>
      </c>
      <c r="S916" s="1">
        <f t="shared" si="78"/>
        <v>0.94496726677577736</v>
      </c>
    </row>
    <row r="917" spans="1:19" x14ac:dyDescent="0.3">
      <c r="A917"/>
      <c r="B917"/>
      <c r="C917"/>
      <c r="D917"/>
      <c r="E917"/>
      <c r="F917"/>
      <c r="G917"/>
      <c r="H917"/>
      <c r="I917"/>
      <c r="N917"/>
      <c r="O917"/>
      <c r="P917" s="1">
        <f t="shared" si="75"/>
        <v>0.79928861788617889</v>
      </c>
      <c r="Q917" s="1">
        <f t="shared" si="76"/>
        <v>0.79928861788617889</v>
      </c>
      <c r="R917" s="1">
        <f t="shared" si="77"/>
        <v>0.82624655858060569</v>
      </c>
      <c r="S917" s="1">
        <f t="shared" si="78"/>
        <v>0.94496726677577736</v>
      </c>
    </row>
    <row r="918" spans="1:19" x14ac:dyDescent="0.3">
      <c r="A918"/>
      <c r="B918"/>
      <c r="C918"/>
      <c r="D918"/>
      <c r="E918"/>
      <c r="F918"/>
      <c r="G918"/>
      <c r="H918"/>
      <c r="I918"/>
      <c r="N918"/>
      <c r="O918"/>
      <c r="P918" s="1">
        <f t="shared" si="75"/>
        <v>0.79928861788617889</v>
      </c>
      <c r="Q918" s="1">
        <f t="shared" si="76"/>
        <v>0.79928861788617889</v>
      </c>
      <c r="R918" s="1">
        <f t="shared" si="77"/>
        <v>0.82624655858060569</v>
      </c>
      <c r="S918" s="1">
        <f t="shared" si="78"/>
        <v>0.94496726677577736</v>
      </c>
    </row>
    <row r="919" spans="1:19" x14ac:dyDescent="0.3">
      <c r="A919"/>
      <c r="B919"/>
      <c r="C919"/>
      <c r="D919"/>
      <c r="E919"/>
      <c r="F919"/>
      <c r="G919"/>
      <c r="H919"/>
      <c r="I919"/>
      <c r="N919"/>
      <c r="O919"/>
      <c r="P919" s="1">
        <f t="shared" si="75"/>
        <v>0.79928861788617889</v>
      </c>
      <c r="Q919" s="1">
        <f t="shared" si="76"/>
        <v>0.79928861788617889</v>
      </c>
      <c r="R919" s="1">
        <f t="shared" si="77"/>
        <v>0.82624655858060569</v>
      </c>
      <c r="S919" s="1">
        <f t="shared" si="78"/>
        <v>0.94496726677577736</v>
      </c>
    </row>
    <row r="920" spans="1:19" x14ac:dyDescent="0.3">
      <c r="A920"/>
      <c r="B920"/>
      <c r="C920"/>
      <c r="D920"/>
      <c r="E920"/>
      <c r="F920"/>
      <c r="G920"/>
      <c r="H920"/>
      <c r="I920"/>
      <c r="N920"/>
      <c r="O920"/>
      <c r="P920" s="1">
        <f t="shared" si="75"/>
        <v>0.79928861788617889</v>
      </c>
      <c r="Q920" s="1">
        <f t="shared" si="76"/>
        <v>0.79928861788617889</v>
      </c>
      <c r="R920" s="1">
        <f t="shared" si="77"/>
        <v>0.82624655858060569</v>
      </c>
      <c r="S920" s="1">
        <f t="shared" si="78"/>
        <v>0.94496726677577736</v>
      </c>
    </row>
    <row r="921" spans="1:19" x14ac:dyDescent="0.3">
      <c r="A921"/>
      <c r="B921"/>
      <c r="C921"/>
      <c r="D921"/>
      <c r="E921"/>
      <c r="F921"/>
      <c r="G921"/>
      <c r="H921"/>
      <c r="I921"/>
      <c r="N921"/>
      <c r="O921"/>
      <c r="P921" s="1">
        <f t="shared" si="75"/>
        <v>0.79928861788617889</v>
      </c>
      <c r="Q921" s="1">
        <f t="shared" si="76"/>
        <v>0.79928861788617889</v>
      </c>
      <c r="R921" s="1">
        <f t="shared" si="77"/>
        <v>0.82624655858060569</v>
      </c>
      <c r="S921" s="1">
        <f t="shared" si="78"/>
        <v>0.94496726677577736</v>
      </c>
    </row>
    <row r="922" spans="1:19" x14ac:dyDescent="0.3">
      <c r="A922"/>
      <c r="B922"/>
      <c r="C922"/>
      <c r="D922"/>
      <c r="E922"/>
      <c r="F922"/>
      <c r="G922"/>
      <c r="H922"/>
      <c r="I922"/>
      <c r="N922"/>
      <c r="O922"/>
      <c r="P922" s="1">
        <f t="shared" si="75"/>
        <v>0.79928861788617889</v>
      </c>
      <c r="Q922" s="1">
        <f t="shared" si="76"/>
        <v>0.79928861788617889</v>
      </c>
      <c r="R922" s="1">
        <f t="shared" si="77"/>
        <v>0.82624655858060569</v>
      </c>
      <c r="S922" s="1">
        <f t="shared" si="78"/>
        <v>0.94496726677577736</v>
      </c>
    </row>
    <row r="923" spans="1:19" x14ac:dyDescent="0.3">
      <c r="A923"/>
      <c r="B923"/>
      <c r="C923"/>
      <c r="D923"/>
      <c r="E923"/>
      <c r="F923"/>
      <c r="G923"/>
      <c r="H923"/>
      <c r="I923"/>
      <c r="N923"/>
      <c r="O923"/>
      <c r="P923" s="1">
        <f t="shared" si="75"/>
        <v>0.79928861788617889</v>
      </c>
      <c r="Q923" s="1">
        <f t="shared" si="76"/>
        <v>0.79928861788617889</v>
      </c>
      <c r="R923" s="1">
        <f t="shared" si="77"/>
        <v>0.82624655858060569</v>
      </c>
      <c r="S923" s="1">
        <f t="shared" si="78"/>
        <v>0.94496726677577736</v>
      </c>
    </row>
    <row r="924" spans="1:19" x14ac:dyDescent="0.3">
      <c r="A924"/>
      <c r="B924"/>
      <c r="C924"/>
      <c r="D924"/>
      <c r="E924"/>
      <c r="F924"/>
      <c r="G924"/>
      <c r="H924"/>
      <c r="I924"/>
      <c r="N924"/>
      <c r="O924"/>
      <c r="P924" s="1">
        <f t="shared" si="75"/>
        <v>0.79928861788617889</v>
      </c>
      <c r="Q924" s="1">
        <f t="shared" si="76"/>
        <v>0.79928861788617889</v>
      </c>
      <c r="R924" s="1">
        <f t="shared" si="77"/>
        <v>0.82624655858060569</v>
      </c>
      <c r="S924" s="1">
        <f t="shared" si="78"/>
        <v>0.94496726677577736</v>
      </c>
    </row>
    <row r="925" spans="1:19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9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9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9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N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N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N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N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N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N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N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N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N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N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N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N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  <c r="N1042"/>
      <c r="O1042"/>
    </row>
    <row r="1043" spans="1:15" x14ac:dyDescent="0.3">
      <c r="A1043"/>
      <c r="B1043"/>
      <c r="C1043"/>
      <c r="D1043"/>
      <c r="E1043"/>
      <c r="F1043"/>
      <c r="G1043"/>
      <c r="H1043"/>
      <c r="I1043"/>
      <c r="N1043"/>
      <c r="O1043"/>
    </row>
    <row r="1044" spans="1:15" x14ac:dyDescent="0.3">
      <c r="A1044"/>
      <c r="B1044"/>
      <c r="C1044"/>
      <c r="D1044"/>
      <c r="E1044"/>
      <c r="F1044"/>
      <c r="G1044"/>
      <c r="H1044"/>
      <c r="I1044"/>
      <c r="N1044"/>
      <c r="O1044"/>
    </row>
    <row r="1045" spans="1:15" x14ac:dyDescent="0.3">
      <c r="A1045"/>
      <c r="B1045"/>
      <c r="C1045"/>
      <c r="D1045"/>
      <c r="E1045"/>
      <c r="F1045"/>
      <c r="G1045"/>
      <c r="H1045"/>
      <c r="I1045"/>
      <c r="N1045"/>
      <c r="O1045"/>
    </row>
    <row r="1046" spans="1:15" x14ac:dyDescent="0.3">
      <c r="A1046"/>
      <c r="B1046"/>
      <c r="C1046"/>
      <c r="D1046"/>
      <c r="E1046"/>
      <c r="F1046"/>
      <c r="G1046"/>
      <c r="H1046"/>
      <c r="I1046"/>
      <c r="N1046"/>
      <c r="O1046"/>
    </row>
    <row r="1047" spans="1:15" x14ac:dyDescent="0.3">
      <c r="A1047"/>
      <c r="B1047"/>
      <c r="C1047"/>
      <c r="D1047"/>
      <c r="E1047"/>
      <c r="F1047"/>
      <c r="G1047"/>
      <c r="H1047"/>
      <c r="I1047"/>
      <c r="N1047"/>
      <c r="O1047"/>
    </row>
    <row r="1048" spans="1:15" x14ac:dyDescent="0.3">
      <c r="A1048"/>
      <c r="B1048"/>
      <c r="C1048"/>
      <c r="D1048"/>
      <c r="E1048"/>
      <c r="F1048"/>
      <c r="G1048"/>
      <c r="H1048"/>
      <c r="I1048"/>
      <c r="N1048"/>
      <c r="O1048"/>
    </row>
    <row r="1049" spans="1:15" x14ac:dyDescent="0.3">
      <c r="A1049"/>
      <c r="B1049"/>
      <c r="C1049"/>
      <c r="D1049"/>
      <c r="E1049"/>
      <c r="F1049"/>
      <c r="G1049"/>
      <c r="H1049"/>
      <c r="I1049"/>
      <c r="N1049"/>
      <c r="O1049"/>
    </row>
    <row r="1050" spans="1:15" x14ac:dyDescent="0.3">
      <c r="A1050"/>
      <c r="B1050"/>
      <c r="C1050"/>
      <c r="D1050"/>
      <c r="E1050"/>
      <c r="F1050"/>
      <c r="G1050"/>
      <c r="H1050"/>
      <c r="I1050"/>
      <c r="N1050"/>
      <c r="O1050"/>
    </row>
    <row r="1051" spans="1:15" x14ac:dyDescent="0.3">
      <c r="A1051"/>
      <c r="B1051"/>
      <c r="C1051"/>
      <c r="D1051"/>
      <c r="E1051"/>
      <c r="F1051"/>
      <c r="G1051"/>
      <c r="H1051"/>
      <c r="I1051"/>
      <c r="N1051"/>
      <c r="O1051"/>
    </row>
    <row r="1052" spans="1:15" x14ac:dyDescent="0.3">
      <c r="A1052"/>
      <c r="B1052"/>
      <c r="C1052"/>
      <c r="D1052"/>
      <c r="E1052"/>
      <c r="F1052"/>
      <c r="G1052"/>
      <c r="H1052"/>
      <c r="I1052"/>
      <c r="N1052"/>
      <c r="O1052"/>
    </row>
    <row r="1053" spans="1:15" x14ac:dyDescent="0.3">
      <c r="A1053"/>
      <c r="B1053"/>
      <c r="C1053"/>
      <c r="D1053"/>
      <c r="E1053"/>
      <c r="F1053"/>
      <c r="G1053"/>
      <c r="H1053"/>
      <c r="I1053"/>
      <c r="N1053"/>
      <c r="O1053"/>
    </row>
    <row r="1054" spans="1:15" x14ac:dyDescent="0.3">
      <c r="A1054"/>
      <c r="B1054"/>
      <c r="C1054"/>
      <c r="D1054"/>
      <c r="E1054"/>
      <c r="F1054"/>
      <c r="G1054"/>
      <c r="H1054"/>
      <c r="I1054"/>
      <c r="N1054"/>
      <c r="O1054"/>
    </row>
    <row r="1055" spans="1:15" x14ac:dyDescent="0.3">
      <c r="A1055"/>
      <c r="B1055"/>
      <c r="C1055"/>
      <c r="D1055"/>
      <c r="E1055"/>
      <c r="F1055"/>
      <c r="G1055"/>
      <c r="H1055"/>
      <c r="I1055"/>
      <c r="N1055"/>
      <c r="O1055"/>
    </row>
    <row r="1056" spans="1:15" x14ac:dyDescent="0.3">
      <c r="A1056"/>
      <c r="B1056"/>
      <c r="C1056"/>
      <c r="D1056"/>
      <c r="E1056"/>
      <c r="F1056"/>
      <c r="G1056"/>
      <c r="H1056"/>
      <c r="I1056"/>
      <c r="N1056"/>
      <c r="O1056"/>
    </row>
    <row r="1057" spans="1:15" x14ac:dyDescent="0.3">
      <c r="A1057"/>
      <c r="B1057"/>
      <c r="C1057"/>
      <c r="D1057"/>
      <c r="E1057"/>
      <c r="F1057"/>
      <c r="G1057"/>
      <c r="H1057"/>
      <c r="I1057"/>
      <c r="N1057"/>
      <c r="O1057"/>
    </row>
    <row r="1058" spans="1:15" x14ac:dyDescent="0.3">
      <c r="A1058"/>
      <c r="B1058"/>
      <c r="C1058"/>
      <c r="D1058"/>
      <c r="E1058"/>
      <c r="F1058"/>
      <c r="G1058"/>
      <c r="H1058"/>
      <c r="I1058"/>
      <c r="N1058"/>
      <c r="O1058"/>
    </row>
    <row r="1059" spans="1:15" x14ac:dyDescent="0.3">
      <c r="A1059"/>
      <c r="B1059"/>
      <c r="C1059"/>
      <c r="D1059"/>
      <c r="E1059"/>
      <c r="F1059"/>
      <c r="G1059"/>
      <c r="H1059"/>
      <c r="I1059"/>
      <c r="N1059"/>
      <c r="O1059"/>
    </row>
    <row r="1060" spans="1:15" x14ac:dyDescent="0.3">
      <c r="A1060"/>
      <c r="B1060"/>
      <c r="C1060"/>
      <c r="D1060"/>
      <c r="E1060"/>
      <c r="F1060"/>
      <c r="G1060"/>
      <c r="H1060"/>
      <c r="I1060"/>
      <c r="N1060"/>
      <c r="O1060"/>
    </row>
    <row r="1061" spans="1:15" x14ac:dyDescent="0.3">
      <c r="A1061"/>
      <c r="B1061"/>
      <c r="C1061"/>
      <c r="D1061"/>
      <c r="E1061"/>
      <c r="F1061"/>
      <c r="G1061"/>
      <c r="H1061"/>
      <c r="I1061"/>
      <c r="N1061"/>
      <c r="O1061"/>
    </row>
    <row r="1062" spans="1:15" x14ac:dyDescent="0.3">
      <c r="A1062"/>
      <c r="B1062"/>
      <c r="C1062"/>
      <c r="D1062"/>
      <c r="E1062"/>
      <c r="F1062"/>
      <c r="G1062"/>
      <c r="H1062"/>
      <c r="I1062"/>
      <c r="N1062"/>
      <c r="O1062"/>
    </row>
    <row r="1063" spans="1:15" x14ac:dyDescent="0.3">
      <c r="A1063"/>
      <c r="B1063"/>
      <c r="C1063"/>
      <c r="D1063"/>
      <c r="E1063"/>
      <c r="F1063"/>
      <c r="G1063"/>
      <c r="H1063"/>
      <c r="I1063"/>
      <c r="N1063"/>
      <c r="O1063"/>
    </row>
    <row r="1064" spans="1:15" x14ac:dyDescent="0.3">
      <c r="A1064"/>
      <c r="B1064"/>
      <c r="C1064"/>
      <c r="D1064"/>
      <c r="E1064"/>
      <c r="F1064"/>
      <c r="G1064"/>
      <c r="H1064"/>
      <c r="I1064"/>
      <c r="N1064"/>
      <c r="O1064"/>
    </row>
    <row r="1065" spans="1:15" x14ac:dyDescent="0.3">
      <c r="A1065"/>
      <c r="B1065"/>
      <c r="C1065"/>
      <c r="D1065"/>
      <c r="E1065"/>
      <c r="F1065"/>
      <c r="G1065"/>
      <c r="H1065"/>
      <c r="I1065"/>
      <c r="N1065"/>
      <c r="O1065"/>
    </row>
    <row r="1066" spans="1:15" x14ac:dyDescent="0.3">
      <c r="A1066"/>
      <c r="B1066"/>
      <c r="C1066"/>
      <c r="D1066"/>
      <c r="E1066"/>
      <c r="F1066"/>
      <c r="G1066"/>
      <c r="H1066"/>
      <c r="I1066"/>
      <c r="N1066"/>
      <c r="O1066"/>
    </row>
    <row r="1067" spans="1:15" x14ac:dyDescent="0.3">
      <c r="A1067"/>
      <c r="B1067"/>
      <c r="C1067"/>
      <c r="D1067"/>
      <c r="E1067"/>
      <c r="F1067"/>
      <c r="G1067"/>
      <c r="H1067"/>
      <c r="I1067"/>
      <c r="N1067"/>
      <c r="O1067"/>
    </row>
    <row r="1068" spans="1:15" x14ac:dyDescent="0.3">
      <c r="A1068"/>
      <c r="B1068"/>
      <c r="C1068"/>
      <c r="D1068"/>
      <c r="E1068"/>
      <c r="F1068"/>
      <c r="G1068"/>
      <c r="H1068"/>
      <c r="I1068"/>
      <c r="N1068"/>
      <c r="O1068"/>
    </row>
    <row r="1069" spans="1:15" x14ac:dyDescent="0.3">
      <c r="A1069"/>
      <c r="B1069"/>
      <c r="C1069"/>
      <c r="D1069"/>
      <c r="E1069"/>
      <c r="F1069"/>
      <c r="G1069"/>
      <c r="H1069"/>
      <c r="I1069"/>
      <c r="N1069"/>
      <c r="O1069"/>
    </row>
    <row r="1070" spans="1:15" x14ac:dyDescent="0.3">
      <c r="A1070"/>
      <c r="B1070"/>
      <c r="C1070"/>
      <c r="D1070"/>
      <c r="E1070"/>
      <c r="F1070"/>
      <c r="G1070"/>
      <c r="H1070"/>
      <c r="I1070"/>
      <c r="N1070"/>
      <c r="O1070"/>
    </row>
    <row r="1071" spans="1:15" x14ac:dyDescent="0.3">
      <c r="A1071"/>
      <c r="B1071"/>
      <c r="C1071"/>
      <c r="D1071"/>
      <c r="E1071"/>
      <c r="F1071"/>
      <c r="G1071"/>
      <c r="H1071"/>
      <c r="I1071"/>
      <c r="N1071"/>
      <c r="O1071"/>
    </row>
    <row r="1072" spans="1:15" x14ac:dyDescent="0.3">
      <c r="A1072"/>
      <c r="B1072"/>
      <c r="C1072"/>
      <c r="D1072"/>
      <c r="E1072"/>
      <c r="F1072"/>
      <c r="G1072"/>
      <c r="H1072"/>
      <c r="I1072"/>
      <c r="N1072"/>
      <c r="O1072"/>
    </row>
    <row r="1073" spans="1:15" x14ac:dyDescent="0.3">
      <c r="A1073"/>
      <c r="B1073"/>
      <c r="C1073"/>
      <c r="D1073"/>
      <c r="E1073"/>
      <c r="F1073"/>
      <c r="G1073"/>
      <c r="H1073"/>
      <c r="I1073"/>
      <c r="N1073"/>
      <c r="O1073"/>
    </row>
    <row r="1074" spans="1:15" x14ac:dyDescent="0.3">
      <c r="A1074"/>
      <c r="B1074"/>
      <c r="C1074"/>
      <c r="D1074"/>
      <c r="E1074"/>
      <c r="F1074"/>
      <c r="G1074"/>
      <c r="H1074"/>
      <c r="I1074"/>
      <c r="N1074"/>
      <c r="O1074"/>
    </row>
    <row r="1075" spans="1:15" x14ac:dyDescent="0.3">
      <c r="A1075"/>
      <c r="B1075"/>
      <c r="C1075"/>
      <c r="D1075"/>
      <c r="E1075"/>
      <c r="F1075"/>
      <c r="G1075"/>
      <c r="H1075"/>
      <c r="I1075"/>
      <c r="N1075"/>
      <c r="O1075"/>
    </row>
    <row r="1076" spans="1:15" x14ac:dyDescent="0.3">
      <c r="A1076"/>
      <c r="B1076"/>
      <c r="C1076"/>
      <c r="D1076"/>
      <c r="E1076"/>
      <c r="F1076"/>
      <c r="G1076"/>
      <c r="H1076"/>
      <c r="I1076"/>
      <c r="N1076"/>
      <c r="O1076"/>
    </row>
    <row r="1077" spans="1:15" x14ac:dyDescent="0.3">
      <c r="A1077"/>
      <c r="B1077"/>
      <c r="C1077"/>
      <c r="D1077"/>
      <c r="E1077"/>
      <c r="F1077"/>
      <c r="G1077"/>
      <c r="H1077"/>
      <c r="I1077"/>
      <c r="N1077"/>
      <c r="O1077"/>
    </row>
    <row r="1078" spans="1:15" x14ac:dyDescent="0.3">
      <c r="A1078"/>
      <c r="B1078"/>
      <c r="C1078"/>
      <c r="D1078"/>
      <c r="E1078"/>
      <c r="F1078"/>
      <c r="G1078"/>
      <c r="H1078"/>
      <c r="I1078"/>
      <c r="N1078"/>
      <c r="O1078"/>
    </row>
    <row r="1079" spans="1:15" x14ac:dyDescent="0.3">
      <c r="A1079"/>
      <c r="B1079"/>
      <c r="C1079"/>
      <c r="D1079"/>
      <c r="E1079"/>
      <c r="F1079"/>
      <c r="G1079"/>
      <c r="H1079"/>
      <c r="I1079"/>
      <c r="N1079"/>
      <c r="O1079"/>
    </row>
    <row r="1080" spans="1:15" x14ac:dyDescent="0.3">
      <c r="A1080"/>
      <c r="B1080"/>
      <c r="C1080"/>
      <c r="D1080"/>
      <c r="E1080"/>
      <c r="F1080"/>
      <c r="G1080"/>
      <c r="H1080"/>
      <c r="I1080"/>
      <c r="N1080"/>
      <c r="O1080"/>
    </row>
    <row r="1081" spans="1:15" x14ac:dyDescent="0.3">
      <c r="A1081"/>
      <c r="B1081"/>
      <c r="C1081"/>
      <c r="D1081"/>
      <c r="E1081"/>
      <c r="F1081"/>
      <c r="G1081"/>
      <c r="H1081"/>
      <c r="I1081"/>
      <c r="O1081"/>
    </row>
    <row r="1082" spans="1:15" x14ac:dyDescent="0.3">
      <c r="A1082"/>
      <c r="B1082"/>
      <c r="C1082"/>
      <c r="D1082"/>
      <c r="E1082"/>
      <c r="F1082"/>
      <c r="G1082"/>
      <c r="H1082"/>
      <c r="I1082"/>
      <c r="O1082"/>
    </row>
    <row r="1083" spans="1:15" x14ac:dyDescent="0.3">
      <c r="A1083"/>
      <c r="B1083"/>
      <c r="C1083"/>
      <c r="D1083"/>
      <c r="E1083"/>
      <c r="F1083"/>
      <c r="G1083"/>
      <c r="H1083"/>
      <c r="I1083"/>
      <c r="O1083"/>
    </row>
    <row r="1084" spans="1:15" x14ac:dyDescent="0.3">
      <c r="A1084"/>
      <c r="B1084"/>
      <c r="C1084"/>
      <c r="D1084"/>
      <c r="E1084"/>
      <c r="F1084"/>
      <c r="G1084"/>
      <c r="H1084"/>
      <c r="I1084"/>
      <c r="O1084"/>
    </row>
    <row r="1085" spans="1:15" x14ac:dyDescent="0.3">
      <c r="A1085"/>
      <c r="B1085"/>
      <c r="C1085"/>
      <c r="D1085"/>
      <c r="E1085"/>
      <c r="F1085"/>
      <c r="G1085"/>
      <c r="H1085"/>
      <c r="I1085"/>
      <c r="O1085"/>
    </row>
    <row r="1086" spans="1:15" x14ac:dyDescent="0.3">
      <c r="A1086"/>
      <c r="B1086"/>
      <c r="C1086"/>
      <c r="D1086"/>
      <c r="E1086"/>
      <c r="F1086"/>
      <c r="G1086"/>
      <c r="H1086"/>
      <c r="I1086"/>
      <c r="O1086"/>
    </row>
    <row r="1087" spans="1:15" x14ac:dyDescent="0.3">
      <c r="A1087"/>
      <c r="B1087"/>
      <c r="C1087"/>
      <c r="D1087"/>
      <c r="E1087"/>
      <c r="F1087"/>
      <c r="G1087"/>
      <c r="H1087"/>
      <c r="I1087"/>
      <c r="O1087"/>
    </row>
    <row r="1088" spans="1:15" x14ac:dyDescent="0.3">
      <c r="A1088"/>
      <c r="B1088"/>
      <c r="C1088"/>
      <c r="D1088"/>
      <c r="E1088"/>
      <c r="F1088"/>
      <c r="G1088"/>
      <c r="H1088"/>
      <c r="I1088"/>
      <c r="O1088"/>
    </row>
    <row r="1089" spans="1:15" x14ac:dyDescent="0.3">
      <c r="A1089"/>
      <c r="B1089"/>
      <c r="C1089"/>
      <c r="D1089"/>
      <c r="E1089"/>
      <c r="F1089"/>
      <c r="G1089"/>
      <c r="H1089"/>
      <c r="I1089"/>
      <c r="O1089"/>
    </row>
    <row r="1090" spans="1:15" x14ac:dyDescent="0.3">
      <c r="A1090"/>
      <c r="B1090"/>
      <c r="C1090"/>
      <c r="D1090"/>
      <c r="E1090"/>
      <c r="F1090"/>
      <c r="G1090"/>
      <c r="H1090"/>
      <c r="I1090"/>
      <c r="O1090"/>
    </row>
    <row r="1091" spans="1:15" x14ac:dyDescent="0.3">
      <c r="A1091"/>
      <c r="B1091"/>
      <c r="C1091"/>
      <c r="D1091"/>
      <c r="E1091"/>
      <c r="F1091"/>
      <c r="G1091"/>
      <c r="H1091"/>
      <c r="I1091"/>
      <c r="O1091"/>
    </row>
    <row r="1092" spans="1:15" x14ac:dyDescent="0.3">
      <c r="A1092"/>
      <c r="B1092"/>
      <c r="C1092"/>
      <c r="D1092"/>
      <c r="E1092"/>
      <c r="F1092"/>
      <c r="G1092"/>
      <c r="H1092"/>
      <c r="I1092"/>
      <c r="O1092"/>
    </row>
    <row r="1093" spans="1:15" x14ac:dyDescent="0.3">
      <c r="A1093"/>
      <c r="B1093"/>
      <c r="C1093"/>
      <c r="D1093"/>
      <c r="E1093"/>
      <c r="F1093"/>
      <c r="G1093"/>
      <c r="H1093"/>
      <c r="I1093"/>
    </row>
    <row r="1094" spans="1:15" x14ac:dyDescent="0.3">
      <c r="A1094"/>
      <c r="B1094"/>
      <c r="C1094"/>
      <c r="D1094"/>
      <c r="E1094"/>
      <c r="F1094"/>
      <c r="G1094"/>
      <c r="H1094"/>
      <c r="I1094"/>
    </row>
    <row r="1095" spans="1:15" x14ac:dyDescent="0.3">
      <c r="A1095"/>
      <c r="B1095"/>
      <c r="C1095"/>
      <c r="D1095"/>
      <c r="E1095"/>
      <c r="F1095"/>
      <c r="G1095"/>
      <c r="H1095"/>
      <c r="I1095"/>
    </row>
    <row r="1096" spans="1:15" x14ac:dyDescent="0.3">
      <c r="A1096"/>
      <c r="B1096"/>
      <c r="C1096"/>
      <c r="D1096"/>
      <c r="E1096"/>
      <c r="F1096"/>
      <c r="G1096"/>
      <c r="H1096"/>
      <c r="I1096"/>
    </row>
    <row r="1097" spans="1:15" x14ac:dyDescent="0.3">
      <c r="A1097"/>
      <c r="B1097"/>
      <c r="C1097"/>
      <c r="D1097"/>
      <c r="E1097"/>
      <c r="F1097"/>
      <c r="G1097"/>
      <c r="H1097"/>
      <c r="I1097"/>
    </row>
    <row r="1098" spans="1:15" x14ac:dyDescent="0.3">
      <c r="A1098"/>
      <c r="B1098"/>
      <c r="C1098"/>
      <c r="D1098"/>
      <c r="E1098"/>
      <c r="F1098"/>
      <c r="G1098"/>
      <c r="H1098"/>
      <c r="I1098"/>
    </row>
    <row r="1099" spans="1:15" x14ac:dyDescent="0.3">
      <c r="A1099"/>
      <c r="B1099"/>
      <c r="C1099"/>
      <c r="D1099"/>
      <c r="E1099"/>
      <c r="F1099"/>
      <c r="G1099"/>
      <c r="H1099"/>
      <c r="I1099"/>
    </row>
    <row r="1100" spans="1:15" x14ac:dyDescent="0.3">
      <c r="A1100"/>
      <c r="B1100"/>
      <c r="C1100"/>
      <c r="D1100"/>
      <c r="E1100"/>
      <c r="F1100"/>
      <c r="G1100"/>
      <c r="H1100"/>
      <c r="I1100"/>
    </row>
    <row r="1101" spans="1:15" x14ac:dyDescent="0.3">
      <c r="A1101"/>
      <c r="B1101"/>
      <c r="C1101"/>
      <c r="D1101"/>
      <c r="E1101"/>
      <c r="F1101"/>
      <c r="G1101"/>
      <c r="H1101"/>
      <c r="I1101"/>
    </row>
    <row r="1102" spans="1:15" x14ac:dyDescent="0.3">
      <c r="A1102"/>
      <c r="B1102"/>
      <c r="C1102"/>
      <c r="D1102"/>
      <c r="E1102"/>
      <c r="F1102"/>
      <c r="G1102"/>
      <c r="H1102"/>
      <c r="I1102"/>
    </row>
    <row r="1103" spans="1:15" x14ac:dyDescent="0.3">
      <c r="A1103"/>
      <c r="B1103"/>
      <c r="C1103"/>
      <c r="D1103"/>
      <c r="E1103"/>
      <c r="F1103"/>
      <c r="G1103"/>
      <c r="H1103"/>
      <c r="I1103"/>
    </row>
    <row r="1104" spans="1:15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9" x14ac:dyDescent="0.3">
      <c r="A1217"/>
      <c r="B1217"/>
      <c r="C1217"/>
      <c r="D1217"/>
      <c r="E1217"/>
      <c r="F1217"/>
      <c r="G1217"/>
      <c r="H1217"/>
      <c r="I1217"/>
    </row>
    <row r="1218" spans="1:9" x14ac:dyDescent="0.3">
      <c r="A1218"/>
      <c r="B1218"/>
      <c r="C1218"/>
      <c r="D1218"/>
      <c r="E1218"/>
      <c r="F1218"/>
      <c r="G1218"/>
      <c r="H1218"/>
      <c r="I1218"/>
    </row>
    <row r="1219" spans="1:9" x14ac:dyDescent="0.3">
      <c r="A1219"/>
      <c r="B1219"/>
      <c r="C1219"/>
      <c r="D1219"/>
      <c r="E1219"/>
      <c r="F1219"/>
      <c r="G1219"/>
      <c r="H1219"/>
      <c r="I1219"/>
    </row>
    <row r="1220" spans="1:9" x14ac:dyDescent="0.3">
      <c r="A1220"/>
      <c r="B1220"/>
      <c r="C1220"/>
      <c r="D1220"/>
      <c r="E1220"/>
      <c r="F1220"/>
      <c r="G1220"/>
      <c r="H1220"/>
      <c r="I1220"/>
    </row>
    <row r="1221" spans="1:9" x14ac:dyDescent="0.3">
      <c r="A1221"/>
      <c r="B1221"/>
      <c r="C1221"/>
      <c r="D1221"/>
      <c r="E1221"/>
      <c r="F1221"/>
      <c r="G1221"/>
      <c r="H1221"/>
      <c r="I1221"/>
    </row>
    <row r="1222" spans="1:9" x14ac:dyDescent="0.3">
      <c r="A1222"/>
      <c r="B1222"/>
      <c r="C1222"/>
      <c r="D1222"/>
      <c r="E1222"/>
      <c r="F1222"/>
      <c r="G1222"/>
      <c r="H1222"/>
      <c r="I1222"/>
    </row>
    <row r="1223" spans="1:9" x14ac:dyDescent="0.3">
      <c r="A1223"/>
      <c r="B1223"/>
      <c r="C1223"/>
      <c r="D1223"/>
      <c r="E1223"/>
      <c r="F1223"/>
      <c r="G1223"/>
      <c r="H1223"/>
      <c r="I1223"/>
    </row>
    <row r="1224" spans="1:9" x14ac:dyDescent="0.3">
      <c r="A1224"/>
      <c r="B1224"/>
      <c r="C1224"/>
      <c r="D1224"/>
      <c r="E1224"/>
      <c r="F1224"/>
      <c r="G1224"/>
      <c r="H1224"/>
      <c r="I1224"/>
    </row>
    <row r="1225" spans="1:9" x14ac:dyDescent="0.3">
      <c r="A1225"/>
      <c r="B1225"/>
      <c r="C1225"/>
      <c r="D1225"/>
      <c r="E1225"/>
      <c r="F1225"/>
      <c r="G1225"/>
      <c r="H1225"/>
      <c r="I1225"/>
    </row>
    <row r="1226" spans="1:9" x14ac:dyDescent="0.3">
      <c r="A1226"/>
      <c r="B1226"/>
      <c r="C1226"/>
      <c r="D1226"/>
      <c r="E1226"/>
      <c r="F1226"/>
      <c r="G1226"/>
      <c r="H1226"/>
      <c r="I1226"/>
    </row>
    <row r="1227" spans="1:9" x14ac:dyDescent="0.3">
      <c r="A1227"/>
      <c r="B1227"/>
      <c r="C1227"/>
      <c r="D1227"/>
      <c r="E1227"/>
      <c r="F1227"/>
      <c r="G1227"/>
      <c r="H1227"/>
      <c r="I1227"/>
    </row>
    <row r="1228" spans="1:9" x14ac:dyDescent="0.3">
      <c r="A1228"/>
      <c r="B1228"/>
      <c r="C1228"/>
      <c r="D1228"/>
      <c r="E1228"/>
      <c r="F1228"/>
      <c r="G1228"/>
      <c r="H1228"/>
      <c r="I1228"/>
    </row>
    <row r="1229" spans="1:9" x14ac:dyDescent="0.3">
      <c r="A1229"/>
      <c r="B1229"/>
      <c r="C1229"/>
      <c r="D1229"/>
      <c r="E1229"/>
      <c r="F1229"/>
      <c r="G1229"/>
      <c r="H1229"/>
      <c r="I1229"/>
    </row>
    <row r="1230" spans="1:9" x14ac:dyDescent="0.3">
      <c r="A1230"/>
      <c r="B1230"/>
      <c r="C1230"/>
      <c r="D1230"/>
      <c r="E1230"/>
      <c r="F1230"/>
      <c r="G1230"/>
      <c r="H1230"/>
      <c r="I1230"/>
    </row>
    <row r="1231" spans="1:9" x14ac:dyDescent="0.3">
      <c r="A1231"/>
      <c r="B1231"/>
      <c r="C1231"/>
      <c r="D1231"/>
      <c r="E1231"/>
      <c r="F1231"/>
      <c r="G1231"/>
      <c r="H1231"/>
      <c r="I1231"/>
    </row>
    <row r="1232" spans="1:9" x14ac:dyDescent="0.3">
      <c r="A1232"/>
      <c r="B1232"/>
      <c r="C1232"/>
      <c r="D1232"/>
      <c r="E1232"/>
      <c r="F1232"/>
      <c r="G1232"/>
      <c r="H1232"/>
      <c r="I1232"/>
    </row>
    <row r="1233" spans="1:9" x14ac:dyDescent="0.3">
      <c r="A1233"/>
      <c r="B1233"/>
      <c r="C1233"/>
      <c r="D1233"/>
      <c r="E1233"/>
      <c r="F1233"/>
      <c r="G1233"/>
      <c r="H1233"/>
      <c r="I1233"/>
    </row>
    <row r="1234" spans="1:9" x14ac:dyDescent="0.3">
      <c r="A1234"/>
      <c r="B1234"/>
      <c r="C1234"/>
      <c r="D1234"/>
      <c r="E1234"/>
      <c r="F1234"/>
      <c r="G1234"/>
      <c r="H1234"/>
      <c r="I1234"/>
    </row>
    <row r="1235" spans="1:9" x14ac:dyDescent="0.3">
      <c r="A1235"/>
      <c r="B1235"/>
      <c r="C1235"/>
      <c r="D1235"/>
      <c r="E1235"/>
      <c r="F1235"/>
      <c r="G1235"/>
      <c r="H1235"/>
      <c r="I1235"/>
    </row>
    <row r="1236" spans="1:9" x14ac:dyDescent="0.3">
      <c r="A1236"/>
      <c r="B1236"/>
      <c r="C1236"/>
      <c r="D1236"/>
      <c r="E1236"/>
      <c r="F1236"/>
      <c r="G1236"/>
      <c r="H1236"/>
      <c r="I1236"/>
    </row>
    <row r="1237" spans="1:9" x14ac:dyDescent="0.3">
      <c r="A1237"/>
      <c r="B1237"/>
      <c r="C1237"/>
      <c r="D1237"/>
      <c r="E1237"/>
      <c r="F1237"/>
      <c r="G1237"/>
      <c r="H1237"/>
      <c r="I1237"/>
    </row>
    <row r="1238" spans="1:9" x14ac:dyDescent="0.3">
      <c r="A1238"/>
      <c r="B1238"/>
      <c r="C1238"/>
      <c r="D1238"/>
      <c r="E1238"/>
      <c r="F1238"/>
      <c r="G1238"/>
      <c r="H1238"/>
      <c r="I1238"/>
    </row>
    <row r="1239" spans="1:9" x14ac:dyDescent="0.3">
      <c r="A1239"/>
      <c r="B1239"/>
      <c r="C1239"/>
      <c r="D1239"/>
      <c r="E1239"/>
      <c r="F1239"/>
      <c r="G1239"/>
      <c r="H1239"/>
      <c r="I1239"/>
    </row>
    <row r="1240" spans="1:9" x14ac:dyDescent="0.3">
      <c r="A1240"/>
      <c r="B1240"/>
      <c r="C1240"/>
      <c r="D1240"/>
      <c r="E1240"/>
      <c r="F1240"/>
      <c r="G1240"/>
      <c r="H1240"/>
      <c r="I1240"/>
    </row>
    <row r="1241" spans="1:9" x14ac:dyDescent="0.3">
      <c r="A1241"/>
      <c r="B1241"/>
      <c r="C1241"/>
      <c r="D1241"/>
      <c r="E1241"/>
      <c r="F1241"/>
      <c r="G1241"/>
      <c r="H1241"/>
      <c r="I1241"/>
    </row>
    <row r="1242" spans="1:9" x14ac:dyDescent="0.3">
      <c r="A1242"/>
      <c r="B1242"/>
      <c r="C1242"/>
      <c r="D1242"/>
      <c r="E1242"/>
      <c r="F1242"/>
      <c r="G1242"/>
      <c r="H1242"/>
      <c r="I1242"/>
    </row>
    <row r="1243" spans="1:9" x14ac:dyDescent="0.3">
      <c r="A1243"/>
      <c r="B1243"/>
      <c r="C1243"/>
      <c r="D1243"/>
      <c r="E1243"/>
      <c r="F1243"/>
      <c r="G1243"/>
      <c r="H1243"/>
      <c r="I1243"/>
    </row>
    <row r="1244" spans="1:9" x14ac:dyDescent="0.3">
      <c r="A1244"/>
      <c r="B1244"/>
      <c r="C1244"/>
      <c r="D1244"/>
      <c r="E1244"/>
      <c r="F1244"/>
      <c r="G1244"/>
      <c r="H1244"/>
      <c r="I1244"/>
    </row>
    <row r="1245" spans="1:9" x14ac:dyDescent="0.3">
      <c r="A1245"/>
      <c r="B1245"/>
      <c r="C1245"/>
      <c r="D1245"/>
      <c r="E1245"/>
      <c r="F1245"/>
      <c r="G1245"/>
      <c r="H1245"/>
      <c r="I1245"/>
    </row>
    <row r="1246" spans="1:9" x14ac:dyDescent="0.3">
      <c r="A1246"/>
      <c r="B1246"/>
      <c r="C1246"/>
      <c r="D1246"/>
      <c r="E1246"/>
      <c r="F1246"/>
      <c r="G1246"/>
      <c r="H1246"/>
      <c r="I1246"/>
    </row>
    <row r="1247" spans="1:9" x14ac:dyDescent="0.3">
      <c r="A1247"/>
      <c r="B1247"/>
      <c r="C1247"/>
      <c r="D1247"/>
      <c r="E1247"/>
      <c r="F1247"/>
      <c r="G1247"/>
      <c r="H1247"/>
      <c r="I1247"/>
    </row>
    <row r="1248" spans="1:9" x14ac:dyDescent="0.3">
      <c r="A1248"/>
      <c r="B1248"/>
      <c r="C1248"/>
      <c r="D1248"/>
      <c r="E1248"/>
      <c r="F1248"/>
      <c r="G1248"/>
      <c r="H1248"/>
      <c r="I1248"/>
    </row>
    <row r="1249" spans="1:9" x14ac:dyDescent="0.3">
      <c r="A1249"/>
      <c r="B1249"/>
      <c r="C1249"/>
      <c r="D1249"/>
      <c r="E1249"/>
      <c r="F1249"/>
      <c r="G1249"/>
      <c r="H1249"/>
      <c r="I1249"/>
    </row>
    <row r="1250" spans="1:9" x14ac:dyDescent="0.3">
      <c r="A1250"/>
      <c r="B1250"/>
      <c r="C1250"/>
      <c r="D1250"/>
      <c r="E1250"/>
      <c r="F1250"/>
      <c r="G1250"/>
      <c r="H1250"/>
      <c r="I1250"/>
    </row>
    <row r="1251" spans="1:9" x14ac:dyDescent="0.3">
      <c r="A1251"/>
      <c r="B1251"/>
      <c r="C1251"/>
      <c r="D1251"/>
      <c r="E1251"/>
      <c r="F1251"/>
      <c r="G1251"/>
      <c r="H1251"/>
      <c r="I1251"/>
    </row>
    <row r="1252" spans="1:9" x14ac:dyDescent="0.3">
      <c r="A1252"/>
      <c r="B1252"/>
      <c r="C1252"/>
      <c r="D1252"/>
      <c r="E1252"/>
      <c r="F1252"/>
      <c r="G1252"/>
      <c r="H1252"/>
      <c r="I1252"/>
    </row>
    <row r="1253" spans="1:9" x14ac:dyDescent="0.3">
      <c r="A1253"/>
      <c r="B1253"/>
      <c r="C1253"/>
      <c r="D1253"/>
      <c r="E1253"/>
      <c r="F1253"/>
      <c r="G1253"/>
      <c r="H1253"/>
      <c r="I1253"/>
    </row>
    <row r="1254" spans="1:9" x14ac:dyDescent="0.3">
      <c r="A1254"/>
      <c r="B1254"/>
      <c r="C1254"/>
      <c r="D1254"/>
      <c r="E1254"/>
      <c r="F1254"/>
      <c r="G1254"/>
      <c r="H1254"/>
      <c r="I1254"/>
    </row>
    <row r="1255" spans="1:9" x14ac:dyDescent="0.3">
      <c r="A1255"/>
      <c r="B1255"/>
      <c r="C1255"/>
      <c r="D1255"/>
      <c r="E1255"/>
      <c r="F1255"/>
      <c r="G1255"/>
      <c r="H1255"/>
      <c r="I1255"/>
    </row>
    <row r="1256" spans="1:9" x14ac:dyDescent="0.3">
      <c r="A1256"/>
      <c r="B1256"/>
      <c r="C1256"/>
      <c r="D1256"/>
      <c r="E1256"/>
      <c r="F1256"/>
      <c r="G1256"/>
      <c r="H1256"/>
      <c r="I1256"/>
    </row>
    <row r="1257" spans="1:9" x14ac:dyDescent="0.3">
      <c r="A1257"/>
      <c r="B1257"/>
      <c r="C1257"/>
      <c r="D1257"/>
      <c r="E1257"/>
      <c r="F1257"/>
      <c r="G1257"/>
      <c r="H1257"/>
      <c r="I1257"/>
    </row>
    <row r="1258" spans="1:9" x14ac:dyDescent="0.3">
      <c r="A1258"/>
      <c r="B1258"/>
      <c r="C1258"/>
      <c r="D1258"/>
      <c r="E1258"/>
      <c r="F1258"/>
      <c r="G1258"/>
      <c r="H1258"/>
      <c r="I1258"/>
    </row>
    <row r="1259" spans="1:9" x14ac:dyDescent="0.3">
      <c r="A1259"/>
      <c r="B1259"/>
      <c r="C1259"/>
      <c r="D1259"/>
      <c r="E1259"/>
      <c r="F1259"/>
      <c r="G1259"/>
      <c r="H1259"/>
      <c r="I1259"/>
    </row>
    <row r="1260" spans="1:9" x14ac:dyDescent="0.3">
      <c r="A1260"/>
      <c r="B1260"/>
      <c r="C1260"/>
      <c r="D1260"/>
      <c r="E1260"/>
      <c r="F1260"/>
      <c r="G1260"/>
      <c r="H1260"/>
      <c r="I1260"/>
    </row>
    <row r="1261" spans="1:9" x14ac:dyDescent="0.3">
      <c r="A1261"/>
      <c r="B1261"/>
      <c r="C1261"/>
      <c r="D1261"/>
      <c r="E1261"/>
      <c r="F1261"/>
      <c r="G1261"/>
      <c r="H1261"/>
      <c r="I1261"/>
    </row>
    <row r="1262" spans="1:9" x14ac:dyDescent="0.3">
      <c r="A1262"/>
      <c r="B1262"/>
      <c r="C1262"/>
      <c r="D1262"/>
      <c r="E1262"/>
      <c r="F1262"/>
      <c r="G1262"/>
      <c r="H1262"/>
      <c r="I1262"/>
    </row>
    <row r="1263" spans="1:9" x14ac:dyDescent="0.3">
      <c r="A1263"/>
      <c r="B1263"/>
      <c r="C1263"/>
      <c r="D1263"/>
      <c r="E1263"/>
      <c r="F1263"/>
      <c r="G1263"/>
      <c r="H1263"/>
      <c r="I1263"/>
    </row>
    <row r="1264" spans="1:9" x14ac:dyDescent="0.3">
      <c r="A1264"/>
      <c r="B1264"/>
      <c r="C1264"/>
      <c r="D1264"/>
      <c r="E1264"/>
      <c r="F1264"/>
      <c r="G1264"/>
      <c r="H1264"/>
      <c r="I1264"/>
    </row>
    <row r="1265" spans="1:19" x14ac:dyDescent="0.3">
      <c r="A1265"/>
      <c r="B1265"/>
      <c r="C1265"/>
      <c r="D1265"/>
      <c r="E1265"/>
      <c r="F1265"/>
      <c r="G1265"/>
      <c r="H1265"/>
      <c r="I1265"/>
    </row>
    <row r="1266" spans="1:19" x14ac:dyDescent="0.3">
      <c r="A1266"/>
      <c r="B1266"/>
      <c r="C1266"/>
      <c r="D1266"/>
      <c r="E1266"/>
      <c r="F1266"/>
      <c r="G1266"/>
      <c r="H1266"/>
      <c r="I1266"/>
    </row>
    <row r="1267" spans="1:19" x14ac:dyDescent="0.3">
      <c r="A1267"/>
      <c r="B1267"/>
      <c r="C1267"/>
      <c r="D1267"/>
      <c r="E1267"/>
      <c r="F1267"/>
      <c r="G1267"/>
      <c r="H1267"/>
      <c r="I1267"/>
    </row>
    <row r="1268" spans="1:19" x14ac:dyDescent="0.3">
      <c r="A1268"/>
      <c r="B1268"/>
      <c r="C1268"/>
      <c r="D1268"/>
      <c r="E1268"/>
      <c r="F1268"/>
      <c r="G1268"/>
      <c r="H1268"/>
      <c r="I1268"/>
    </row>
    <row r="1269" spans="1:19" x14ac:dyDescent="0.3">
      <c r="A1269"/>
      <c r="B1269"/>
      <c r="C1269"/>
      <c r="D1269"/>
      <c r="E1269"/>
      <c r="F1269"/>
      <c r="G1269"/>
      <c r="H1269"/>
      <c r="I1269"/>
    </row>
    <row r="1270" spans="1:19" x14ac:dyDescent="0.3">
      <c r="A1270"/>
      <c r="B1270"/>
      <c r="C1270"/>
      <c r="D1270"/>
      <c r="E1270"/>
      <c r="F1270"/>
      <c r="G1270"/>
      <c r="H1270"/>
      <c r="I1270"/>
    </row>
    <row r="1271" spans="1:19" x14ac:dyDescent="0.3">
      <c r="A1271"/>
      <c r="B1271"/>
      <c r="C1271"/>
      <c r="D1271"/>
      <c r="E1271"/>
      <c r="F1271"/>
      <c r="G1271"/>
      <c r="H1271"/>
      <c r="I1271"/>
    </row>
    <row r="1272" spans="1:19" x14ac:dyDescent="0.3">
      <c r="A1272"/>
      <c r="B1272"/>
      <c r="C1272"/>
      <c r="D1272"/>
      <c r="E1272"/>
      <c r="F1272"/>
      <c r="G1272"/>
      <c r="H1272"/>
      <c r="I1272"/>
    </row>
    <row r="1273" spans="1:19" x14ac:dyDescent="0.3">
      <c r="A1273"/>
      <c r="B1273"/>
      <c r="C1273"/>
      <c r="D1273"/>
      <c r="E1273"/>
      <c r="F1273"/>
      <c r="G1273"/>
      <c r="H1273"/>
      <c r="I1273"/>
    </row>
    <row r="1274" spans="1:19" x14ac:dyDescent="0.3">
      <c r="A1274"/>
      <c r="B1274"/>
      <c r="C1274"/>
      <c r="D1274"/>
      <c r="E1274"/>
      <c r="F1274"/>
      <c r="G1274"/>
      <c r="H1274"/>
      <c r="I1274"/>
    </row>
    <row r="1275" spans="1:19" x14ac:dyDescent="0.3">
      <c r="P1275" s="1">
        <f t="shared" ref="P1275:P1292" si="79">(B1257+Q$36)/P$36</f>
        <v>0.79928861788617889</v>
      </c>
      <c r="Q1275" s="1">
        <f t="shared" ref="Q1275:Q1292" si="80">(C1257+Q$36)/P$36</f>
        <v>0.79928861788617889</v>
      </c>
      <c r="R1275" s="1">
        <f t="shared" ref="R1275:R1292" si="81">(D1257+Q$38)/P$38</f>
        <v>0.82624655858060569</v>
      </c>
      <c r="S1275" s="1">
        <f t="shared" ref="S1275:S1292" si="82">(E1257+Q$39)/P$39</f>
        <v>0.94496726677577736</v>
      </c>
    </row>
    <row r="1276" spans="1:19" x14ac:dyDescent="0.3">
      <c r="P1276" s="1">
        <f t="shared" si="79"/>
        <v>0.79928861788617889</v>
      </c>
      <c r="Q1276" s="1">
        <f t="shared" si="80"/>
        <v>0.79928861788617889</v>
      </c>
      <c r="R1276" s="1">
        <f t="shared" si="81"/>
        <v>0.82624655858060569</v>
      </c>
      <c r="S1276" s="1">
        <f t="shared" si="82"/>
        <v>0.94496726677577736</v>
      </c>
    </row>
    <row r="1277" spans="1:19" x14ac:dyDescent="0.3">
      <c r="P1277" s="1">
        <f t="shared" si="79"/>
        <v>0.79928861788617889</v>
      </c>
      <c r="Q1277" s="1">
        <f t="shared" si="80"/>
        <v>0.79928861788617889</v>
      </c>
      <c r="R1277" s="1">
        <f t="shared" si="81"/>
        <v>0.82624655858060569</v>
      </c>
      <c r="S1277" s="1">
        <f t="shared" si="82"/>
        <v>0.94496726677577736</v>
      </c>
    </row>
    <row r="1278" spans="1:19" x14ac:dyDescent="0.3">
      <c r="P1278" s="1">
        <f t="shared" si="79"/>
        <v>0.79928861788617889</v>
      </c>
      <c r="Q1278" s="1">
        <f t="shared" si="80"/>
        <v>0.79928861788617889</v>
      </c>
      <c r="R1278" s="1">
        <f t="shared" si="81"/>
        <v>0.82624655858060569</v>
      </c>
      <c r="S1278" s="1">
        <f t="shared" si="82"/>
        <v>0.94496726677577736</v>
      </c>
    </row>
    <row r="1279" spans="1:19" x14ac:dyDescent="0.3">
      <c r="P1279" s="1">
        <f t="shared" si="79"/>
        <v>0.79928861788617889</v>
      </c>
      <c r="Q1279" s="1">
        <f t="shared" si="80"/>
        <v>0.79928861788617889</v>
      </c>
      <c r="R1279" s="1">
        <f t="shared" si="81"/>
        <v>0.82624655858060569</v>
      </c>
      <c r="S1279" s="1">
        <f t="shared" si="82"/>
        <v>0.94496726677577736</v>
      </c>
    </row>
    <row r="1280" spans="1:19" x14ac:dyDescent="0.3">
      <c r="P1280" s="1">
        <f t="shared" si="79"/>
        <v>0.79928861788617889</v>
      </c>
      <c r="Q1280" s="1">
        <f t="shared" si="80"/>
        <v>0.79928861788617889</v>
      </c>
      <c r="R1280" s="1">
        <f t="shared" si="81"/>
        <v>0.82624655858060569</v>
      </c>
      <c r="S1280" s="1">
        <f t="shared" si="82"/>
        <v>0.94496726677577736</v>
      </c>
    </row>
    <row r="1281" spans="16:19" x14ac:dyDescent="0.3">
      <c r="P1281" s="1">
        <f t="shared" si="79"/>
        <v>0.79928861788617889</v>
      </c>
      <c r="Q1281" s="1">
        <f t="shared" si="80"/>
        <v>0.79928861788617889</v>
      </c>
      <c r="R1281" s="1">
        <f t="shared" si="81"/>
        <v>0.82624655858060569</v>
      </c>
      <c r="S1281" s="1">
        <f t="shared" si="82"/>
        <v>0.94496726677577736</v>
      </c>
    </row>
    <row r="1282" spans="16:19" x14ac:dyDescent="0.3">
      <c r="P1282" s="1">
        <f t="shared" si="79"/>
        <v>0.79928861788617889</v>
      </c>
      <c r="Q1282" s="1">
        <f t="shared" si="80"/>
        <v>0.79928861788617889</v>
      </c>
      <c r="R1282" s="1">
        <f t="shared" si="81"/>
        <v>0.82624655858060569</v>
      </c>
      <c r="S1282" s="1">
        <f t="shared" si="82"/>
        <v>0.94496726677577736</v>
      </c>
    </row>
    <row r="1283" spans="16:19" x14ac:dyDescent="0.3">
      <c r="P1283" s="1">
        <f t="shared" si="79"/>
        <v>0.79928861788617889</v>
      </c>
      <c r="Q1283" s="1">
        <f t="shared" si="80"/>
        <v>0.79928861788617889</v>
      </c>
      <c r="R1283" s="1">
        <f t="shared" si="81"/>
        <v>0.82624655858060569</v>
      </c>
      <c r="S1283" s="1">
        <f t="shared" si="82"/>
        <v>0.94496726677577736</v>
      </c>
    </row>
    <row r="1284" spans="16:19" x14ac:dyDescent="0.3">
      <c r="P1284" s="1">
        <f t="shared" si="79"/>
        <v>0.79928861788617889</v>
      </c>
      <c r="Q1284" s="1">
        <f t="shared" si="80"/>
        <v>0.79928861788617889</v>
      </c>
      <c r="R1284" s="1">
        <f t="shared" si="81"/>
        <v>0.82624655858060569</v>
      </c>
      <c r="S1284" s="1">
        <f t="shared" si="82"/>
        <v>0.94496726677577736</v>
      </c>
    </row>
    <row r="1285" spans="16:19" x14ac:dyDescent="0.3">
      <c r="P1285" s="1">
        <f t="shared" si="79"/>
        <v>0.79928861788617889</v>
      </c>
      <c r="Q1285" s="1">
        <f t="shared" si="80"/>
        <v>0.79928861788617889</v>
      </c>
      <c r="R1285" s="1">
        <f t="shared" si="81"/>
        <v>0.82624655858060569</v>
      </c>
      <c r="S1285" s="1">
        <f t="shared" si="82"/>
        <v>0.94496726677577736</v>
      </c>
    </row>
    <row r="1286" spans="16:19" x14ac:dyDescent="0.3">
      <c r="P1286" s="1">
        <f t="shared" si="79"/>
        <v>0.79928861788617889</v>
      </c>
      <c r="Q1286" s="1">
        <f t="shared" si="80"/>
        <v>0.79928861788617889</v>
      </c>
      <c r="R1286" s="1">
        <f t="shared" si="81"/>
        <v>0.82624655858060569</v>
      </c>
      <c r="S1286" s="1">
        <f t="shared" si="82"/>
        <v>0.94496726677577736</v>
      </c>
    </row>
    <row r="1287" spans="16:19" x14ac:dyDescent="0.3">
      <c r="P1287" s="1">
        <f t="shared" si="79"/>
        <v>0.79928861788617889</v>
      </c>
      <c r="Q1287" s="1">
        <f t="shared" si="80"/>
        <v>0.79928861788617889</v>
      </c>
      <c r="R1287" s="1">
        <f t="shared" si="81"/>
        <v>0.82624655858060569</v>
      </c>
      <c r="S1287" s="1">
        <f t="shared" si="82"/>
        <v>0.94496726677577736</v>
      </c>
    </row>
    <row r="1288" spans="16:19" x14ac:dyDescent="0.3">
      <c r="P1288" s="1">
        <f t="shared" si="79"/>
        <v>0.79928861788617889</v>
      </c>
      <c r="Q1288" s="1">
        <f t="shared" si="80"/>
        <v>0.79928861788617889</v>
      </c>
      <c r="R1288" s="1">
        <f t="shared" si="81"/>
        <v>0.82624655858060569</v>
      </c>
      <c r="S1288" s="1">
        <f t="shared" si="82"/>
        <v>0.94496726677577736</v>
      </c>
    </row>
    <row r="1289" spans="16:19" x14ac:dyDescent="0.3">
      <c r="P1289" s="1">
        <f t="shared" si="79"/>
        <v>0.79928861788617889</v>
      </c>
      <c r="Q1289" s="1">
        <f t="shared" si="80"/>
        <v>0.79928861788617889</v>
      </c>
      <c r="R1289" s="1">
        <f t="shared" si="81"/>
        <v>0.82624655858060569</v>
      </c>
      <c r="S1289" s="1">
        <f t="shared" si="82"/>
        <v>0.94496726677577736</v>
      </c>
    </row>
    <row r="1290" spans="16:19" x14ac:dyDescent="0.3">
      <c r="P1290" s="1">
        <f t="shared" si="79"/>
        <v>0.79928861788617889</v>
      </c>
      <c r="Q1290" s="1">
        <f t="shared" si="80"/>
        <v>0.79928861788617889</v>
      </c>
      <c r="R1290" s="1">
        <f t="shared" si="81"/>
        <v>0.82624655858060569</v>
      </c>
      <c r="S1290" s="1">
        <f t="shared" si="82"/>
        <v>0.94496726677577736</v>
      </c>
    </row>
    <row r="1291" spans="16:19" x14ac:dyDescent="0.3">
      <c r="P1291" s="1">
        <f t="shared" si="79"/>
        <v>0.79928861788617889</v>
      </c>
      <c r="Q1291" s="1">
        <f t="shared" si="80"/>
        <v>0.79928861788617889</v>
      </c>
      <c r="R1291" s="1">
        <f t="shared" si="81"/>
        <v>0.82624655858060569</v>
      </c>
      <c r="S1291" s="1">
        <f t="shared" si="82"/>
        <v>0.94496726677577736</v>
      </c>
    </row>
    <row r="1292" spans="16:19" x14ac:dyDescent="0.3">
      <c r="P1292" s="1">
        <f t="shared" si="79"/>
        <v>0.79928861788617889</v>
      </c>
      <c r="Q1292" s="1">
        <f t="shared" si="80"/>
        <v>0.79928861788617889</v>
      </c>
      <c r="R1292" s="1">
        <f t="shared" si="81"/>
        <v>0.82624655858060569</v>
      </c>
      <c r="S1292" s="1">
        <f t="shared" si="82"/>
        <v>0.94496726677577736</v>
      </c>
    </row>
  </sheetData>
  <mergeCells count="1">
    <mergeCell ref="P41:S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697D-F5CE-449D-A5AE-CB68A0288628}">
  <dimension ref="A1:AZ1837"/>
  <sheetViews>
    <sheetView topLeftCell="W1" zoomScale="85" zoomScaleNormal="85" workbookViewId="0">
      <selection activeCell="AN40" sqref="AN40"/>
    </sheetView>
  </sheetViews>
  <sheetFormatPr defaultRowHeight="14.4" x14ac:dyDescent="0.3"/>
  <cols>
    <col min="1" max="1" width="14.33203125" style="1" bestFit="1" customWidth="1"/>
    <col min="2" max="5" width="8.88671875" style="1"/>
    <col min="6" max="6" width="16" style="1" customWidth="1"/>
    <col min="7" max="7" width="12.21875" style="1" bestFit="1" customWidth="1"/>
    <col min="8" max="8" width="15.21875" style="1" customWidth="1"/>
    <col min="9" max="14" width="8.88671875" style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3320312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/>
    <col min="32" max="32" width="15.6640625" style="1" customWidth="1"/>
    <col min="33" max="36" width="8.88671875" style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/>
    <col min="41" max="41" width="10.6640625" style="1" customWidth="1"/>
    <col min="42" max="42" width="8.88671875" style="1"/>
    <col min="43" max="43" width="19.5546875" style="1" bestFit="1" customWidth="1"/>
    <col min="44" max="44" width="8.88671875" style="1"/>
    <col min="45" max="45" width="14.44140625" style="1" customWidth="1"/>
    <col min="46" max="46" width="8.88671875" style="1"/>
    <col min="47" max="47" width="12.44140625" style="1" customWidth="1"/>
    <col min="48" max="49" width="12.44140625" style="1" bestFit="1" customWidth="1"/>
    <col min="50" max="16384" width="8.88671875" style="1"/>
  </cols>
  <sheetData>
    <row r="1" spans="1:52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52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52" x14ac:dyDescent="0.3">
      <c r="D3" s="2" t="s">
        <v>8</v>
      </c>
      <c r="E3" s="3">
        <v>391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52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52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2.5</v>
      </c>
      <c r="L5" s="3">
        <f>0.0388</f>
        <v>3.8800000000000001E-2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</row>
    <row r="6" spans="1:52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6">
        <v>1</v>
      </c>
      <c r="P6" s="7">
        <f>AVERAGE(B25:B74)</f>
        <v>72.587129200000021</v>
      </c>
      <c r="Q6" s="8">
        <f>STDEV(B25:B74)</f>
        <v>1.1224662594812272E-2</v>
      </c>
      <c r="R6" s="9">
        <f>AVERAGE(C25:C74)</f>
        <v>72.951905640000007</v>
      </c>
      <c r="S6" s="10">
        <f>STDEV(C25:C74)</f>
        <v>1.4053114890040068E-2</v>
      </c>
      <c r="T6" s="11">
        <f>AVERAGE(D25:D74)</f>
        <v>73.303208160000011</v>
      </c>
      <c r="U6" s="12">
        <f>STDEV(D25:D74)</f>
        <v>9.4353380683296281E-3</v>
      </c>
      <c r="V6" s="13">
        <f>AVERAGE(E25:E74)</f>
        <v>66.934722040000011</v>
      </c>
      <c r="W6" s="14">
        <f>STDEV(E25:E74)</f>
        <v>2.2809150069572431E-2</v>
      </c>
      <c r="X6" s="15">
        <f>AVERAGE(F25:F74)</f>
        <v>56.42693244000003</v>
      </c>
      <c r="Y6" s="16">
        <f>STDEV(F25:F74)</f>
        <v>0.140757250542384</v>
      </c>
      <c r="Z6" s="17">
        <f>AVERAGE(G25:G74)</f>
        <v>40.037824599999993</v>
      </c>
      <c r="AA6" s="18">
        <f>AVERAGE(H25:H74)</f>
        <v>40.176447840000009</v>
      </c>
      <c r="AB6" s="6">
        <f>(T6-R6)/(R6-P6)</f>
        <v>0.963062526735603</v>
      </c>
      <c r="AC6" s="6">
        <f>(3*P6- 4*R6 +T6)/(2*0.005)</f>
        <v>-74.302679999995291</v>
      </c>
      <c r="AD6" s="6">
        <f>-(E$3)*AC6*(1/10000)</f>
        <v>2.9052347879998162</v>
      </c>
      <c r="AE6" s="6">
        <f>(V6)-((0.006*AD6)/(0.0001*391))</f>
        <v>66.488905960000039</v>
      </c>
      <c r="AF6" s="19">
        <v>82</v>
      </c>
      <c r="AG6" s="19">
        <v>52</v>
      </c>
      <c r="AH6" s="6">
        <f>AG6-X6</f>
        <v>-4.4269324400000301</v>
      </c>
      <c r="AI6" s="6">
        <f>AE6-AG6</f>
        <v>14.488905960000039</v>
      </c>
      <c r="AJ6" s="6">
        <f>ABS(AD6*10/AI6)</f>
        <v>2.0051443470061754</v>
      </c>
      <c r="AK6" s="6">
        <f>(AE6-40)</f>
        <v>26.488905960000039</v>
      </c>
      <c r="AL6" s="6">
        <f>AD6*3.45*3.2</f>
        <v>32.073792059517977</v>
      </c>
      <c r="AM6" s="6">
        <f>AK6/AL6</f>
        <v>0.82587384462821545</v>
      </c>
      <c r="AN6" s="6">
        <f>AA6-Z6</f>
        <v>0.13862324000001536</v>
      </c>
      <c r="AO6" s="6">
        <f>L$5</f>
        <v>3.8800000000000001E-2</v>
      </c>
      <c r="AP6" s="6">
        <f>AO6*AN6*K$8</f>
        <v>22.520121628146494</v>
      </c>
      <c r="AQ6" s="6">
        <f>SQRT((($E$2^2)/($E$3^2))+(($E$4^2)/($E$1^2))+(9*($E$5^2)/(AR6^2))+(16*($E$6^2)/(AR6^2))+(($E$7^2)/(AR6^2)))</f>
        <v>0.31562223713192444</v>
      </c>
      <c r="AR6" s="6">
        <f>3*P6- 4*R6 +T6</f>
        <v>-0.74302679999995291</v>
      </c>
      <c r="AS6" s="6">
        <f>SQRT((($E$2^2)/(E$3^2))+(($E$4^2)/($E$1^2))+(9*(Q6^2)/(AR6^2))+(16*(S6^2)/(AR6^2))+((U6^2)/(AR6^2)))</f>
        <v>9.204568497735191E-2</v>
      </c>
      <c r="AT6" s="6">
        <f>SQRT(AS6^2 + AQ6^2)</f>
        <v>0.32877013960381296</v>
      </c>
      <c r="AU6" s="6">
        <f>AT6*100</f>
        <v>32.877013960381298</v>
      </c>
      <c r="AV6" s="6">
        <f>AT6*AD6</f>
        <v>0.95515444683255346</v>
      </c>
      <c r="AW6" s="6">
        <f t="shared" ref="AW6:AW30" si="0">AT6*AL6</f>
        <v>10.544905093031392</v>
      </c>
      <c r="AX6" s="20">
        <f xml:space="preserve"> (AE6-X6)/ AL6</f>
        <v>0.31371324916394144</v>
      </c>
      <c r="AY6" s="20">
        <f>(X6-(AVERAGE(Z6:AA6)))/AL6</f>
        <v>0.50882029133680462</v>
      </c>
      <c r="AZ6" s="20">
        <f xml:space="preserve"> SUM(AX6:AY6)</f>
        <v>0.82253354050074612</v>
      </c>
    </row>
    <row r="7" spans="1:52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6">
        <v>2</v>
      </c>
      <c r="P7" s="7">
        <f>AVERAGE(B75:B124)</f>
        <v>79.982884999999982</v>
      </c>
      <c r="Q7" s="8">
        <f>STDEV(B75:B124)</f>
        <v>9.1353582550987925E-3</v>
      </c>
      <c r="R7" s="9">
        <f>AVERAGE(C75:C124)</f>
        <v>80.570236740000041</v>
      </c>
      <c r="S7" s="10">
        <f>STDEV(C75:C124)</f>
        <v>1.3555294707399039E-2</v>
      </c>
      <c r="T7" s="11">
        <f>AVERAGE(D75:D124)</f>
        <v>81.183123779999974</v>
      </c>
      <c r="U7" s="12">
        <f>STDEV(D75:D124)</f>
        <v>1.1130528168867084E-2</v>
      </c>
      <c r="V7" s="13">
        <f>AVERAGE(E75:E124)</f>
        <v>71.627654960000001</v>
      </c>
      <c r="W7" s="14">
        <f>STDEV(E75:E124)</f>
        <v>3.6958352163637603E-2</v>
      </c>
      <c r="X7" s="15">
        <f>AVERAGE(F75:F124)</f>
        <v>57.815780220000008</v>
      </c>
      <c r="Y7" s="16">
        <f>STDEV(F75:F124)</f>
        <v>0.23070577067898262</v>
      </c>
      <c r="Z7" s="17">
        <f>AVERAGE(G75:G124)</f>
        <v>40.042390320000003</v>
      </c>
      <c r="AA7" s="18">
        <f>AVERAGE(H75:H124)</f>
        <v>40.34853051999999</v>
      </c>
      <c r="AB7" s="6">
        <f t="shared" ref="AB7:AB30" si="1">(T7-R7)/(R7-P7)</f>
        <v>1.043475311743983</v>
      </c>
      <c r="AC7" s="6">
        <f>(3*P7- 4*R7 +T7)/(2*0.005)</f>
        <v>-114.91681800002453</v>
      </c>
      <c r="AD7" s="6">
        <f t="shared" ref="AD7:AD30" si="2">-(E$3)*AC7*(1/10000)</f>
        <v>4.4932475838009598</v>
      </c>
      <c r="AE7" s="6">
        <f>(V7)-((0.006*AD7)/(0.0001*391))</f>
        <v>70.938154051999859</v>
      </c>
      <c r="AF7" s="19">
        <v>71</v>
      </c>
      <c r="AG7" s="19">
        <v>68</v>
      </c>
      <c r="AH7" s="6">
        <f t="shared" ref="AH7:AH30" si="3">AG7-X7</f>
        <v>10.184219779999992</v>
      </c>
      <c r="AI7" s="6">
        <f t="shared" ref="AI7:AI30" si="4">AE7-AG7</f>
        <v>2.9381540519998595</v>
      </c>
      <c r="AJ7" s="6">
        <f t="shared" ref="AJ7:AJ30" si="5">ABS(AD7*10/AI7)</f>
        <v>15.292756963313829</v>
      </c>
      <c r="AK7" s="6">
        <f t="shared" ref="AK7:AK30" si="6">(AE7-40)</f>
        <v>30.938154051999859</v>
      </c>
      <c r="AL7" s="6">
        <f t="shared" ref="AL7:AL30" si="7">AD7*3.45*3.2</f>
        <v>49.6054533251626</v>
      </c>
      <c r="AM7" s="6">
        <f t="shared" ref="AM7:AM30" si="8">AK7/AL7</f>
        <v>0.62368453422249714</v>
      </c>
      <c r="AN7" s="6">
        <f t="shared" ref="AN7:AN30" si="9">AA7-Z7</f>
        <v>0.30614019999998732</v>
      </c>
      <c r="AO7" s="6">
        <f t="shared" ref="AO7:AO30" si="10">L$5</f>
        <v>3.8800000000000001E-2</v>
      </c>
      <c r="AP7" s="6">
        <f t="shared" ref="AP7:AP30" si="11">AO7*AN7*K$8</f>
        <v>49.734189875117941</v>
      </c>
      <c r="AQ7" s="6">
        <f t="shared" ref="AQ7:AQ30" si="12">SQRT((($E$2^2)/($E$3^2))+(($E$4^2)/($E$1^2))+(9*($E$5^2)/(AR7^2))+(16*($E$6^2)/(AR7^2))+(($E$7^2)/(AR7^2)))</f>
        <v>0.20483408735259959</v>
      </c>
      <c r="AR7" s="6">
        <f t="shared" ref="AR7:AR30" si="13">3*P7- 4*R7 +T7</f>
        <v>-1.1491681800002453</v>
      </c>
      <c r="AS7" s="6">
        <f t="shared" ref="AS7:AS30" si="14">SQRT((($E$2^2)/(E$3^2))+(($E$4^2)/($E$1^2))+(9*(Q7^2)/(AR7^2))+(16*(S7^2)/(AR7^2))+((U7^2)/(AR7^2)))</f>
        <v>5.8503225226736913E-2</v>
      </c>
      <c r="AT7" s="6">
        <f t="shared" ref="AT7:AT30" si="15">SQRT(AS7^2 + AQ7^2)</f>
        <v>0.2130249532414048</v>
      </c>
      <c r="AU7" s="6">
        <f t="shared" ref="AU7:AU30" si="16">AT7*100</f>
        <v>21.30249532414048</v>
      </c>
      <c r="AV7" s="6">
        <f t="shared" ref="AV7:AV30" si="17">AT7*AD7</f>
        <v>0.95717385644125452</v>
      </c>
      <c r="AW7" s="6">
        <f t="shared" si="0"/>
        <v>10.567199375111452</v>
      </c>
      <c r="AX7" s="20">
        <f t="shared" ref="AX7:AX30" si="18" xml:space="preserve"> (AE7-X7)/ AL7</f>
        <v>0.26453490397483104</v>
      </c>
      <c r="AY7" s="20">
        <f t="shared" ref="AY7:AY30" si="19">(X7-(AVERAGE(Z7:AA7)))/AL7</f>
        <v>0.35520932919409531</v>
      </c>
      <c r="AZ7" s="20">
        <f t="shared" ref="AZ7:AZ30" si="20" xml:space="preserve"> SUM(AX7:AY7)</f>
        <v>0.61974423316892635</v>
      </c>
    </row>
    <row r="8" spans="1:52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6">
        <v>3</v>
      </c>
      <c r="P8" s="7">
        <f>AVERAGE(B125:B174)</f>
        <v>85.091079019999967</v>
      </c>
      <c r="Q8" s="8">
        <f>STDEV(B125:B174)</f>
        <v>1.8278402233895132E-2</v>
      </c>
      <c r="R8" s="9">
        <f>AVERAGE(C125:C174)</f>
        <v>85.928763739999994</v>
      </c>
      <c r="S8" s="10">
        <f>STDEV(C125:C174)</f>
        <v>1.3449523069930859E-2</v>
      </c>
      <c r="T8" s="11">
        <f>AVERAGE(D125:D174)</f>
        <v>86.759990739999978</v>
      </c>
      <c r="U8" s="12">
        <f>STDEV(D125:D174)</f>
        <v>1.2471812382917719E-2</v>
      </c>
      <c r="V8" s="13">
        <f>AVERAGE(E125:E174)</f>
        <v>74.403676500000032</v>
      </c>
      <c r="W8" s="14">
        <f>STDEV(E125:E174)</f>
        <v>2.8583733773935006E-2</v>
      </c>
      <c r="X8" s="15">
        <f>AVERAGE(F125:F174)</f>
        <v>59.808875780000022</v>
      </c>
      <c r="Y8" s="16">
        <f>STDEV(F125:F174)</f>
        <v>0.28940843805649008</v>
      </c>
      <c r="Z8" s="17">
        <f>AVERAGE(G125:G174)</f>
        <v>39.96190576</v>
      </c>
      <c r="AA8" s="18">
        <f>AVERAGE(H125:H174)</f>
        <v>40.394275720000017</v>
      </c>
      <c r="AB8" s="6">
        <f t="shared" si="1"/>
        <v>0.99229098986066899</v>
      </c>
      <c r="AC8" s="6">
        <f t="shared" ref="AC8:AC30" si="21">(3*P8- 4*R8 +T8)/(2*0.005)</f>
        <v>-168.18271600000969</v>
      </c>
      <c r="AD8" s="6">
        <f t="shared" si="2"/>
        <v>6.5759441956003792</v>
      </c>
      <c r="AE8" s="6">
        <f t="shared" ref="AE8:AE30" si="22">(V8)-((0.006*AD8)/(0.0001*391))</f>
        <v>73.394580203999979</v>
      </c>
      <c r="AF8" s="19">
        <v>71</v>
      </c>
      <c r="AG8" s="19">
        <v>68</v>
      </c>
      <c r="AH8" s="6">
        <f t="shared" si="3"/>
        <v>8.1911242199999776</v>
      </c>
      <c r="AI8" s="6">
        <f t="shared" si="4"/>
        <v>5.3945802039999791</v>
      </c>
      <c r="AJ8" s="6">
        <f t="shared" si="5"/>
        <v>12.189909032633237</v>
      </c>
      <c r="AK8" s="6">
        <f t="shared" si="6"/>
        <v>33.394580203999979</v>
      </c>
      <c r="AL8" s="6">
        <f t="shared" si="7"/>
        <v>72.5984239194282</v>
      </c>
      <c r="AM8" s="6">
        <f t="shared" si="8"/>
        <v>0.45999042955894243</v>
      </c>
      <c r="AN8" s="6">
        <f t="shared" si="9"/>
        <v>0.43236996000001682</v>
      </c>
      <c r="AO8" s="6">
        <f t="shared" si="10"/>
        <v>3.8800000000000001E-2</v>
      </c>
      <c r="AP8" s="6">
        <f t="shared" si="11"/>
        <v>70.240921273778739</v>
      </c>
      <c r="AQ8" s="6">
        <f t="shared" si="12"/>
        <v>0.14097319548500306</v>
      </c>
      <c r="AR8" s="6">
        <f t="shared" si="13"/>
        <v>-1.6818271600000969</v>
      </c>
      <c r="AS8" s="6">
        <f t="shared" si="14"/>
        <v>5.1721334476699951E-2</v>
      </c>
      <c r="AT8" s="6">
        <f t="shared" si="15"/>
        <v>0.15016170712036928</v>
      </c>
      <c r="AU8" s="6">
        <f t="shared" si="16"/>
        <v>15.016170712036928</v>
      </c>
      <c r="AV8" s="6">
        <f t="shared" si="17"/>
        <v>0.98745500633963645</v>
      </c>
      <c r="AW8" s="6">
        <f t="shared" si="0"/>
        <v>10.901503269989588</v>
      </c>
      <c r="AX8" s="20">
        <f t="shared" si="18"/>
        <v>0.18713497746284077</v>
      </c>
      <c r="AY8" s="20">
        <f t="shared" si="19"/>
        <v>0.27040235834577919</v>
      </c>
      <c r="AZ8" s="20">
        <f t="shared" si="20"/>
        <v>0.45753733580861999</v>
      </c>
    </row>
    <row r="9" spans="1:52" x14ac:dyDescent="0.25">
      <c r="O9" s="6">
        <v>4</v>
      </c>
      <c r="P9" s="7">
        <f>AVERAGE(B175:B224)</f>
        <v>91.737184880000044</v>
      </c>
      <c r="Q9" s="8">
        <f>STDEV(B175:B224)</f>
        <v>1.708246918375278E-2</v>
      </c>
      <c r="R9" s="9">
        <f>AVERAGE(C175:C224)</f>
        <v>92.911760439999995</v>
      </c>
      <c r="S9" s="10">
        <f>STDEV(C175:C224)</f>
        <v>1.7331310105289988E-2</v>
      </c>
      <c r="T9" s="11">
        <f>AVERAGE(D175:D224)</f>
        <v>94.09049280000005</v>
      </c>
      <c r="U9" s="12">
        <f>STDEV(D175:D224)</f>
        <v>1.6979988709402274E-2</v>
      </c>
      <c r="V9" s="13">
        <f>AVERAGE(E175:E224)</f>
        <v>77.591848520000028</v>
      </c>
      <c r="W9" s="14">
        <f>STDEV(E175:E224)</f>
        <v>0.24818169600896581</v>
      </c>
      <c r="X9" s="15">
        <f>AVERAGE(F175:F224)</f>
        <v>60.80934404000002</v>
      </c>
      <c r="Y9" s="16">
        <f>STDEV(F175:F224)</f>
        <v>0.5955255532625725</v>
      </c>
      <c r="Z9" s="17">
        <f>AVERAGE(G175:G224)</f>
        <v>39.987874659999981</v>
      </c>
      <c r="AA9" s="18">
        <f>AVERAGE(H175:H224)</f>
        <v>40.619592779999998</v>
      </c>
      <c r="AB9" s="6">
        <f t="shared" si="1"/>
        <v>1.0035389804978607</v>
      </c>
      <c r="AC9" s="6">
        <f t="shared" si="21"/>
        <v>-234.49943199997847</v>
      </c>
      <c r="AD9" s="6">
        <f t="shared" si="2"/>
        <v>9.1689277911991578</v>
      </c>
      <c r="AE9" s="6">
        <f t="shared" si="22"/>
        <v>76.184851928000157</v>
      </c>
      <c r="AF9" s="19">
        <v>67</v>
      </c>
      <c r="AG9" s="19">
        <v>70.599999999999994</v>
      </c>
      <c r="AH9" s="6">
        <f t="shared" si="3"/>
        <v>9.7906559599999738</v>
      </c>
      <c r="AI9" s="6">
        <f t="shared" si="4"/>
        <v>5.5848519280001625</v>
      </c>
      <c r="AJ9" s="6">
        <f t="shared" si="5"/>
        <v>16.417494876148652</v>
      </c>
      <c r="AK9" s="6">
        <f t="shared" si="6"/>
        <v>36.184851928000157</v>
      </c>
      <c r="AL9" s="6">
        <f t="shared" si="7"/>
        <v>101.2249628148387</v>
      </c>
      <c r="AM9" s="6">
        <f t="shared" si="8"/>
        <v>0.35746964900535155</v>
      </c>
      <c r="AN9" s="6">
        <f t="shared" si="9"/>
        <v>0.63171812000001637</v>
      </c>
      <c r="AO9" s="6">
        <f t="shared" si="10"/>
        <v>3.8800000000000001E-2</v>
      </c>
      <c r="AP9" s="6">
        <f t="shared" si="11"/>
        <v>102.62614621547466</v>
      </c>
      <c r="AQ9" s="6">
        <f t="shared" si="12"/>
        <v>0.10237979965224622</v>
      </c>
      <c r="AR9" s="6">
        <f t="shared" si="13"/>
        <v>-2.3449943199997847</v>
      </c>
      <c r="AS9" s="6">
        <f t="shared" si="14"/>
        <v>4.4020745594674546E-2</v>
      </c>
      <c r="AT9" s="6">
        <f t="shared" si="15"/>
        <v>0.11144258351072597</v>
      </c>
      <c r="AU9" s="6">
        <f t="shared" si="16"/>
        <v>11.144258351072597</v>
      </c>
      <c r="AV9" s="6">
        <f t="shared" si="17"/>
        <v>1.0218090010745284</v>
      </c>
      <c r="AW9" s="6">
        <f t="shared" si="0"/>
        <v>11.280771371862794</v>
      </c>
      <c r="AX9" s="20">
        <f t="shared" si="18"/>
        <v>0.15189442861169636</v>
      </c>
      <c r="AY9" s="20">
        <f t="shared" si="19"/>
        <v>0.20257463919753682</v>
      </c>
      <c r="AZ9" s="20">
        <f t="shared" si="20"/>
        <v>0.35446906780923315</v>
      </c>
    </row>
    <row r="10" spans="1:52" x14ac:dyDescent="0.25">
      <c r="O10" s="6">
        <v>5</v>
      </c>
      <c r="P10" s="7">
        <f>AVERAGE(B225:B274)</f>
        <v>96.957897300000027</v>
      </c>
      <c r="Q10" s="8">
        <f>STDEV(B225:B274)</f>
        <v>2.2190276868946833E-2</v>
      </c>
      <c r="R10" s="9">
        <f>AVERAGE(C225:C274)</f>
        <v>98.509940539999974</v>
      </c>
      <c r="S10" s="10">
        <f>STDEV(C225:C274)</f>
        <v>1.2145205995026012E-2</v>
      </c>
      <c r="T10" s="11">
        <f>AVERAGE(D225:D274)</f>
        <v>100.05692522</v>
      </c>
      <c r="U10" s="12">
        <f>STDEV(D225:D274)</f>
        <v>1.1679888300223625E-2</v>
      </c>
      <c r="V10" s="13">
        <f>AVERAGE(E225:E274)</f>
        <v>78.733711900000017</v>
      </c>
      <c r="W10" s="14">
        <f>STDEV(E225:E274)</f>
        <v>6.525043889577925E-2</v>
      </c>
      <c r="X10" s="15">
        <f>AVERAGE(F225:F274)</f>
        <v>60.02056103999999</v>
      </c>
      <c r="Y10" s="16">
        <f>STDEV(F225:F274)</f>
        <v>0.28852324036410365</v>
      </c>
      <c r="Z10" s="17">
        <f>AVERAGE(G225:G274)</f>
        <v>39.975901780000001</v>
      </c>
      <c r="AA10" s="18">
        <f>AVERAGE(H225:H274)</f>
        <v>40.810885819999996</v>
      </c>
      <c r="AB10" s="6">
        <f t="shared" si="1"/>
        <v>0.9967407093632753</v>
      </c>
      <c r="AC10" s="6">
        <f t="shared" si="21"/>
        <v>-310.91450399998024</v>
      </c>
      <c r="AD10" s="6">
        <f t="shared" si="2"/>
        <v>12.156757106399228</v>
      </c>
      <c r="AE10" s="6">
        <f t="shared" si="22"/>
        <v>76.868224876000141</v>
      </c>
      <c r="AF10" s="19">
        <v>67</v>
      </c>
      <c r="AG10" s="19">
        <v>70.599999999999994</v>
      </c>
      <c r="AH10" s="6">
        <f t="shared" si="3"/>
        <v>10.579438960000004</v>
      </c>
      <c r="AI10" s="6">
        <f t="shared" si="4"/>
        <v>6.2682248760001471</v>
      </c>
      <c r="AJ10" s="6">
        <f t="shared" si="5"/>
        <v>19.394258098405437</v>
      </c>
      <c r="AK10" s="6">
        <f t="shared" si="6"/>
        <v>36.868224876000141</v>
      </c>
      <c r="AL10" s="6">
        <f t="shared" si="7"/>
        <v>134.21059845464751</v>
      </c>
      <c r="AM10" s="6">
        <f t="shared" si="8"/>
        <v>0.27470427298972716</v>
      </c>
      <c r="AN10" s="6">
        <f t="shared" si="9"/>
        <v>0.83498403999999482</v>
      </c>
      <c r="AO10" s="6">
        <f t="shared" si="10"/>
        <v>3.8800000000000001E-2</v>
      </c>
      <c r="AP10" s="6">
        <f t="shared" si="11"/>
        <v>135.64783320862315</v>
      </c>
      <c r="AQ10" s="6">
        <f t="shared" si="12"/>
        <v>7.8693582664663725E-2</v>
      </c>
      <c r="AR10" s="6">
        <f t="shared" si="13"/>
        <v>-3.1091450399998024</v>
      </c>
      <c r="AS10" s="6">
        <f t="shared" si="14"/>
        <v>3.5362758995097006E-2</v>
      </c>
      <c r="AT10" s="6">
        <f t="shared" si="15"/>
        <v>8.6274009274784361E-2</v>
      </c>
      <c r="AU10" s="6">
        <f t="shared" si="16"/>
        <v>8.6274009274784369</v>
      </c>
      <c r="AV10" s="6">
        <f t="shared" si="17"/>
        <v>1.0488121753487876</v>
      </c>
      <c r="AW10" s="6">
        <f t="shared" si="0"/>
        <v>11.578886415850619</v>
      </c>
      <c r="AX10" s="20">
        <f t="shared" si="18"/>
        <v>0.12553154542182687</v>
      </c>
      <c r="AY10" s="20">
        <f t="shared" si="19"/>
        <v>0.14624155965322225</v>
      </c>
      <c r="AZ10" s="20">
        <f t="shared" si="20"/>
        <v>0.27177310507504915</v>
      </c>
    </row>
    <row r="11" spans="1:52" x14ac:dyDescent="0.25">
      <c r="O11" s="6">
        <v>6</v>
      </c>
      <c r="P11" s="7">
        <f>AVERAGE(B275:B324)</f>
        <v>104.66145923999994</v>
      </c>
      <c r="Q11" s="8">
        <f>STDEV(B275:B324)</f>
        <v>2.8203857229731379E-2</v>
      </c>
      <c r="R11" s="9">
        <f>AVERAGE(C275:C324)</f>
        <v>106.60404591999999</v>
      </c>
      <c r="S11" s="10">
        <f>STDEV(C275:C324)</f>
        <v>2.7150505181032444E-2</v>
      </c>
      <c r="T11" s="11">
        <f>AVERAGE(D275:D324)</f>
        <v>108.53651564000002</v>
      </c>
      <c r="U11" s="12">
        <f>STDEV(D275:D324)</f>
        <v>2.1009170458089772E-2</v>
      </c>
      <c r="V11" s="13">
        <f>AVERAGE(E275:E324)</f>
        <v>82.488694959999975</v>
      </c>
      <c r="W11" s="14">
        <f>STDEV(E275:E324)</f>
        <v>0.25212787096516437</v>
      </c>
      <c r="X11" s="15">
        <f>AVERAGE(F275:F324)</f>
        <v>61.053002320000012</v>
      </c>
      <c r="Y11" s="16">
        <f>STDEV(F275:F324)</f>
        <v>0.34120998497313193</v>
      </c>
      <c r="Z11" s="17">
        <f>AVERAGE(G275:G324)</f>
        <v>39.962456079999988</v>
      </c>
      <c r="AA11" s="18">
        <f>AVERAGE(H275:H324)</f>
        <v>41.069052419999977</v>
      </c>
      <c r="AB11" s="6">
        <f t="shared" si="1"/>
        <v>0.99479201617916024</v>
      </c>
      <c r="AC11" s="6">
        <f t="shared" si="21"/>
        <v>-389.52903200001145</v>
      </c>
      <c r="AD11" s="6">
        <f t="shared" si="2"/>
        <v>15.230585151200449</v>
      </c>
      <c r="AE11" s="6">
        <f t="shared" si="22"/>
        <v>80.151520767999912</v>
      </c>
      <c r="AF11" s="19">
        <v>64</v>
      </c>
      <c r="AG11" s="19">
        <v>73</v>
      </c>
      <c r="AH11" s="6">
        <f t="shared" si="3"/>
        <v>11.946997679999988</v>
      </c>
      <c r="AI11" s="6">
        <f t="shared" si="4"/>
        <v>7.1515207679999122</v>
      </c>
      <c r="AJ11" s="6">
        <f t="shared" si="5"/>
        <v>21.296987934861349</v>
      </c>
      <c r="AK11" s="6">
        <f t="shared" si="6"/>
        <v>40.151520767999912</v>
      </c>
      <c r="AL11" s="6">
        <f t="shared" si="7"/>
        <v>168.14566006925298</v>
      </c>
      <c r="AM11" s="6">
        <f t="shared" si="8"/>
        <v>0.23879011061875152</v>
      </c>
      <c r="AN11" s="6">
        <f t="shared" si="9"/>
        <v>1.1065963399999887</v>
      </c>
      <c r="AO11" s="6">
        <f t="shared" si="10"/>
        <v>3.8800000000000001E-2</v>
      </c>
      <c r="AP11" s="6">
        <f t="shared" si="11"/>
        <v>179.77277237250217</v>
      </c>
      <c r="AQ11" s="6">
        <f t="shared" si="12"/>
        <v>6.4335348307128393E-2</v>
      </c>
      <c r="AR11" s="6">
        <f t="shared" si="13"/>
        <v>-3.8952903200001145</v>
      </c>
      <c r="AS11" s="6">
        <f t="shared" si="14"/>
        <v>4.2568188654893244E-2</v>
      </c>
      <c r="AT11" s="6">
        <f t="shared" si="15"/>
        <v>7.7143293468441634E-2</v>
      </c>
      <c r="AU11" s="6">
        <f t="shared" si="16"/>
        <v>7.7143293468441634</v>
      </c>
      <c r="AV11" s="6">
        <f t="shared" si="17"/>
        <v>1.1749375000151459</v>
      </c>
      <c r="AW11" s="6">
        <f t="shared" si="0"/>
        <v>12.971310000167211</v>
      </c>
      <c r="AX11" s="20">
        <f t="shared" si="18"/>
        <v>0.11358317806200842</v>
      </c>
      <c r="AY11" s="20">
        <f t="shared" si="19"/>
        <v>0.12213962621183022</v>
      </c>
      <c r="AZ11" s="20">
        <f t="shared" si="20"/>
        <v>0.23572280427383863</v>
      </c>
    </row>
    <row r="12" spans="1:52" x14ac:dyDescent="0.25">
      <c r="O12" s="6">
        <v>7</v>
      </c>
      <c r="P12" s="7">
        <f>AVERAGE(B325:B374)</f>
        <v>111.38759576000001</v>
      </c>
      <c r="Q12" s="8">
        <f>STDEV(B325:B374)</f>
        <v>3.8787397101383819E-2</v>
      </c>
      <c r="R12" s="9">
        <f>AVERAGE(C325:C374)</f>
        <v>113.77244357999999</v>
      </c>
      <c r="S12" s="10">
        <f>STDEV(C325:C374)</f>
        <v>2.7321101191010153E-2</v>
      </c>
      <c r="T12" s="11">
        <f>AVERAGE(D325:D374)</f>
        <v>116.12091313999997</v>
      </c>
      <c r="U12" s="12">
        <f>STDEV(D325:D374)</f>
        <v>2.2014130308165212E-2</v>
      </c>
      <c r="V12" s="13">
        <f>AVERAGE(E325:E374)</f>
        <v>84.503554359999995</v>
      </c>
      <c r="W12" s="14">
        <f>STDEV(E325:E374)</f>
        <v>0.14481572138576665</v>
      </c>
      <c r="X12" s="15">
        <f>AVERAGE(F325:F374)</f>
        <v>62.739490080000024</v>
      </c>
      <c r="Y12" s="16">
        <f>STDEV(F325:F374)</f>
        <v>0.18133621438832218</v>
      </c>
      <c r="Z12" s="17">
        <f>AVERAGE(G325:G374)</f>
        <v>39.986737600000033</v>
      </c>
      <c r="AA12" s="18">
        <f>AVERAGE(H325:H374)</f>
        <v>41.331737920000002</v>
      </c>
      <c r="AB12" s="6">
        <f t="shared" si="1"/>
        <v>0.9847460874883025</v>
      </c>
      <c r="AC12" s="6">
        <f t="shared" si="21"/>
        <v>-480.60738999999444</v>
      </c>
      <c r="AD12" s="6">
        <f t="shared" si="2"/>
        <v>18.791748948999782</v>
      </c>
      <c r="AE12" s="6">
        <f t="shared" si="22"/>
        <v>81.619910020000034</v>
      </c>
      <c r="AF12" s="19">
        <v>64</v>
      </c>
      <c r="AG12" s="19">
        <v>73</v>
      </c>
      <c r="AH12" s="6">
        <f t="shared" si="3"/>
        <v>10.260509919999976</v>
      </c>
      <c r="AI12" s="6">
        <f t="shared" si="4"/>
        <v>8.6199100200000345</v>
      </c>
      <c r="AJ12" s="6">
        <f t="shared" si="5"/>
        <v>21.800400358471151</v>
      </c>
      <c r="AK12" s="6">
        <f t="shared" si="6"/>
        <v>41.619910020000034</v>
      </c>
      <c r="AL12" s="6">
        <f t="shared" si="7"/>
        <v>207.46090839695762</v>
      </c>
      <c r="AM12" s="6">
        <f t="shared" si="8"/>
        <v>0.2006156742568779</v>
      </c>
      <c r="AN12" s="6">
        <f t="shared" si="9"/>
        <v>1.3450003199999685</v>
      </c>
      <c r="AO12" s="6">
        <f t="shared" si="10"/>
        <v>3.8800000000000001E-2</v>
      </c>
      <c r="AP12" s="6">
        <f t="shared" si="11"/>
        <v>218.50283398578691</v>
      </c>
      <c r="AQ12" s="6">
        <f t="shared" si="12"/>
        <v>5.3871010180145E-2</v>
      </c>
      <c r="AR12" s="6">
        <f t="shared" si="13"/>
        <v>-4.8060738999999444</v>
      </c>
      <c r="AS12" s="6">
        <f t="shared" si="14"/>
        <v>4.0719212021988006E-2</v>
      </c>
      <c r="AT12" s="6">
        <f t="shared" si="15"/>
        <v>6.7528808411824501E-2</v>
      </c>
      <c r="AU12" s="6">
        <f t="shared" si="16"/>
        <v>6.7528808411824501</v>
      </c>
      <c r="AV12" s="6">
        <f t="shared" si="17"/>
        <v>1.2689844145001108</v>
      </c>
      <c r="AW12" s="6">
        <f t="shared" si="0"/>
        <v>14.009587936081225</v>
      </c>
      <c r="AX12" s="20">
        <f t="shared" si="18"/>
        <v>9.1007120743316322E-2</v>
      </c>
      <c r="AY12" s="20">
        <f t="shared" si="19"/>
        <v>0.10643090542027053</v>
      </c>
      <c r="AZ12" s="20">
        <f t="shared" si="20"/>
        <v>0.19743802616358685</v>
      </c>
    </row>
    <row r="13" spans="1:52" x14ac:dyDescent="0.25">
      <c r="O13" s="6">
        <v>8</v>
      </c>
      <c r="P13" s="7">
        <f>AVERAGE(B375:B424)</f>
        <v>119.50275744000002</v>
      </c>
      <c r="Q13" s="8">
        <f>STDEV(B375:B424)</f>
        <v>1.6591873796776735E-2</v>
      </c>
      <c r="R13" s="9">
        <f>AVERAGE(C375:C424)</f>
        <v>122.44357291999995</v>
      </c>
      <c r="S13" s="10">
        <f>STDEV(C375:C424)</f>
        <v>1.0647836487802672E-2</v>
      </c>
      <c r="T13" s="11">
        <f>AVERAGE(D375:D424)</f>
        <v>125.30596871999997</v>
      </c>
      <c r="U13" s="12">
        <f>STDEV(D375:D424)</f>
        <v>1.3222309892738048E-2</v>
      </c>
      <c r="V13" s="13">
        <f>AVERAGE(E375:E424)</f>
        <v>87.035049280000024</v>
      </c>
      <c r="W13" s="14">
        <f>STDEV(E375:E424)</f>
        <v>0.15196642361175805</v>
      </c>
      <c r="X13" s="15">
        <f>AVERAGE(F375:F424)</f>
        <v>64.026923719999971</v>
      </c>
      <c r="Y13" s="16">
        <f>STDEV(F375:F424)</f>
        <v>0.20051458486024126</v>
      </c>
      <c r="Z13" s="17">
        <f>AVERAGE(G375:G424)</f>
        <v>40.011122000000007</v>
      </c>
      <c r="AA13" s="18">
        <f>AVERAGE(H375:H424)</f>
        <v>41.640108520000013</v>
      </c>
      <c r="AB13" s="6">
        <f t="shared" si="1"/>
        <v>0.97333403590492773</v>
      </c>
      <c r="AC13" s="6">
        <f t="shared" si="21"/>
        <v>-596.00506399997778</v>
      </c>
      <c r="AD13" s="6">
        <f t="shared" si="2"/>
        <v>23.303798002399134</v>
      </c>
      <c r="AE13" s="6">
        <f t="shared" si="22"/>
        <v>83.45901889600016</v>
      </c>
      <c r="AF13" s="19">
        <v>61</v>
      </c>
      <c r="AG13" s="19">
        <v>75</v>
      </c>
      <c r="AH13" s="6">
        <f t="shared" si="3"/>
        <v>10.973076280000029</v>
      </c>
      <c r="AI13" s="6">
        <f t="shared" si="4"/>
        <v>8.4590188960001598</v>
      </c>
      <c r="AJ13" s="6">
        <f t="shared" si="5"/>
        <v>27.549055379718226</v>
      </c>
      <c r="AK13" s="6">
        <f t="shared" si="6"/>
        <v>43.45901889600016</v>
      </c>
      <c r="AL13" s="6">
        <f t="shared" si="7"/>
        <v>257.27392994648648</v>
      </c>
      <c r="AM13" s="6">
        <f t="shared" si="8"/>
        <v>0.16892119191804519</v>
      </c>
      <c r="AN13" s="6">
        <f t="shared" si="9"/>
        <v>1.6289865200000051</v>
      </c>
      <c r="AO13" s="6">
        <f t="shared" si="10"/>
        <v>3.8800000000000001E-2</v>
      </c>
      <c r="AP13" s="6">
        <f t="shared" si="11"/>
        <v>264.63798249851283</v>
      </c>
      <c r="AQ13" s="6">
        <f t="shared" si="12"/>
        <v>4.5538866594444068E-2</v>
      </c>
      <c r="AR13" s="6">
        <f t="shared" si="13"/>
        <v>-5.9600506399997784</v>
      </c>
      <c r="AS13" s="6">
        <f t="shared" si="14"/>
        <v>2.5681921937868155E-2</v>
      </c>
      <c r="AT13" s="6">
        <f t="shared" si="15"/>
        <v>5.2281444941100541E-2</v>
      </c>
      <c r="AU13" s="6">
        <f t="shared" si="16"/>
        <v>5.2281444941100546</v>
      </c>
      <c r="AV13" s="6">
        <f t="shared" si="17"/>
        <v>1.2183562321809591</v>
      </c>
      <c r="AW13" s="6">
        <f t="shared" si="0"/>
        <v>13.450652803277791</v>
      </c>
      <c r="AX13" s="20">
        <f t="shared" si="18"/>
        <v>7.553075890760523E-2</v>
      </c>
      <c r="AY13" s="20">
        <f t="shared" si="19"/>
        <v>9.0181342761102484E-2</v>
      </c>
      <c r="AZ13" s="20">
        <f t="shared" si="20"/>
        <v>0.1657121016687077</v>
      </c>
    </row>
    <row r="14" spans="1:52" x14ac:dyDescent="0.25">
      <c r="O14" s="6">
        <v>9</v>
      </c>
      <c r="P14" s="7">
        <f>AVERAGE(B425:B474)</f>
        <v>128.57312462000002</v>
      </c>
      <c r="Q14" s="8">
        <f>STDEV(B425:B474)</f>
        <v>1.4702923903146214E-2</v>
      </c>
      <c r="R14" s="9">
        <f>AVERAGE(C425:C474)</f>
        <v>132.08196691999999</v>
      </c>
      <c r="S14" s="10">
        <f>STDEV(C425:C474)</f>
        <v>1.5223207992574955E-2</v>
      </c>
      <c r="T14" s="11">
        <f>AVERAGE(D425:D474)</f>
        <v>135.44303832000003</v>
      </c>
      <c r="U14" s="12">
        <f>STDEV(D425:D474)</f>
        <v>1.2280369254968886E-2</v>
      </c>
      <c r="V14" s="13">
        <f>AVERAGE(E425:E474)</f>
        <v>89.986730280000018</v>
      </c>
      <c r="W14" s="14">
        <f>STDEV(E425:E474)</f>
        <v>0.13052778889257646</v>
      </c>
      <c r="X14" s="15">
        <f>AVERAGE(F425:F474)</f>
        <v>65.239562020000008</v>
      </c>
      <c r="Y14" s="16">
        <f>STDEV(F425:F474)</f>
        <v>0.18511254366041102</v>
      </c>
      <c r="Z14" s="17">
        <f>AVERAGE(G425:G474)</f>
        <v>40.038732439999997</v>
      </c>
      <c r="AA14" s="18">
        <f>AVERAGE(H425:H474)</f>
        <v>41.943490839999988</v>
      </c>
      <c r="AB14" s="6">
        <f t="shared" si="1"/>
        <v>0.95788613811457757</v>
      </c>
      <c r="AC14" s="6">
        <f t="shared" si="21"/>
        <v>-716.54554999998936</v>
      </c>
      <c r="AD14" s="6">
        <f t="shared" si="2"/>
        <v>28.016931004999584</v>
      </c>
      <c r="AE14" s="6">
        <f t="shared" si="22"/>
        <v>85.687456980000078</v>
      </c>
      <c r="AF14" s="19">
        <v>61</v>
      </c>
      <c r="AG14" s="19">
        <v>75</v>
      </c>
      <c r="AH14" s="6">
        <f t="shared" si="3"/>
        <v>9.7604379799999919</v>
      </c>
      <c r="AI14" s="6">
        <f t="shared" si="4"/>
        <v>10.687456980000078</v>
      </c>
      <c r="AJ14" s="6">
        <f t="shared" si="5"/>
        <v>26.214777806758832</v>
      </c>
      <c r="AK14" s="6">
        <f t="shared" si="6"/>
        <v>45.687456980000078</v>
      </c>
      <c r="AL14" s="6">
        <f t="shared" si="7"/>
        <v>309.30691829519543</v>
      </c>
      <c r="AM14" s="6">
        <f t="shared" si="8"/>
        <v>0.14770913380087095</v>
      </c>
      <c r="AN14" s="6">
        <f t="shared" si="9"/>
        <v>1.9047583999999915</v>
      </c>
      <c r="AO14" s="6">
        <f t="shared" si="10"/>
        <v>3.8800000000000001E-2</v>
      </c>
      <c r="AP14" s="6">
        <f t="shared" si="11"/>
        <v>309.43866872703865</v>
      </c>
      <c r="AQ14" s="6">
        <f t="shared" si="12"/>
        <v>3.9990613359820487E-2</v>
      </c>
      <c r="AR14" s="6">
        <f t="shared" si="13"/>
        <v>-7.1654554999998936</v>
      </c>
      <c r="AS14" s="6">
        <f t="shared" si="14"/>
        <v>2.5433683037468187E-2</v>
      </c>
      <c r="AT14" s="6">
        <f t="shared" si="15"/>
        <v>4.7393263126155917E-2</v>
      </c>
      <c r="AU14" s="6">
        <f t="shared" si="16"/>
        <v>4.7393263126155913</v>
      </c>
      <c r="AV14" s="6">
        <f t="shared" si="17"/>
        <v>1.3278137831073011</v>
      </c>
      <c r="AW14" s="6">
        <f t="shared" si="0"/>
        <v>14.659064165504606</v>
      </c>
      <c r="AX14" s="20">
        <f t="shared" si="18"/>
        <v>6.6108753960960775E-2</v>
      </c>
      <c r="AY14" s="20">
        <f t="shared" si="19"/>
        <v>7.8396081515570398E-2</v>
      </c>
      <c r="AZ14" s="20">
        <f t="shared" si="20"/>
        <v>0.14450483547653117</v>
      </c>
    </row>
    <row r="15" spans="1:52" ht="21" x14ac:dyDescent="0.25">
      <c r="A15" s="21" t="s">
        <v>47</v>
      </c>
      <c r="O15" s="6">
        <v>10</v>
      </c>
      <c r="P15" s="7">
        <f>AVERAGE(B475:B524)</f>
        <v>137.86950417999998</v>
      </c>
      <c r="Q15" s="8">
        <f>STDEV(B475:B524)</f>
        <v>1.7580093204798416E-2</v>
      </c>
      <c r="R15" s="9">
        <f>AVERAGE(C475:C524)</f>
        <v>141.90013563999995</v>
      </c>
      <c r="S15" s="10">
        <f>STDEV(C475:C524)</f>
        <v>1.869575087461631E-2</v>
      </c>
      <c r="T15" s="11">
        <f>AVERAGE(D475:D524)</f>
        <v>145.78722978000008</v>
      </c>
      <c r="U15" s="12">
        <f>STDEV(D475:D524)</f>
        <v>1.233488333753829E-2</v>
      </c>
      <c r="V15" s="13">
        <f>AVERAGE(E475:E524)</f>
        <v>93.245814919999972</v>
      </c>
      <c r="W15" s="14">
        <f>STDEV(E475:E524)</f>
        <v>0.18754820553256077</v>
      </c>
      <c r="X15" s="15">
        <f>AVERAGE(F475:F524)</f>
        <v>66.077830860000006</v>
      </c>
      <c r="Y15" s="16">
        <f>STDEV(F475:F524)</f>
        <v>0.15426408361240734</v>
      </c>
      <c r="Z15" s="17">
        <f>AVERAGE(G475:G524)</f>
        <v>40.085842280000001</v>
      </c>
      <c r="AA15" s="18">
        <f>AVERAGE(H475:H524)</f>
        <v>42.313431239999993</v>
      </c>
      <c r="AB15" s="6">
        <f t="shared" si="1"/>
        <v>0.96438837898619545</v>
      </c>
      <c r="AC15" s="6">
        <f t="shared" si="21"/>
        <v>-820.48002399997699</v>
      </c>
      <c r="AD15" s="6">
        <f t="shared" si="2"/>
        <v>32.080768938399103</v>
      </c>
      <c r="AE15" s="6">
        <f t="shared" si="22"/>
        <v>88.32293477600011</v>
      </c>
      <c r="AF15" s="19">
        <v>57</v>
      </c>
      <c r="AG15" s="19">
        <v>77</v>
      </c>
      <c r="AH15" s="6">
        <f t="shared" si="3"/>
        <v>10.922169139999994</v>
      </c>
      <c r="AI15" s="6">
        <f t="shared" si="4"/>
        <v>11.32293477600011</v>
      </c>
      <c r="AJ15" s="6">
        <f t="shared" si="5"/>
        <v>28.3325565085802</v>
      </c>
      <c r="AK15" s="6">
        <f t="shared" si="6"/>
        <v>48.32293477600011</v>
      </c>
      <c r="AL15" s="6">
        <f t="shared" si="7"/>
        <v>354.17168907992618</v>
      </c>
      <c r="AM15" s="6">
        <f t="shared" si="8"/>
        <v>0.13643929276655153</v>
      </c>
      <c r="AN15" s="6">
        <f t="shared" si="9"/>
        <v>2.2275889599999914</v>
      </c>
      <c r="AO15" s="6">
        <f t="shared" si="10"/>
        <v>3.8800000000000001E-2</v>
      </c>
      <c r="AP15" s="6">
        <f t="shared" si="11"/>
        <v>361.88430105017466</v>
      </c>
      <c r="AQ15" s="6">
        <f t="shared" si="12"/>
        <v>3.6693591853967568E-2</v>
      </c>
      <c r="AR15" s="6">
        <f t="shared" si="13"/>
        <v>-8.2048002399997699</v>
      </c>
      <c r="AS15" s="6">
        <f t="shared" si="14"/>
        <v>2.5699762307820527E-2</v>
      </c>
      <c r="AT15" s="6">
        <f t="shared" si="15"/>
        <v>4.4798409188541811E-2</v>
      </c>
      <c r="AU15" s="6">
        <f t="shared" si="16"/>
        <v>4.4798409188541815</v>
      </c>
      <c r="AV15" s="6">
        <f t="shared" si="17"/>
        <v>1.4371674139854651</v>
      </c>
      <c r="AW15" s="6">
        <f t="shared" si="0"/>
        <v>15.866328250399539</v>
      </c>
      <c r="AX15" s="20">
        <f t="shared" si="18"/>
        <v>6.2808814487089151E-2</v>
      </c>
      <c r="AY15" s="20">
        <f t="shared" si="19"/>
        <v>7.0243316637275677E-2</v>
      </c>
      <c r="AZ15" s="20">
        <f t="shared" si="20"/>
        <v>0.13305213112436481</v>
      </c>
    </row>
    <row r="16" spans="1:52" x14ac:dyDescent="0.25">
      <c r="O16" s="6">
        <v>11</v>
      </c>
      <c r="P16" s="7">
        <f>AVERAGE(B525:B574)</f>
        <v>147.14555040000008</v>
      </c>
      <c r="Q16" s="8">
        <f>STDEV(B525:B574)</f>
        <v>2.161424988005857E-2</v>
      </c>
      <c r="R16" s="9">
        <f>AVERAGE(C525:C574)</f>
        <v>151.78680059999999</v>
      </c>
      <c r="S16" s="10">
        <f>STDEV(C525:C574)</f>
        <v>1.5911764244977165E-2</v>
      </c>
      <c r="T16" s="11">
        <f>AVERAGE(D525:D574)</f>
        <v>156.29742068000004</v>
      </c>
      <c r="U16" s="12">
        <f>STDEV(D525:D574)</f>
        <v>1.2688651255002065E-2</v>
      </c>
      <c r="V16" s="13">
        <f>AVERAGE(E525:E574)</f>
        <v>94.953195680000022</v>
      </c>
      <c r="W16" s="14">
        <f>STDEV(E525:E574)</f>
        <v>9.9721120576119038E-2</v>
      </c>
      <c r="X16" s="15">
        <f>AVERAGE(F525:F574)</f>
        <v>67.276002800000029</v>
      </c>
      <c r="Y16" s="16">
        <f>STDEV(F525:F574)</f>
        <v>0.18597311239081402</v>
      </c>
      <c r="Z16" s="17">
        <f>AVERAGE(G525:G574)</f>
        <v>40.015601400000008</v>
      </c>
      <c r="AA16" s="18">
        <f>AVERAGE(H525:H574)</f>
        <v>42.619236840000013</v>
      </c>
      <c r="AB16" s="6">
        <f t="shared" si="1"/>
        <v>0.97185454039950991</v>
      </c>
      <c r="AC16" s="6">
        <f t="shared" si="21"/>
        <v>-941.31305199996689</v>
      </c>
      <c r="AD16" s="6">
        <f t="shared" si="2"/>
        <v>36.805340333198707</v>
      </c>
      <c r="AE16" s="6">
        <f t="shared" si="22"/>
        <v>89.305317368000217</v>
      </c>
      <c r="AF16" s="19">
        <v>57</v>
      </c>
      <c r="AG16" s="19">
        <v>77</v>
      </c>
      <c r="AH16" s="6">
        <f t="shared" si="3"/>
        <v>9.723997199999971</v>
      </c>
      <c r="AI16" s="6">
        <f t="shared" si="4"/>
        <v>12.305317368000217</v>
      </c>
      <c r="AJ16" s="6">
        <f t="shared" si="5"/>
        <v>29.910110590816949</v>
      </c>
      <c r="AK16" s="6">
        <f t="shared" si="6"/>
        <v>49.305317368000217</v>
      </c>
      <c r="AL16" s="6">
        <f t="shared" si="7"/>
        <v>406.33095727851378</v>
      </c>
      <c r="AM16" s="6">
        <f t="shared" si="8"/>
        <v>0.121342753941843</v>
      </c>
      <c r="AN16" s="6">
        <f t="shared" si="9"/>
        <v>2.603635440000005</v>
      </c>
      <c r="AO16" s="6">
        <f t="shared" si="10"/>
        <v>3.8800000000000001E-2</v>
      </c>
      <c r="AP16" s="6">
        <f t="shared" si="11"/>
        <v>422.97515758646483</v>
      </c>
      <c r="AQ16" s="6">
        <f t="shared" si="12"/>
        <v>3.3929183432075238E-2</v>
      </c>
      <c r="AR16" s="6">
        <f t="shared" si="13"/>
        <v>-9.4131305199996689</v>
      </c>
      <c r="AS16" s="6">
        <f t="shared" si="14"/>
        <v>2.5076104842600453E-2</v>
      </c>
      <c r="AT16" s="6">
        <f t="shared" si="15"/>
        <v>4.2190052411018628E-2</v>
      </c>
      <c r="AU16" s="6">
        <f t="shared" si="16"/>
        <v>4.219005241101863</v>
      </c>
      <c r="AV16" s="6">
        <f t="shared" si="17"/>
        <v>1.5528192376630312</v>
      </c>
      <c r="AW16" s="6">
        <f t="shared" si="0"/>
        <v>17.143124383799869</v>
      </c>
      <c r="AX16" s="20">
        <f t="shared" si="18"/>
        <v>5.4215201114741811E-2</v>
      </c>
      <c r="AY16" s="20">
        <f t="shared" si="19"/>
        <v>6.3885321103425249E-2</v>
      </c>
      <c r="AZ16" s="20">
        <f t="shared" si="20"/>
        <v>0.11810052221816705</v>
      </c>
    </row>
    <row r="17" spans="1:52" x14ac:dyDescent="0.25">
      <c r="O17" s="6">
        <v>12</v>
      </c>
      <c r="P17" s="7">
        <f>AVERAGE(B575:B624)</f>
        <v>156.44325195999997</v>
      </c>
      <c r="Q17" s="8">
        <f>STDEV(B575:B624)</f>
        <v>1.3716582782267474E-2</v>
      </c>
      <c r="R17" s="9">
        <f>AVERAGE(C575:C624)</f>
        <v>161.65539111999999</v>
      </c>
      <c r="S17" s="10">
        <f>STDEV(C575:C624)</f>
        <v>1.2773157912067607E-2</v>
      </c>
      <c r="T17" s="11">
        <f>AVERAGE(D575:D624)</f>
        <v>166.67485499999995</v>
      </c>
      <c r="U17" s="12">
        <f>STDEV(D575:D624)</f>
        <v>1.3045418540543408E-2</v>
      </c>
      <c r="V17" s="13">
        <f>AVERAGE(E575:E624)</f>
        <v>97.483029399999978</v>
      </c>
      <c r="W17" s="14">
        <f>STDEV(E575:E624)</f>
        <v>0.11787326372690587</v>
      </c>
      <c r="X17" s="15">
        <f>AVERAGE(F575:F624)</f>
        <v>68.309954559999994</v>
      </c>
      <c r="Y17" s="16">
        <f>STDEV(F575:F624)</f>
        <v>0.19584728009241972</v>
      </c>
      <c r="Z17" s="17">
        <f>AVERAGE(G575:G624)</f>
        <v>40.024040719999988</v>
      </c>
      <c r="AA17" s="18">
        <f>AVERAGE(H575:H624)</f>
        <v>42.999110000000016</v>
      </c>
      <c r="AB17" s="6">
        <f t="shared" si="1"/>
        <v>0.96303335845697968</v>
      </c>
      <c r="AC17" s="6">
        <f t="shared" si="21"/>
        <v>-1061.6953600000129</v>
      </c>
      <c r="AD17" s="6">
        <f t="shared" si="2"/>
        <v>41.512288576000508</v>
      </c>
      <c r="AE17" s="6">
        <f t="shared" si="22"/>
        <v>91.112857239999897</v>
      </c>
      <c r="AF17" s="19">
        <v>50.8</v>
      </c>
      <c r="AG17" s="19">
        <v>81</v>
      </c>
      <c r="AH17" s="6">
        <f t="shared" si="3"/>
        <v>12.690045440000006</v>
      </c>
      <c r="AI17" s="6">
        <f t="shared" si="4"/>
        <v>10.112857239999897</v>
      </c>
      <c r="AJ17" s="6">
        <f t="shared" si="5"/>
        <v>41.049020658380151</v>
      </c>
      <c r="AK17" s="6">
        <f t="shared" si="6"/>
        <v>51.112857239999897</v>
      </c>
      <c r="AL17" s="6">
        <f t="shared" si="7"/>
        <v>458.29566587904566</v>
      </c>
      <c r="AM17" s="6">
        <f t="shared" si="8"/>
        <v>0.11152812702682138</v>
      </c>
      <c r="AN17" s="6">
        <f t="shared" si="9"/>
        <v>2.975069280000028</v>
      </c>
      <c r="AO17" s="6">
        <f t="shared" si="10"/>
        <v>3.8800000000000001E-2</v>
      </c>
      <c r="AP17" s="6">
        <f t="shared" si="11"/>
        <v>483.31666492397255</v>
      </c>
      <c r="AQ17" s="6">
        <f t="shared" si="12"/>
        <v>3.1923727721957507E-2</v>
      </c>
      <c r="AR17" s="6">
        <f t="shared" si="13"/>
        <v>-10.61695360000013</v>
      </c>
      <c r="AS17" s="6">
        <f t="shared" si="14"/>
        <v>2.3948167107563513E-2</v>
      </c>
      <c r="AT17" s="6">
        <f t="shared" si="15"/>
        <v>3.9907882673445166E-2</v>
      </c>
      <c r="AU17" s="6">
        <f t="shared" si="16"/>
        <v>3.9907882673445165</v>
      </c>
      <c r="AV17" s="6">
        <f t="shared" si="17"/>
        <v>1.6566675419972263</v>
      </c>
      <c r="AW17" s="6">
        <f t="shared" si="0"/>
        <v>18.289609663649383</v>
      </c>
      <c r="AX17" s="20">
        <f t="shared" si="18"/>
        <v>4.9755876779376075E-2</v>
      </c>
      <c r="AY17" s="20">
        <f t="shared" si="19"/>
        <v>5.8473996581658E-2</v>
      </c>
      <c r="AZ17" s="20">
        <f t="shared" si="20"/>
        <v>0.10822987336103407</v>
      </c>
    </row>
    <row r="18" spans="1:52" x14ac:dyDescent="0.25">
      <c r="O18" s="6">
        <v>13</v>
      </c>
      <c r="P18" s="7">
        <f>AVERAGE(B625:B674)</f>
        <v>166.81787591999998</v>
      </c>
      <c r="Q18" s="8">
        <f>STDEV(B625:B674)</f>
        <v>1.8615238293615225E-2</v>
      </c>
      <c r="R18" s="9">
        <f>AVERAGE(C625:C674)</f>
        <v>172.59961712000003</v>
      </c>
      <c r="S18" s="10">
        <f>STDEV(C625:C674)</f>
        <v>1.1300130731841707E-2</v>
      </c>
      <c r="T18" s="11">
        <f>AVERAGE(D625:D674)</f>
        <v>178.19934956000006</v>
      </c>
      <c r="U18" s="12">
        <f>STDEV(D625:D674)</f>
        <v>1.4620716228247862E-2</v>
      </c>
      <c r="V18" s="13">
        <f>AVERAGE(E625:E674)</f>
        <v>100.13370971999998</v>
      </c>
      <c r="W18" s="14">
        <f>STDEV(E625:E674)</f>
        <v>9.2818224444019201E-2</v>
      </c>
      <c r="X18" s="15">
        <f>AVERAGE(F625:F674)</f>
        <v>69.43811592000003</v>
      </c>
      <c r="Y18" s="16">
        <f>STDEV(F625:F674)</f>
        <v>0.16241920453301417</v>
      </c>
      <c r="Z18" s="17">
        <f>AVERAGE(G625:G674)</f>
        <v>40.272907800000013</v>
      </c>
      <c r="AA18" s="18">
        <f>AVERAGE(H625:H674)</f>
        <v>43.60857326</v>
      </c>
      <c r="AB18" s="6">
        <f t="shared" si="1"/>
        <v>0.96852007834594378</v>
      </c>
      <c r="AC18" s="6">
        <f t="shared" si="21"/>
        <v>-1174.549116000017</v>
      </c>
      <c r="AD18" s="6">
        <f t="shared" si="2"/>
        <v>45.924870435600667</v>
      </c>
      <c r="AE18" s="6">
        <f t="shared" si="22"/>
        <v>93.086415023999876</v>
      </c>
      <c r="AF18" s="19">
        <v>50.8</v>
      </c>
      <c r="AG18" s="19">
        <v>81</v>
      </c>
      <c r="AH18" s="6">
        <f t="shared" si="3"/>
        <v>11.56188407999997</v>
      </c>
      <c r="AI18" s="6">
        <f t="shared" si="4"/>
        <v>12.086415023999876</v>
      </c>
      <c r="AJ18" s="6">
        <f t="shared" si="5"/>
        <v>37.997098680136418</v>
      </c>
      <c r="AK18" s="6">
        <f t="shared" si="6"/>
        <v>53.086415023999876</v>
      </c>
      <c r="AL18" s="6">
        <f t="shared" si="7"/>
        <v>507.01056960903145</v>
      </c>
      <c r="AM18" s="6">
        <f t="shared" si="8"/>
        <v>0.10470475016908649</v>
      </c>
      <c r="AN18" s="6">
        <f t="shared" si="9"/>
        <v>3.3356654599999871</v>
      </c>
      <c r="AO18" s="6">
        <f t="shared" si="10"/>
        <v>3.8800000000000001E-2</v>
      </c>
      <c r="AP18" s="6">
        <f t="shared" si="11"/>
        <v>541.89753370357391</v>
      </c>
      <c r="AQ18" s="6">
        <f t="shared" si="12"/>
        <v>3.0501585669003774E-2</v>
      </c>
      <c r="AR18" s="6">
        <f t="shared" si="13"/>
        <v>-11.745491160000171</v>
      </c>
      <c r="AS18" s="6">
        <f t="shared" si="14"/>
        <v>2.3933025565009012E-2</v>
      </c>
      <c r="AT18" s="6">
        <f t="shared" si="15"/>
        <v>3.8770303597198609E-2</v>
      </c>
      <c r="AU18" s="6">
        <f t="shared" si="16"/>
        <v>3.877030359719861</v>
      </c>
      <c r="AV18" s="6">
        <f t="shared" si="17"/>
        <v>1.7805211694502485</v>
      </c>
      <c r="AW18" s="6">
        <f t="shared" si="0"/>
        <v>19.656953710730747</v>
      </c>
      <c r="AX18" s="20">
        <f t="shared" si="18"/>
        <v>4.6642615601161216E-2</v>
      </c>
      <c r="AY18" s="20">
        <f t="shared" si="19"/>
        <v>5.4234323775940091E-2</v>
      </c>
      <c r="AZ18" s="20">
        <f t="shared" si="20"/>
        <v>0.10087693937710131</v>
      </c>
    </row>
    <row r="19" spans="1:52" x14ac:dyDescent="0.25">
      <c r="O19" s="6">
        <v>14</v>
      </c>
      <c r="P19" s="7">
        <f>AVERAGE(B675:B724)</f>
        <v>178.05446203999998</v>
      </c>
      <c r="Q19" s="8">
        <f>STDEV(B675:B724)</f>
        <v>1.2099138196600351E-2</v>
      </c>
      <c r="R19" s="9">
        <f>AVERAGE(C675:C724)</f>
        <v>184.48390692000009</v>
      </c>
      <c r="S19" s="10">
        <f>STDEV(C675:C724)</f>
        <v>1.5391824914464893E-2</v>
      </c>
      <c r="T19" s="11">
        <f>AVERAGE(D675:D724)</f>
        <v>190.72943759999987</v>
      </c>
      <c r="U19" s="12">
        <f>STDEV(D675:D724)</f>
        <v>1.0630239880565136E-2</v>
      </c>
      <c r="V19" s="13">
        <f>AVERAGE(E675:E724)</f>
        <v>102.71608636000001</v>
      </c>
      <c r="W19" s="14">
        <f>STDEV(E675:E724)</f>
        <v>0.11815123733687817</v>
      </c>
      <c r="X19" s="15">
        <f>AVERAGE(F675:F724)</f>
        <v>70.759787280000026</v>
      </c>
      <c r="Y19" s="16">
        <f>STDEV(F675:F724)</f>
        <v>0.2494559344746369</v>
      </c>
      <c r="Z19" s="17">
        <f>AVERAGE(G675:G724)</f>
        <v>40.30845739999998</v>
      </c>
      <c r="AA19" s="18">
        <f>AVERAGE(H675:H724)</f>
        <v>44.071668359999997</v>
      </c>
      <c r="AB19" s="6">
        <f t="shared" si="1"/>
        <v>0.97139501101060199</v>
      </c>
      <c r="AC19" s="6">
        <f t="shared" si="21"/>
        <v>-1304.2803960000583</v>
      </c>
      <c r="AD19" s="6">
        <f t="shared" si="2"/>
        <v>50.997363483602285</v>
      </c>
      <c r="AE19" s="6">
        <f t="shared" si="22"/>
        <v>94.890403983999661</v>
      </c>
      <c r="AF19" s="19">
        <v>47</v>
      </c>
      <c r="AG19" s="19">
        <v>83</v>
      </c>
      <c r="AH19" s="6">
        <f t="shared" si="3"/>
        <v>12.240212719999974</v>
      </c>
      <c r="AI19" s="6">
        <f t="shared" si="4"/>
        <v>11.890403983999661</v>
      </c>
      <c r="AJ19" s="6">
        <f t="shared" si="5"/>
        <v>42.889512881334355</v>
      </c>
      <c r="AK19" s="6">
        <f t="shared" si="6"/>
        <v>54.890403983999661</v>
      </c>
      <c r="AL19" s="6">
        <f t="shared" si="7"/>
        <v>563.01089285896921</v>
      </c>
      <c r="AM19" s="6">
        <f t="shared" si="8"/>
        <v>9.7494390748403104E-2</v>
      </c>
      <c r="AN19" s="6">
        <f t="shared" si="9"/>
        <v>3.7632109600000163</v>
      </c>
      <c r="AO19" s="6">
        <f t="shared" si="10"/>
        <v>3.8800000000000001E-2</v>
      </c>
      <c r="AP19" s="6">
        <f t="shared" si="11"/>
        <v>611.35469443337877</v>
      </c>
      <c r="AQ19" s="6">
        <f t="shared" si="12"/>
        <v>2.9247030315006826E-2</v>
      </c>
      <c r="AR19" s="6">
        <f t="shared" si="13"/>
        <v>-13.042803960000583</v>
      </c>
      <c r="AS19" s="6">
        <f t="shared" si="14"/>
        <v>2.3759526858660979E-2</v>
      </c>
      <c r="AT19" s="6">
        <f t="shared" si="15"/>
        <v>3.7681612210657342E-2</v>
      </c>
      <c r="AU19" s="6">
        <f t="shared" si="16"/>
        <v>3.7681612210657343</v>
      </c>
      <c r="AV19" s="6">
        <f t="shared" si="17"/>
        <v>1.9216628745550388</v>
      </c>
      <c r="AW19" s="6">
        <f t="shared" si="0"/>
        <v>21.215158135087627</v>
      </c>
      <c r="AX19" s="20">
        <f t="shared" si="18"/>
        <v>4.2859946423885992E-2</v>
      </c>
      <c r="AY19" s="20">
        <f t="shared" si="19"/>
        <v>5.0744532232623395E-2</v>
      </c>
      <c r="AZ19" s="20">
        <f t="shared" si="20"/>
        <v>9.3604478656509393E-2</v>
      </c>
    </row>
    <row r="20" spans="1:52" x14ac:dyDescent="0.25">
      <c r="O20" s="6">
        <v>15</v>
      </c>
      <c r="P20" s="7">
        <f>AVERAGE(B725:B774)</f>
        <v>190.91610931999995</v>
      </c>
      <c r="Q20" s="8">
        <f>STDEV(B725:B774)</f>
        <v>1.5921797049432262E-2</v>
      </c>
      <c r="R20" s="9">
        <f>AVERAGE(C725:C774)</f>
        <v>197.98879819999991</v>
      </c>
      <c r="S20" s="10">
        <f>STDEV(C725:C774)</f>
        <v>1.2109663906085184E-2</v>
      </c>
      <c r="T20" s="11">
        <f>AVERAGE(D725:D774)</f>
        <v>204.94248771999995</v>
      </c>
      <c r="U20" s="12">
        <f>STDEV(D725:D774)</f>
        <v>1.1983961845395762E-2</v>
      </c>
      <c r="V20" s="13">
        <f>AVERAGE(E725:E774)</f>
        <v>105.72034627999997</v>
      </c>
      <c r="W20" s="14">
        <f>STDEV(E725:E774)</f>
        <v>0.10391800765027116</v>
      </c>
      <c r="X20" s="15">
        <f>AVERAGE(F725:F774)</f>
        <v>72.32520916</v>
      </c>
      <c r="Y20" s="16">
        <f>STDEV(F725:F774)</f>
        <v>0.16743308717890842</v>
      </c>
      <c r="Z20" s="17">
        <f>AVERAGE(G725:G774)</f>
        <v>40.541403479999992</v>
      </c>
      <c r="AA20" s="18">
        <f>AVERAGE(H725:H774)</f>
        <v>44.70355871999999</v>
      </c>
      <c r="AB20" s="6">
        <f t="shared" si="1"/>
        <v>0.98317480635456445</v>
      </c>
      <c r="AC20" s="6">
        <f t="shared" si="21"/>
        <v>-1426.4377119999806</v>
      </c>
      <c r="AD20" s="6">
        <f t="shared" si="2"/>
        <v>55.773714539199247</v>
      </c>
      <c r="AE20" s="6">
        <f t="shared" si="22"/>
        <v>97.161720008000088</v>
      </c>
      <c r="AF20" s="19">
        <v>47</v>
      </c>
      <c r="AG20" s="19">
        <v>83</v>
      </c>
      <c r="AH20" s="6">
        <f t="shared" si="3"/>
        <v>10.67479084</v>
      </c>
      <c r="AI20" s="6">
        <f t="shared" si="4"/>
        <v>14.161720008000088</v>
      </c>
      <c r="AJ20" s="6">
        <f t="shared" si="5"/>
        <v>39.383432596953021</v>
      </c>
      <c r="AK20" s="6">
        <f t="shared" si="6"/>
        <v>57.161720008000088</v>
      </c>
      <c r="AL20" s="6">
        <f t="shared" si="7"/>
        <v>615.74180851275969</v>
      </c>
      <c r="AM20" s="6">
        <f t="shared" si="8"/>
        <v>9.2833910606243256E-2</v>
      </c>
      <c r="AN20" s="6">
        <f t="shared" si="9"/>
        <v>4.162155239999997</v>
      </c>
      <c r="AO20" s="6">
        <f t="shared" si="10"/>
        <v>3.8800000000000001E-2</v>
      </c>
      <c r="AP20" s="6">
        <f t="shared" si="11"/>
        <v>676.16542680734358</v>
      </c>
      <c r="AQ20" s="6">
        <f t="shared" si="12"/>
        <v>2.8331444077920945E-2</v>
      </c>
      <c r="AR20" s="6">
        <f t="shared" si="13"/>
        <v>-14.264377119999807</v>
      </c>
      <c r="AS20" s="6">
        <f t="shared" si="14"/>
        <v>2.360665074041482E-2</v>
      </c>
      <c r="AT20" s="6">
        <f t="shared" si="15"/>
        <v>3.6877427821369123E-2</v>
      </c>
      <c r="AU20" s="6">
        <f t="shared" si="16"/>
        <v>3.6877427821369122</v>
      </c>
      <c r="AV20" s="6">
        <f t="shared" si="17"/>
        <v>2.056791132248966</v>
      </c>
      <c r="AW20" s="6">
        <f t="shared" si="0"/>
        <v>22.706974100028582</v>
      </c>
      <c r="AX20" s="20">
        <f t="shared" si="18"/>
        <v>4.0335917595053825E-2</v>
      </c>
      <c r="AY20" s="20">
        <f t="shared" si="19"/>
        <v>4.8238933347311427E-2</v>
      </c>
      <c r="AZ20" s="20">
        <f t="shared" si="20"/>
        <v>8.8574850942365252E-2</v>
      </c>
    </row>
    <row r="21" spans="1:52" x14ac:dyDescent="0.25">
      <c r="O21" s="6">
        <v>16</v>
      </c>
      <c r="P21" s="7">
        <f>AVERAGE(B775:B824)</f>
        <v>203.79867773999999</v>
      </c>
      <c r="Q21" s="8">
        <f>STDEV(B775:B824)</f>
        <v>1.2223751628272746E-2</v>
      </c>
      <c r="R21" s="9">
        <f>AVERAGE(C775:C824)</f>
        <v>211.53385042000002</v>
      </c>
      <c r="S21" s="10">
        <f>STDEV(C775:C824)</f>
        <v>9.3658542744035744E-3</v>
      </c>
      <c r="T21" s="11">
        <f>AVERAGE(D775:D824)</f>
        <v>219.2747574200001</v>
      </c>
      <c r="U21" s="12">
        <f>STDEV(D775:D824)</f>
        <v>1.1137364488908653E-2</v>
      </c>
      <c r="V21" s="13">
        <f>AVERAGE(E775:E824)</f>
        <v>108.24309370000003</v>
      </c>
      <c r="W21" s="14">
        <f>STDEV(E775:E824)</f>
        <v>9.877590568188023E-2</v>
      </c>
      <c r="X21" s="15">
        <f>AVERAGE(F775:F824)</f>
        <v>73.075243400000005</v>
      </c>
      <c r="Y21" s="16">
        <f>STDEV(F775:F824)</f>
        <v>0.37114365333324967</v>
      </c>
      <c r="Z21" s="17">
        <f>AVERAGE(G775:G824)</f>
        <v>39.980823159999993</v>
      </c>
      <c r="AA21" s="18">
        <f>AVERAGE(H775:H824)</f>
        <v>44.745459920000009</v>
      </c>
      <c r="AB21" s="6">
        <f t="shared" si="1"/>
        <v>1.0007413305736368</v>
      </c>
      <c r="AC21" s="6">
        <f t="shared" si="21"/>
        <v>-1546.461104000005</v>
      </c>
      <c r="AD21" s="6">
        <f t="shared" si="2"/>
        <v>60.466629166400203</v>
      </c>
      <c r="AE21" s="6">
        <f t="shared" si="22"/>
        <v>98.964327076000004</v>
      </c>
      <c r="AF21" s="19">
        <v>44</v>
      </c>
      <c r="AG21" s="19">
        <v>84</v>
      </c>
      <c r="AH21" s="6">
        <f t="shared" si="3"/>
        <v>10.924756599999995</v>
      </c>
      <c r="AI21" s="6">
        <f t="shared" si="4"/>
        <v>14.964327076000004</v>
      </c>
      <c r="AJ21" s="6">
        <f t="shared" si="5"/>
        <v>40.407182267071285</v>
      </c>
      <c r="AK21" s="6">
        <f t="shared" si="6"/>
        <v>58.964327076000004</v>
      </c>
      <c r="AL21" s="6">
        <f t="shared" si="7"/>
        <v>667.55158599705828</v>
      </c>
      <c r="AM21" s="6">
        <f t="shared" si="8"/>
        <v>8.8329244230512305E-2</v>
      </c>
      <c r="AN21" s="6">
        <f t="shared" si="9"/>
        <v>4.7646367600000161</v>
      </c>
      <c r="AO21" s="6">
        <f t="shared" si="10"/>
        <v>3.8800000000000001E-2</v>
      </c>
      <c r="AP21" s="6">
        <f t="shared" si="11"/>
        <v>774.04192362785864</v>
      </c>
      <c r="AQ21" s="6">
        <f t="shared" si="12"/>
        <v>2.7614468019704033E-2</v>
      </c>
      <c r="AR21" s="6">
        <f t="shared" si="13"/>
        <v>-15.464611040000051</v>
      </c>
      <c r="AS21" s="6">
        <f t="shared" si="14"/>
        <v>2.3363095173169222E-2</v>
      </c>
      <c r="AT21" s="6">
        <f t="shared" si="15"/>
        <v>3.6171716299918916E-2</v>
      </c>
      <c r="AU21" s="6">
        <f t="shared" si="16"/>
        <v>3.6171716299918915</v>
      </c>
      <c r="AV21" s="6">
        <f t="shared" si="17"/>
        <v>2.1871817558194309</v>
      </c>
      <c r="AW21" s="6">
        <f t="shared" si="0"/>
        <v>24.146486584246517</v>
      </c>
      <c r="AX21" s="20">
        <f t="shared" si="18"/>
        <v>3.8782146906792138E-2</v>
      </c>
      <c r="AY21" s="20">
        <f t="shared" si="19"/>
        <v>4.600708395311242E-2</v>
      </c>
      <c r="AZ21" s="20">
        <f t="shared" si="20"/>
        <v>8.4789230859904557E-2</v>
      </c>
    </row>
    <row r="22" spans="1:52" x14ac:dyDescent="0.25">
      <c r="O22" s="6">
        <v>17</v>
      </c>
      <c r="P22" s="7">
        <f>AVERAGE(B825:B874)</f>
        <v>217.79054120000001</v>
      </c>
      <c r="Q22" s="8">
        <f>STDEV(B825:B874)</f>
        <v>1.2199999267314202E-2</v>
      </c>
      <c r="R22" s="9">
        <f>AVERAGE(C825:C874)</f>
        <v>226.19883584000007</v>
      </c>
      <c r="S22" s="10">
        <f>STDEV(C825:C874)</f>
        <v>1.0430028640577094E-2</v>
      </c>
      <c r="T22" s="11">
        <f>AVERAGE(D825:D874)</f>
        <v>234.71469556000002</v>
      </c>
      <c r="U22" s="12">
        <f>STDEV(D825:D874)</f>
        <v>1.1167880207676615E-2</v>
      </c>
      <c r="V22" s="13">
        <f>AVERAGE(E825:E874)</f>
        <v>110.86585692000003</v>
      </c>
      <c r="W22" s="14">
        <f>STDEV(E825:E874)</f>
        <v>0.11216930622652815</v>
      </c>
      <c r="X22" s="15">
        <f>AVERAGE(F825:F874)</f>
        <v>73.839364759999995</v>
      </c>
      <c r="Y22" s="16">
        <f>STDEV(F825:F874)</f>
        <v>0.28097931419514516</v>
      </c>
      <c r="Z22" s="17">
        <f>AVERAGE(G776:G825)</f>
        <v>39.981173448979582</v>
      </c>
      <c r="AA22" s="18">
        <f>AVERAGE(H776:H825)</f>
        <v>44.74498875510205</v>
      </c>
      <c r="AB22" s="6">
        <f t="shared" si="1"/>
        <v>1.0127927343897034</v>
      </c>
      <c r="AC22" s="6">
        <f t="shared" si="21"/>
        <v>-1670.9024200000242</v>
      </c>
      <c r="AD22" s="6">
        <f t="shared" si="2"/>
        <v>65.332284622000955</v>
      </c>
      <c r="AE22" s="6">
        <f t="shared" si="22"/>
        <v>100.84044239999989</v>
      </c>
      <c r="AF22" s="19">
        <v>44</v>
      </c>
      <c r="AG22" s="19">
        <v>84</v>
      </c>
      <c r="AH22" s="6">
        <f t="shared" si="3"/>
        <v>10.160635240000005</v>
      </c>
      <c r="AI22" s="6">
        <f t="shared" si="4"/>
        <v>16.840442399999887</v>
      </c>
      <c r="AJ22" s="6">
        <f t="shared" si="5"/>
        <v>38.794874309241067</v>
      </c>
      <c r="AK22" s="6">
        <f t="shared" si="6"/>
        <v>60.840442399999887</v>
      </c>
      <c r="AL22" s="6">
        <f t="shared" si="7"/>
        <v>721.26842222689061</v>
      </c>
      <c r="AM22" s="6">
        <f t="shared" si="8"/>
        <v>8.43520117131389E-2</v>
      </c>
      <c r="AN22" s="6">
        <f t="shared" si="9"/>
        <v>4.7638153061224671</v>
      </c>
      <c r="AO22" s="6">
        <f t="shared" si="10"/>
        <v>3.8800000000000001E-2</v>
      </c>
      <c r="AP22" s="6">
        <f t="shared" si="11"/>
        <v>773.90847384530912</v>
      </c>
      <c r="AQ22" s="6">
        <f t="shared" si="12"/>
        <v>2.7014019206063493E-2</v>
      </c>
      <c r="AR22" s="6">
        <f t="shared" si="13"/>
        <v>-16.709024200000243</v>
      </c>
      <c r="AS22" s="6">
        <f t="shared" si="14"/>
        <v>2.3351721276723188E-2</v>
      </c>
      <c r="AT22" s="6">
        <f t="shared" si="15"/>
        <v>3.5707983984696386E-2</v>
      </c>
      <c r="AU22" s="6">
        <f t="shared" si="16"/>
        <v>3.5707983984696385</v>
      </c>
      <c r="AV22" s="6">
        <f t="shared" si="17"/>
        <v>2.3328841729660361</v>
      </c>
      <c r="AW22" s="6">
        <f t="shared" si="0"/>
        <v>25.755041269545039</v>
      </c>
      <c r="AX22" s="20">
        <f t="shared" si="18"/>
        <v>3.7435546611946528E-2</v>
      </c>
      <c r="AY22" s="20">
        <f>(X22-(AVERAGE(Z22:AA22)))/AL22</f>
        <v>4.3640179838703143E-2</v>
      </c>
      <c r="AZ22" s="20">
        <f t="shared" si="20"/>
        <v>8.1075726450649671E-2</v>
      </c>
    </row>
    <row r="23" spans="1:52" x14ac:dyDescent="0.25">
      <c r="O23" s="6">
        <v>18</v>
      </c>
      <c r="P23" s="7">
        <f>AVERAGE(B875:B924)</f>
        <v>258.15126403999989</v>
      </c>
      <c r="Q23" s="8">
        <f>STDEV(B875:B924)</f>
        <v>2.0432678073736485</v>
      </c>
      <c r="R23" s="9">
        <f>AVERAGE(C875:C924)</f>
        <v>265.11619372000007</v>
      </c>
      <c r="S23" s="10">
        <f>STDEV(C875:C924)</f>
        <v>1.8917473678165297</v>
      </c>
      <c r="T23" s="11">
        <f>AVERAGE(D875:D924)</f>
        <v>272.21743300000003</v>
      </c>
      <c r="U23" s="12">
        <f>STDEV(D875:D924)</f>
        <v>1.7400943932826944</v>
      </c>
      <c r="V23" s="13">
        <f>AVERAGE(E875:E924)</f>
        <v>103.93420980000005</v>
      </c>
      <c r="W23" s="14">
        <f>STDEV(E875:E924)</f>
        <v>0.59345074783269436</v>
      </c>
      <c r="X23" s="15">
        <f>AVERAGE(F875:F924)</f>
        <v>73.109654200000037</v>
      </c>
      <c r="Y23" s="16">
        <f>STDEV(F875:F924)</f>
        <v>0.2311891392537688</v>
      </c>
      <c r="Z23" s="17" t="e">
        <f>AVERAGE(G875:G924)</f>
        <v>#DIV/0!</v>
      </c>
      <c r="AA23" s="18" t="e">
        <f>AVERAGE(H875:H924)</f>
        <v>#DIV/0!</v>
      </c>
      <c r="AB23" s="6">
        <f t="shared" si="1"/>
        <v>1.0195708508574308</v>
      </c>
      <c r="AC23" s="6">
        <f t="shared" si="21"/>
        <v>-1379.3549760000587</v>
      </c>
      <c r="AD23" s="6">
        <f t="shared" si="2"/>
        <v>53.932779561602302</v>
      </c>
      <c r="AE23" s="6">
        <f t="shared" si="22"/>
        <v>95.658079943999695</v>
      </c>
      <c r="AF23" s="19">
        <v>44</v>
      </c>
      <c r="AG23" s="19">
        <v>84</v>
      </c>
      <c r="AH23" s="6">
        <f t="shared" si="3"/>
        <v>10.890345799999963</v>
      </c>
      <c r="AI23" s="6">
        <f t="shared" si="4"/>
        <v>11.658079943999695</v>
      </c>
      <c r="AJ23" s="6">
        <f t="shared" si="5"/>
        <v>46.262145928550602</v>
      </c>
      <c r="AK23" s="6">
        <f t="shared" si="6"/>
        <v>55.658079943999695</v>
      </c>
      <c r="AL23" s="6">
        <f t="shared" si="7"/>
        <v>595.41788636008948</v>
      </c>
      <c r="AM23" s="6">
        <f t="shared" si="8"/>
        <v>9.3477339561041484E-2</v>
      </c>
      <c r="AN23" s="6" t="e">
        <f t="shared" si="9"/>
        <v>#DIV/0!</v>
      </c>
      <c r="AO23" s="6">
        <f t="shared" si="10"/>
        <v>3.8800000000000001E-2</v>
      </c>
      <c r="AP23" s="6" t="e">
        <f t="shared" si="11"/>
        <v>#DIV/0!</v>
      </c>
      <c r="AQ23" s="6">
        <f t="shared" si="12"/>
        <v>2.8658987006412371E-2</v>
      </c>
      <c r="AR23" s="6">
        <f t="shared" si="13"/>
        <v>-13.793549760000587</v>
      </c>
      <c r="AS23" s="6">
        <f t="shared" si="14"/>
        <v>0.71755581705969584</v>
      </c>
      <c r="AT23" s="6">
        <f t="shared" si="15"/>
        <v>0.71812790513420477</v>
      </c>
      <c r="AU23" s="6">
        <f t="shared" si="16"/>
        <v>71.812790513420481</v>
      </c>
      <c r="AV23" s="6">
        <f t="shared" si="17"/>
        <v>38.730634004638318</v>
      </c>
      <c r="AW23" s="6">
        <f t="shared" si="0"/>
        <v>427.58619941120708</v>
      </c>
      <c r="AX23" s="20">
        <f t="shared" si="18"/>
        <v>3.786991667624022E-2</v>
      </c>
      <c r="AY23" s="20" t="e">
        <f t="shared" si="19"/>
        <v>#DIV/0!</v>
      </c>
      <c r="AZ23" s="20" t="e">
        <f t="shared" si="20"/>
        <v>#DIV/0!</v>
      </c>
    </row>
    <row r="24" spans="1:52" x14ac:dyDescent="0.3">
      <c r="A24" s="1" t="s">
        <v>48</v>
      </c>
      <c r="B24" s="1" t="s">
        <v>10</v>
      </c>
      <c r="C24" s="1" t="s">
        <v>14</v>
      </c>
      <c r="D24" s="1" t="s">
        <v>15</v>
      </c>
      <c r="E24" s="1" t="s">
        <v>16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54</v>
      </c>
      <c r="L24" s="1" t="s">
        <v>55</v>
      </c>
      <c r="O24" s="6">
        <v>19</v>
      </c>
      <c r="P24" s="7" t="e">
        <f>AVERAGE(B925:B974)</f>
        <v>#DIV/0!</v>
      </c>
      <c r="Q24" s="8" t="e">
        <f>STDEV(B925:B974)</f>
        <v>#DIV/0!</v>
      </c>
      <c r="R24" s="9" t="e">
        <f>AVERAGE(C925:C974)</f>
        <v>#DIV/0!</v>
      </c>
      <c r="S24" s="10" t="e">
        <f>STDEV(C925:C974)</f>
        <v>#DIV/0!</v>
      </c>
      <c r="T24" s="11" t="e">
        <f>AVERAGE(D925:D974)</f>
        <v>#DIV/0!</v>
      </c>
      <c r="U24" s="12" t="e">
        <f>STDEV(D925:D974)</f>
        <v>#DIV/0!</v>
      </c>
      <c r="V24" s="13" t="e">
        <f>AVERAGE(E925:E974)</f>
        <v>#DIV/0!</v>
      </c>
      <c r="W24" s="14" t="e">
        <f>STDEV(E925:E974)</f>
        <v>#DIV/0!</v>
      </c>
      <c r="X24" s="15" t="e">
        <f>AVERAGE(F925:F974)</f>
        <v>#DIV/0!</v>
      </c>
      <c r="Y24" s="16" t="e">
        <f>STDEV(F925:F974)</f>
        <v>#DIV/0!</v>
      </c>
      <c r="Z24" s="17" t="e">
        <f>AVERAGE(G925:G974)</f>
        <v>#DIV/0!</v>
      </c>
      <c r="AA24" s="18" t="e">
        <f>AVERAGE(H925:H974)</f>
        <v>#DIV/0!</v>
      </c>
      <c r="AB24" s="6" t="e">
        <f t="shared" si="1"/>
        <v>#DIV/0!</v>
      </c>
      <c r="AC24" s="6" t="e">
        <f t="shared" si="21"/>
        <v>#DIV/0!</v>
      </c>
      <c r="AD24" s="6" t="e">
        <f t="shared" si="2"/>
        <v>#DIV/0!</v>
      </c>
      <c r="AE24" s="6" t="e">
        <f t="shared" si="22"/>
        <v>#DIV/0!</v>
      </c>
      <c r="AF24" s="22"/>
      <c r="AG24" s="22"/>
      <c r="AH24" s="6" t="e">
        <f t="shared" si="3"/>
        <v>#DIV/0!</v>
      </c>
      <c r="AI24" s="6" t="e">
        <f t="shared" si="4"/>
        <v>#DIV/0!</v>
      </c>
      <c r="AJ24" s="6" t="e">
        <f t="shared" si="5"/>
        <v>#DIV/0!</v>
      </c>
      <c r="AK24" s="6" t="e">
        <f t="shared" si="6"/>
        <v>#DIV/0!</v>
      </c>
      <c r="AL24" s="6" t="e">
        <f t="shared" si="7"/>
        <v>#DIV/0!</v>
      </c>
      <c r="AM24" s="6" t="e">
        <f t="shared" si="8"/>
        <v>#DIV/0!</v>
      </c>
      <c r="AN24" s="6" t="e">
        <f t="shared" si="9"/>
        <v>#DIV/0!</v>
      </c>
      <c r="AO24" s="6">
        <f t="shared" si="10"/>
        <v>3.8800000000000001E-2</v>
      </c>
      <c r="AP24" s="6" t="e">
        <f t="shared" si="11"/>
        <v>#DIV/0!</v>
      </c>
      <c r="AQ24" s="6" t="e">
        <f t="shared" si="12"/>
        <v>#DIV/0!</v>
      </c>
      <c r="AR24" s="6" t="e">
        <f t="shared" si="13"/>
        <v>#DIV/0!</v>
      </c>
      <c r="AS24" s="6" t="e">
        <f t="shared" si="14"/>
        <v>#DIV/0!</v>
      </c>
      <c r="AT24" s="6" t="e">
        <f t="shared" si="15"/>
        <v>#DIV/0!</v>
      </c>
      <c r="AU24" s="6" t="e">
        <f t="shared" si="16"/>
        <v>#DIV/0!</v>
      </c>
      <c r="AV24" s="6" t="e">
        <f t="shared" si="17"/>
        <v>#DIV/0!</v>
      </c>
      <c r="AW24" s="6" t="e">
        <f t="shared" si="0"/>
        <v>#DIV/0!</v>
      </c>
      <c r="AX24" s="20" t="e">
        <f t="shared" si="18"/>
        <v>#DIV/0!</v>
      </c>
      <c r="AY24" s="20" t="e">
        <f t="shared" si="19"/>
        <v>#DIV/0!</v>
      </c>
      <c r="AZ24" s="20" t="e">
        <f t="shared" si="20"/>
        <v>#DIV/0!</v>
      </c>
    </row>
    <row r="25" spans="1:52" x14ac:dyDescent="0.3">
      <c r="A25">
        <v>18</v>
      </c>
      <c r="B25">
        <v>72.597605000000001</v>
      </c>
      <c r="C25">
        <v>72.963083999999995</v>
      </c>
      <c r="D25">
        <v>73.291088000000002</v>
      </c>
      <c r="E25">
        <v>66.908105000000006</v>
      </c>
      <c r="F25">
        <v>56.396126000000002</v>
      </c>
      <c r="G25">
        <v>40.043239999999997</v>
      </c>
      <c r="H25">
        <v>40.178322000000001</v>
      </c>
      <c r="I25" t="s">
        <v>60</v>
      </c>
      <c r="O25" s="6">
        <v>20</v>
      </c>
      <c r="P25" s="7" t="e">
        <f>AVERAGE(B975:B1024)</f>
        <v>#DIV/0!</v>
      </c>
      <c r="Q25" s="8" t="e">
        <f>STDEV(B975:B1024)</f>
        <v>#DIV/0!</v>
      </c>
      <c r="R25" s="9" t="e">
        <f>AVERAGE(C975:C1024)</f>
        <v>#DIV/0!</v>
      </c>
      <c r="S25" s="10" t="e">
        <f>STDEV(C975:C1024)</f>
        <v>#DIV/0!</v>
      </c>
      <c r="T25" s="11" t="e">
        <f>AVERAGE(D975:D1024)</f>
        <v>#DIV/0!</v>
      </c>
      <c r="U25" s="12" t="e">
        <f>STDEV(D975:D1024)</f>
        <v>#DIV/0!</v>
      </c>
      <c r="V25" s="13" t="e">
        <f>AVERAGE(E975:E1024)</f>
        <v>#DIV/0!</v>
      </c>
      <c r="W25" s="14" t="e">
        <f>STDEV(E975:E1024)</f>
        <v>#DIV/0!</v>
      </c>
      <c r="X25" s="15" t="e">
        <f>AVERAGE(F975:F1024)</f>
        <v>#DIV/0!</v>
      </c>
      <c r="Y25" s="16" t="e">
        <f>STDEV(F975:F1024)</f>
        <v>#DIV/0!</v>
      </c>
      <c r="Z25" s="17" t="e">
        <f>AVERAGE(G975:G1024)</f>
        <v>#DIV/0!</v>
      </c>
      <c r="AA25" s="18" t="e">
        <f>AVERAGE(H975:H1024)</f>
        <v>#DIV/0!</v>
      </c>
      <c r="AB25" s="6" t="e">
        <f t="shared" si="1"/>
        <v>#DIV/0!</v>
      </c>
      <c r="AC25" s="6" t="e">
        <f t="shared" si="21"/>
        <v>#DIV/0!</v>
      </c>
      <c r="AD25" s="6" t="e">
        <f t="shared" si="2"/>
        <v>#DIV/0!</v>
      </c>
      <c r="AE25" s="6" t="e">
        <f t="shared" si="22"/>
        <v>#DIV/0!</v>
      </c>
      <c r="AF25" s="22"/>
      <c r="AG25" s="22"/>
      <c r="AH25" s="6" t="e">
        <f t="shared" si="3"/>
        <v>#DIV/0!</v>
      </c>
      <c r="AI25" s="6" t="e">
        <f t="shared" si="4"/>
        <v>#DIV/0!</v>
      </c>
      <c r="AJ25" s="6" t="e">
        <f t="shared" si="5"/>
        <v>#DIV/0!</v>
      </c>
      <c r="AK25" s="6" t="e">
        <f t="shared" si="6"/>
        <v>#DIV/0!</v>
      </c>
      <c r="AL25" s="6" t="e">
        <f t="shared" si="7"/>
        <v>#DIV/0!</v>
      </c>
      <c r="AM25" s="6" t="e">
        <f t="shared" si="8"/>
        <v>#DIV/0!</v>
      </c>
      <c r="AN25" s="6" t="e">
        <f t="shared" si="9"/>
        <v>#DIV/0!</v>
      </c>
      <c r="AO25" s="6">
        <f t="shared" si="10"/>
        <v>3.8800000000000001E-2</v>
      </c>
      <c r="AP25" s="6" t="e">
        <f t="shared" si="11"/>
        <v>#DIV/0!</v>
      </c>
      <c r="AQ25" s="6" t="e">
        <f t="shared" si="12"/>
        <v>#DIV/0!</v>
      </c>
      <c r="AR25" s="6" t="e">
        <f t="shared" si="13"/>
        <v>#DIV/0!</v>
      </c>
      <c r="AS25" s="6" t="e">
        <f t="shared" si="14"/>
        <v>#DIV/0!</v>
      </c>
      <c r="AT25" s="6" t="e">
        <f t="shared" si="15"/>
        <v>#DIV/0!</v>
      </c>
      <c r="AU25" s="6" t="e">
        <f t="shared" si="16"/>
        <v>#DIV/0!</v>
      </c>
      <c r="AV25" s="6" t="e">
        <f t="shared" si="17"/>
        <v>#DIV/0!</v>
      </c>
      <c r="AW25" s="6" t="e">
        <f t="shared" si="0"/>
        <v>#DIV/0!</v>
      </c>
      <c r="AX25" s="20" t="e">
        <f t="shared" si="18"/>
        <v>#DIV/0!</v>
      </c>
      <c r="AY25" s="20" t="e">
        <f t="shared" si="19"/>
        <v>#DIV/0!</v>
      </c>
      <c r="AZ25" s="20" t="e">
        <f t="shared" si="20"/>
        <v>#DIV/0!</v>
      </c>
    </row>
    <row r="26" spans="1:52" x14ac:dyDescent="0.3">
      <c r="A26">
        <v>18.2</v>
      </c>
      <c r="B26">
        <v>72.597605000000001</v>
      </c>
      <c r="C26">
        <v>72.963083999999995</v>
      </c>
      <c r="D26">
        <v>73.291088000000002</v>
      </c>
      <c r="E26">
        <v>66.908105000000006</v>
      </c>
      <c r="F26">
        <v>56.396126000000002</v>
      </c>
      <c r="G26">
        <v>40.043239999999997</v>
      </c>
      <c r="H26">
        <v>40.178322000000001</v>
      </c>
      <c r="I26"/>
      <c r="O26" s="6">
        <v>21</v>
      </c>
      <c r="P26" s="7" t="e">
        <f>AVERAGE(B1025:B1074)</f>
        <v>#DIV/0!</v>
      </c>
      <c r="Q26" s="8" t="e">
        <f>STDEV(C1025:C1074)</f>
        <v>#DIV/0!</v>
      </c>
      <c r="R26" s="9" t="e">
        <f>AVERAGE(C1025:C1074)</f>
        <v>#DIV/0!</v>
      </c>
      <c r="S26" s="10" t="e">
        <f>STDEV(E1025:E1074)</f>
        <v>#DIV/0!</v>
      </c>
      <c r="T26" s="11" t="e">
        <f>AVERAGE(D1025:D1074)</f>
        <v>#DIV/0!</v>
      </c>
      <c r="U26" s="12" t="e">
        <f>STDEV(D1025:D1074)</f>
        <v>#DIV/0!</v>
      </c>
      <c r="V26" s="13" t="e">
        <f>AVERAGE(E1025:E1074)</f>
        <v>#DIV/0!</v>
      </c>
      <c r="W26" s="14" t="e">
        <f>STDEV(E1025:E1074)</f>
        <v>#DIV/0!</v>
      </c>
      <c r="X26" s="15" t="e">
        <f>AVERAGE(F1025:F1074)</f>
        <v>#DIV/0!</v>
      </c>
      <c r="Y26" s="16" t="e">
        <f>STDEV(F1025:F1074)</f>
        <v>#DIV/0!</v>
      </c>
      <c r="Z26" s="17" t="e">
        <f>AVERAGE(G1025:G1074)</f>
        <v>#DIV/0!</v>
      </c>
      <c r="AA26" s="18" t="e">
        <f>AVERAGE(H1025:H1074)</f>
        <v>#DIV/0!</v>
      </c>
      <c r="AB26" s="6" t="e">
        <f t="shared" si="1"/>
        <v>#DIV/0!</v>
      </c>
      <c r="AC26" s="6" t="e">
        <f t="shared" si="21"/>
        <v>#DIV/0!</v>
      </c>
      <c r="AD26" s="6" t="e">
        <f t="shared" si="2"/>
        <v>#DIV/0!</v>
      </c>
      <c r="AE26" s="6" t="e">
        <f t="shared" si="22"/>
        <v>#DIV/0!</v>
      </c>
      <c r="AF26" s="22"/>
      <c r="AG26" s="22"/>
      <c r="AH26" s="6" t="e">
        <f t="shared" si="3"/>
        <v>#DIV/0!</v>
      </c>
      <c r="AI26" s="6" t="e">
        <f t="shared" si="4"/>
        <v>#DIV/0!</v>
      </c>
      <c r="AJ26" s="6" t="e">
        <f t="shared" si="5"/>
        <v>#DIV/0!</v>
      </c>
      <c r="AK26" s="6" t="e">
        <f t="shared" si="6"/>
        <v>#DIV/0!</v>
      </c>
      <c r="AL26" s="6" t="e">
        <f t="shared" si="7"/>
        <v>#DIV/0!</v>
      </c>
      <c r="AM26" s="6" t="e">
        <f t="shared" si="8"/>
        <v>#DIV/0!</v>
      </c>
      <c r="AN26" s="6" t="e">
        <f t="shared" si="9"/>
        <v>#DIV/0!</v>
      </c>
      <c r="AO26" s="6">
        <f t="shared" si="10"/>
        <v>3.8800000000000001E-2</v>
      </c>
      <c r="AP26" s="6" t="e">
        <f t="shared" si="11"/>
        <v>#DIV/0!</v>
      </c>
      <c r="AQ26" s="6" t="e">
        <f t="shared" si="12"/>
        <v>#DIV/0!</v>
      </c>
      <c r="AR26" s="6" t="e">
        <f t="shared" si="13"/>
        <v>#DIV/0!</v>
      </c>
      <c r="AS26" s="6" t="e">
        <f t="shared" si="14"/>
        <v>#DIV/0!</v>
      </c>
      <c r="AT26" s="6" t="e">
        <f t="shared" si="15"/>
        <v>#DIV/0!</v>
      </c>
      <c r="AU26" s="6" t="e">
        <f t="shared" si="16"/>
        <v>#DIV/0!</v>
      </c>
      <c r="AV26" s="6" t="e">
        <f t="shared" si="17"/>
        <v>#DIV/0!</v>
      </c>
      <c r="AW26" s="6" t="e">
        <f t="shared" si="0"/>
        <v>#DIV/0!</v>
      </c>
      <c r="AX26" s="20" t="e">
        <f t="shared" si="18"/>
        <v>#DIV/0!</v>
      </c>
      <c r="AY26" s="20" t="e">
        <f t="shared" si="19"/>
        <v>#DIV/0!</v>
      </c>
      <c r="AZ26" s="20" t="e">
        <f t="shared" si="20"/>
        <v>#DIV/0!</v>
      </c>
    </row>
    <row r="27" spans="1:52" x14ac:dyDescent="0.3">
      <c r="A27">
        <v>18.399999999999999</v>
      </c>
      <c r="B27">
        <v>72.588598000000005</v>
      </c>
      <c r="C27">
        <v>72.946146999999996</v>
      </c>
      <c r="D27">
        <v>73.299638999999999</v>
      </c>
      <c r="E27">
        <v>66.917980999999997</v>
      </c>
      <c r="F27">
        <v>56.490043999999997</v>
      </c>
      <c r="G27">
        <v>40.037106999999999</v>
      </c>
      <c r="H27">
        <v>40.162875</v>
      </c>
      <c r="I27"/>
      <c r="O27" s="6">
        <v>22</v>
      </c>
      <c r="P27" s="7" t="e">
        <f>AVERAGE(B1075:B1124)</f>
        <v>#DIV/0!</v>
      </c>
      <c r="Q27" s="23" t="e">
        <f>STDEV(C1075:C1124)</f>
        <v>#DIV/0!</v>
      </c>
      <c r="R27" s="9" t="e">
        <f>AVERAGE(C1075:C1124)</f>
        <v>#DIV/0!</v>
      </c>
      <c r="S27" s="10" t="e">
        <f>STDEV(E1075:E1124)</f>
        <v>#DIV/0!</v>
      </c>
      <c r="T27" s="11" t="e">
        <f>AVERAGE(D1075:D1124)</f>
        <v>#DIV/0!</v>
      </c>
      <c r="U27" s="12" t="e">
        <f>STDEV(D1075:D1124)</f>
        <v>#DIV/0!</v>
      </c>
      <c r="V27" s="13" t="e">
        <f>AVERAGE(E1075:E1124)</f>
        <v>#DIV/0!</v>
      </c>
      <c r="W27" s="14" t="e">
        <f>STDEV(E1075:E1124)</f>
        <v>#DIV/0!</v>
      </c>
      <c r="X27" s="15" t="e">
        <f>AVERAGE(F1075:F1124)</f>
        <v>#DIV/0!</v>
      </c>
      <c r="Y27" s="16" t="e">
        <f>STDEV(F1075:F1124)</f>
        <v>#DIV/0!</v>
      </c>
      <c r="Z27" s="17" t="e">
        <f>AVERAGE(G1075:G1124)</f>
        <v>#DIV/0!</v>
      </c>
      <c r="AA27" s="18" t="e">
        <f>AVERAGE(H1075:H1124)</f>
        <v>#DIV/0!</v>
      </c>
      <c r="AB27" s="6" t="e">
        <f t="shared" si="1"/>
        <v>#DIV/0!</v>
      </c>
      <c r="AC27" s="6" t="e">
        <f t="shared" si="21"/>
        <v>#DIV/0!</v>
      </c>
      <c r="AD27" s="6" t="e">
        <f t="shared" si="2"/>
        <v>#DIV/0!</v>
      </c>
      <c r="AE27" s="6" t="e">
        <f t="shared" si="22"/>
        <v>#DIV/0!</v>
      </c>
      <c r="AF27" s="22"/>
      <c r="AG27" s="22"/>
      <c r="AH27" s="6" t="e">
        <f t="shared" si="3"/>
        <v>#DIV/0!</v>
      </c>
      <c r="AI27" s="6" t="e">
        <f t="shared" si="4"/>
        <v>#DIV/0!</v>
      </c>
      <c r="AJ27" s="6" t="e">
        <f t="shared" si="5"/>
        <v>#DIV/0!</v>
      </c>
      <c r="AK27" s="6" t="e">
        <f t="shared" si="6"/>
        <v>#DIV/0!</v>
      </c>
      <c r="AL27" s="6" t="e">
        <f t="shared" si="7"/>
        <v>#DIV/0!</v>
      </c>
      <c r="AM27" s="6" t="e">
        <f t="shared" si="8"/>
        <v>#DIV/0!</v>
      </c>
      <c r="AN27" s="6" t="e">
        <f t="shared" si="9"/>
        <v>#DIV/0!</v>
      </c>
      <c r="AO27" s="6">
        <f t="shared" si="10"/>
        <v>3.8800000000000001E-2</v>
      </c>
      <c r="AP27" s="6" t="e">
        <f t="shared" si="11"/>
        <v>#DIV/0!</v>
      </c>
      <c r="AQ27" s="6" t="e">
        <f t="shared" si="12"/>
        <v>#DIV/0!</v>
      </c>
      <c r="AR27" s="6" t="e">
        <f t="shared" si="13"/>
        <v>#DIV/0!</v>
      </c>
      <c r="AS27" s="6" t="e">
        <f t="shared" si="14"/>
        <v>#DIV/0!</v>
      </c>
      <c r="AT27" s="6" t="e">
        <f t="shared" si="15"/>
        <v>#DIV/0!</v>
      </c>
      <c r="AU27" s="6" t="e">
        <f t="shared" si="16"/>
        <v>#DIV/0!</v>
      </c>
      <c r="AV27" s="6" t="e">
        <f t="shared" si="17"/>
        <v>#DIV/0!</v>
      </c>
      <c r="AW27" s="6" t="e">
        <f t="shared" si="0"/>
        <v>#DIV/0!</v>
      </c>
      <c r="AX27" s="20" t="e">
        <f t="shared" si="18"/>
        <v>#DIV/0!</v>
      </c>
      <c r="AY27" s="20" t="e">
        <f t="shared" si="19"/>
        <v>#DIV/0!</v>
      </c>
      <c r="AZ27" s="20" t="e">
        <f t="shared" si="20"/>
        <v>#DIV/0!</v>
      </c>
    </row>
    <row r="28" spans="1:52" x14ac:dyDescent="0.3">
      <c r="A28">
        <v>18.600000000000001</v>
      </c>
      <c r="B28">
        <v>72.588598000000005</v>
      </c>
      <c r="C28">
        <v>72.946146999999996</v>
      </c>
      <c r="D28">
        <v>73.299638999999999</v>
      </c>
      <c r="E28">
        <v>66.917980999999997</v>
      </c>
      <c r="F28">
        <v>56.490043999999997</v>
      </c>
      <c r="G28">
        <v>40.037106999999999</v>
      </c>
      <c r="H28">
        <v>40.162875</v>
      </c>
      <c r="I28"/>
      <c r="O28" s="6">
        <v>23</v>
      </c>
      <c r="P28" s="7" t="e">
        <f>AVERAGE(B1125:B1174)</f>
        <v>#DIV/0!</v>
      </c>
      <c r="Q28" s="23" t="e">
        <f>STDEV(C1125:C1174)</f>
        <v>#DIV/0!</v>
      </c>
      <c r="R28" s="9" t="e">
        <f>AVERAGE(C1125:C1174)</f>
        <v>#DIV/0!</v>
      </c>
      <c r="S28" s="10" t="e">
        <f>STDEV(E1125:E1174)</f>
        <v>#DIV/0!</v>
      </c>
      <c r="T28" s="11" t="e">
        <f>AVERAGE(D1125:D1174)</f>
        <v>#DIV/0!</v>
      </c>
      <c r="U28" s="12" t="e">
        <f>STDEV(D1125:D1174)</f>
        <v>#DIV/0!</v>
      </c>
      <c r="V28" s="13" t="e">
        <f>AVERAGE(E1125:E1174)</f>
        <v>#DIV/0!</v>
      </c>
      <c r="W28" s="14" t="e">
        <f>STDEV(E1125:E1174)</f>
        <v>#DIV/0!</v>
      </c>
      <c r="X28" s="15" t="e">
        <f>AVERAGE(F1125:F1174)</f>
        <v>#DIV/0!</v>
      </c>
      <c r="Y28" s="16" t="e">
        <f>STDEV(F1125:F1174)</f>
        <v>#DIV/0!</v>
      </c>
      <c r="Z28" s="17" t="e">
        <f>AVERAGE(G1125:G1174)</f>
        <v>#DIV/0!</v>
      </c>
      <c r="AA28" s="18" t="e">
        <f>AVERAGE(H1125:H1174)</f>
        <v>#DIV/0!</v>
      </c>
      <c r="AB28" s="6" t="e">
        <f t="shared" si="1"/>
        <v>#DIV/0!</v>
      </c>
      <c r="AC28" s="6" t="e">
        <f t="shared" si="21"/>
        <v>#DIV/0!</v>
      </c>
      <c r="AD28" s="6" t="e">
        <f t="shared" si="2"/>
        <v>#DIV/0!</v>
      </c>
      <c r="AE28" s="6" t="e">
        <f t="shared" si="22"/>
        <v>#DIV/0!</v>
      </c>
      <c r="AF28" s="22"/>
      <c r="AG28" s="22"/>
      <c r="AH28" s="6" t="e">
        <f t="shared" si="3"/>
        <v>#DIV/0!</v>
      </c>
      <c r="AI28" s="6" t="e">
        <f t="shared" si="4"/>
        <v>#DIV/0!</v>
      </c>
      <c r="AJ28" s="6" t="e">
        <f t="shared" si="5"/>
        <v>#DIV/0!</v>
      </c>
      <c r="AK28" s="6" t="e">
        <f t="shared" si="6"/>
        <v>#DIV/0!</v>
      </c>
      <c r="AL28" s="6" t="e">
        <f t="shared" si="7"/>
        <v>#DIV/0!</v>
      </c>
      <c r="AM28" s="6" t="e">
        <f t="shared" si="8"/>
        <v>#DIV/0!</v>
      </c>
      <c r="AN28" s="6" t="e">
        <f t="shared" si="9"/>
        <v>#DIV/0!</v>
      </c>
      <c r="AO28" s="6">
        <f t="shared" si="10"/>
        <v>3.8800000000000001E-2</v>
      </c>
      <c r="AP28" s="6" t="e">
        <f t="shared" si="11"/>
        <v>#DIV/0!</v>
      </c>
      <c r="AQ28" s="6" t="e">
        <f t="shared" si="12"/>
        <v>#DIV/0!</v>
      </c>
      <c r="AR28" s="6" t="e">
        <f t="shared" si="13"/>
        <v>#DIV/0!</v>
      </c>
      <c r="AS28" s="6" t="e">
        <f t="shared" si="14"/>
        <v>#DIV/0!</v>
      </c>
      <c r="AT28" s="6" t="e">
        <f t="shared" si="15"/>
        <v>#DIV/0!</v>
      </c>
      <c r="AU28" s="6" t="e">
        <f t="shared" si="16"/>
        <v>#DIV/0!</v>
      </c>
      <c r="AV28" s="6" t="e">
        <f t="shared" si="17"/>
        <v>#DIV/0!</v>
      </c>
      <c r="AW28" s="6" t="e">
        <f t="shared" si="0"/>
        <v>#DIV/0!</v>
      </c>
      <c r="AX28" s="20" t="e">
        <f t="shared" si="18"/>
        <v>#DIV/0!</v>
      </c>
      <c r="AY28" s="20" t="e">
        <f t="shared" si="19"/>
        <v>#DIV/0!</v>
      </c>
      <c r="AZ28" s="20" t="e">
        <f t="shared" si="20"/>
        <v>#DIV/0!</v>
      </c>
    </row>
    <row r="29" spans="1:52" x14ac:dyDescent="0.3">
      <c r="A29">
        <v>18.8</v>
      </c>
      <c r="B29">
        <v>72.580194000000006</v>
      </c>
      <c r="C29">
        <v>72.942468000000005</v>
      </c>
      <c r="D29">
        <v>73.301150000000007</v>
      </c>
      <c r="E29">
        <v>66.904469000000006</v>
      </c>
      <c r="F29">
        <v>56.606490000000001</v>
      </c>
      <c r="G29">
        <v>40.033355</v>
      </c>
      <c r="H29">
        <v>40.169603000000002</v>
      </c>
      <c r="I29"/>
      <c r="O29" s="6">
        <v>24</v>
      </c>
      <c r="P29" s="7" t="e">
        <f>AVERAGE(B1175:B1224)</f>
        <v>#DIV/0!</v>
      </c>
      <c r="Q29" s="23" t="e">
        <f>STDEV(C1175:C1224)</f>
        <v>#DIV/0!</v>
      </c>
      <c r="R29" s="9" t="e">
        <f>AVERAGE(C1175:C1224)</f>
        <v>#DIV/0!</v>
      </c>
      <c r="S29" s="10" t="e">
        <f>STDEV(E1175:E1224)</f>
        <v>#DIV/0!</v>
      </c>
      <c r="T29" s="11" t="e">
        <f>AVERAGE(D1175:D1224)</f>
        <v>#DIV/0!</v>
      </c>
      <c r="U29" s="12" t="e">
        <f>STDEV(D1175:D1224)</f>
        <v>#DIV/0!</v>
      </c>
      <c r="V29" s="13" t="e">
        <f>AVERAGE(E1175:E1224)</f>
        <v>#DIV/0!</v>
      </c>
      <c r="W29" s="14" t="e">
        <f>STDEV(E1175:E1224)</f>
        <v>#DIV/0!</v>
      </c>
      <c r="X29" s="15" t="e">
        <f>AVERAGE(F1175:F1224)</f>
        <v>#DIV/0!</v>
      </c>
      <c r="Y29" s="16" t="e">
        <f>STDEV(F1175:F1224)</f>
        <v>#DIV/0!</v>
      </c>
      <c r="Z29" s="17" t="e">
        <f>AVERAGE(G1175:G1224)</f>
        <v>#DIV/0!</v>
      </c>
      <c r="AA29" s="18" t="e">
        <f>AVERAGE(H1175:H1224)</f>
        <v>#DIV/0!</v>
      </c>
      <c r="AB29" s="6" t="e">
        <f t="shared" si="1"/>
        <v>#DIV/0!</v>
      </c>
      <c r="AC29" s="6" t="e">
        <f t="shared" si="21"/>
        <v>#DIV/0!</v>
      </c>
      <c r="AD29" s="6" t="e">
        <f t="shared" si="2"/>
        <v>#DIV/0!</v>
      </c>
      <c r="AE29" s="6" t="e">
        <f t="shared" si="22"/>
        <v>#DIV/0!</v>
      </c>
      <c r="AF29" s="22"/>
      <c r="AG29" s="22"/>
      <c r="AH29" s="6" t="e">
        <f t="shared" si="3"/>
        <v>#DIV/0!</v>
      </c>
      <c r="AI29" s="6" t="e">
        <f t="shared" si="4"/>
        <v>#DIV/0!</v>
      </c>
      <c r="AJ29" s="6" t="e">
        <f t="shared" si="5"/>
        <v>#DIV/0!</v>
      </c>
      <c r="AK29" s="6" t="e">
        <f t="shared" si="6"/>
        <v>#DIV/0!</v>
      </c>
      <c r="AL29" s="6" t="e">
        <f t="shared" si="7"/>
        <v>#DIV/0!</v>
      </c>
      <c r="AM29" s="6" t="e">
        <f t="shared" si="8"/>
        <v>#DIV/0!</v>
      </c>
      <c r="AN29" s="6" t="e">
        <f t="shared" si="9"/>
        <v>#DIV/0!</v>
      </c>
      <c r="AO29" s="6">
        <f t="shared" si="10"/>
        <v>3.8800000000000001E-2</v>
      </c>
      <c r="AP29" s="6" t="e">
        <f t="shared" si="11"/>
        <v>#DIV/0!</v>
      </c>
      <c r="AQ29" s="6" t="e">
        <f t="shared" si="12"/>
        <v>#DIV/0!</v>
      </c>
      <c r="AR29" s="6" t="e">
        <f t="shared" si="13"/>
        <v>#DIV/0!</v>
      </c>
      <c r="AS29" s="6" t="e">
        <f t="shared" si="14"/>
        <v>#DIV/0!</v>
      </c>
      <c r="AT29" s="6" t="e">
        <f t="shared" si="15"/>
        <v>#DIV/0!</v>
      </c>
      <c r="AU29" s="6" t="e">
        <f t="shared" si="16"/>
        <v>#DIV/0!</v>
      </c>
      <c r="AV29" s="6" t="e">
        <f t="shared" si="17"/>
        <v>#DIV/0!</v>
      </c>
      <c r="AW29" s="6" t="e">
        <f t="shared" si="0"/>
        <v>#DIV/0!</v>
      </c>
      <c r="AX29" s="20" t="e">
        <f t="shared" si="18"/>
        <v>#DIV/0!</v>
      </c>
      <c r="AY29" s="20" t="e">
        <f t="shared" si="19"/>
        <v>#DIV/0!</v>
      </c>
      <c r="AZ29" s="20" t="e">
        <f t="shared" si="20"/>
        <v>#DIV/0!</v>
      </c>
    </row>
    <row r="30" spans="1:52" x14ac:dyDescent="0.3">
      <c r="A30">
        <v>19</v>
      </c>
      <c r="B30">
        <v>72.580194000000006</v>
      </c>
      <c r="C30">
        <v>72.942468000000005</v>
      </c>
      <c r="D30">
        <v>73.301150000000007</v>
      </c>
      <c r="E30">
        <v>66.904469000000006</v>
      </c>
      <c r="F30">
        <v>56.606490000000001</v>
      </c>
      <c r="G30">
        <v>40.033355</v>
      </c>
      <c r="H30">
        <v>40.169603000000002</v>
      </c>
      <c r="I30" t="s">
        <v>60</v>
      </c>
      <c r="O30" s="6">
        <v>25</v>
      </c>
      <c r="P30" s="7" t="e">
        <f>AVERAGE(B1225:B1274)</f>
        <v>#DIV/0!</v>
      </c>
      <c r="Q30" s="23" t="e">
        <f>STDEV(C1225:C1274)</f>
        <v>#DIV/0!</v>
      </c>
      <c r="R30" s="9" t="e">
        <f>AVERAGE(C1225:C1274)</f>
        <v>#DIV/0!</v>
      </c>
      <c r="S30" s="10" t="e">
        <f>STDEV(E1225:E1274)</f>
        <v>#DIV/0!</v>
      </c>
      <c r="T30" s="11" t="e">
        <f>AVERAGE(D1225:D1274)</f>
        <v>#DIV/0!</v>
      </c>
      <c r="U30" s="12" t="e">
        <f>STDEV(D1225:D1274)</f>
        <v>#DIV/0!</v>
      </c>
      <c r="V30" s="13" t="e">
        <f>AVERAGE(E1225:E1274)</f>
        <v>#DIV/0!</v>
      </c>
      <c r="W30" s="14" t="e">
        <f>STDEV(E1225:E1274)</f>
        <v>#DIV/0!</v>
      </c>
      <c r="X30" s="15" t="e">
        <f>AVERAGE(F1225:F1274)</f>
        <v>#DIV/0!</v>
      </c>
      <c r="Y30" s="16" t="e">
        <f>STDEV(F1225:F1274)</f>
        <v>#DIV/0!</v>
      </c>
      <c r="Z30" s="17" t="e">
        <f>AVERAGE(G1225:G1274)</f>
        <v>#DIV/0!</v>
      </c>
      <c r="AA30" s="18" t="e">
        <f>AVERAGE(H1225:H1274)</f>
        <v>#DIV/0!</v>
      </c>
      <c r="AB30" s="6" t="e">
        <f t="shared" si="1"/>
        <v>#DIV/0!</v>
      </c>
      <c r="AC30" s="6" t="e">
        <f t="shared" si="21"/>
        <v>#DIV/0!</v>
      </c>
      <c r="AD30" s="6" t="e">
        <f t="shared" si="2"/>
        <v>#DIV/0!</v>
      </c>
      <c r="AE30" s="6" t="e">
        <f t="shared" si="22"/>
        <v>#DIV/0!</v>
      </c>
      <c r="AF30" s="22"/>
      <c r="AG30" s="22"/>
      <c r="AH30" s="6" t="e">
        <f t="shared" si="3"/>
        <v>#DIV/0!</v>
      </c>
      <c r="AI30" s="6" t="e">
        <f t="shared" si="4"/>
        <v>#DIV/0!</v>
      </c>
      <c r="AJ30" s="6" t="e">
        <f t="shared" si="5"/>
        <v>#DIV/0!</v>
      </c>
      <c r="AK30" s="6" t="e">
        <f t="shared" si="6"/>
        <v>#DIV/0!</v>
      </c>
      <c r="AL30" s="6" t="e">
        <f t="shared" si="7"/>
        <v>#DIV/0!</v>
      </c>
      <c r="AM30" s="6" t="e">
        <f t="shared" si="8"/>
        <v>#DIV/0!</v>
      </c>
      <c r="AN30" s="6" t="e">
        <f t="shared" si="9"/>
        <v>#DIV/0!</v>
      </c>
      <c r="AO30" s="6">
        <f t="shared" si="10"/>
        <v>3.8800000000000001E-2</v>
      </c>
      <c r="AP30" s="6" t="e">
        <f t="shared" si="11"/>
        <v>#DIV/0!</v>
      </c>
      <c r="AQ30" s="6" t="e">
        <f t="shared" si="12"/>
        <v>#DIV/0!</v>
      </c>
      <c r="AR30" s="6" t="e">
        <f t="shared" si="13"/>
        <v>#DIV/0!</v>
      </c>
      <c r="AS30" s="6" t="e">
        <f t="shared" si="14"/>
        <v>#DIV/0!</v>
      </c>
      <c r="AT30" s="6" t="e">
        <f t="shared" si="15"/>
        <v>#DIV/0!</v>
      </c>
      <c r="AU30" s="6" t="e">
        <f t="shared" si="16"/>
        <v>#DIV/0!</v>
      </c>
      <c r="AV30" s="6" t="e">
        <f t="shared" si="17"/>
        <v>#DIV/0!</v>
      </c>
      <c r="AW30" s="6" t="e">
        <f t="shared" si="0"/>
        <v>#DIV/0!</v>
      </c>
      <c r="AX30" s="20" t="e">
        <f t="shared" si="18"/>
        <v>#DIV/0!</v>
      </c>
      <c r="AY30" s="20" t="e">
        <f t="shared" si="19"/>
        <v>#DIV/0!</v>
      </c>
      <c r="AZ30" s="20" t="e">
        <f t="shared" si="20"/>
        <v>#DIV/0!</v>
      </c>
    </row>
    <row r="31" spans="1:52" x14ac:dyDescent="0.3">
      <c r="A31">
        <v>19.2</v>
      </c>
      <c r="B31">
        <v>72.594774000000001</v>
      </c>
      <c r="C31">
        <v>72.917080999999996</v>
      </c>
      <c r="D31">
        <v>73.306242999999995</v>
      </c>
      <c r="E31">
        <v>66.927931000000001</v>
      </c>
      <c r="F31">
        <v>56.691569999999999</v>
      </c>
      <c r="G31">
        <v>40.048800999999997</v>
      </c>
      <c r="H31">
        <v>40.173171000000004</v>
      </c>
      <c r="I31"/>
      <c r="N31"/>
      <c r="O31"/>
    </row>
    <row r="32" spans="1:52" x14ac:dyDescent="0.3">
      <c r="A32">
        <v>19.399999999999999</v>
      </c>
      <c r="B32">
        <v>72.594774000000001</v>
      </c>
      <c r="C32">
        <v>72.917080999999996</v>
      </c>
      <c r="D32">
        <v>73.306242999999995</v>
      </c>
      <c r="E32">
        <v>66.927931000000001</v>
      </c>
      <c r="F32">
        <v>56.691569999999999</v>
      </c>
      <c r="G32">
        <v>40.048800999999997</v>
      </c>
      <c r="H32">
        <v>40.173171000000004</v>
      </c>
      <c r="I32"/>
      <c r="N32"/>
      <c r="O32"/>
    </row>
    <row r="33" spans="1:19" x14ac:dyDescent="0.3">
      <c r="A33">
        <v>19.600000000000001</v>
      </c>
      <c r="B33">
        <v>72.575194999999994</v>
      </c>
      <c r="C33">
        <v>72.940396000000007</v>
      </c>
      <c r="D33">
        <v>73.311672999999999</v>
      </c>
      <c r="E33">
        <v>66.904431000000002</v>
      </c>
      <c r="F33">
        <v>56.703231000000002</v>
      </c>
      <c r="G33">
        <v>40.028590999999999</v>
      </c>
      <c r="H33">
        <v>40.176251999999998</v>
      </c>
      <c r="I33"/>
      <c r="N33"/>
      <c r="O33"/>
    </row>
    <row r="34" spans="1:19" x14ac:dyDescent="0.3">
      <c r="A34">
        <v>19.8</v>
      </c>
      <c r="B34">
        <v>72.575194999999994</v>
      </c>
      <c r="C34">
        <v>72.940396000000007</v>
      </c>
      <c r="D34">
        <v>73.311672999999999</v>
      </c>
      <c r="E34">
        <v>66.904431000000002</v>
      </c>
      <c r="F34">
        <v>56.703231000000002</v>
      </c>
      <c r="G34">
        <v>40.028590999999999</v>
      </c>
      <c r="H34">
        <v>40.176251999999998</v>
      </c>
      <c r="I34"/>
      <c r="N34"/>
      <c r="O34"/>
    </row>
    <row r="35" spans="1:19" x14ac:dyDescent="0.3">
      <c r="A35">
        <v>20</v>
      </c>
      <c r="B35">
        <v>72.583800999999994</v>
      </c>
      <c r="C35">
        <v>72.931845999999993</v>
      </c>
      <c r="D35">
        <v>73.286094000000006</v>
      </c>
      <c r="E35">
        <v>66.893708000000004</v>
      </c>
      <c r="F35">
        <v>56.599397000000003</v>
      </c>
      <c r="G35">
        <v>40.038336000000001</v>
      </c>
      <c r="H35">
        <v>40.184596999999997</v>
      </c>
      <c r="I35" t="s">
        <v>60</v>
      </c>
      <c r="N35"/>
      <c r="P35" s="24" t="s">
        <v>57</v>
      </c>
      <c r="Q35" s="24" t="s">
        <v>58</v>
      </c>
    </row>
    <row r="36" spans="1:19" x14ac:dyDescent="0.3">
      <c r="A36">
        <v>20.2</v>
      </c>
      <c r="B36">
        <v>72.583800999999994</v>
      </c>
      <c r="C36">
        <v>72.931845999999993</v>
      </c>
      <c r="D36">
        <v>73.286094000000006</v>
      </c>
      <c r="E36">
        <v>66.893708000000004</v>
      </c>
      <c r="F36">
        <v>56.599397000000003</v>
      </c>
      <c r="G36">
        <v>40.038336000000001</v>
      </c>
      <c r="H36">
        <v>40.184596999999997</v>
      </c>
      <c r="I36"/>
      <c r="N36"/>
      <c r="O36" s="24" t="s">
        <v>10</v>
      </c>
      <c r="P36" s="7">
        <v>0.98399999999999999</v>
      </c>
      <c r="Q36" s="7">
        <v>0.78649999999999998</v>
      </c>
    </row>
    <row r="37" spans="1:19" x14ac:dyDescent="0.3">
      <c r="A37">
        <v>20.399999999999999</v>
      </c>
      <c r="B37">
        <v>72.570972999999995</v>
      </c>
      <c r="C37">
        <v>72.957182000000003</v>
      </c>
      <c r="D37">
        <v>73.304544000000007</v>
      </c>
      <c r="E37">
        <v>66.912114000000003</v>
      </c>
      <c r="F37">
        <v>56.418748000000001</v>
      </c>
      <c r="G37">
        <v>40.037222</v>
      </c>
      <c r="H37">
        <v>40.169511</v>
      </c>
      <c r="I37"/>
      <c r="N37"/>
      <c r="O37" s="24" t="s">
        <v>14</v>
      </c>
      <c r="P37" s="7">
        <v>0.98629999999999995</v>
      </c>
      <c r="Q37" s="7">
        <v>0.68220000000000003</v>
      </c>
    </row>
    <row r="38" spans="1:19" x14ac:dyDescent="0.3">
      <c r="A38">
        <v>20.6</v>
      </c>
      <c r="B38">
        <v>72.570972999999995</v>
      </c>
      <c r="C38">
        <v>72.957182000000003</v>
      </c>
      <c r="D38">
        <v>73.304544000000007</v>
      </c>
      <c r="E38">
        <v>66.912114000000003</v>
      </c>
      <c r="F38">
        <v>56.418748000000001</v>
      </c>
      <c r="G38">
        <v>40.037222</v>
      </c>
      <c r="H38">
        <v>40.169511</v>
      </c>
      <c r="I38"/>
      <c r="N38"/>
      <c r="O38" s="24" t="s">
        <v>15</v>
      </c>
      <c r="P38" s="7">
        <v>0.98070000000000002</v>
      </c>
      <c r="Q38" s="7">
        <v>0.81030000000000002</v>
      </c>
    </row>
    <row r="39" spans="1:19" x14ac:dyDescent="0.3">
      <c r="A39">
        <v>20.8</v>
      </c>
      <c r="B39">
        <v>72.585278000000002</v>
      </c>
      <c r="C39">
        <v>72.942141000000007</v>
      </c>
      <c r="D39">
        <v>73.295430999999994</v>
      </c>
      <c r="E39">
        <v>66.904591999999994</v>
      </c>
      <c r="F39">
        <v>56.454658000000002</v>
      </c>
      <c r="G39">
        <v>40.023891999999996</v>
      </c>
      <c r="H39">
        <v>40.170622000000002</v>
      </c>
      <c r="I39"/>
      <c r="N39"/>
      <c r="O39" s="24" t="s">
        <v>16</v>
      </c>
      <c r="P39" s="7">
        <v>0.97760000000000002</v>
      </c>
      <c r="Q39" s="7">
        <v>0.92379999999999995</v>
      </c>
    </row>
    <row r="40" spans="1:19" x14ac:dyDescent="0.3">
      <c r="A40">
        <v>21</v>
      </c>
      <c r="B40">
        <v>72.585278000000002</v>
      </c>
      <c r="C40">
        <v>72.942141000000007</v>
      </c>
      <c r="D40">
        <v>73.295430999999994</v>
      </c>
      <c r="E40">
        <v>66.904591999999994</v>
      </c>
      <c r="F40">
        <v>56.454658000000002</v>
      </c>
      <c r="G40">
        <v>40.023891999999996</v>
      </c>
      <c r="H40">
        <v>40.170622000000002</v>
      </c>
      <c r="I40" t="s">
        <v>60</v>
      </c>
      <c r="N40"/>
      <c r="O40"/>
    </row>
    <row r="41" spans="1:19" x14ac:dyDescent="0.3">
      <c r="A41">
        <v>21.2</v>
      </c>
      <c r="B41">
        <v>72.593496000000002</v>
      </c>
      <c r="C41">
        <v>72.960773000000003</v>
      </c>
      <c r="D41">
        <v>73.320474000000004</v>
      </c>
      <c r="E41">
        <v>66.922400999999994</v>
      </c>
      <c r="F41">
        <v>56.517640999999998</v>
      </c>
      <c r="G41">
        <v>40.052824999999999</v>
      </c>
      <c r="H41">
        <v>40.180686999999999</v>
      </c>
      <c r="I41"/>
      <c r="N41"/>
      <c r="O41"/>
      <c r="P41" s="25" t="s">
        <v>59</v>
      </c>
      <c r="Q41" s="25"/>
      <c r="R41" s="25"/>
      <c r="S41" s="25"/>
    </row>
    <row r="42" spans="1:19" x14ac:dyDescent="0.3">
      <c r="A42">
        <v>21.4</v>
      </c>
      <c r="B42">
        <v>72.593496000000002</v>
      </c>
      <c r="C42">
        <v>72.960773000000003</v>
      </c>
      <c r="D42">
        <v>73.320474000000004</v>
      </c>
      <c r="E42">
        <v>66.922400999999994</v>
      </c>
      <c r="F42">
        <v>56.517640999999998</v>
      </c>
      <c r="G42">
        <v>40.052824999999999</v>
      </c>
      <c r="H42">
        <v>40.180686999999999</v>
      </c>
      <c r="I42"/>
      <c r="N42"/>
      <c r="O42"/>
      <c r="P42" s="6" t="s">
        <v>10</v>
      </c>
      <c r="Q42" s="6" t="s">
        <v>14</v>
      </c>
      <c r="R42" s="6" t="s">
        <v>15</v>
      </c>
      <c r="S42" s="6" t="s">
        <v>16</v>
      </c>
    </row>
    <row r="43" spans="1:19" x14ac:dyDescent="0.3">
      <c r="A43">
        <v>21.6</v>
      </c>
      <c r="B43">
        <v>72.582047000000003</v>
      </c>
      <c r="C43">
        <v>72.972800000000007</v>
      </c>
      <c r="D43">
        <v>73.311535000000006</v>
      </c>
      <c r="E43">
        <v>66.907880000000006</v>
      </c>
      <c r="F43">
        <v>56.407645000000002</v>
      </c>
      <c r="G43">
        <v>40.046717999999998</v>
      </c>
      <c r="H43">
        <v>40.167361</v>
      </c>
      <c r="I43"/>
      <c r="N43"/>
      <c r="O43"/>
      <c r="P43" s="1">
        <f>(B25+Q$36)/P$36</f>
        <v>74.577342479674797</v>
      </c>
      <c r="Q43" s="1">
        <f>(C25+Q$36)/P$36</f>
        <v>74.948764227642272</v>
      </c>
      <c r="R43" s="1">
        <f>(D25+Q$38)/P$38</f>
        <v>75.55969001733456</v>
      </c>
      <c r="S43" s="1">
        <f>(E25+Q$39)/P$39</f>
        <v>69.386154869067113</v>
      </c>
    </row>
    <row r="44" spans="1:19" x14ac:dyDescent="0.3">
      <c r="A44">
        <v>21.8</v>
      </c>
      <c r="B44">
        <v>72.582047000000003</v>
      </c>
      <c r="C44">
        <v>72.972800000000007</v>
      </c>
      <c r="D44">
        <v>73.311535000000006</v>
      </c>
      <c r="E44">
        <v>66.907880000000006</v>
      </c>
      <c r="F44">
        <v>56.407645000000002</v>
      </c>
      <c r="G44">
        <v>40.046717999999998</v>
      </c>
      <c r="H44">
        <v>40.167361</v>
      </c>
      <c r="I44"/>
      <c r="N44"/>
      <c r="O44"/>
      <c r="P44" s="1">
        <f t="shared" ref="P44:P107" si="23">(B26+Q$36)/P$36</f>
        <v>74.577342479674797</v>
      </c>
      <c r="Q44" s="1">
        <f t="shared" ref="Q44:Q107" si="24">(C26+Q$36)/P$36</f>
        <v>74.948764227642272</v>
      </c>
      <c r="R44" s="1">
        <f t="shared" ref="R44:R107" si="25">(D26+Q$38)/P$38</f>
        <v>75.55969001733456</v>
      </c>
      <c r="S44" s="1">
        <f t="shared" ref="S44:S107" si="26">(E26+Q$39)/P$39</f>
        <v>69.386154869067113</v>
      </c>
    </row>
    <row r="45" spans="1:19" x14ac:dyDescent="0.3">
      <c r="A45">
        <v>22</v>
      </c>
      <c r="B45">
        <v>72.583524999999995</v>
      </c>
      <c r="C45">
        <v>72.942190999999994</v>
      </c>
      <c r="D45">
        <v>73.288291000000001</v>
      </c>
      <c r="E45">
        <v>66.918539999999993</v>
      </c>
      <c r="F45">
        <v>56.208716000000003</v>
      </c>
      <c r="G45">
        <v>40.037506</v>
      </c>
      <c r="H45">
        <v>40.170960000000001</v>
      </c>
      <c r="I45" t="s">
        <v>60</v>
      </c>
      <c r="N45"/>
      <c r="O45"/>
      <c r="P45" s="1">
        <f t="shared" si="23"/>
        <v>74.56818902439025</v>
      </c>
      <c r="Q45" s="1">
        <f t="shared" si="24"/>
        <v>74.931551829268287</v>
      </c>
      <c r="R45" s="1">
        <f t="shared" si="25"/>
        <v>75.568409299479953</v>
      </c>
      <c r="S45" s="1">
        <f t="shared" si="26"/>
        <v>69.396257160392793</v>
      </c>
    </row>
    <row r="46" spans="1:19" x14ac:dyDescent="0.3">
      <c r="A46">
        <v>22.2</v>
      </c>
      <c r="B46">
        <v>72.583524999999995</v>
      </c>
      <c r="C46">
        <v>72.942190999999994</v>
      </c>
      <c r="D46">
        <v>73.288291000000001</v>
      </c>
      <c r="E46">
        <v>66.918539999999993</v>
      </c>
      <c r="F46">
        <v>56.208716000000003</v>
      </c>
      <c r="G46">
        <v>40.037506</v>
      </c>
      <c r="H46">
        <v>40.170960000000001</v>
      </c>
      <c r="I46"/>
      <c r="N46"/>
      <c r="O46"/>
      <c r="P46" s="1">
        <f t="shared" si="23"/>
        <v>74.56818902439025</v>
      </c>
      <c r="Q46" s="1">
        <f t="shared" si="24"/>
        <v>74.931551829268287</v>
      </c>
      <c r="R46" s="1">
        <f t="shared" si="25"/>
        <v>75.568409299479953</v>
      </c>
      <c r="S46" s="1">
        <f t="shared" si="26"/>
        <v>69.396257160392793</v>
      </c>
    </row>
    <row r="47" spans="1:19" x14ac:dyDescent="0.3">
      <c r="A47">
        <v>22.4</v>
      </c>
      <c r="B47">
        <v>72.589624999999998</v>
      </c>
      <c r="C47">
        <v>72.951243000000005</v>
      </c>
      <c r="D47">
        <v>73.297066999999998</v>
      </c>
      <c r="E47">
        <v>66.951057000000006</v>
      </c>
      <c r="F47">
        <v>56.192818000000003</v>
      </c>
      <c r="G47">
        <v>40.044007999999998</v>
      </c>
      <c r="H47">
        <v>40.193063000000002</v>
      </c>
      <c r="I47"/>
      <c r="N47"/>
      <c r="O47"/>
      <c r="P47" s="1">
        <f t="shared" si="23"/>
        <v>74.559648373983748</v>
      </c>
      <c r="Q47" s="1">
        <f t="shared" si="24"/>
        <v>74.927813008130087</v>
      </c>
      <c r="R47" s="1">
        <f t="shared" si="25"/>
        <v>75.569950035688791</v>
      </c>
      <c r="S47" s="1">
        <f t="shared" si="26"/>
        <v>69.382435556464813</v>
      </c>
    </row>
    <row r="48" spans="1:19" x14ac:dyDescent="0.3">
      <c r="A48">
        <v>22.6</v>
      </c>
      <c r="B48">
        <v>72.589624999999998</v>
      </c>
      <c r="C48">
        <v>72.951243000000005</v>
      </c>
      <c r="D48">
        <v>73.297066999999998</v>
      </c>
      <c r="E48">
        <v>66.951057000000006</v>
      </c>
      <c r="F48">
        <v>56.192818000000003</v>
      </c>
      <c r="G48">
        <v>40.044007999999998</v>
      </c>
      <c r="H48">
        <v>40.193063000000002</v>
      </c>
      <c r="I48"/>
      <c r="N48"/>
      <c r="O48"/>
      <c r="P48" s="1">
        <f t="shared" si="23"/>
        <v>74.559648373983748</v>
      </c>
      <c r="Q48" s="1">
        <f t="shared" si="24"/>
        <v>74.927813008130087</v>
      </c>
      <c r="R48" s="1">
        <f t="shared" si="25"/>
        <v>75.569950035688791</v>
      </c>
      <c r="S48" s="1">
        <f t="shared" si="26"/>
        <v>69.382435556464813</v>
      </c>
    </row>
    <row r="49" spans="1:19" x14ac:dyDescent="0.3">
      <c r="A49">
        <v>22.8</v>
      </c>
      <c r="B49">
        <v>72.598429999999993</v>
      </c>
      <c r="C49">
        <v>72.963910999999996</v>
      </c>
      <c r="D49">
        <v>73.310111000000006</v>
      </c>
      <c r="E49">
        <v>66.939188000000001</v>
      </c>
      <c r="F49">
        <v>56.235847999999997</v>
      </c>
      <c r="G49">
        <v>40.023395999999998</v>
      </c>
      <c r="H49">
        <v>40.190618999999998</v>
      </c>
      <c r="I49"/>
      <c r="N49"/>
      <c r="O49"/>
      <c r="P49" s="1">
        <f t="shared" si="23"/>
        <v>74.574465447154481</v>
      </c>
      <c r="Q49" s="1">
        <f t="shared" si="24"/>
        <v>74.902013211382112</v>
      </c>
      <c r="R49" s="1">
        <f t="shared" si="25"/>
        <v>75.575143265014773</v>
      </c>
      <c r="S49" s="1">
        <f t="shared" si="26"/>
        <v>69.406435147299504</v>
      </c>
    </row>
    <row r="50" spans="1:19" x14ac:dyDescent="0.3">
      <c r="A50">
        <v>23</v>
      </c>
      <c r="B50">
        <v>72.598429999999993</v>
      </c>
      <c r="C50">
        <v>72.963910999999996</v>
      </c>
      <c r="D50">
        <v>73.310111000000006</v>
      </c>
      <c r="E50">
        <v>66.939188000000001</v>
      </c>
      <c r="F50">
        <v>56.235847999999997</v>
      </c>
      <c r="G50">
        <v>40.023395999999998</v>
      </c>
      <c r="H50">
        <v>40.190618999999998</v>
      </c>
      <c r="I50" t="s">
        <v>60</v>
      </c>
      <c r="N50"/>
      <c r="O50"/>
      <c r="P50" s="1">
        <f t="shared" si="23"/>
        <v>74.574465447154481</v>
      </c>
      <c r="Q50" s="1">
        <f t="shared" si="24"/>
        <v>74.902013211382112</v>
      </c>
      <c r="R50" s="1">
        <f t="shared" si="25"/>
        <v>75.575143265014773</v>
      </c>
      <c r="S50" s="1">
        <f t="shared" si="26"/>
        <v>69.406435147299504</v>
      </c>
    </row>
    <row r="51" spans="1:19" x14ac:dyDescent="0.3">
      <c r="A51">
        <v>23.2</v>
      </c>
      <c r="B51">
        <v>72.595599000000007</v>
      </c>
      <c r="C51">
        <v>72.962203000000002</v>
      </c>
      <c r="D51">
        <v>73.304817999999997</v>
      </c>
      <c r="E51">
        <v>66.959012999999999</v>
      </c>
      <c r="F51">
        <v>56.324706999999997</v>
      </c>
      <c r="G51">
        <v>40.032908999999997</v>
      </c>
      <c r="H51">
        <v>40.171253999999998</v>
      </c>
      <c r="I51"/>
      <c r="N51"/>
      <c r="O51"/>
      <c r="P51" s="1">
        <f t="shared" si="23"/>
        <v>74.554568089430887</v>
      </c>
      <c r="Q51" s="1">
        <f t="shared" si="24"/>
        <v>74.925707317073176</v>
      </c>
      <c r="R51" s="1">
        <f t="shared" si="25"/>
        <v>75.580680126440299</v>
      </c>
      <c r="S51" s="1">
        <f t="shared" si="26"/>
        <v>69.382396685761051</v>
      </c>
    </row>
    <row r="52" spans="1:19" x14ac:dyDescent="0.3">
      <c r="A52">
        <v>23.4</v>
      </c>
      <c r="B52">
        <v>72.595599000000007</v>
      </c>
      <c r="C52">
        <v>72.962203000000002</v>
      </c>
      <c r="D52">
        <v>73.304817999999997</v>
      </c>
      <c r="E52">
        <v>66.959012999999999</v>
      </c>
      <c r="F52">
        <v>56.324706999999997</v>
      </c>
      <c r="G52">
        <v>40.032908999999997</v>
      </c>
      <c r="H52">
        <v>40.171253999999998</v>
      </c>
      <c r="I52"/>
      <c r="N52"/>
      <c r="O52"/>
      <c r="P52" s="1">
        <f t="shared" si="23"/>
        <v>74.554568089430887</v>
      </c>
      <c r="Q52" s="1">
        <f t="shared" si="24"/>
        <v>74.925707317073176</v>
      </c>
      <c r="R52" s="1">
        <f t="shared" si="25"/>
        <v>75.580680126440299</v>
      </c>
      <c r="S52" s="1">
        <f t="shared" si="26"/>
        <v>69.382396685761051</v>
      </c>
    </row>
    <row r="53" spans="1:19" x14ac:dyDescent="0.3">
      <c r="A53">
        <v>23.6</v>
      </c>
      <c r="B53">
        <v>72.578137999999996</v>
      </c>
      <c r="C53">
        <v>72.957583</v>
      </c>
      <c r="D53">
        <v>73.314380999999997</v>
      </c>
      <c r="E53">
        <v>66.944568000000004</v>
      </c>
      <c r="F53">
        <v>56.384037999999997</v>
      </c>
      <c r="G53">
        <v>40.059178000000003</v>
      </c>
      <c r="H53">
        <v>40.187505000000002</v>
      </c>
      <c r="I53"/>
      <c r="N53"/>
      <c r="O53"/>
      <c r="P53" s="1">
        <f t="shared" si="23"/>
        <v>74.563314024390237</v>
      </c>
      <c r="Q53" s="1">
        <f t="shared" si="24"/>
        <v>74.917018292682926</v>
      </c>
      <c r="R53" s="1">
        <f t="shared" si="25"/>
        <v>75.554597736310797</v>
      </c>
      <c r="S53" s="1">
        <f t="shared" si="26"/>
        <v>69.37142798690671</v>
      </c>
    </row>
    <row r="54" spans="1:19" x14ac:dyDescent="0.3">
      <c r="A54">
        <v>23.8</v>
      </c>
      <c r="B54">
        <v>72.578137999999996</v>
      </c>
      <c r="C54">
        <v>72.957583</v>
      </c>
      <c r="D54">
        <v>73.314380999999997</v>
      </c>
      <c r="E54">
        <v>66.944568000000004</v>
      </c>
      <c r="F54">
        <v>56.384037999999997</v>
      </c>
      <c r="G54">
        <v>40.059178000000003</v>
      </c>
      <c r="H54">
        <v>40.187505000000002</v>
      </c>
      <c r="I54"/>
      <c r="N54"/>
      <c r="O54"/>
      <c r="P54" s="1">
        <f t="shared" si="23"/>
        <v>74.563314024390237</v>
      </c>
      <c r="Q54" s="1">
        <f t="shared" si="24"/>
        <v>74.917018292682926</v>
      </c>
      <c r="R54" s="1">
        <f t="shared" si="25"/>
        <v>75.554597736310797</v>
      </c>
      <c r="S54" s="1">
        <f t="shared" si="26"/>
        <v>69.37142798690671</v>
      </c>
    </row>
    <row r="55" spans="1:19" x14ac:dyDescent="0.3">
      <c r="A55">
        <v>24</v>
      </c>
      <c r="B55">
        <v>72.577161000000004</v>
      </c>
      <c r="C55">
        <v>72.956377000000003</v>
      </c>
      <c r="D55">
        <v>73.297228000000004</v>
      </c>
      <c r="E55">
        <v>66.941354000000004</v>
      </c>
      <c r="F55">
        <v>56.353301000000002</v>
      </c>
      <c r="G55">
        <v>40.030734000000002</v>
      </c>
      <c r="H55">
        <v>40.183517999999999</v>
      </c>
      <c r="I55" t="s">
        <v>60</v>
      </c>
      <c r="N55"/>
      <c r="O55"/>
      <c r="P55" s="1">
        <f t="shared" si="23"/>
        <v>74.550277439024384</v>
      </c>
      <c r="Q55" s="1">
        <f t="shared" si="24"/>
        <v>74.942766260162614</v>
      </c>
      <c r="R55" s="1">
        <f t="shared" si="25"/>
        <v>75.573410828999698</v>
      </c>
      <c r="S55" s="1">
        <f t="shared" si="26"/>
        <v>69.390255728314244</v>
      </c>
    </row>
    <row r="56" spans="1:19" x14ac:dyDescent="0.3">
      <c r="A56">
        <v>24.2</v>
      </c>
      <c r="B56">
        <v>72.577161000000004</v>
      </c>
      <c r="C56">
        <v>72.956377000000003</v>
      </c>
      <c r="D56">
        <v>73.297228000000004</v>
      </c>
      <c r="E56">
        <v>66.941354000000004</v>
      </c>
      <c r="F56">
        <v>56.353301000000002</v>
      </c>
      <c r="G56">
        <v>40.030734000000002</v>
      </c>
      <c r="H56">
        <v>40.183517999999999</v>
      </c>
      <c r="I56"/>
      <c r="N56"/>
      <c r="O56"/>
      <c r="P56" s="1">
        <f t="shared" si="23"/>
        <v>74.550277439024384</v>
      </c>
      <c r="Q56" s="1">
        <f t="shared" si="24"/>
        <v>74.942766260162614</v>
      </c>
      <c r="R56" s="1">
        <f t="shared" si="25"/>
        <v>75.573410828999698</v>
      </c>
      <c r="S56" s="1">
        <f t="shared" si="26"/>
        <v>69.390255728314244</v>
      </c>
    </row>
    <row r="57" spans="1:19" x14ac:dyDescent="0.3">
      <c r="A57">
        <v>24.4</v>
      </c>
      <c r="B57">
        <v>72.581018999999998</v>
      </c>
      <c r="C57">
        <v>72.940583000000004</v>
      </c>
      <c r="D57">
        <v>73.296578999999994</v>
      </c>
      <c r="E57">
        <v>66.951690999999997</v>
      </c>
      <c r="F57">
        <v>56.320905000000003</v>
      </c>
      <c r="G57">
        <v>40.032077999999998</v>
      </c>
      <c r="H57">
        <v>40.186259</v>
      </c>
      <c r="I57"/>
      <c r="N57"/>
      <c r="O57"/>
      <c r="P57" s="1">
        <f t="shared" si="23"/>
        <v>74.564815040650416</v>
      </c>
      <c r="Q57" s="1">
        <f t="shared" si="24"/>
        <v>74.927480691056928</v>
      </c>
      <c r="R57" s="1">
        <f t="shared" si="25"/>
        <v>75.564118486795138</v>
      </c>
      <c r="S57" s="1">
        <f t="shared" si="26"/>
        <v>69.382561374795415</v>
      </c>
    </row>
    <row r="58" spans="1:19" x14ac:dyDescent="0.3">
      <c r="A58">
        <v>24.6</v>
      </c>
      <c r="B58">
        <v>72.581018999999998</v>
      </c>
      <c r="C58">
        <v>72.940583000000004</v>
      </c>
      <c r="D58">
        <v>73.296578999999994</v>
      </c>
      <c r="E58">
        <v>66.951690999999997</v>
      </c>
      <c r="F58">
        <v>56.320905000000003</v>
      </c>
      <c r="G58">
        <v>40.032077999999998</v>
      </c>
      <c r="H58">
        <v>40.186259</v>
      </c>
      <c r="I58"/>
      <c r="N58"/>
      <c r="O58"/>
      <c r="P58" s="1">
        <f t="shared" si="23"/>
        <v>74.564815040650416</v>
      </c>
      <c r="Q58" s="1">
        <f t="shared" si="24"/>
        <v>74.927480691056928</v>
      </c>
      <c r="R58" s="1">
        <f t="shared" si="25"/>
        <v>75.564118486795138</v>
      </c>
      <c r="S58" s="1">
        <f t="shared" si="26"/>
        <v>69.382561374795415</v>
      </c>
    </row>
    <row r="59" spans="1:19" x14ac:dyDescent="0.3">
      <c r="A59">
        <v>24.8</v>
      </c>
      <c r="B59">
        <v>72.562253999999996</v>
      </c>
      <c r="C59">
        <v>72.936690999999996</v>
      </c>
      <c r="D59">
        <v>73.297202999999996</v>
      </c>
      <c r="E59">
        <v>66.949848000000003</v>
      </c>
      <c r="F59">
        <v>56.494152999999997</v>
      </c>
      <c r="G59">
        <v>40.050165999999997</v>
      </c>
      <c r="H59">
        <v>40.170343000000003</v>
      </c>
      <c r="I59"/>
      <c r="N59"/>
      <c r="O59"/>
      <c r="P59" s="1">
        <f t="shared" si="23"/>
        <v>74.57316666666668</v>
      </c>
      <c r="Q59" s="1">
        <f t="shared" si="24"/>
        <v>74.946415650406507</v>
      </c>
      <c r="R59" s="1">
        <f t="shared" si="25"/>
        <v>75.589654328540846</v>
      </c>
      <c r="S59" s="1">
        <f t="shared" si="26"/>
        <v>69.400778436988531</v>
      </c>
    </row>
    <row r="60" spans="1:19" x14ac:dyDescent="0.3">
      <c r="A60">
        <v>25</v>
      </c>
      <c r="B60">
        <v>72.562253999999996</v>
      </c>
      <c r="C60">
        <v>72.936690999999996</v>
      </c>
      <c r="D60">
        <v>73.297202999999996</v>
      </c>
      <c r="E60">
        <v>66.949848000000003</v>
      </c>
      <c r="F60">
        <v>56.494152999999997</v>
      </c>
      <c r="G60">
        <v>40.050165999999997</v>
      </c>
      <c r="H60">
        <v>40.170343000000003</v>
      </c>
      <c r="I60" t="s">
        <v>60</v>
      </c>
      <c r="N60"/>
      <c r="O60"/>
      <c r="P60" s="1">
        <f t="shared" si="23"/>
        <v>74.57316666666668</v>
      </c>
      <c r="Q60" s="1">
        <f t="shared" si="24"/>
        <v>74.946415650406507</v>
      </c>
      <c r="R60" s="1">
        <f t="shared" si="25"/>
        <v>75.589654328540846</v>
      </c>
      <c r="S60" s="1">
        <f t="shared" si="26"/>
        <v>69.400778436988531</v>
      </c>
    </row>
    <row r="61" spans="1:19" x14ac:dyDescent="0.3">
      <c r="A61">
        <v>25.2</v>
      </c>
      <c r="B61">
        <v>72.571522999999999</v>
      </c>
      <c r="C61">
        <v>72.955472999999998</v>
      </c>
      <c r="D61">
        <v>73.304642999999999</v>
      </c>
      <c r="E61">
        <v>66.952786000000003</v>
      </c>
      <c r="F61">
        <v>56.623294000000001</v>
      </c>
      <c r="G61">
        <v>40.042503000000004</v>
      </c>
      <c r="H61">
        <v>40.166640000000001</v>
      </c>
      <c r="I61"/>
      <c r="N61"/>
      <c r="O61"/>
      <c r="P61" s="1">
        <f t="shared" si="23"/>
        <v>74.561531504065044</v>
      </c>
      <c r="Q61" s="1">
        <f t="shared" si="24"/>
        <v>74.958638211382123</v>
      </c>
      <c r="R61" s="1">
        <f t="shared" si="25"/>
        <v>75.580539410625065</v>
      </c>
      <c r="S61" s="1">
        <f t="shared" si="26"/>
        <v>69.385924713584288</v>
      </c>
    </row>
    <row r="62" spans="1:19" x14ac:dyDescent="0.3">
      <c r="A62">
        <v>25.4</v>
      </c>
      <c r="B62">
        <v>72.571522999999999</v>
      </c>
      <c r="C62">
        <v>72.955472999999998</v>
      </c>
      <c r="D62">
        <v>73.304642999999999</v>
      </c>
      <c r="E62">
        <v>66.952786000000003</v>
      </c>
      <c r="F62">
        <v>56.623294000000001</v>
      </c>
      <c r="G62">
        <v>40.042503000000004</v>
      </c>
      <c r="H62">
        <v>40.166640000000001</v>
      </c>
      <c r="I62"/>
      <c r="N62"/>
      <c r="O62"/>
      <c r="P62" s="1">
        <f t="shared" si="23"/>
        <v>74.561531504065044</v>
      </c>
      <c r="Q62" s="1">
        <f t="shared" si="24"/>
        <v>74.958638211382123</v>
      </c>
      <c r="R62" s="1">
        <f t="shared" si="25"/>
        <v>75.580539410625065</v>
      </c>
      <c r="S62" s="1">
        <f t="shared" si="26"/>
        <v>69.385924713584288</v>
      </c>
    </row>
    <row r="63" spans="1:19" x14ac:dyDescent="0.3">
      <c r="A63">
        <v>25.6</v>
      </c>
      <c r="B63">
        <v>72.595748</v>
      </c>
      <c r="C63">
        <v>72.954668999999996</v>
      </c>
      <c r="D63">
        <v>73.297551999999996</v>
      </c>
      <c r="E63">
        <v>66.951317000000003</v>
      </c>
      <c r="F63">
        <v>56.487256000000002</v>
      </c>
      <c r="G63">
        <v>40.027777999999998</v>
      </c>
      <c r="H63">
        <v>40.165424000000002</v>
      </c>
      <c r="I63"/>
      <c r="N63"/>
      <c r="O63"/>
      <c r="P63" s="1">
        <f t="shared" si="23"/>
        <v>74.563033536585365</v>
      </c>
      <c r="Q63" s="1">
        <f t="shared" si="24"/>
        <v>74.927531504065044</v>
      </c>
      <c r="R63" s="1">
        <f t="shared" si="25"/>
        <v>75.556837972876508</v>
      </c>
      <c r="S63" s="1">
        <f t="shared" si="26"/>
        <v>69.396828968903435</v>
      </c>
    </row>
    <row r="64" spans="1:19" x14ac:dyDescent="0.3">
      <c r="A64">
        <v>25.8</v>
      </c>
      <c r="B64">
        <v>72.595748</v>
      </c>
      <c r="C64">
        <v>72.954668999999996</v>
      </c>
      <c r="D64">
        <v>73.297551999999996</v>
      </c>
      <c r="E64">
        <v>66.951317000000003</v>
      </c>
      <c r="F64">
        <v>56.487256000000002</v>
      </c>
      <c r="G64">
        <v>40.027777999999998</v>
      </c>
      <c r="H64">
        <v>40.165424000000002</v>
      </c>
      <c r="I64"/>
      <c r="N64"/>
      <c r="O64"/>
      <c r="P64" s="1">
        <f t="shared" si="23"/>
        <v>74.563033536585365</v>
      </c>
      <c r="Q64" s="1">
        <f t="shared" si="24"/>
        <v>74.927531504065044</v>
      </c>
      <c r="R64" s="1">
        <f t="shared" si="25"/>
        <v>75.556837972876508</v>
      </c>
      <c r="S64" s="1">
        <f t="shared" si="26"/>
        <v>69.396828968903435</v>
      </c>
    </row>
    <row r="65" spans="1:19" x14ac:dyDescent="0.3">
      <c r="A65">
        <v>26</v>
      </c>
      <c r="B65">
        <v>72.606997000000007</v>
      </c>
      <c r="C65">
        <v>72.953739999999996</v>
      </c>
      <c r="D65">
        <v>73.319772999999998</v>
      </c>
      <c r="E65">
        <v>66.956896</v>
      </c>
      <c r="F65">
        <v>56.397137999999998</v>
      </c>
      <c r="G65">
        <v>40.017079000000003</v>
      </c>
      <c r="H65">
        <v>40.169631000000003</v>
      </c>
      <c r="I65" t="s">
        <v>60</v>
      </c>
      <c r="N65"/>
      <c r="O65"/>
      <c r="P65" s="1">
        <f t="shared" si="23"/>
        <v>74.569232723577244</v>
      </c>
      <c r="Q65" s="1">
        <f t="shared" si="24"/>
        <v>74.936730691056923</v>
      </c>
      <c r="R65" s="1">
        <f t="shared" si="25"/>
        <v>75.565786682981539</v>
      </c>
      <c r="S65" s="1">
        <f t="shared" si="26"/>
        <v>69.430091039279873</v>
      </c>
    </row>
    <row r="66" spans="1:19" x14ac:dyDescent="0.3">
      <c r="A66">
        <v>26.2</v>
      </c>
      <c r="B66">
        <v>72.606997000000007</v>
      </c>
      <c r="C66">
        <v>72.953739999999996</v>
      </c>
      <c r="D66">
        <v>73.319772999999998</v>
      </c>
      <c r="E66">
        <v>66.956896</v>
      </c>
      <c r="F66">
        <v>56.397137999999998</v>
      </c>
      <c r="G66">
        <v>40.017079000000003</v>
      </c>
      <c r="H66">
        <v>40.169631000000003</v>
      </c>
      <c r="I66"/>
      <c r="N66"/>
      <c r="O66"/>
      <c r="P66" s="1">
        <f t="shared" si="23"/>
        <v>74.569232723577244</v>
      </c>
      <c r="Q66" s="1">
        <f t="shared" si="24"/>
        <v>74.936730691056923</v>
      </c>
      <c r="R66" s="1">
        <f t="shared" si="25"/>
        <v>75.565786682981539</v>
      </c>
      <c r="S66" s="1">
        <f t="shared" si="26"/>
        <v>69.430091039279873</v>
      </c>
    </row>
    <row r="67" spans="1:19" x14ac:dyDescent="0.3">
      <c r="A67">
        <v>26.4</v>
      </c>
      <c r="B67">
        <v>72.592716999999993</v>
      </c>
      <c r="C67">
        <v>72.961348999999998</v>
      </c>
      <c r="D67">
        <v>73.300597999999994</v>
      </c>
      <c r="E67">
        <v>66.961528999999999</v>
      </c>
      <c r="F67">
        <v>56.407390999999997</v>
      </c>
      <c r="G67">
        <v>40.034726999999997</v>
      </c>
      <c r="H67">
        <v>40.184249999999999</v>
      </c>
      <c r="I67"/>
      <c r="N67"/>
      <c r="O67"/>
      <c r="P67" s="1">
        <f t="shared" si="23"/>
        <v>74.578180894308943</v>
      </c>
      <c r="Q67" s="1">
        <f t="shared" si="24"/>
        <v>74.949604674796745</v>
      </c>
      <c r="R67" s="1">
        <f t="shared" si="25"/>
        <v>75.57908738656063</v>
      </c>
      <c r="S67" s="1">
        <f t="shared" si="26"/>
        <v>69.417950081833055</v>
      </c>
    </row>
    <row r="68" spans="1:19" x14ac:dyDescent="0.3">
      <c r="A68">
        <v>26.6</v>
      </c>
      <c r="B68">
        <v>72.592716999999993</v>
      </c>
      <c r="C68">
        <v>72.961348999999998</v>
      </c>
      <c r="D68">
        <v>73.300597999999994</v>
      </c>
      <c r="E68">
        <v>66.961528999999999</v>
      </c>
      <c r="F68">
        <v>56.407390999999997</v>
      </c>
      <c r="G68">
        <v>40.034726999999997</v>
      </c>
      <c r="H68">
        <v>40.184249999999999</v>
      </c>
      <c r="I68"/>
      <c r="N68"/>
      <c r="O68"/>
      <c r="P68" s="1">
        <f t="shared" si="23"/>
        <v>74.578180894308943</v>
      </c>
      <c r="Q68" s="1">
        <f t="shared" si="24"/>
        <v>74.949604674796745</v>
      </c>
      <c r="R68" s="1">
        <f t="shared" si="25"/>
        <v>75.57908738656063</v>
      </c>
      <c r="S68" s="1">
        <f t="shared" si="26"/>
        <v>69.417950081833055</v>
      </c>
    </row>
    <row r="69" spans="1:19" x14ac:dyDescent="0.3">
      <c r="A69">
        <v>26.8</v>
      </c>
      <c r="B69">
        <v>72.599205999999995</v>
      </c>
      <c r="C69">
        <v>72.949546999999995</v>
      </c>
      <c r="D69">
        <v>73.300099000000003</v>
      </c>
      <c r="E69">
        <v>66.958788999999996</v>
      </c>
      <c r="F69">
        <v>56.375480000000003</v>
      </c>
      <c r="G69">
        <v>40.058484</v>
      </c>
      <c r="H69">
        <v>40.179125999999997</v>
      </c>
      <c r="I69"/>
      <c r="N69"/>
      <c r="O69"/>
      <c r="P69" s="1">
        <f t="shared" si="23"/>
        <v>74.575303861788626</v>
      </c>
      <c r="Q69" s="1">
        <f t="shared" si="24"/>
        <v>74.947868902439026</v>
      </c>
      <c r="R69" s="1">
        <f t="shared" si="25"/>
        <v>75.57369022127051</v>
      </c>
      <c r="S69" s="1">
        <f t="shared" si="26"/>
        <v>69.438229337152208</v>
      </c>
    </row>
    <row r="70" spans="1:19" x14ac:dyDescent="0.3">
      <c r="A70">
        <v>27</v>
      </c>
      <c r="B70">
        <v>72.599205999999995</v>
      </c>
      <c r="C70">
        <v>72.949546999999995</v>
      </c>
      <c r="D70">
        <v>73.300099000000003</v>
      </c>
      <c r="E70">
        <v>66.958788999999996</v>
      </c>
      <c r="F70">
        <v>56.375480000000003</v>
      </c>
      <c r="G70">
        <v>40.058484</v>
      </c>
      <c r="H70">
        <v>40.179125999999997</v>
      </c>
      <c r="I70" t="s">
        <v>60</v>
      </c>
      <c r="N70"/>
      <c r="O70"/>
      <c r="P70" s="1">
        <f t="shared" si="23"/>
        <v>74.575303861788626</v>
      </c>
      <c r="Q70" s="1">
        <f t="shared" si="24"/>
        <v>74.947868902439026</v>
      </c>
      <c r="R70" s="1">
        <f t="shared" si="25"/>
        <v>75.57369022127051</v>
      </c>
      <c r="S70" s="1">
        <f t="shared" si="26"/>
        <v>69.438229337152208</v>
      </c>
    </row>
    <row r="71" spans="1:19" x14ac:dyDescent="0.3">
      <c r="A71">
        <v>27.2</v>
      </c>
      <c r="B71">
        <v>72.608074000000002</v>
      </c>
      <c r="C71">
        <v>72.949847000000005</v>
      </c>
      <c r="D71">
        <v>73.302419999999998</v>
      </c>
      <c r="E71">
        <v>66.961552999999995</v>
      </c>
      <c r="F71">
        <v>56.352162</v>
      </c>
      <c r="G71">
        <v>40.042400000000001</v>
      </c>
      <c r="H71">
        <v>40.187497</v>
      </c>
      <c r="I71"/>
      <c r="N71"/>
      <c r="O71"/>
      <c r="P71" s="1">
        <f t="shared" si="23"/>
        <v>74.557558943089433</v>
      </c>
      <c r="Q71" s="1">
        <f t="shared" si="24"/>
        <v>74.943173780487811</v>
      </c>
      <c r="R71" s="1">
        <f t="shared" si="25"/>
        <v>75.583441419394305</v>
      </c>
      <c r="S71" s="1">
        <f t="shared" si="26"/>
        <v>69.423453355155488</v>
      </c>
    </row>
    <row r="72" spans="1:19" x14ac:dyDescent="0.3">
      <c r="A72">
        <v>27.4</v>
      </c>
      <c r="B72">
        <v>72.608074000000002</v>
      </c>
      <c r="C72">
        <v>72.949847000000005</v>
      </c>
      <c r="D72">
        <v>73.302419999999998</v>
      </c>
      <c r="E72">
        <v>66.961552999999995</v>
      </c>
      <c r="F72">
        <v>56.352162</v>
      </c>
      <c r="G72">
        <v>40.042400000000001</v>
      </c>
      <c r="H72">
        <v>40.187497</v>
      </c>
      <c r="I72"/>
      <c r="N72"/>
      <c r="O72"/>
      <c r="P72" s="1">
        <f t="shared" si="23"/>
        <v>74.557558943089433</v>
      </c>
      <c r="Q72" s="1">
        <f t="shared" si="24"/>
        <v>74.943173780487811</v>
      </c>
      <c r="R72" s="1">
        <f t="shared" si="25"/>
        <v>75.583441419394305</v>
      </c>
      <c r="S72" s="1">
        <f t="shared" si="26"/>
        <v>69.423453355155488</v>
      </c>
    </row>
    <row r="73" spans="1:19" x14ac:dyDescent="0.3">
      <c r="A73">
        <v>27.6</v>
      </c>
      <c r="B73">
        <v>72.586252999999999</v>
      </c>
      <c r="C73">
        <v>72.988315999999998</v>
      </c>
      <c r="D73">
        <v>73.321569999999994</v>
      </c>
      <c r="E73">
        <v>66.966309999999993</v>
      </c>
      <c r="F73">
        <v>56.230553999999998</v>
      </c>
      <c r="G73">
        <v>40.022582</v>
      </c>
      <c r="H73">
        <v>40.172105999999999</v>
      </c>
      <c r="I73"/>
      <c r="N73"/>
      <c r="O73"/>
      <c r="P73" s="1">
        <f t="shared" si="23"/>
        <v>74.556566056910583</v>
      </c>
      <c r="Q73" s="1">
        <f t="shared" si="24"/>
        <v>74.94194817073172</v>
      </c>
      <c r="R73" s="1">
        <f t="shared" si="25"/>
        <v>75.565950851432646</v>
      </c>
      <c r="S73" s="1">
        <f t="shared" si="26"/>
        <v>69.420165711947632</v>
      </c>
    </row>
    <row r="74" spans="1:19" x14ac:dyDescent="0.3">
      <c r="A74">
        <v>27.8</v>
      </c>
      <c r="B74">
        <v>72.586252999999999</v>
      </c>
      <c r="C74">
        <v>72.988315999999998</v>
      </c>
      <c r="D74">
        <v>73.321569999999994</v>
      </c>
      <c r="E74">
        <v>66.966309999999993</v>
      </c>
      <c r="F74">
        <v>56.230553999999998</v>
      </c>
      <c r="G74">
        <v>40.022582</v>
      </c>
      <c r="H74">
        <v>40.172105999999999</v>
      </c>
      <c r="I74"/>
      <c r="N74"/>
      <c r="O74"/>
      <c r="P74" s="1">
        <f t="shared" si="23"/>
        <v>74.556566056910583</v>
      </c>
      <c r="Q74" s="1">
        <f t="shared" si="24"/>
        <v>74.94194817073172</v>
      </c>
      <c r="R74" s="1">
        <f t="shared" si="25"/>
        <v>75.565950851432646</v>
      </c>
      <c r="S74" s="1">
        <f t="shared" si="26"/>
        <v>69.420165711947632</v>
      </c>
    </row>
    <row r="75" spans="1:19" x14ac:dyDescent="0.3">
      <c r="A75">
        <v>2352</v>
      </c>
      <c r="B75">
        <v>79.990543000000002</v>
      </c>
      <c r="C75">
        <v>80.573685999999995</v>
      </c>
      <c r="D75">
        <v>81.188078000000004</v>
      </c>
      <c r="E75">
        <v>71.675731999999996</v>
      </c>
      <c r="F75">
        <v>58.297504000000004</v>
      </c>
      <c r="G75">
        <v>40.030994</v>
      </c>
      <c r="H75">
        <v>40.356566000000001</v>
      </c>
      <c r="I75" t="s">
        <v>60</v>
      </c>
      <c r="N75"/>
      <c r="O75"/>
      <c r="P75" s="1">
        <f t="shared" si="23"/>
        <v>74.560486788617894</v>
      </c>
      <c r="Q75" s="1">
        <f t="shared" si="24"/>
        <v>74.925897357723585</v>
      </c>
      <c r="R75" s="1">
        <f t="shared" si="25"/>
        <v>75.565289079229117</v>
      </c>
      <c r="S75" s="1">
        <f t="shared" si="26"/>
        <v>69.430739566284771</v>
      </c>
    </row>
    <row r="76" spans="1:19" x14ac:dyDescent="0.3">
      <c r="A76">
        <v>2352.1999999999998</v>
      </c>
      <c r="B76">
        <v>79.997911000000002</v>
      </c>
      <c r="C76">
        <v>80.559143000000006</v>
      </c>
      <c r="D76">
        <v>81.184631999999993</v>
      </c>
      <c r="E76">
        <v>71.666248999999993</v>
      </c>
      <c r="F76">
        <v>57.989584999999998</v>
      </c>
      <c r="G76">
        <v>40.030994</v>
      </c>
      <c r="H76">
        <v>40.356566000000001</v>
      </c>
      <c r="I76"/>
      <c r="N76"/>
      <c r="O76"/>
      <c r="P76" s="1">
        <f t="shared" si="23"/>
        <v>74.560486788617894</v>
      </c>
      <c r="Q76" s="1">
        <f t="shared" si="24"/>
        <v>74.925897357723585</v>
      </c>
      <c r="R76" s="1">
        <f t="shared" si="25"/>
        <v>75.565289079229117</v>
      </c>
      <c r="S76" s="1">
        <f t="shared" si="26"/>
        <v>69.430739566284771</v>
      </c>
    </row>
    <row r="77" spans="1:19" x14ac:dyDescent="0.3">
      <c r="A77">
        <v>2352.4</v>
      </c>
      <c r="B77">
        <v>79.997911000000002</v>
      </c>
      <c r="C77">
        <v>80.559143000000006</v>
      </c>
      <c r="D77">
        <v>81.184631999999993</v>
      </c>
      <c r="E77">
        <v>71.666248999999993</v>
      </c>
      <c r="F77">
        <v>57.989584999999998</v>
      </c>
      <c r="G77">
        <v>40.033785999999999</v>
      </c>
      <c r="H77">
        <v>40.349811000000003</v>
      </c>
      <c r="I77"/>
      <c r="N77"/>
      <c r="O77"/>
      <c r="P77" s="1">
        <f t="shared" si="23"/>
        <v>74.541416666666663</v>
      </c>
      <c r="Q77" s="1">
        <f t="shared" si="24"/>
        <v>74.921942073170726</v>
      </c>
      <c r="R77" s="1">
        <f t="shared" si="25"/>
        <v>75.565925359437131</v>
      </c>
      <c r="S77" s="1">
        <f t="shared" si="26"/>
        <v>69.428854337152217</v>
      </c>
    </row>
    <row r="78" spans="1:19" x14ac:dyDescent="0.3">
      <c r="A78">
        <v>2352.6</v>
      </c>
      <c r="B78">
        <v>79.982598999999993</v>
      </c>
      <c r="C78">
        <v>80.574990999999997</v>
      </c>
      <c r="D78">
        <v>81.186903000000001</v>
      </c>
      <c r="E78">
        <v>71.669409000000002</v>
      </c>
      <c r="F78">
        <v>57.946928</v>
      </c>
      <c r="G78">
        <v>40.033785999999999</v>
      </c>
      <c r="H78">
        <v>40.349811000000003</v>
      </c>
      <c r="I78"/>
      <c r="N78"/>
      <c r="O78"/>
      <c r="P78" s="1">
        <f t="shared" si="23"/>
        <v>74.541416666666663</v>
      </c>
      <c r="Q78" s="1">
        <f t="shared" si="24"/>
        <v>74.921942073170726</v>
      </c>
      <c r="R78" s="1">
        <f t="shared" si="25"/>
        <v>75.565925359437131</v>
      </c>
      <c r="S78" s="1">
        <f t="shared" si="26"/>
        <v>69.428854337152217</v>
      </c>
    </row>
    <row r="79" spans="1:19" x14ac:dyDescent="0.3">
      <c r="A79">
        <v>2352.8000000000002</v>
      </c>
      <c r="B79">
        <v>79.982598999999993</v>
      </c>
      <c r="C79">
        <v>80.574990999999997</v>
      </c>
      <c r="D79">
        <v>81.186903000000001</v>
      </c>
      <c r="E79">
        <v>71.669409000000002</v>
      </c>
      <c r="F79">
        <v>57.946928</v>
      </c>
      <c r="G79">
        <v>40.040723</v>
      </c>
      <c r="H79">
        <v>40.327638999999998</v>
      </c>
      <c r="I79"/>
      <c r="N79"/>
      <c r="O79"/>
      <c r="P79" s="1">
        <f t="shared" si="23"/>
        <v>74.550836382113829</v>
      </c>
      <c r="Q79" s="1">
        <f t="shared" si="24"/>
        <v>74.941029471544724</v>
      </c>
      <c r="R79" s="1">
        <f t="shared" si="25"/>
        <v>75.573511777301917</v>
      </c>
      <c r="S79" s="1">
        <f t="shared" si="26"/>
        <v>69.431859656301143</v>
      </c>
    </row>
    <row r="80" spans="1:19" x14ac:dyDescent="0.3">
      <c r="A80">
        <v>2353</v>
      </c>
      <c r="B80">
        <v>80.001056000000005</v>
      </c>
      <c r="C80">
        <v>80.578119999999998</v>
      </c>
      <c r="D80">
        <v>81.165959000000001</v>
      </c>
      <c r="E80">
        <v>71.667805000000001</v>
      </c>
      <c r="F80">
        <v>57.914935</v>
      </c>
      <c r="G80">
        <v>40.040723</v>
      </c>
      <c r="H80">
        <v>40.327638999999998</v>
      </c>
      <c r="I80" t="s">
        <v>60</v>
      </c>
      <c r="N80"/>
      <c r="O80"/>
      <c r="P80" s="1">
        <f t="shared" si="23"/>
        <v>74.550836382113829</v>
      </c>
      <c r="Q80" s="1">
        <f t="shared" si="24"/>
        <v>74.941029471544724</v>
      </c>
      <c r="R80" s="1">
        <f t="shared" si="25"/>
        <v>75.573511777301917</v>
      </c>
      <c r="S80" s="1">
        <f t="shared" si="26"/>
        <v>69.431859656301143</v>
      </c>
    </row>
    <row r="81" spans="1:19" x14ac:dyDescent="0.3">
      <c r="A81">
        <v>2353.1999999999998</v>
      </c>
      <c r="B81">
        <v>80.001056000000005</v>
      </c>
      <c r="C81">
        <v>80.578119999999998</v>
      </c>
      <c r="D81">
        <v>81.165959000000001</v>
      </c>
      <c r="E81">
        <v>71.667805000000001</v>
      </c>
      <c r="F81">
        <v>57.914935</v>
      </c>
      <c r="G81">
        <v>40.029983000000001</v>
      </c>
      <c r="H81">
        <v>40.349269</v>
      </c>
      <c r="I81"/>
      <c r="N81"/>
      <c r="O81"/>
      <c r="P81" s="1">
        <f t="shared" si="23"/>
        <v>74.575455284552845</v>
      </c>
      <c r="Q81" s="1">
        <f t="shared" si="24"/>
        <v>74.940212398373987</v>
      </c>
      <c r="R81" s="1">
        <f t="shared" si="25"/>
        <v>75.566281227694503</v>
      </c>
      <c r="S81" s="1">
        <f t="shared" si="26"/>
        <v>69.430356996726672</v>
      </c>
    </row>
    <row r="82" spans="1:19" x14ac:dyDescent="0.3">
      <c r="A82">
        <v>2353.4</v>
      </c>
      <c r="B82">
        <v>79.973455000000001</v>
      </c>
      <c r="C82">
        <v>80.572834</v>
      </c>
      <c r="D82">
        <v>81.200945000000004</v>
      </c>
      <c r="E82">
        <v>71.704008999999999</v>
      </c>
      <c r="F82">
        <v>57.816616000000003</v>
      </c>
      <c r="G82">
        <v>40.029983000000001</v>
      </c>
      <c r="H82">
        <v>40.349269</v>
      </c>
      <c r="I82"/>
      <c r="N82"/>
      <c r="O82"/>
      <c r="P82" s="1">
        <f t="shared" si="23"/>
        <v>74.575455284552845</v>
      </c>
      <c r="Q82" s="1">
        <f t="shared" si="24"/>
        <v>74.940212398373987</v>
      </c>
      <c r="R82" s="1">
        <f t="shared" si="25"/>
        <v>75.566281227694503</v>
      </c>
      <c r="S82" s="1">
        <f t="shared" si="26"/>
        <v>69.430356996726672</v>
      </c>
    </row>
    <row r="83" spans="1:19" x14ac:dyDescent="0.3">
      <c r="A83">
        <v>2353.6</v>
      </c>
      <c r="B83">
        <v>79.973455000000001</v>
      </c>
      <c r="C83">
        <v>80.572834</v>
      </c>
      <c r="D83">
        <v>81.200945000000004</v>
      </c>
      <c r="E83">
        <v>71.704008999999999</v>
      </c>
      <c r="F83">
        <v>57.816616000000003</v>
      </c>
      <c r="G83">
        <v>40.030850999999998</v>
      </c>
      <c r="H83">
        <v>40.339658</v>
      </c>
      <c r="I83"/>
      <c r="N83"/>
      <c r="O83"/>
      <c r="P83" s="1">
        <f t="shared" si="23"/>
        <v>74.58688719512196</v>
      </c>
      <c r="Q83" s="1">
        <f t="shared" si="24"/>
        <v>74.939268292682925</v>
      </c>
      <c r="R83" s="1">
        <f t="shared" si="25"/>
        <v>75.588939532986643</v>
      </c>
      <c r="S83" s="1">
        <f t="shared" si="26"/>
        <v>69.43606382978723</v>
      </c>
    </row>
    <row r="84" spans="1:19" x14ac:dyDescent="0.3">
      <c r="A84">
        <v>2353.8000000000002</v>
      </c>
      <c r="B84">
        <v>79.982298999999998</v>
      </c>
      <c r="C84">
        <v>80.576499999999996</v>
      </c>
      <c r="D84">
        <v>81.188177999999994</v>
      </c>
      <c r="E84">
        <v>71.676056000000003</v>
      </c>
      <c r="F84">
        <v>57.786526000000002</v>
      </c>
      <c r="G84">
        <v>40.030850999999998</v>
      </c>
      <c r="H84">
        <v>40.339658</v>
      </c>
      <c r="I84"/>
      <c r="N84"/>
      <c r="O84"/>
      <c r="P84" s="1">
        <f t="shared" si="23"/>
        <v>74.58688719512196</v>
      </c>
      <c r="Q84" s="1">
        <f t="shared" si="24"/>
        <v>74.939268292682925</v>
      </c>
      <c r="R84" s="1">
        <f t="shared" si="25"/>
        <v>75.588939532986643</v>
      </c>
      <c r="S84" s="1">
        <f t="shared" si="26"/>
        <v>69.43606382978723</v>
      </c>
    </row>
    <row r="85" spans="1:19" x14ac:dyDescent="0.3">
      <c r="A85">
        <v>2354</v>
      </c>
      <c r="B85">
        <v>79.982298999999998</v>
      </c>
      <c r="C85">
        <v>80.576499999999996</v>
      </c>
      <c r="D85">
        <v>81.188177999999994</v>
      </c>
      <c r="E85">
        <v>71.676056000000003</v>
      </c>
      <c r="F85">
        <v>57.786526000000002</v>
      </c>
      <c r="G85">
        <v>40.057090000000002</v>
      </c>
      <c r="H85">
        <v>40.371943999999999</v>
      </c>
      <c r="I85" t="s">
        <v>60</v>
      </c>
      <c r="N85"/>
      <c r="O85"/>
      <c r="P85" s="1">
        <f t="shared" si="23"/>
        <v>74.572374999999994</v>
      </c>
      <c r="Q85" s="1">
        <f t="shared" si="24"/>
        <v>74.94700101626016</v>
      </c>
      <c r="R85" s="1">
        <f t="shared" si="25"/>
        <v>75.569387172427852</v>
      </c>
      <c r="S85" s="1">
        <f t="shared" si="26"/>
        <v>69.440802986906704</v>
      </c>
    </row>
    <row r="86" spans="1:19" x14ac:dyDescent="0.3">
      <c r="A86">
        <v>2354.1999999999998</v>
      </c>
      <c r="B86">
        <v>79.98151</v>
      </c>
      <c r="C86">
        <v>80.600123999999994</v>
      </c>
      <c r="D86">
        <v>81.177049999999994</v>
      </c>
      <c r="E86">
        <v>71.686695999999998</v>
      </c>
      <c r="F86">
        <v>57.681556</v>
      </c>
      <c r="G86">
        <v>40.057090000000002</v>
      </c>
      <c r="H86">
        <v>40.371943999999999</v>
      </c>
      <c r="I86"/>
      <c r="N86"/>
      <c r="O86"/>
      <c r="P86" s="1">
        <f t="shared" si="23"/>
        <v>74.572374999999994</v>
      </c>
      <c r="Q86" s="1">
        <f t="shared" si="24"/>
        <v>74.94700101626016</v>
      </c>
      <c r="R86" s="1">
        <f t="shared" si="25"/>
        <v>75.569387172427852</v>
      </c>
      <c r="S86" s="1">
        <f t="shared" si="26"/>
        <v>69.440802986906704</v>
      </c>
    </row>
    <row r="87" spans="1:19" x14ac:dyDescent="0.3">
      <c r="A87">
        <v>2354.4</v>
      </c>
      <c r="B87">
        <v>79.98151</v>
      </c>
      <c r="C87">
        <v>80.600123999999994</v>
      </c>
      <c r="D87">
        <v>81.177049999999994</v>
      </c>
      <c r="E87">
        <v>71.686695999999998</v>
      </c>
      <c r="F87">
        <v>57.681556</v>
      </c>
      <c r="G87">
        <v>40.034289999999999</v>
      </c>
      <c r="H87">
        <v>40.355437999999999</v>
      </c>
      <c r="I87"/>
      <c r="N87"/>
      <c r="O87"/>
      <c r="P87" s="1">
        <f t="shared" si="23"/>
        <v>74.578969512195115</v>
      </c>
      <c r="Q87" s="1">
        <f t="shared" si="24"/>
        <v>74.935007113821143</v>
      </c>
      <c r="R87" s="1">
        <f t="shared" si="25"/>
        <v>75.568878352197416</v>
      </c>
      <c r="S87" s="1">
        <f t="shared" si="26"/>
        <v>69.43800020458265</v>
      </c>
    </row>
    <row r="88" spans="1:19" x14ac:dyDescent="0.3">
      <c r="A88">
        <v>2354.6</v>
      </c>
      <c r="B88">
        <v>79.982348999999999</v>
      </c>
      <c r="C88">
        <v>80.585592000000005</v>
      </c>
      <c r="D88">
        <v>81.178561000000002</v>
      </c>
      <c r="E88">
        <v>71.636230999999995</v>
      </c>
      <c r="F88">
        <v>57.960163999999999</v>
      </c>
      <c r="G88">
        <v>40.034289999999999</v>
      </c>
      <c r="H88">
        <v>40.355437999999999</v>
      </c>
      <c r="I88"/>
      <c r="N88"/>
      <c r="O88"/>
      <c r="P88" s="1">
        <f t="shared" si="23"/>
        <v>74.578969512195115</v>
      </c>
      <c r="Q88" s="1">
        <f t="shared" si="24"/>
        <v>74.935007113821143</v>
      </c>
      <c r="R88" s="1">
        <f t="shared" si="25"/>
        <v>75.568878352197416</v>
      </c>
      <c r="S88" s="1">
        <f t="shared" si="26"/>
        <v>69.43800020458265</v>
      </c>
    </row>
    <row r="89" spans="1:19" x14ac:dyDescent="0.3">
      <c r="A89">
        <v>2354.8000000000002</v>
      </c>
      <c r="B89">
        <v>79.982348999999999</v>
      </c>
      <c r="C89">
        <v>80.585592000000005</v>
      </c>
      <c r="D89">
        <v>81.178561000000002</v>
      </c>
      <c r="E89">
        <v>71.636230999999995</v>
      </c>
      <c r="F89">
        <v>57.960163999999999</v>
      </c>
      <c r="G89">
        <v>40.032608000000003</v>
      </c>
      <c r="H89">
        <v>40.347468999999997</v>
      </c>
      <c r="I89"/>
      <c r="N89"/>
      <c r="O89"/>
      <c r="P89" s="1">
        <f t="shared" si="23"/>
        <v>74.587981707317084</v>
      </c>
      <c r="Q89" s="1">
        <f t="shared" si="24"/>
        <v>74.935311991869924</v>
      </c>
      <c r="R89" s="1">
        <f t="shared" si="25"/>
        <v>75.571245029060876</v>
      </c>
      <c r="S89" s="1">
        <f t="shared" si="26"/>
        <v>69.44082753682487</v>
      </c>
    </row>
    <row r="90" spans="1:19" x14ac:dyDescent="0.3">
      <c r="A90">
        <v>2355</v>
      </c>
      <c r="B90">
        <v>79.985444999999999</v>
      </c>
      <c r="C90">
        <v>80.582365999999993</v>
      </c>
      <c r="D90">
        <v>81.182546000000002</v>
      </c>
      <c r="E90">
        <v>71.635273999999995</v>
      </c>
      <c r="F90">
        <v>58.266221000000002</v>
      </c>
      <c r="G90">
        <v>40.032608000000003</v>
      </c>
      <c r="H90">
        <v>40.347468999999997</v>
      </c>
      <c r="I90" t="s">
        <v>60</v>
      </c>
      <c r="N90"/>
      <c r="O90"/>
      <c r="P90" s="1">
        <f t="shared" si="23"/>
        <v>74.587981707317084</v>
      </c>
      <c r="Q90" s="1">
        <f t="shared" si="24"/>
        <v>74.935311991869924</v>
      </c>
      <c r="R90" s="1">
        <f t="shared" si="25"/>
        <v>75.571245029060876</v>
      </c>
      <c r="S90" s="1">
        <f t="shared" si="26"/>
        <v>69.44082753682487</v>
      </c>
    </row>
    <row r="91" spans="1:19" x14ac:dyDescent="0.3">
      <c r="A91">
        <v>2355.1999999999998</v>
      </c>
      <c r="B91">
        <v>79.985444999999999</v>
      </c>
      <c r="C91">
        <v>80.582365999999993</v>
      </c>
      <c r="D91">
        <v>81.182546000000002</v>
      </c>
      <c r="E91">
        <v>71.635273999999995</v>
      </c>
      <c r="F91">
        <v>58.266221000000002</v>
      </c>
      <c r="G91">
        <v>40.038431000000003</v>
      </c>
      <c r="H91">
        <v>40.351194999999997</v>
      </c>
      <c r="I91"/>
      <c r="N91"/>
      <c r="O91"/>
      <c r="P91" s="1">
        <f t="shared" si="23"/>
        <v>74.565805894308951</v>
      </c>
      <c r="Q91" s="1">
        <f t="shared" si="24"/>
        <v>74.974406504065044</v>
      </c>
      <c r="R91" s="1">
        <f t="shared" si="25"/>
        <v>75.590771897624137</v>
      </c>
      <c r="S91" s="1">
        <f t="shared" si="26"/>
        <v>69.445693535188212</v>
      </c>
    </row>
    <row r="92" spans="1:19" x14ac:dyDescent="0.3">
      <c r="A92">
        <v>2355.4</v>
      </c>
      <c r="B92">
        <v>79.998261999999997</v>
      </c>
      <c r="C92">
        <v>80.575771000000003</v>
      </c>
      <c r="D92">
        <v>81.205214999999995</v>
      </c>
      <c r="E92">
        <v>71.617091000000002</v>
      </c>
      <c r="F92">
        <v>57.915678999999997</v>
      </c>
      <c r="G92">
        <v>40.038431000000003</v>
      </c>
      <c r="H92">
        <v>40.351194999999997</v>
      </c>
      <c r="I92"/>
      <c r="N92"/>
      <c r="O92"/>
      <c r="P92" s="1">
        <f t="shared" si="23"/>
        <v>74.565805894308951</v>
      </c>
      <c r="Q92" s="1">
        <f t="shared" si="24"/>
        <v>74.974406504065044</v>
      </c>
      <c r="R92" s="1">
        <f t="shared" si="25"/>
        <v>75.590771897624137</v>
      </c>
      <c r="S92" s="1">
        <f t="shared" si="26"/>
        <v>69.445693535188212</v>
      </c>
    </row>
    <row r="93" spans="1:19" x14ac:dyDescent="0.3">
      <c r="A93">
        <v>2355.6</v>
      </c>
      <c r="B93">
        <v>79.998261999999997</v>
      </c>
      <c r="C93">
        <v>80.575771000000003</v>
      </c>
      <c r="D93">
        <v>81.205214999999995</v>
      </c>
      <c r="E93">
        <v>71.617091000000002</v>
      </c>
      <c r="F93">
        <v>57.915678999999997</v>
      </c>
      <c r="G93">
        <v>40.065255000000001</v>
      </c>
      <c r="H93">
        <v>40.341220999999997</v>
      </c>
      <c r="I93"/>
      <c r="N93"/>
      <c r="O93"/>
      <c r="P93" s="1">
        <f t="shared" si="23"/>
        <v>82.090490853658551</v>
      </c>
      <c r="Q93" s="1">
        <f t="shared" si="24"/>
        <v>82.683115853658535</v>
      </c>
      <c r="R93" s="1">
        <f t="shared" si="25"/>
        <v>83.612091363311919</v>
      </c>
      <c r="S93" s="1">
        <f t="shared" si="26"/>
        <v>74.263023731587552</v>
      </c>
    </row>
    <row r="94" spans="1:19" x14ac:dyDescent="0.3">
      <c r="A94">
        <v>2355.8000000000002</v>
      </c>
      <c r="B94">
        <v>79.990656999999999</v>
      </c>
      <c r="C94">
        <v>80.573798999999994</v>
      </c>
      <c r="D94">
        <v>81.177848999999995</v>
      </c>
      <c r="E94">
        <v>71.658595000000005</v>
      </c>
      <c r="F94">
        <v>57.717418000000002</v>
      </c>
      <c r="G94">
        <v>40.065255000000001</v>
      </c>
      <c r="H94">
        <v>40.341220999999997</v>
      </c>
      <c r="I94"/>
      <c r="N94"/>
      <c r="O94"/>
      <c r="P94" s="1">
        <f t="shared" si="23"/>
        <v>82.09797865853659</v>
      </c>
      <c r="Q94" s="1">
        <f t="shared" si="24"/>
        <v>82.668336382113836</v>
      </c>
      <c r="R94" s="1">
        <f t="shared" si="25"/>
        <v>83.608577546650338</v>
      </c>
      <c r="S94" s="1">
        <f t="shared" si="26"/>
        <v>74.253323445171844</v>
      </c>
    </row>
    <row r="95" spans="1:19" x14ac:dyDescent="0.3">
      <c r="A95">
        <v>2356</v>
      </c>
      <c r="B95">
        <v>79.990656999999999</v>
      </c>
      <c r="C95">
        <v>80.573798999999994</v>
      </c>
      <c r="D95">
        <v>81.177848999999995</v>
      </c>
      <c r="E95">
        <v>71.658595000000005</v>
      </c>
      <c r="F95">
        <v>57.717418000000002</v>
      </c>
      <c r="G95">
        <v>40.038316000000002</v>
      </c>
      <c r="H95">
        <v>40.338272000000003</v>
      </c>
      <c r="I95" t="s">
        <v>60</v>
      </c>
      <c r="N95"/>
      <c r="O95"/>
      <c r="P95" s="1">
        <f t="shared" si="23"/>
        <v>82.09797865853659</v>
      </c>
      <c r="Q95" s="1">
        <f t="shared" si="24"/>
        <v>82.668336382113836</v>
      </c>
      <c r="R95" s="1">
        <f t="shared" si="25"/>
        <v>83.608577546650338</v>
      </c>
      <c r="S95" s="1">
        <f t="shared" si="26"/>
        <v>74.253323445171844</v>
      </c>
    </row>
    <row r="96" spans="1:19" x14ac:dyDescent="0.3">
      <c r="A96">
        <v>2356.1999999999998</v>
      </c>
      <c r="B96">
        <v>79.992773</v>
      </c>
      <c r="C96">
        <v>80.583607999999998</v>
      </c>
      <c r="D96">
        <v>81.187827999999996</v>
      </c>
      <c r="E96">
        <v>71.612311000000005</v>
      </c>
      <c r="F96">
        <v>57.618319999999997</v>
      </c>
      <c r="G96">
        <v>40.038316000000002</v>
      </c>
      <c r="H96">
        <v>40.338272000000003</v>
      </c>
      <c r="I96"/>
      <c r="N96"/>
      <c r="O96"/>
      <c r="P96" s="1">
        <f t="shared" si="23"/>
        <v>82.082417682926831</v>
      </c>
      <c r="Q96" s="1">
        <f t="shared" si="24"/>
        <v>82.684442073170729</v>
      </c>
      <c r="R96" s="1">
        <f t="shared" si="25"/>
        <v>83.610893239522781</v>
      </c>
      <c r="S96" s="1">
        <f t="shared" si="26"/>
        <v>74.256555851063823</v>
      </c>
    </row>
    <row r="97" spans="1:19" x14ac:dyDescent="0.3">
      <c r="A97">
        <v>2356.4</v>
      </c>
      <c r="B97">
        <v>79.992773</v>
      </c>
      <c r="C97">
        <v>80.583607999999998</v>
      </c>
      <c r="D97">
        <v>81.187827999999996</v>
      </c>
      <c r="E97">
        <v>71.612311000000005</v>
      </c>
      <c r="F97">
        <v>57.618319999999997</v>
      </c>
      <c r="G97">
        <v>40.027213000000003</v>
      </c>
      <c r="H97">
        <v>40.342075000000001</v>
      </c>
      <c r="I97"/>
      <c r="N97"/>
      <c r="O97"/>
      <c r="P97" s="1">
        <f t="shared" si="23"/>
        <v>82.082417682926831</v>
      </c>
      <c r="Q97" s="1">
        <f t="shared" si="24"/>
        <v>82.684442073170729</v>
      </c>
      <c r="R97" s="1">
        <f t="shared" si="25"/>
        <v>83.610893239522781</v>
      </c>
      <c r="S97" s="1">
        <f t="shared" si="26"/>
        <v>74.256555851063823</v>
      </c>
    </row>
    <row r="98" spans="1:19" x14ac:dyDescent="0.3">
      <c r="A98">
        <v>2356.6</v>
      </c>
      <c r="B98">
        <v>79.987024000000005</v>
      </c>
      <c r="C98">
        <v>80.587564999999998</v>
      </c>
      <c r="D98">
        <v>81.184794999999994</v>
      </c>
      <c r="E98">
        <v>71.604135999999997</v>
      </c>
      <c r="F98">
        <v>57.565393</v>
      </c>
      <c r="G98">
        <v>40.027213000000003</v>
      </c>
      <c r="H98">
        <v>40.342075000000001</v>
      </c>
      <c r="I98"/>
      <c r="N98"/>
      <c r="O98"/>
      <c r="P98" s="1">
        <f t="shared" si="23"/>
        <v>82.101174796747983</v>
      </c>
      <c r="Q98" s="1">
        <f t="shared" si="24"/>
        <v>82.687621951219512</v>
      </c>
      <c r="R98" s="1">
        <f t="shared" si="25"/>
        <v>83.589537065361469</v>
      </c>
      <c r="S98" s="1">
        <f t="shared" si="26"/>
        <v>74.254915098199675</v>
      </c>
    </row>
    <row r="99" spans="1:19" x14ac:dyDescent="0.3">
      <c r="A99">
        <v>2356.8000000000002</v>
      </c>
      <c r="B99">
        <v>79.987024000000005</v>
      </c>
      <c r="C99">
        <v>80.587564999999998</v>
      </c>
      <c r="D99">
        <v>81.184794999999994</v>
      </c>
      <c r="E99">
        <v>71.604135999999997</v>
      </c>
      <c r="F99">
        <v>57.565393</v>
      </c>
      <c r="G99">
        <v>40.055886999999998</v>
      </c>
      <c r="H99">
        <v>40.341634999999997</v>
      </c>
      <c r="I99"/>
      <c r="N99"/>
      <c r="O99"/>
      <c r="P99" s="1">
        <f t="shared" si="23"/>
        <v>82.101174796747983</v>
      </c>
      <c r="Q99" s="1">
        <f t="shared" si="24"/>
        <v>82.687621951219512</v>
      </c>
      <c r="R99" s="1">
        <f t="shared" si="25"/>
        <v>83.589537065361469</v>
      </c>
      <c r="S99" s="1">
        <f t="shared" si="26"/>
        <v>74.254915098199675</v>
      </c>
    </row>
    <row r="100" spans="1:19" x14ac:dyDescent="0.3">
      <c r="A100">
        <v>2357</v>
      </c>
      <c r="B100">
        <v>79.981998000000004</v>
      </c>
      <c r="C100">
        <v>80.550877999999997</v>
      </c>
      <c r="D100">
        <v>81.167420000000007</v>
      </c>
      <c r="E100">
        <v>71.589511999999999</v>
      </c>
      <c r="F100">
        <v>57.759140000000002</v>
      </c>
      <c r="G100">
        <v>40.055886999999998</v>
      </c>
      <c r="H100">
        <v>40.341634999999997</v>
      </c>
      <c r="I100" t="s">
        <v>60</v>
      </c>
      <c r="N100"/>
      <c r="O100"/>
      <c r="P100" s="1">
        <f t="shared" si="23"/>
        <v>82.073125000000005</v>
      </c>
      <c r="Q100" s="1">
        <f t="shared" si="24"/>
        <v>82.68225000000001</v>
      </c>
      <c r="R100" s="1">
        <f t="shared" si="25"/>
        <v>83.625211583562759</v>
      </c>
      <c r="S100" s="1">
        <f t="shared" si="26"/>
        <v>74.291948649754502</v>
      </c>
    </row>
    <row r="101" spans="1:19" x14ac:dyDescent="0.3">
      <c r="A101">
        <v>2357.1999999999998</v>
      </c>
      <c r="B101">
        <v>79.981998000000004</v>
      </c>
      <c r="C101">
        <v>80.550877999999997</v>
      </c>
      <c r="D101">
        <v>81.167420000000007</v>
      </c>
      <c r="E101">
        <v>71.589511999999999</v>
      </c>
      <c r="F101">
        <v>57.759140000000002</v>
      </c>
      <c r="G101">
        <v>40.034407000000002</v>
      </c>
      <c r="H101">
        <v>40.332268999999997</v>
      </c>
      <c r="I101"/>
      <c r="N101"/>
      <c r="O101"/>
      <c r="P101" s="1">
        <f t="shared" si="23"/>
        <v>82.073125000000005</v>
      </c>
      <c r="Q101" s="1">
        <f t="shared" si="24"/>
        <v>82.68225000000001</v>
      </c>
      <c r="R101" s="1">
        <f t="shared" si="25"/>
        <v>83.625211583562759</v>
      </c>
      <c r="S101" s="1">
        <f t="shared" si="26"/>
        <v>74.291948649754502</v>
      </c>
    </row>
    <row r="102" spans="1:19" x14ac:dyDescent="0.3">
      <c r="A102">
        <v>2357.4</v>
      </c>
      <c r="B102">
        <v>79.984705000000005</v>
      </c>
      <c r="C102">
        <v>80.553364999999999</v>
      </c>
      <c r="D102">
        <v>81.182258000000004</v>
      </c>
      <c r="E102">
        <v>71.576742999999993</v>
      </c>
      <c r="F102">
        <v>57.720185000000001</v>
      </c>
      <c r="G102">
        <v>40.034407000000002</v>
      </c>
      <c r="H102">
        <v>40.332268999999997</v>
      </c>
      <c r="I102"/>
      <c r="N102"/>
      <c r="O102"/>
      <c r="P102" s="1">
        <f t="shared" si="23"/>
        <v>82.082112804878051</v>
      </c>
      <c r="Q102" s="1">
        <f t="shared" si="24"/>
        <v>82.685975609756099</v>
      </c>
      <c r="R102" s="1">
        <f t="shared" si="25"/>
        <v>83.612193331293966</v>
      </c>
      <c r="S102" s="1">
        <f t="shared" si="26"/>
        <v>74.263355155482813</v>
      </c>
    </row>
    <row r="103" spans="1:19" x14ac:dyDescent="0.3">
      <c r="A103">
        <v>2357.6</v>
      </c>
      <c r="B103">
        <v>79.984705000000005</v>
      </c>
      <c r="C103">
        <v>80.553364999999999</v>
      </c>
      <c r="D103">
        <v>81.182258000000004</v>
      </c>
      <c r="E103">
        <v>71.576742999999993</v>
      </c>
      <c r="F103">
        <v>57.720185000000001</v>
      </c>
      <c r="G103">
        <v>40.039386</v>
      </c>
      <c r="H103">
        <v>40.341437999999997</v>
      </c>
      <c r="I103"/>
      <c r="N103"/>
      <c r="O103"/>
      <c r="P103" s="1">
        <f t="shared" si="23"/>
        <v>82.082112804878051</v>
      </c>
      <c r="Q103" s="1">
        <f t="shared" si="24"/>
        <v>82.685975609756099</v>
      </c>
      <c r="R103" s="1">
        <f t="shared" si="25"/>
        <v>83.612193331293966</v>
      </c>
      <c r="S103" s="1">
        <f t="shared" si="26"/>
        <v>74.263355155482813</v>
      </c>
    </row>
    <row r="104" spans="1:19" x14ac:dyDescent="0.3">
      <c r="A104">
        <v>2357.8000000000002</v>
      </c>
      <c r="B104">
        <v>79.985268000000005</v>
      </c>
      <c r="C104">
        <v>80.576537000000002</v>
      </c>
      <c r="D104">
        <v>81.178998000000007</v>
      </c>
      <c r="E104">
        <v>71.585143000000002</v>
      </c>
      <c r="F104">
        <v>57.805286000000002</v>
      </c>
      <c r="G104">
        <v>40.039386</v>
      </c>
      <c r="H104">
        <v>40.341437999999997</v>
      </c>
      <c r="I104"/>
      <c r="N104"/>
      <c r="O104"/>
      <c r="P104" s="1">
        <f t="shared" si="23"/>
        <v>82.081310975609767</v>
      </c>
      <c r="Q104" s="1">
        <f t="shared" si="24"/>
        <v>82.709983739837398</v>
      </c>
      <c r="R104" s="1">
        <f t="shared" si="25"/>
        <v>83.600846334251031</v>
      </c>
      <c r="S104" s="1">
        <f t="shared" si="26"/>
        <v>74.27423895253682</v>
      </c>
    </row>
    <row r="105" spans="1:19" x14ac:dyDescent="0.3">
      <c r="A105">
        <v>2358</v>
      </c>
      <c r="B105">
        <v>79.985268000000005</v>
      </c>
      <c r="C105">
        <v>80.576537000000002</v>
      </c>
      <c r="D105">
        <v>81.178998000000007</v>
      </c>
      <c r="E105">
        <v>71.585143000000002</v>
      </c>
      <c r="F105">
        <v>57.805286000000002</v>
      </c>
      <c r="G105">
        <v>40.050865999999999</v>
      </c>
      <c r="H105">
        <v>40.359900000000003</v>
      </c>
      <c r="I105" t="s">
        <v>60</v>
      </c>
      <c r="N105"/>
      <c r="O105"/>
      <c r="P105" s="1">
        <f t="shared" si="23"/>
        <v>82.081310975609767</v>
      </c>
      <c r="Q105" s="1">
        <f t="shared" si="24"/>
        <v>82.709983739837398</v>
      </c>
      <c r="R105" s="1">
        <f t="shared" si="25"/>
        <v>83.600846334251031</v>
      </c>
      <c r="S105" s="1">
        <f t="shared" si="26"/>
        <v>74.27423895253682</v>
      </c>
    </row>
    <row r="106" spans="1:19" x14ac:dyDescent="0.3">
      <c r="A106">
        <v>2358.1999999999998</v>
      </c>
      <c r="B106">
        <v>79.978740999999999</v>
      </c>
      <c r="C106">
        <v>80.551682</v>
      </c>
      <c r="D106">
        <v>81.184855999999996</v>
      </c>
      <c r="E106">
        <v>71.600613999999993</v>
      </c>
      <c r="F106">
        <v>57.856586</v>
      </c>
      <c r="G106">
        <v>40.050865999999999</v>
      </c>
      <c r="H106">
        <v>40.359900000000003</v>
      </c>
      <c r="I106"/>
      <c r="N106"/>
      <c r="O106"/>
      <c r="P106" s="1">
        <f t="shared" si="23"/>
        <v>82.082163617886181</v>
      </c>
      <c r="Q106" s="1">
        <f t="shared" si="24"/>
        <v>82.695215447154482</v>
      </c>
      <c r="R106" s="1">
        <f t="shared" si="25"/>
        <v>83.602387070459869</v>
      </c>
      <c r="S106" s="1">
        <f t="shared" si="26"/>
        <v>74.222617635024548</v>
      </c>
    </row>
    <row r="107" spans="1:19" x14ac:dyDescent="0.3">
      <c r="A107">
        <v>2358.4</v>
      </c>
      <c r="B107">
        <v>79.978740999999999</v>
      </c>
      <c r="C107">
        <v>80.551682</v>
      </c>
      <c r="D107">
        <v>81.184855999999996</v>
      </c>
      <c r="E107">
        <v>71.600613999999993</v>
      </c>
      <c r="F107">
        <v>57.856586</v>
      </c>
      <c r="G107">
        <v>40.049118</v>
      </c>
      <c r="H107">
        <v>40.352564999999998</v>
      </c>
      <c r="I107"/>
      <c r="N107"/>
      <c r="O107"/>
      <c r="P107" s="1">
        <f t="shared" si="23"/>
        <v>82.082163617886181</v>
      </c>
      <c r="Q107" s="1">
        <f t="shared" si="24"/>
        <v>82.695215447154482</v>
      </c>
      <c r="R107" s="1">
        <f t="shared" si="25"/>
        <v>83.602387070459869</v>
      </c>
      <c r="S107" s="1">
        <f t="shared" si="26"/>
        <v>74.222617635024548</v>
      </c>
    </row>
    <row r="108" spans="1:19" x14ac:dyDescent="0.3">
      <c r="A108">
        <v>2358.6</v>
      </c>
      <c r="B108">
        <v>79.991420000000005</v>
      </c>
      <c r="C108">
        <v>80.572981999999996</v>
      </c>
      <c r="D108">
        <v>81.150508000000002</v>
      </c>
      <c r="E108">
        <v>71.607382999999999</v>
      </c>
      <c r="F108">
        <v>57.274788000000001</v>
      </c>
      <c r="G108">
        <v>40.049118</v>
      </c>
      <c r="H108">
        <v>40.352564999999998</v>
      </c>
      <c r="I108"/>
      <c r="N108"/>
      <c r="O108"/>
      <c r="P108" s="1">
        <f t="shared" ref="P108:P171" si="27">(B90+Q$36)/P$36</f>
        <v>82.085309959349601</v>
      </c>
      <c r="Q108" s="1">
        <f t="shared" ref="Q108:Q171" si="28">(C90+Q$36)/P$36</f>
        <v>82.691936991869923</v>
      </c>
      <c r="R108" s="1">
        <f t="shared" ref="R108:R171" si="29">(D90+Q$38)/P$38</f>
        <v>83.606450494544717</v>
      </c>
      <c r="S108" s="1">
        <f t="shared" ref="S108:S171" si="30">(E90+Q$39)/P$39</f>
        <v>74.221638707037641</v>
      </c>
    </row>
    <row r="109" spans="1:19" x14ac:dyDescent="0.3">
      <c r="A109">
        <v>2358.8000000000002</v>
      </c>
      <c r="B109">
        <v>79.991420000000005</v>
      </c>
      <c r="C109">
        <v>80.572981999999996</v>
      </c>
      <c r="D109">
        <v>81.150508000000002</v>
      </c>
      <c r="E109">
        <v>71.607382999999999</v>
      </c>
      <c r="F109">
        <v>57.274788000000001</v>
      </c>
      <c r="G109">
        <v>40.042622000000001</v>
      </c>
      <c r="H109">
        <v>40.36074</v>
      </c>
      <c r="I109"/>
      <c r="N109"/>
      <c r="O109"/>
      <c r="P109" s="1">
        <f t="shared" si="27"/>
        <v>82.085309959349601</v>
      </c>
      <c r="Q109" s="1">
        <f t="shared" si="28"/>
        <v>82.691936991869923</v>
      </c>
      <c r="R109" s="1">
        <f t="shared" si="29"/>
        <v>83.606450494544717</v>
      </c>
      <c r="S109" s="1">
        <f t="shared" si="30"/>
        <v>74.221638707037641</v>
      </c>
    </row>
    <row r="110" spans="1:19" x14ac:dyDescent="0.3">
      <c r="A110">
        <v>2359</v>
      </c>
      <c r="B110">
        <v>79.972238000000004</v>
      </c>
      <c r="C110">
        <v>80.557145000000006</v>
      </c>
      <c r="D110">
        <v>81.178822999999994</v>
      </c>
      <c r="E110">
        <v>71.594154000000003</v>
      </c>
      <c r="F110">
        <v>57.385235999999999</v>
      </c>
      <c r="G110">
        <v>40.042622000000001</v>
      </c>
      <c r="H110">
        <v>40.36074</v>
      </c>
      <c r="I110" t="s">
        <v>60</v>
      </c>
      <c r="N110"/>
      <c r="O110"/>
      <c r="P110" s="1">
        <f t="shared" si="27"/>
        <v>82.098335365853657</v>
      </c>
      <c r="Q110" s="1">
        <f t="shared" si="28"/>
        <v>82.685234756097572</v>
      </c>
      <c r="R110" s="1">
        <f t="shared" si="29"/>
        <v>83.629565616396448</v>
      </c>
      <c r="S110" s="1">
        <f t="shared" si="30"/>
        <v>74.203039075286412</v>
      </c>
    </row>
    <row r="111" spans="1:19" x14ac:dyDescent="0.3">
      <c r="A111">
        <v>2359.1999999999998</v>
      </c>
      <c r="B111">
        <v>79.972238000000004</v>
      </c>
      <c r="C111">
        <v>80.557145000000006</v>
      </c>
      <c r="D111">
        <v>81.178822999999994</v>
      </c>
      <c r="E111">
        <v>71.594154000000003</v>
      </c>
      <c r="F111">
        <v>57.385235999999999</v>
      </c>
      <c r="G111">
        <v>40.043643000000003</v>
      </c>
      <c r="H111">
        <v>40.344296999999997</v>
      </c>
      <c r="I111"/>
      <c r="N111"/>
      <c r="O111"/>
      <c r="P111" s="1">
        <f t="shared" si="27"/>
        <v>82.098335365853657</v>
      </c>
      <c r="Q111" s="1">
        <f t="shared" si="28"/>
        <v>82.685234756097572</v>
      </c>
      <c r="R111" s="1">
        <f t="shared" si="29"/>
        <v>83.629565616396448</v>
      </c>
      <c r="S111" s="1">
        <f t="shared" si="30"/>
        <v>74.203039075286412</v>
      </c>
    </row>
    <row r="112" spans="1:19" x14ac:dyDescent="0.3">
      <c r="A112">
        <v>2359.4</v>
      </c>
      <c r="B112">
        <v>79.971986999999999</v>
      </c>
      <c r="C112">
        <v>80.559154000000007</v>
      </c>
      <c r="D112">
        <v>81.188464999999994</v>
      </c>
      <c r="E112">
        <v>71.584496000000001</v>
      </c>
      <c r="F112">
        <v>57.610944000000003</v>
      </c>
      <c r="G112">
        <v>40.043643000000003</v>
      </c>
      <c r="H112">
        <v>40.344296999999997</v>
      </c>
      <c r="I112"/>
      <c r="N112"/>
      <c r="O112"/>
      <c r="P112" s="1">
        <f t="shared" si="27"/>
        <v>82.090606707317079</v>
      </c>
      <c r="Q112" s="1">
        <f t="shared" si="28"/>
        <v>82.683230691056906</v>
      </c>
      <c r="R112" s="1">
        <f t="shared" si="29"/>
        <v>83.601661058427652</v>
      </c>
      <c r="S112" s="1">
        <f t="shared" si="30"/>
        <v>74.24549406710311</v>
      </c>
    </row>
    <row r="113" spans="1:19" x14ac:dyDescent="0.3">
      <c r="A113">
        <v>2359.6</v>
      </c>
      <c r="B113">
        <v>79.971986999999999</v>
      </c>
      <c r="C113">
        <v>80.559154000000007</v>
      </c>
      <c r="D113">
        <v>81.188464999999994</v>
      </c>
      <c r="E113">
        <v>71.584496000000001</v>
      </c>
      <c r="F113">
        <v>57.610944000000003</v>
      </c>
      <c r="G113">
        <v>40.044148999999997</v>
      </c>
      <c r="H113">
        <v>40.340145</v>
      </c>
      <c r="I113"/>
      <c r="N113"/>
      <c r="O113"/>
      <c r="P113" s="1">
        <f t="shared" si="27"/>
        <v>82.090606707317079</v>
      </c>
      <c r="Q113" s="1">
        <f t="shared" si="28"/>
        <v>82.683230691056906</v>
      </c>
      <c r="R113" s="1">
        <f t="shared" si="29"/>
        <v>83.601661058427652</v>
      </c>
      <c r="S113" s="1">
        <f t="shared" si="30"/>
        <v>74.24549406710311</v>
      </c>
    </row>
    <row r="114" spans="1:19" x14ac:dyDescent="0.3">
      <c r="A114">
        <v>2359.8000000000002</v>
      </c>
      <c r="B114">
        <v>79.981409999999997</v>
      </c>
      <c r="C114">
        <v>80.583519999999993</v>
      </c>
      <c r="D114">
        <v>81.182570999999996</v>
      </c>
      <c r="E114">
        <v>71.577726999999996</v>
      </c>
      <c r="F114">
        <v>57.763081999999997</v>
      </c>
      <c r="G114">
        <v>40.044148999999997</v>
      </c>
      <c r="H114">
        <v>40.340145</v>
      </c>
      <c r="I114"/>
      <c r="N114"/>
      <c r="O114"/>
      <c r="P114" s="1">
        <f t="shared" si="27"/>
        <v>82.092757113821136</v>
      </c>
      <c r="Q114" s="1">
        <f t="shared" si="28"/>
        <v>82.693199186991876</v>
      </c>
      <c r="R114" s="1">
        <f t="shared" si="29"/>
        <v>83.611836443356779</v>
      </c>
      <c r="S114" s="1">
        <f t="shared" si="30"/>
        <v>74.19814954991817</v>
      </c>
    </row>
    <row r="115" spans="1:19" x14ac:dyDescent="0.3">
      <c r="A115">
        <v>2360</v>
      </c>
      <c r="B115">
        <v>79.981409999999997</v>
      </c>
      <c r="C115">
        <v>80.583519999999993</v>
      </c>
      <c r="D115">
        <v>81.182570999999996</v>
      </c>
      <c r="E115">
        <v>71.577726999999996</v>
      </c>
      <c r="F115">
        <v>57.763081999999997</v>
      </c>
      <c r="G115">
        <v>40.049235000000003</v>
      </c>
      <c r="H115">
        <v>40.357571999999998</v>
      </c>
      <c r="I115" t="s">
        <v>60</v>
      </c>
      <c r="N115"/>
      <c r="O115"/>
      <c r="P115" s="1">
        <f t="shared" si="27"/>
        <v>82.092757113821136</v>
      </c>
      <c r="Q115" s="1">
        <f t="shared" si="28"/>
        <v>82.693199186991876</v>
      </c>
      <c r="R115" s="1">
        <f t="shared" si="29"/>
        <v>83.611836443356779</v>
      </c>
      <c r="S115" s="1">
        <f t="shared" si="30"/>
        <v>74.19814954991817</v>
      </c>
    </row>
    <row r="116" spans="1:19" x14ac:dyDescent="0.3">
      <c r="A116">
        <v>2360.1999999999998</v>
      </c>
      <c r="B116">
        <v>79.969883999999993</v>
      </c>
      <c r="C116">
        <v>80.568802000000005</v>
      </c>
      <c r="D116">
        <v>81.187717000000006</v>
      </c>
      <c r="E116">
        <v>71.607945000000001</v>
      </c>
      <c r="F116">
        <v>57.714702000000003</v>
      </c>
      <c r="G116">
        <v>40.049235000000003</v>
      </c>
      <c r="H116">
        <v>40.357571999999998</v>
      </c>
      <c r="I116"/>
      <c r="N116"/>
      <c r="O116"/>
      <c r="P116" s="1">
        <f t="shared" si="27"/>
        <v>82.086914634146353</v>
      </c>
      <c r="Q116" s="1">
        <f t="shared" si="28"/>
        <v>82.69722052845529</v>
      </c>
      <c r="R116" s="1">
        <f t="shared" si="29"/>
        <v>83.608743754461088</v>
      </c>
      <c r="S116" s="1">
        <f t="shared" si="30"/>
        <v>74.189787234042555</v>
      </c>
    </row>
    <row r="117" spans="1:19" x14ac:dyDescent="0.3">
      <c r="A117">
        <v>2360.4</v>
      </c>
      <c r="B117">
        <v>79.969883999999993</v>
      </c>
      <c r="C117">
        <v>80.568802000000005</v>
      </c>
      <c r="D117">
        <v>81.187717000000006</v>
      </c>
      <c r="E117">
        <v>71.607945000000001</v>
      </c>
      <c r="F117">
        <v>57.714702000000003</v>
      </c>
      <c r="G117">
        <v>40.045597000000001</v>
      </c>
      <c r="H117">
        <v>40.350442000000001</v>
      </c>
      <c r="I117"/>
      <c r="N117"/>
      <c r="O117"/>
      <c r="P117" s="1">
        <f t="shared" si="27"/>
        <v>82.086914634146353</v>
      </c>
      <c r="Q117" s="1">
        <f t="shared" si="28"/>
        <v>82.69722052845529</v>
      </c>
      <c r="R117" s="1">
        <f t="shared" si="29"/>
        <v>83.608743754461088</v>
      </c>
      <c r="S117" s="1">
        <f t="shared" si="30"/>
        <v>74.189787234042555</v>
      </c>
    </row>
    <row r="118" spans="1:19" x14ac:dyDescent="0.3">
      <c r="A118">
        <v>2360.6</v>
      </c>
      <c r="B118">
        <v>79.976508999999993</v>
      </c>
      <c r="C118">
        <v>80.563461000000004</v>
      </c>
      <c r="D118">
        <v>81.187802000000005</v>
      </c>
      <c r="E118">
        <v>71.609149000000002</v>
      </c>
      <c r="F118">
        <v>57.980566000000003</v>
      </c>
      <c r="G118">
        <v>40.045597000000001</v>
      </c>
      <c r="H118">
        <v>40.350442000000001</v>
      </c>
      <c r="I118"/>
      <c r="N118"/>
      <c r="O118"/>
      <c r="P118" s="1">
        <f t="shared" si="27"/>
        <v>82.081806910569114</v>
      </c>
      <c r="Q118" s="1">
        <f t="shared" si="28"/>
        <v>82.659936991869927</v>
      </c>
      <c r="R118" s="1">
        <f t="shared" si="29"/>
        <v>83.591026817579291</v>
      </c>
      <c r="S118" s="1">
        <f t="shared" si="30"/>
        <v>74.174828150572836</v>
      </c>
    </row>
    <row r="119" spans="1:19" x14ac:dyDescent="0.3">
      <c r="A119">
        <v>2360.8000000000002</v>
      </c>
      <c r="B119">
        <v>79.976508999999993</v>
      </c>
      <c r="C119">
        <v>80.563461000000004</v>
      </c>
      <c r="D119">
        <v>81.187802000000005</v>
      </c>
      <c r="E119">
        <v>71.609149000000002</v>
      </c>
      <c r="F119">
        <v>57.980566000000003</v>
      </c>
      <c r="G119">
        <v>40.048782000000003</v>
      </c>
      <c r="H119">
        <v>40.345708999999999</v>
      </c>
      <c r="I119"/>
      <c r="N119"/>
      <c r="O119"/>
      <c r="P119" s="1">
        <f t="shared" si="27"/>
        <v>82.081806910569114</v>
      </c>
      <c r="Q119" s="1">
        <f t="shared" si="28"/>
        <v>82.659936991869927</v>
      </c>
      <c r="R119" s="1">
        <f t="shared" si="29"/>
        <v>83.591026817579291</v>
      </c>
      <c r="S119" s="1">
        <f t="shared" si="30"/>
        <v>74.174828150572836</v>
      </c>
    </row>
    <row r="120" spans="1:19" x14ac:dyDescent="0.3">
      <c r="A120">
        <v>2361</v>
      </c>
      <c r="B120">
        <v>79.973777999999996</v>
      </c>
      <c r="C120">
        <v>80.549194</v>
      </c>
      <c r="D120">
        <v>81.177660000000003</v>
      </c>
      <c r="E120">
        <v>71.647879000000003</v>
      </c>
      <c r="F120">
        <v>58.187705000000001</v>
      </c>
      <c r="G120">
        <v>40.048782000000003</v>
      </c>
      <c r="H120">
        <v>40.345708999999999</v>
      </c>
      <c r="I120" t="s">
        <v>60</v>
      </c>
      <c r="N120"/>
      <c r="O120"/>
      <c r="P120" s="1">
        <f t="shared" si="27"/>
        <v>82.084557926829277</v>
      </c>
      <c r="Q120" s="1">
        <f t="shared" si="28"/>
        <v>82.662464430894318</v>
      </c>
      <c r="R120" s="1">
        <f t="shared" si="29"/>
        <v>83.606156826756404</v>
      </c>
      <c r="S120" s="1">
        <f t="shared" si="30"/>
        <v>74.161766571194761</v>
      </c>
    </row>
    <row r="121" spans="1:19" x14ac:dyDescent="0.3">
      <c r="A121">
        <v>2361.1999999999998</v>
      </c>
      <c r="B121">
        <v>79.973777999999996</v>
      </c>
      <c r="C121">
        <v>80.549194</v>
      </c>
      <c r="D121">
        <v>81.177660000000003</v>
      </c>
      <c r="E121">
        <v>71.647879000000003</v>
      </c>
      <c r="F121">
        <v>58.187705000000001</v>
      </c>
      <c r="G121">
        <v>40.043773999999999</v>
      </c>
      <c r="H121">
        <v>40.363522000000003</v>
      </c>
      <c r="I121"/>
      <c r="N121"/>
      <c r="O121"/>
      <c r="P121" s="1">
        <f t="shared" si="27"/>
        <v>82.084557926829277</v>
      </c>
      <c r="Q121" s="1">
        <f t="shared" si="28"/>
        <v>82.662464430894318</v>
      </c>
      <c r="R121" s="1">
        <f t="shared" si="29"/>
        <v>83.606156826756404</v>
      </c>
      <c r="S121" s="1">
        <f t="shared" si="30"/>
        <v>74.161766571194761</v>
      </c>
    </row>
    <row r="122" spans="1:19" x14ac:dyDescent="0.3">
      <c r="A122">
        <v>2361.4</v>
      </c>
      <c r="B122">
        <v>79.972499999999997</v>
      </c>
      <c r="C122">
        <v>80.549948000000001</v>
      </c>
      <c r="D122">
        <v>81.198194000000001</v>
      </c>
      <c r="E122">
        <v>71.634065000000007</v>
      </c>
      <c r="F122">
        <v>57.996763999999999</v>
      </c>
      <c r="G122">
        <v>40.043773999999999</v>
      </c>
      <c r="H122">
        <v>40.363522000000003</v>
      </c>
      <c r="I122"/>
      <c r="N122"/>
      <c r="O122"/>
      <c r="P122" s="1">
        <f t="shared" si="27"/>
        <v>82.085130081300818</v>
      </c>
      <c r="Q122" s="1">
        <f t="shared" si="28"/>
        <v>82.686013211382118</v>
      </c>
      <c r="R122" s="1">
        <f t="shared" si="29"/>
        <v>83.60283267054146</v>
      </c>
      <c r="S122" s="1">
        <f t="shared" si="30"/>
        <v>74.170359042553187</v>
      </c>
    </row>
    <row r="123" spans="1:19" x14ac:dyDescent="0.3">
      <c r="A123">
        <v>2361.6</v>
      </c>
      <c r="B123">
        <v>79.972499999999997</v>
      </c>
      <c r="C123">
        <v>80.549948000000001</v>
      </c>
      <c r="D123">
        <v>81.198194000000001</v>
      </c>
      <c r="E123">
        <v>71.634065000000007</v>
      </c>
      <c r="F123">
        <v>57.996763999999999</v>
      </c>
      <c r="G123">
        <v>40.052751999999998</v>
      </c>
      <c r="H123">
        <v>40.352471999999999</v>
      </c>
      <c r="I123"/>
      <c r="N123"/>
      <c r="O123"/>
      <c r="P123" s="1">
        <f t="shared" si="27"/>
        <v>82.085130081300818</v>
      </c>
      <c r="Q123" s="1">
        <f t="shared" si="28"/>
        <v>82.686013211382118</v>
      </c>
      <c r="R123" s="1">
        <f t="shared" si="29"/>
        <v>83.60283267054146</v>
      </c>
      <c r="S123" s="1">
        <f t="shared" si="30"/>
        <v>74.170359042553187</v>
      </c>
    </row>
    <row r="124" spans="1:19" x14ac:dyDescent="0.3">
      <c r="A124">
        <v>2361.8000000000002</v>
      </c>
      <c r="B124">
        <v>79.962151000000006</v>
      </c>
      <c r="C124">
        <v>80.563989000000007</v>
      </c>
      <c r="D124">
        <v>81.196645000000004</v>
      </c>
      <c r="E124">
        <v>71.609672000000003</v>
      </c>
      <c r="F124">
        <v>58.022857000000002</v>
      </c>
      <c r="G124">
        <v>40.052751999999998</v>
      </c>
      <c r="H124">
        <v>40.352471999999999</v>
      </c>
      <c r="I124"/>
      <c r="N124"/>
      <c r="O124"/>
      <c r="P124" s="1">
        <f t="shared" si="27"/>
        <v>82.07849695121952</v>
      </c>
      <c r="Q124" s="1">
        <f t="shared" si="28"/>
        <v>82.660754065040649</v>
      </c>
      <c r="R124" s="1">
        <f t="shared" si="29"/>
        <v>83.608805954930148</v>
      </c>
      <c r="S124" s="1">
        <f t="shared" si="30"/>
        <v>74.18618453355154</v>
      </c>
    </row>
    <row r="125" spans="1:19" x14ac:dyDescent="0.3">
      <c r="A125">
        <v>4068</v>
      </c>
      <c r="B125">
        <v>85.045934000000003</v>
      </c>
      <c r="C125">
        <v>85.909553000000002</v>
      </c>
      <c r="D125">
        <v>86.772024000000002</v>
      </c>
      <c r="E125">
        <v>74.391965999999996</v>
      </c>
      <c r="F125">
        <v>59.814796000000001</v>
      </c>
      <c r="G125">
        <v>39.957693999999996</v>
      </c>
      <c r="H125">
        <v>40.397153000000003</v>
      </c>
      <c r="I125" t="s">
        <v>60</v>
      </c>
      <c r="N125"/>
      <c r="O125"/>
      <c r="P125" s="1">
        <f t="shared" si="27"/>
        <v>82.07849695121952</v>
      </c>
      <c r="Q125" s="1">
        <f t="shared" si="28"/>
        <v>82.660754065040649</v>
      </c>
      <c r="R125" s="1">
        <f t="shared" si="29"/>
        <v>83.608805954930148</v>
      </c>
      <c r="S125" s="1">
        <f t="shared" si="30"/>
        <v>74.18618453355154</v>
      </c>
    </row>
    <row r="126" spans="1:19" x14ac:dyDescent="0.3">
      <c r="A126">
        <v>4068.2</v>
      </c>
      <c r="B126">
        <v>85.054875999999993</v>
      </c>
      <c r="C126">
        <v>85.899959999999993</v>
      </c>
      <c r="D126">
        <v>86.7483</v>
      </c>
      <c r="E126">
        <v>74.401732999999993</v>
      </c>
      <c r="F126">
        <v>59.832064000000003</v>
      </c>
      <c r="G126">
        <v>39.957693999999996</v>
      </c>
      <c r="H126">
        <v>40.397153000000003</v>
      </c>
      <c r="I126"/>
      <c r="N126"/>
      <c r="O126"/>
      <c r="P126" s="1">
        <f t="shared" si="27"/>
        <v>82.091382113821155</v>
      </c>
      <c r="Q126" s="1">
        <f t="shared" si="28"/>
        <v>82.682400406504073</v>
      </c>
      <c r="R126" s="1">
        <f t="shared" si="29"/>
        <v>83.573781992454371</v>
      </c>
      <c r="S126" s="1">
        <f t="shared" si="30"/>
        <v>74.19310863338788</v>
      </c>
    </row>
    <row r="127" spans="1:19" x14ac:dyDescent="0.3">
      <c r="A127">
        <v>4068.4</v>
      </c>
      <c r="B127">
        <v>85.054875999999993</v>
      </c>
      <c r="C127">
        <v>85.899959999999993</v>
      </c>
      <c r="D127">
        <v>86.7483</v>
      </c>
      <c r="E127">
        <v>74.401732999999993</v>
      </c>
      <c r="F127">
        <v>59.832064000000003</v>
      </c>
      <c r="G127">
        <v>39.958264</v>
      </c>
      <c r="H127">
        <v>40.407967999999997</v>
      </c>
      <c r="I127"/>
      <c r="N127"/>
      <c r="O127"/>
      <c r="P127" s="1">
        <f t="shared" si="27"/>
        <v>82.091382113821155</v>
      </c>
      <c r="Q127" s="1">
        <f t="shared" si="28"/>
        <v>82.682400406504073</v>
      </c>
      <c r="R127" s="1">
        <f t="shared" si="29"/>
        <v>83.573781992454371</v>
      </c>
      <c r="S127" s="1">
        <f t="shared" si="30"/>
        <v>74.19310863338788</v>
      </c>
    </row>
    <row r="128" spans="1:19" x14ac:dyDescent="0.3">
      <c r="A128">
        <v>4068.6</v>
      </c>
      <c r="B128">
        <v>85.076544999999996</v>
      </c>
      <c r="C128">
        <v>85.912858</v>
      </c>
      <c r="D128">
        <v>86.751450000000006</v>
      </c>
      <c r="E128">
        <v>74.360294999999994</v>
      </c>
      <c r="F128">
        <v>59.618499999999997</v>
      </c>
      <c r="G128">
        <v>39.958264</v>
      </c>
      <c r="H128">
        <v>40.407967999999997</v>
      </c>
      <c r="I128"/>
      <c r="N128"/>
      <c r="O128"/>
      <c r="P128" s="1">
        <f t="shared" si="27"/>
        <v>82.071888211382117</v>
      </c>
      <c r="Q128" s="1">
        <f t="shared" si="28"/>
        <v>82.666305894308948</v>
      </c>
      <c r="R128" s="1">
        <f t="shared" si="29"/>
        <v>83.602654226572852</v>
      </c>
      <c r="S128" s="1">
        <f t="shared" si="30"/>
        <v>74.179576513911627</v>
      </c>
    </row>
    <row r="129" spans="1:19" x14ac:dyDescent="0.3">
      <c r="A129">
        <v>4068.8</v>
      </c>
      <c r="B129">
        <v>85.076544999999996</v>
      </c>
      <c r="C129">
        <v>85.912858</v>
      </c>
      <c r="D129">
        <v>86.751450000000006</v>
      </c>
      <c r="E129">
        <v>74.360294999999994</v>
      </c>
      <c r="F129">
        <v>59.618499999999997</v>
      </c>
      <c r="G129">
        <v>39.96058</v>
      </c>
      <c r="H129">
        <v>40.397477000000002</v>
      </c>
      <c r="I129"/>
      <c r="N129"/>
      <c r="O129"/>
      <c r="P129" s="1">
        <f t="shared" si="27"/>
        <v>82.071888211382117</v>
      </c>
      <c r="Q129" s="1">
        <f t="shared" si="28"/>
        <v>82.666305894308948</v>
      </c>
      <c r="R129" s="1">
        <f t="shared" si="29"/>
        <v>83.602654226572852</v>
      </c>
      <c r="S129" s="1">
        <f t="shared" si="30"/>
        <v>74.179576513911627</v>
      </c>
    </row>
    <row r="130" spans="1:19" x14ac:dyDescent="0.3">
      <c r="A130">
        <v>4069</v>
      </c>
      <c r="B130">
        <v>85.105869999999996</v>
      </c>
      <c r="C130">
        <v>85.924604000000002</v>
      </c>
      <c r="D130">
        <v>86.768985999999998</v>
      </c>
      <c r="E130">
        <v>74.377742999999995</v>
      </c>
      <c r="F130">
        <v>59.523969000000001</v>
      </c>
      <c r="G130">
        <v>39.96058</v>
      </c>
      <c r="H130">
        <v>40.397477000000002</v>
      </c>
      <c r="I130" t="s">
        <v>60</v>
      </c>
      <c r="N130"/>
      <c r="O130"/>
      <c r="P130" s="1">
        <f t="shared" si="27"/>
        <v>82.07163313008131</v>
      </c>
      <c r="Q130" s="1">
        <f t="shared" si="28"/>
        <v>82.668347560975619</v>
      </c>
      <c r="R130" s="1">
        <f t="shared" si="29"/>
        <v>83.612485979402464</v>
      </c>
      <c r="S130" s="1">
        <f t="shared" si="30"/>
        <v>74.169697217675946</v>
      </c>
    </row>
    <row r="131" spans="1:19" x14ac:dyDescent="0.3">
      <c r="A131">
        <v>4069.2</v>
      </c>
      <c r="B131">
        <v>85.105869999999996</v>
      </c>
      <c r="C131">
        <v>85.924604000000002</v>
      </c>
      <c r="D131">
        <v>86.768985999999998</v>
      </c>
      <c r="E131">
        <v>74.377742999999995</v>
      </c>
      <c r="F131">
        <v>59.523969000000001</v>
      </c>
      <c r="G131">
        <v>39.943691999999999</v>
      </c>
      <c r="H131">
        <v>40.385717999999997</v>
      </c>
      <c r="I131"/>
      <c r="N131"/>
      <c r="O131"/>
      <c r="P131" s="1">
        <f t="shared" si="27"/>
        <v>82.07163313008131</v>
      </c>
      <c r="Q131" s="1">
        <f t="shared" si="28"/>
        <v>82.668347560975619</v>
      </c>
      <c r="R131" s="1">
        <f t="shared" si="29"/>
        <v>83.612485979402464</v>
      </c>
      <c r="S131" s="1">
        <f t="shared" si="30"/>
        <v>74.169697217675946</v>
      </c>
    </row>
    <row r="132" spans="1:19" x14ac:dyDescent="0.3">
      <c r="A132">
        <v>4069.4</v>
      </c>
      <c r="B132">
        <v>85.075844000000004</v>
      </c>
      <c r="C132">
        <v>85.921207999999993</v>
      </c>
      <c r="D132">
        <v>86.736795000000001</v>
      </c>
      <c r="E132">
        <v>74.406636000000006</v>
      </c>
      <c r="F132">
        <v>59.513966000000003</v>
      </c>
      <c r="G132">
        <v>39.943691999999999</v>
      </c>
      <c r="H132">
        <v>40.385717999999997</v>
      </c>
      <c r="I132"/>
      <c r="N132"/>
      <c r="O132"/>
      <c r="P132" s="1">
        <f t="shared" si="27"/>
        <v>82.081209349593493</v>
      </c>
      <c r="Q132" s="1">
        <f t="shared" si="28"/>
        <v>82.693109756097556</v>
      </c>
      <c r="R132" s="1">
        <f t="shared" si="29"/>
        <v>83.606475986540218</v>
      </c>
      <c r="S132" s="1">
        <f t="shared" si="30"/>
        <v>74.162773117839606</v>
      </c>
    </row>
    <row r="133" spans="1:19" x14ac:dyDescent="0.3">
      <c r="A133">
        <v>4069.6</v>
      </c>
      <c r="B133">
        <v>85.075844000000004</v>
      </c>
      <c r="C133">
        <v>85.921207999999993</v>
      </c>
      <c r="D133">
        <v>86.736795000000001</v>
      </c>
      <c r="E133">
        <v>74.406636000000006</v>
      </c>
      <c r="F133">
        <v>59.513966000000003</v>
      </c>
      <c r="G133">
        <v>39.940469</v>
      </c>
      <c r="H133">
        <v>40.381798000000003</v>
      </c>
      <c r="I133"/>
      <c r="N133"/>
      <c r="O133"/>
      <c r="P133" s="1">
        <f t="shared" si="27"/>
        <v>82.081209349593493</v>
      </c>
      <c r="Q133" s="1">
        <f t="shared" si="28"/>
        <v>82.693109756097556</v>
      </c>
      <c r="R133" s="1">
        <f t="shared" si="29"/>
        <v>83.606475986540218</v>
      </c>
      <c r="S133" s="1">
        <f t="shared" si="30"/>
        <v>74.162773117839606</v>
      </c>
    </row>
    <row r="134" spans="1:19" x14ac:dyDescent="0.3">
      <c r="A134">
        <v>4069.8</v>
      </c>
      <c r="B134">
        <v>85.087371000000005</v>
      </c>
      <c r="C134">
        <v>85.928464000000005</v>
      </c>
      <c r="D134">
        <v>86.752791000000002</v>
      </c>
      <c r="E134">
        <v>74.41001</v>
      </c>
      <c r="F134">
        <v>59.547618</v>
      </c>
      <c r="G134">
        <v>39.940469</v>
      </c>
      <c r="H134">
        <v>40.381798000000003</v>
      </c>
      <c r="I134"/>
      <c r="N134"/>
      <c r="O134"/>
      <c r="P134" s="1">
        <f t="shared" si="27"/>
        <v>82.069495934959349</v>
      </c>
      <c r="Q134" s="1">
        <f t="shared" si="28"/>
        <v>82.678152439024402</v>
      </c>
      <c r="R134" s="1">
        <f t="shared" si="29"/>
        <v>83.611723258896703</v>
      </c>
      <c r="S134" s="1">
        <f t="shared" si="30"/>
        <v>74.193683510638294</v>
      </c>
    </row>
    <row r="135" spans="1:19" x14ac:dyDescent="0.3">
      <c r="A135">
        <v>4070</v>
      </c>
      <c r="B135">
        <v>85.087371000000005</v>
      </c>
      <c r="C135">
        <v>85.928464000000005</v>
      </c>
      <c r="D135">
        <v>86.752791000000002</v>
      </c>
      <c r="E135">
        <v>74.41001</v>
      </c>
      <c r="F135">
        <v>59.547618</v>
      </c>
      <c r="G135">
        <v>39.959454000000001</v>
      </c>
      <c r="H135">
        <v>40.401474</v>
      </c>
      <c r="I135" t="s">
        <v>60</v>
      </c>
      <c r="N135"/>
      <c r="O135"/>
      <c r="P135" s="1">
        <f t="shared" si="27"/>
        <v>82.069495934959349</v>
      </c>
      <c r="Q135" s="1">
        <f t="shared" si="28"/>
        <v>82.678152439024402</v>
      </c>
      <c r="R135" s="1">
        <f t="shared" si="29"/>
        <v>83.611723258896703</v>
      </c>
      <c r="S135" s="1">
        <f t="shared" si="30"/>
        <v>74.193683510638294</v>
      </c>
    </row>
    <row r="136" spans="1:19" x14ac:dyDescent="0.3">
      <c r="A136">
        <v>4070.2</v>
      </c>
      <c r="B136">
        <v>85.107624000000001</v>
      </c>
      <c r="C136">
        <v>85.926589000000007</v>
      </c>
      <c r="D136">
        <v>86.733142999999998</v>
      </c>
      <c r="E136">
        <v>74.414649999999995</v>
      </c>
      <c r="F136">
        <v>59.788893000000002</v>
      </c>
      <c r="G136">
        <v>39.959454000000001</v>
      </c>
      <c r="H136">
        <v>40.401474</v>
      </c>
      <c r="I136"/>
      <c r="N136"/>
      <c r="O136"/>
      <c r="P136" s="1">
        <f t="shared" si="27"/>
        <v>82.076228658536579</v>
      </c>
      <c r="Q136" s="1">
        <f t="shared" si="28"/>
        <v>82.672724593495943</v>
      </c>
      <c r="R136" s="1">
        <f t="shared" si="29"/>
        <v>83.611809931681449</v>
      </c>
      <c r="S136" s="1">
        <f t="shared" si="30"/>
        <v>74.194915098199672</v>
      </c>
    </row>
    <row r="137" spans="1:19" x14ac:dyDescent="0.3">
      <c r="A137">
        <v>4070.4</v>
      </c>
      <c r="B137">
        <v>85.107624000000001</v>
      </c>
      <c r="C137">
        <v>85.926589000000007</v>
      </c>
      <c r="D137">
        <v>86.733142999999998</v>
      </c>
      <c r="E137">
        <v>74.414649999999995</v>
      </c>
      <c r="F137">
        <v>59.788893000000002</v>
      </c>
      <c r="G137">
        <v>39.967179000000002</v>
      </c>
      <c r="H137">
        <v>40.416879000000002</v>
      </c>
      <c r="I137"/>
      <c r="N137"/>
      <c r="O137"/>
      <c r="P137" s="1">
        <f t="shared" si="27"/>
        <v>82.076228658536579</v>
      </c>
      <c r="Q137" s="1">
        <f t="shared" si="28"/>
        <v>82.672724593495943</v>
      </c>
      <c r="R137" s="1">
        <f t="shared" si="29"/>
        <v>83.611809931681449</v>
      </c>
      <c r="S137" s="1">
        <f t="shared" si="30"/>
        <v>74.194915098199672</v>
      </c>
    </row>
    <row r="138" spans="1:19" x14ac:dyDescent="0.3">
      <c r="A138">
        <v>4070.6</v>
      </c>
      <c r="B138">
        <v>85.103522999999996</v>
      </c>
      <c r="C138">
        <v>85.899619999999999</v>
      </c>
      <c r="D138">
        <v>86.740983999999997</v>
      </c>
      <c r="E138">
        <v>74.382357999999996</v>
      </c>
      <c r="F138">
        <v>59.951580999999997</v>
      </c>
      <c r="G138">
        <v>39.967179000000002</v>
      </c>
      <c r="H138">
        <v>40.416879000000002</v>
      </c>
      <c r="I138"/>
      <c r="N138"/>
      <c r="O138"/>
      <c r="P138" s="1">
        <f t="shared" si="27"/>
        <v>82.073453252032522</v>
      </c>
      <c r="Q138" s="1">
        <f t="shared" si="28"/>
        <v>82.658225609756101</v>
      </c>
      <c r="R138" s="1">
        <f t="shared" si="29"/>
        <v>83.601468338941572</v>
      </c>
      <c r="S138" s="1">
        <f t="shared" si="30"/>
        <v>74.234532528641566</v>
      </c>
    </row>
    <row r="139" spans="1:19" x14ac:dyDescent="0.3">
      <c r="A139">
        <v>4070.8</v>
      </c>
      <c r="B139">
        <v>85.103522999999996</v>
      </c>
      <c r="C139">
        <v>85.899619999999999</v>
      </c>
      <c r="D139">
        <v>86.740983999999997</v>
      </c>
      <c r="E139">
        <v>74.382357999999996</v>
      </c>
      <c r="F139">
        <v>59.951580999999997</v>
      </c>
      <c r="G139">
        <v>39.971902</v>
      </c>
      <c r="H139">
        <v>40.392029999999998</v>
      </c>
      <c r="I139"/>
      <c r="N139"/>
      <c r="O139"/>
      <c r="P139" s="1">
        <f t="shared" si="27"/>
        <v>82.073453252032522</v>
      </c>
      <c r="Q139" s="1">
        <f t="shared" si="28"/>
        <v>82.658225609756101</v>
      </c>
      <c r="R139" s="1">
        <f t="shared" si="29"/>
        <v>83.601468338941572</v>
      </c>
      <c r="S139" s="1">
        <f t="shared" si="30"/>
        <v>74.234532528641566</v>
      </c>
    </row>
    <row r="140" spans="1:19" x14ac:dyDescent="0.3">
      <c r="A140">
        <v>4071</v>
      </c>
      <c r="B140">
        <v>85.091218999999995</v>
      </c>
      <c r="C140">
        <v>85.927341999999996</v>
      </c>
      <c r="D140">
        <v>86.766531999999998</v>
      </c>
      <c r="E140">
        <v>74.365446000000006</v>
      </c>
      <c r="F140">
        <v>59.951073000000001</v>
      </c>
      <c r="G140">
        <v>39.971902</v>
      </c>
      <c r="H140">
        <v>40.392029999999998</v>
      </c>
      <c r="I140" t="s">
        <v>60</v>
      </c>
      <c r="N140"/>
      <c r="O140"/>
      <c r="P140" s="1">
        <f t="shared" si="27"/>
        <v>82.072154471544721</v>
      </c>
      <c r="Q140" s="1">
        <f t="shared" si="28"/>
        <v>82.658991869918708</v>
      </c>
      <c r="R140" s="1">
        <f t="shared" si="29"/>
        <v>83.622406444376466</v>
      </c>
      <c r="S140" s="1">
        <f t="shared" si="30"/>
        <v>74.220402004909985</v>
      </c>
    </row>
    <row r="141" spans="1:19" x14ac:dyDescent="0.3">
      <c r="A141">
        <v>4071.2</v>
      </c>
      <c r="B141">
        <v>85.091218999999995</v>
      </c>
      <c r="C141">
        <v>85.927341999999996</v>
      </c>
      <c r="D141">
        <v>86.766531999999998</v>
      </c>
      <c r="E141">
        <v>74.365446000000006</v>
      </c>
      <c r="F141">
        <v>59.951073000000001</v>
      </c>
      <c r="G141">
        <v>39.970711000000001</v>
      </c>
      <c r="H141">
        <v>40.408535999999998</v>
      </c>
      <c r="I141"/>
      <c r="N141"/>
      <c r="O141"/>
      <c r="P141" s="1">
        <f t="shared" si="27"/>
        <v>82.072154471544721</v>
      </c>
      <c r="Q141" s="1">
        <f t="shared" si="28"/>
        <v>82.658991869918708</v>
      </c>
      <c r="R141" s="1">
        <f t="shared" si="29"/>
        <v>83.622406444376466</v>
      </c>
      <c r="S141" s="1">
        <f t="shared" si="30"/>
        <v>74.220402004909985</v>
      </c>
    </row>
    <row r="142" spans="1:19" x14ac:dyDescent="0.3">
      <c r="A142">
        <v>4071.4</v>
      </c>
      <c r="B142">
        <v>85.066727999999998</v>
      </c>
      <c r="C142">
        <v>85.912295</v>
      </c>
      <c r="D142">
        <v>86.769797999999994</v>
      </c>
      <c r="E142">
        <v>74.357273000000006</v>
      </c>
      <c r="F142">
        <v>60.290799</v>
      </c>
      <c r="G142">
        <v>39.970711000000001</v>
      </c>
      <c r="H142">
        <v>40.408535999999998</v>
      </c>
      <c r="I142"/>
      <c r="N142"/>
      <c r="O142"/>
      <c r="P142" s="1">
        <f t="shared" si="27"/>
        <v>82.061637195121961</v>
      </c>
      <c r="Q142" s="1">
        <f t="shared" si="28"/>
        <v>82.673261178861807</v>
      </c>
      <c r="R142" s="1">
        <f t="shared" si="29"/>
        <v>83.620826960334455</v>
      </c>
      <c r="S142" s="1">
        <f t="shared" si="30"/>
        <v>74.195450081833059</v>
      </c>
    </row>
    <row r="143" spans="1:19" x14ac:dyDescent="0.3">
      <c r="A143">
        <v>4071.6</v>
      </c>
      <c r="B143">
        <v>85.066727999999998</v>
      </c>
      <c r="C143">
        <v>85.912295</v>
      </c>
      <c r="D143">
        <v>86.769797999999994</v>
      </c>
      <c r="E143">
        <v>74.357273000000006</v>
      </c>
      <c r="F143">
        <v>60.290799</v>
      </c>
      <c r="G143">
        <v>39.968718000000003</v>
      </c>
      <c r="H143">
        <v>40.390244000000003</v>
      </c>
      <c r="I143"/>
      <c r="N143"/>
      <c r="O143"/>
      <c r="P143" s="1">
        <f t="shared" si="27"/>
        <v>87.228083333333345</v>
      </c>
      <c r="Q143" s="1">
        <f t="shared" si="28"/>
        <v>88.105744918699202</v>
      </c>
      <c r="R143" s="1">
        <f t="shared" si="29"/>
        <v>89.305928418476597</v>
      </c>
      <c r="S143" s="1">
        <f t="shared" si="30"/>
        <v>77.041495499181664</v>
      </c>
    </row>
    <row r="144" spans="1:19" x14ac:dyDescent="0.3">
      <c r="A144">
        <v>4071.8</v>
      </c>
      <c r="B144">
        <v>85.101079999999996</v>
      </c>
      <c r="C144">
        <v>85.930212999999995</v>
      </c>
      <c r="D144">
        <v>86.760383000000004</v>
      </c>
      <c r="E144">
        <v>74.349248000000003</v>
      </c>
      <c r="F144">
        <v>60.352739999999997</v>
      </c>
      <c r="G144">
        <v>39.968718000000003</v>
      </c>
      <c r="H144">
        <v>40.390244000000003</v>
      </c>
      <c r="I144"/>
      <c r="N144"/>
      <c r="O144"/>
      <c r="P144" s="1">
        <f t="shared" si="27"/>
        <v>87.237170731707309</v>
      </c>
      <c r="Q144" s="1">
        <f t="shared" si="28"/>
        <v>88.095995934959348</v>
      </c>
      <c r="R144" s="1">
        <f t="shared" si="29"/>
        <v>89.281737534414191</v>
      </c>
      <c r="S144" s="1">
        <f t="shared" si="30"/>
        <v>77.051486292962352</v>
      </c>
    </row>
    <row r="145" spans="1:19" x14ac:dyDescent="0.3">
      <c r="A145">
        <v>4072</v>
      </c>
      <c r="B145">
        <v>85.101079999999996</v>
      </c>
      <c r="C145">
        <v>85.930212999999995</v>
      </c>
      <c r="D145">
        <v>86.760383000000004</v>
      </c>
      <c r="E145">
        <v>74.349248000000003</v>
      </c>
      <c r="F145">
        <v>60.352739999999997</v>
      </c>
      <c r="G145">
        <v>39.971668999999999</v>
      </c>
      <c r="H145">
        <v>40.412053999999998</v>
      </c>
      <c r="I145" t="s">
        <v>60</v>
      </c>
      <c r="N145"/>
      <c r="O145"/>
      <c r="P145" s="1">
        <f t="shared" si="27"/>
        <v>87.237170731707309</v>
      </c>
      <c r="Q145" s="1">
        <f t="shared" si="28"/>
        <v>88.095995934959348</v>
      </c>
      <c r="R145" s="1">
        <f t="shared" si="29"/>
        <v>89.281737534414191</v>
      </c>
      <c r="S145" s="1">
        <f t="shared" si="30"/>
        <v>77.051486292962352</v>
      </c>
    </row>
    <row r="146" spans="1:19" x14ac:dyDescent="0.3">
      <c r="A146">
        <v>4072.2</v>
      </c>
      <c r="B146">
        <v>85.082716000000005</v>
      </c>
      <c r="C146">
        <v>85.941901999999999</v>
      </c>
      <c r="D146">
        <v>86.767508000000007</v>
      </c>
      <c r="E146">
        <v>74.360146</v>
      </c>
      <c r="F146">
        <v>60.298572</v>
      </c>
      <c r="G146">
        <v>39.971668999999999</v>
      </c>
      <c r="H146">
        <v>40.412053999999998</v>
      </c>
      <c r="I146"/>
      <c r="N146"/>
      <c r="O146"/>
      <c r="P146" s="1">
        <f t="shared" si="27"/>
        <v>87.259192073170738</v>
      </c>
      <c r="Q146" s="1">
        <f t="shared" si="28"/>
        <v>88.109103658536597</v>
      </c>
      <c r="R146" s="1">
        <f t="shared" si="29"/>
        <v>89.284949525848887</v>
      </c>
      <c r="S146" s="1">
        <f t="shared" si="30"/>
        <v>77.009098813420607</v>
      </c>
    </row>
    <row r="147" spans="1:19" x14ac:dyDescent="0.3">
      <c r="A147">
        <v>4072.4</v>
      </c>
      <c r="B147">
        <v>85.082716000000005</v>
      </c>
      <c r="C147">
        <v>85.941901999999999</v>
      </c>
      <c r="D147">
        <v>86.767508000000007</v>
      </c>
      <c r="E147">
        <v>74.360146</v>
      </c>
      <c r="F147">
        <v>60.298572</v>
      </c>
      <c r="G147">
        <v>39.951234999999997</v>
      </c>
      <c r="H147">
        <v>40.398147999999999</v>
      </c>
      <c r="I147"/>
      <c r="N147"/>
      <c r="O147"/>
      <c r="P147" s="1">
        <f t="shared" si="27"/>
        <v>87.259192073170738</v>
      </c>
      <c r="Q147" s="1">
        <f t="shared" si="28"/>
        <v>88.109103658536597</v>
      </c>
      <c r="R147" s="1">
        <f t="shared" si="29"/>
        <v>89.284949525848887</v>
      </c>
      <c r="S147" s="1">
        <f t="shared" si="30"/>
        <v>77.009098813420607</v>
      </c>
    </row>
    <row r="148" spans="1:19" x14ac:dyDescent="0.3">
      <c r="A148">
        <v>4072.6</v>
      </c>
      <c r="B148">
        <v>85.086264999999997</v>
      </c>
      <c r="C148">
        <v>85.924187000000003</v>
      </c>
      <c r="D148">
        <v>86.757991000000004</v>
      </c>
      <c r="E148">
        <v>74.403537</v>
      </c>
      <c r="F148">
        <v>60.232784000000002</v>
      </c>
      <c r="G148">
        <v>39.951234999999997</v>
      </c>
      <c r="H148">
        <v>40.398147999999999</v>
      </c>
      <c r="I148"/>
      <c r="N148"/>
      <c r="O148"/>
      <c r="P148" s="1">
        <f t="shared" si="27"/>
        <v>87.288993902439032</v>
      </c>
      <c r="Q148" s="1">
        <f t="shared" si="28"/>
        <v>88.121040650406513</v>
      </c>
      <c r="R148" s="1">
        <f t="shared" si="29"/>
        <v>89.302830631181806</v>
      </c>
      <c r="S148" s="1">
        <f t="shared" si="30"/>
        <v>77.026946603927982</v>
      </c>
    </row>
    <row r="149" spans="1:19" x14ac:dyDescent="0.3">
      <c r="A149">
        <v>4072.8</v>
      </c>
      <c r="B149">
        <v>85.086264999999997</v>
      </c>
      <c r="C149">
        <v>85.924187000000003</v>
      </c>
      <c r="D149">
        <v>86.757991000000004</v>
      </c>
      <c r="E149">
        <v>74.403537</v>
      </c>
      <c r="F149">
        <v>60.232784000000002</v>
      </c>
      <c r="G149">
        <v>39.969223</v>
      </c>
      <c r="H149">
        <v>40.379106999999998</v>
      </c>
      <c r="I149"/>
      <c r="N149"/>
      <c r="O149"/>
      <c r="P149" s="1">
        <f t="shared" si="27"/>
        <v>87.288993902439032</v>
      </c>
      <c r="Q149" s="1">
        <f t="shared" si="28"/>
        <v>88.121040650406513</v>
      </c>
      <c r="R149" s="1">
        <f t="shared" si="29"/>
        <v>89.302830631181806</v>
      </c>
      <c r="S149" s="1">
        <f t="shared" si="30"/>
        <v>77.026946603927982</v>
      </c>
    </row>
    <row r="150" spans="1:19" x14ac:dyDescent="0.3">
      <c r="A150">
        <v>4073</v>
      </c>
      <c r="B150">
        <v>85.081136000000001</v>
      </c>
      <c r="C150">
        <v>85.912481999999997</v>
      </c>
      <c r="D150">
        <v>86.743871999999996</v>
      </c>
      <c r="E150">
        <v>74.430925999999999</v>
      </c>
      <c r="F150">
        <v>60.342241999999999</v>
      </c>
      <c r="G150">
        <v>39.969223</v>
      </c>
      <c r="H150">
        <v>40.379106999999998</v>
      </c>
      <c r="I150" t="s">
        <v>60</v>
      </c>
      <c r="N150"/>
      <c r="O150"/>
      <c r="P150" s="1">
        <f t="shared" si="27"/>
        <v>87.25847967479676</v>
      </c>
      <c r="Q150" s="1">
        <f t="shared" si="28"/>
        <v>88.117589430894313</v>
      </c>
      <c r="R150" s="1">
        <f t="shared" si="29"/>
        <v>89.270006118078925</v>
      </c>
      <c r="S150" s="1">
        <f t="shared" si="30"/>
        <v>77.05650163666121</v>
      </c>
    </row>
    <row r="151" spans="1:19" x14ac:dyDescent="0.3">
      <c r="A151">
        <v>4073.2</v>
      </c>
      <c r="B151">
        <v>85.081136000000001</v>
      </c>
      <c r="C151">
        <v>85.912481999999997</v>
      </c>
      <c r="D151">
        <v>86.743871999999996</v>
      </c>
      <c r="E151">
        <v>74.430925999999999</v>
      </c>
      <c r="F151">
        <v>60.342241999999999</v>
      </c>
      <c r="G151">
        <v>39.966180999999999</v>
      </c>
      <c r="H151">
        <v>40.398885</v>
      </c>
      <c r="I151"/>
      <c r="N151"/>
      <c r="O151"/>
      <c r="P151" s="1">
        <f t="shared" si="27"/>
        <v>87.25847967479676</v>
      </c>
      <c r="Q151" s="1">
        <f t="shared" si="28"/>
        <v>88.117589430894313</v>
      </c>
      <c r="R151" s="1">
        <f t="shared" si="29"/>
        <v>89.270006118078925</v>
      </c>
      <c r="S151" s="1">
        <f t="shared" si="30"/>
        <v>77.05650163666121</v>
      </c>
    </row>
    <row r="152" spans="1:19" x14ac:dyDescent="0.3">
      <c r="A152">
        <v>4073.4</v>
      </c>
      <c r="B152">
        <v>85.082705000000004</v>
      </c>
      <c r="C152">
        <v>85.933290999999997</v>
      </c>
      <c r="D152">
        <v>86.771773999999994</v>
      </c>
      <c r="E152">
        <v>74.425763000000003</v>
      </c>
      <c r="F152">
        <v>59.904761000000001</v>
      </c>
      <c r="G152">
        <v>39.966180999999999</v>
      </c>
      <c r="H152">
        <v>40.398885</v>
      </c>
      <c r="I152"/>
      <c r="N152"/>
      <c r="O152"/>
      <c r="P152" s="1">
        <f t="shared" si="27"/>
        <v>87.270194105691061</v>
      </c>
      <c r="Q152" s="1">
        <f t="shared" si="28"/>
        <v>88.124963414634152</v>
      </c>
      <c r="R152" s="1">
        <f t="shared" si="29"/>
        <v>89.286316916488218</v>
      </c>
      <c r="S152" s="1">
        <f t="shared" si="30"/>
        <v>77.059952945990176</v>
      </c>
    </row>
    <row r="153" spans="1:19" x14ac:dyDescent="0.3">
      <c r="A153">
        <v>4073.6</v>
      </c>
      <c r="B153">
        <v>85.082705000000004</v>
      </c>
      <c r="C153">
        <v>85.933290999999997</v>
      </c>
      <c r="D153">
        <v>86.771773999999994</v>
      </c>
      <c r="E153">
        <v>74.425763000000003</v>
      </c>
      <c r="F153">
        <v>59.904761000000001</v>
      </c>
      <c r="G153">
        <v>39.963115999999999</v>
      </c>
      <c r="H153">
        <v>40.368112000000004</v>
      </c>
      <c r="I153"/>
      <c r="N153"/>
      <c r="O153"/>
      <c r="P153" s="1">
        <f t="shared" si="27"/>
        <v>87.270194105691061</v>
      </c>
      <c r="Q153" s="1">
        <f t="shared" si="28"/>
        <v>88.124963414634152</v>
      </c>
      <c r="R153" s="1">
        <f t="shared" si="29"/>
        <v>89.286316916488218</v>
      </c>
      <c r="S153" s="1">
        <f t="shared" si="30"/>
        <v>77.059952945990176</v>
      </c>
    </row>
    <row r="154" spans="1:19" x14ac:dyDescent="0.3">
      <c r="A154">
        <v>4073.8</v>
      </c>
      <c r="B154">
        <v>85.064380999999997</v>
      </c>
      <c r="C154">
        <v>85.936873000000006</v>
      </c>
      <c r="D154">
        <v>86.755527000000001</v>
      </c>
      <c r="E154">
        <v>74.430650999999997</v>
      </c>
      <c r="F154">
        <v>59.779268999999999</v>
      </c>
      <c r="G154">
        <v>39.963115999999999</v>
      </c>
      <c r="H154">
        <v>40.368112000000004</v>
      </c>
      <c r="I154"/>
      <c r="N154"/>
      <c r="O154"/>
      <c r="P154" s="1">
        <f t="shared" si="27"/>
        <v>87.290776422764239</v>
      </c>
      <c r="Q154" s="1">
        <f t="shared" si="28"/>
        <v>88.123057926829276</v>
      </c>
      <c r="R154" s="1">
        <f t="shared" si="29"/>
        <v>89.26628224737432</v>
      </c>
      <c r="S154" s="1">
        <f t="shared" si="30"/>
        <v>77.064699263502447</v>
      </c>
    </row>
    <row r="155" spans="1:19" x14ac:dyDescent="0.3">
      <c r="A155">
        <v>4074</v>
      </c>
      <c r="B155">
        <v>85.064380999999997</v>
      </c>
      <c r="C155">
        <v>85.936873000000006</v>
      </c>
      <c r="D155">
        <v>86.755527000000001</v>
      </c>
      <c r="E155">
        <v>74.430650999999997</v>
      </c>
      <c r="F155">
        <v>59.779268999999999</v>
      </c>
      <c r="G155">
        <v>39.949075000000001</v>
      </c>
      <c r="H155">
        <v>40.384811999999997</v>
      </c>
      <c r="I155" t="s">
        <v>60</v>
      </c>
      <c r="N155"/>
      <c r="O155"/>
      <c r="P155" s="1">
        <f t="shared" si="27"/>
        <v>87.290776422764239</v>
      </c>
      <c r="Q155" s="1">
        <f t="shared" si="28"/>
        <v>88.123057926829276</v>
      </c>
      <c r="R155" s="1">
        <f t="shared" si="29"/>
        <v>89.26628224737432</v>
      </c>
      <c r="S155" s="1">
        <f t="shared" si="30"/>
        <v>77.064699263502447</v>
      </c>
    </row>
    <row r="156" spans="1:19" x14ac:dyDescent="0.3">
      <c r="A156">
        <v>4074.2</v>
      </c>
      <c r="B156">
        <v>85.102620000000002</v>
      </c>
      <c r="C156">
        <v>85.941034999999999</v>
      </c>
      <c r="D156">
        <v>86.758542000000006</v>
      </c>
      <c r="E156">
        <v>74.410803999999999</v>
      </c>
      <c r="F156">
        <v>59.708939999999998</v>
      </c>
      <c r="G156">
        <v>39.949075000000001</v>
      </c>
      <c r="H156">
        <v>40.384811999999997</v>
      </c>
      <c r="I156"/>
      <c r="N156"/>
      <c r="O156"/>
      <c r="P156" s="1">
        <f t="shared" si="27"/>
        <v>87.286608739837405</v>
      </c>
      <c r="Q156" s="1">
        <f t="shared" si="28"/>
        <v>88.095650406504063</v>
      </c>
      <c r="R156" s="1">
        <f t="shared" si="29"/>
        <v>89.274277556847139</v>
      </c>
      <c r="S156" s="1">
        <f t="shared" si="30"/>
        <v>77.031667348608835</v>
      </c>
    </row>
    <row r="157" spans="1:19" x14ac:dyDescent="0.3">
      <c r="A157">
        <v>4074.4</v>
      </c>
      <c r="B157">
        <v>85.102620000000002</v>
      </c>
      <c r="C157">
        <v>85.941034999999999</v>
      </c>
      <c r="D157">
        <v>86.758542000000006</v>
      </c>
      <c r="E157">
        <v>74.410803999999999</v>
      </c>
      <c r="F157">
        <v>59.708939999999998</v>
      </c>
      <c r="G157">
        <v>39.966751000000002</v>
      </c>
      <c r="H157">
        <v>40.413424999999997</v>
      </c>
      <c r="I157"/>
      <c r="N157"/>
      <c r="O157"/>
      <c r="P157" s="1">
        <f t="shared" si="27"/>
        <v>87.286608739837405</v>
      </c>
      <c r="Q157" s="1">
        <f t="shared" si="28"/>
        <v>88.095650406504063</v>
      </c>
      <c r="R157" s="1">
        <f t="shared" si="29"/>
        <v>89.274277556847139</v>
      </c>
      <c r="S157" s="1">
        <f t="shared" si="30"/>
        <v>77.031667348608835</v>
      </c>
    </row>
    <row r="158" spans="1:19" x14ac:dyDescent="0.3">
      <c r="A158">
        <v>4074.6</v>
      </c>
      <c r="B158">
        <v>85.080020000000005</v>
      </c>
      <c r="C158">
        <v>85.932862</v>
      </c>
      <c r="D158">
        <v>86.768421000000004</v>
      </c>
      <c r="E158">
        <v>74.404284000000004</v>
      </c>
      <c r="F158">
        <v>59.506897000000002</v>
      </c>
      <c r="G158">
        <v>39.966751000000002</v>
      </c>
      <c r="H158">
        <v>40.413424999999997</v>
      </c>
      <c r="I158"/>
      <c r="N158"/>
      <c r="O158"/>
      <c r="P158" s="1">
        <f t="shared" si="27"/>
        <v>87.274104674796746</v>
      </c>
      <c r="Q158" s="1">
        <f t="shared" si="28"/>
        <v>88.123823170731711</v>
      </c>
      <c r="R158" s="1">
        <f t="shared" si="29"/>
        <v>89.300328336902211</v>
      </c>
      <c r="S158" s="1">
        <f t="shared" si="30"/>
        <v>77.014367839607203</v>
      </c>
    </row>
    <row r="159" spans="1:19" x14ac:dyDescent="0.3">
      <c r="A159">
        <v>4074.8</v>
      </c>
      <c r="B159">
        <v>85.080020000000005</v>
      </c>
      <c r="C159">
        <v>85.932862</v>
      </c>
      <c r="D159">
        <v>86.768421000000004</v>
      </c>
      <c r="E159">
        <v>74.404284000000004</v>
      </c>
      <c r="F159">
        <v>59.506897000000002</v>
      </c>
      <c r="G159">
        <v>39.971564999999998</v>
      </c>
      <c r="H159">
        <v>40.400075000000001</v>
      </c>
      <c r="I159"/>
      <c r="N159"/>
      <c r="O159"/>
      <c r="P159" s="1">
        <f t="shared" si="27"/>
        <v>87.274104674796746</v>
      </c>
      <c r="Q159" s="1">
        <f t="shared" si="28"/>
        <v>88.123823170731711</v>
      </c>
      <c r="R159" s="1">
        <f t="shared" si="29"/>
        <v>89.300328336902211</v>
      </c>
      <c r="S159" s="1">
        <f t="shared" si="30"/>
        <v>77.014367839607203</v>
      </c>
    </row>
    <row r="160" spans="1:19" x14ac:dyDescent="0.3">
      <c r="A160">
        <v>4075</v>
      </c>
      <c r="B160">
        <v>85.102718999999993</v>
      </c>
      <c r="C160">
        <v>85.938418999999996</v>
      </c>
      <c r="D160">
        <v>86.766970000000001</v>
      </c>
      <c r="E160">
        <v>74.400375999999994</v>
      </c>
      <c r="F160">
        <v>59.565894999999998</v>
      </c>
      <c r="G160">
        <v>39.971564999999998</v>
      </c>
      <c r="H160">
        <v>40.400075000000001</v>
      </c>
      <c r="I160" t="s">
        <v>60</v>
      </c>
      <c r="N160"/>
      <c r="O160"/>
      <c r="P160" s="1">
        <f t="shared" si="27"/>
        <v>87.249215447154469</v>
      </c>
      <c r="Q160" s="1">
        <f t="shared" si="28"/>
        <v>88.108531504065041</v>
      </c>
      <c r="R160" s="1">
        <f t="shared" si="29"/>
        <v>89.30365861119607</v>
      </c>
      <c r="S160" s="1">
        <f t="shared" si="30"/>
        <v>77.006007569558108</v>
      </c>
    </row>
    <row r="161" spans="1:19" x14ac:dyDescent="0.3">
      <c r="A161">
        <v>4075.2</v>
      </c>
      <c r="B161">
        <v>85.102718999999993</v>
      </c>
      <c r="C161">
        <v>85.938418999999996</v>
      </c>
      <c r="D161">
        <v>86.766970000000001</v>
      </c>
      <c r="E161">
        <v>74.400375999999994</v>
      </c>
      <c r="F161">
        <v>59.565894999999998</v>
      </c>
      <c r="G161">
        <v>39.968316000000002</v>
      </c>
      <c r="H161">
        <v>40.392403999999999</v>
      </c>
      <c r="I161"/>
      <c r="N161"/>
      <c r="O161"/>
      <c r="P161" s="1">
        <f t="shared" si="27"/>
        <v>87.249215447154469</v>
      </c>
      <c r="Q161" s="1">
        <f t="shared" si="28"/>
        <v>88.108531504065041</v>
      </c>
      <c r="R161" s="1">
        <f t="shared" si="29"/>
        <v>89.30365861119607</v>
      </c>
      <c r="S161" s="1">
        <f t="shared" si="30"/>
        <v>77.006007569558108</v>
      </c>
    </row>
    <row r="162" spans="1:19" x14ac:dyDescent="0.3">
      <c r="A162">
        <v>4075.4</v>
      </c>
      <c r="B162">
        <v>85.089027000000002</v>
      </c>
      <c r="C162">
        <v>85.94144</v>
      </c>
      <c r="D162">
        <v>86.769524000000004</v>
      </c>
      <c r="E162">
        <v>74.421284</v>
      </c>
      <c r="F162">
        <v>59.441245000000002</v>
      </c>
      <c r="G162">
        <v>39.968316000000002</v>
      </c>
      <c r="H162">
        <v>40.392403999999999</v>
      </c>
      <c r="I162"/>
      <c r="N162"/>
      <c r="O162"/>
      <c r="P162" s="1">
        <f t="shared" si="27"/>
        <v>87.28412601626016</v>
      </c>
      <c r="Q162" s="1">
        <f t="shared" si="28"/>
        <v>88.126740853658532</v>
      </c>
      <c r="R162" s="1">
        <f t="shared" si="29"/>
        <v>89.294058325685739</v>
      </c>
      <c r="S162" s="1">
        <f t="shared" si="30"/>
        <v>76.997798690671033</v>
      </c>
    </row>
    <row r="163" spans="1:19" x14ac:dyDescent="0.3">
      <c r="A163">
        <v>4075.6</v>
      </c>
      <c r="B163">
        <v>85.089027000000002</v>
      </c>
      <c r="C163">
        <v>85.94144</v>
      </c>
      <c r="D163">
        <v>86.769524000000004</v>
      </c>
      <c r="E163">
        <v>74.421284</v>
      </c>
      <c r="F163">
        <v>59.441245000000002</v>
      </c>
      <c r="G163">
        <v>39.962505999999998</v>
      </c>
      <c r="H163">
        <v>40.391717999999997</v>
      </c>
      <c r="I163"/>
      <c r="N163"/>
      <c r="O163"/>
      <c r="P163" s="1">
        <f t="shared" si="27"/>
        <v>87.28412601626016</v>
      </c>
      <c r="Q163" s="1">
        <f t="shared" si="28"/>
        <v>88.126740853658532</v>
      </c>
      <c r="R163" s="1">
        <f t="shared" si="29"/>
        <v>89.294058325685739</v>
      </c>
      <c r="S163" s="1">
        <f t="shared" si="30"/>
        <v>76.997798690671033</v>
      </c>
    </row>
    <row r="164" spans="1:19" x14ac:dyDescent="0.3">
      <c r="A164">
        <v>4075.8</v>
      </c>
      <c r="B164">
        <v>85.113771</v>
      </c>
      <c r="C164">
        <v>85.940672000000006</v>
      </c>
      <c r="D164">
        <v>86.750302000000005</v>
      </c>
      <c r="E164">
        <v>74.408877000000004</v>
      </c>
      <c r="F164">
        <v>59.424703000000001</v>
      </c>
      <c r="G164">
        <v>39.962505999999998</v>
      </c>
      <c r="H164">
        <v>40.391717999999997</v>
      </c>
      <c r="I164"/>
      <c r="N164"/>
      <c r="O164"/>
      <c r="P164" s="1">
        <f t="shared" si="27"/>
        <v>87.265463414634155</v>
      </c>
      <c r="Q164" s="1">
        <f t="shared" si="28"/>
        <v>88.138619918699192</v>
      </c>
      <c r="R164" s="1">
        <f t="shared" si="29"/>
        <v>89.301323544407055</v>
      </c>
      <c r="S164" s="1">
        <f t="shared" si="30"/>
        <v>77.008946399345334</v>
      </c>
    </row>
    <row r="165" spans="1:19" x14ac:dyDescent="0.3">
      <c r="A165">
        <v>4076</v>
      </c>
      <c r="B165">
        <v>85.113771</v>
      </c>
      <c r="C165">
        <v>85.940672000000006</v>
      </c>
      <c r="D165">
        <v>86.750302000000005</v>
      </c>
      <c r="E165">
        <v>74.408877000000004</v>
      </c>
      <c r="F165">
        <v>59.424703000000001</v>
      </c>
      <c r="G165">
        <v>39.949745999999998</v>
      </c>
      <c r="H165">
        <v>40.399920000000002</v>
      </c>
      <c r="I165" t="s">
        <v>60</v>
      </c>
      <c r="N165"/>
      <c r="O165"/>
      <c r="P165" s="1">
        <f t="shared" si="27"/>
        <v>87.265463414634155</v>
      </c>
      <c r="Q165" s="1">
        <f t="shared" si="28"/>
        <v>88.138619918699192</v>
      </c>
      <c r="R165" s="1">
        <f t="shared" si="29"/>
        <v>89.301323544407055</v>
      </c>
      <c r="S165" s="1">
        <f t="shared" si="30"/>
        <v>77.008946399345334</v>
      </c>
    </row>
    <row r="166" spans="1:19" x14ac:dyDescent="0.3">
      <c r="A166">
        <v>4076.2</v>
      </c>
      <c r="B166">
        <v>85.096474999999998</v>
      </c>
      <c r="C166">
        <v>85.945738000000006</v>
      </c>
      <c r="D166">
        <v>86.777175999999997</v>
      </c>
      <c r="E166">
        <v>74.440098000000006</v>
      </c>
      <c r="F166">
        <v>59.704937999999999</v>
      </c>
      <c r="G166">
        <v>39.949745999999998</v>
      </c>
      <c r="H166">
        <v>40.399920000000002</v>
      </c>
      <c r="I166"/>
      <c r="N166"/>
      <c r="O166"/>
      <c r="P166" s="1">
        <f t="shared" si="27"/>
        <v>87.269070121951216</v>
      </c>
      <c r="Q166" s="1">
        <f t="shared" si="28"/>
        <v>88.120616869918706</v>
      </c>
      <c r="R166" s="1">
        <f t="shared" si="29"/>
        <v>89.291619251555019</v>
      </c>
      <c r="S166" s="1">
        <f t="shared" si="30"/>
        <v>77.053331628477906</v>
      </c>
    </row>
    <row r="167" spans="1:19" x14ac:dyDescent="0.3">
      <c r="A167">
        <v>4076.4</v>
      </c>
      <c r="B167">
        <v>85.096474999999998</v>
      </c>
      <c r="C167">
        <v>85.945738000000006</v>
      </c>
      <c r="D167">
        <v>86.777175999999997</v>
      </c>
      <c r="E167">
        <v>74.440098000000006</v>
      </c>
      <c r="F167">
        <v>59.704937999999999</v>
      </c>
      <c r="G167">
        <v>39.965235999999997</v>
      </c>
      <c r="H167">
        <v>40.391421000000001</v>
      </c>
      <c r="I167"/>
      <c r="N167"/>
      <c r="O167"/>
      <c r="P167" s="1">
        <f t="shared" si="27"/>
        <v>87.269070121951216</v>
      </c>
      <c r="Q167" s="1">
        <f t="shared" si="28"/>
        <v>88.120616869918706</v>
      </c>
      <c r="R167" s="1">
        <f t="shared" si="29"/>
        <v>89.291619251555019</v>
      </c>
      <c r="S167" s="1">
        <f t="shared" si="30"/>
        <v>77.053331628477906</v>
      </c>
    </row>
    <row r="168" spans="1:19" x14ac:dyDescent="0.3">
      <c r="A168">
        <v>4076.6</v>
      </c>
      <c r="B168">
        <v>85.107398000000003</v>
      </c>
      <c r="C168">
        <v>85.936773000000002</v>
      </c>
      <c r="D168">
        <v>86.778163000000006</v>
      </c>
      <c r="E168">
        <v>74.441079999999999</v>
      </c>
      <c r="F168">
        <v>59.784277000000003</v>
      </c>
      <c r="G168">
        <v>39.965235999999997</v>
      </c>
      <c r="H168">
        <v>40.391421000000001</v>
      </c>
      <c r="I168"/>
      <c r="N168"/>
      <c r="O168"/>
      <c r="P168" s="1">
        <f t="shared" si="27"/>
        <v>87.263857723577246</v>
      </c>
      <c r="Q168" s="1">
        <f t="shared" si="28"/>
        <v>88.108721544715451</v>
      </c>
      <c r="R168" s="1">
        <f t="shared" si="29"/>
        <v>89.277222392168852</v>
      </c>
      <c r="S168" s="1">
        <f t="shared" si="30"/>
        <v>77.081348199672661</v>
      </c>
    </row>
    <row r="169" spans="1:19" x14ac:dyDescent="0.3">
      <c r="A169">
        <v>4076.8</v>
      </c>
      <c r="B169">
        <v>85.107398000000003</v>
      </c>
      <c r="C169">
        <v>85.936773000000002</v>
      </c>
      <c r="D169">
        <v>86.778163000000006</v>
      </c>
      <c r="E169">
        <v>74.441079999999999</v>
      </c>
      <c r="F169">
        <v>59.784277000000003</v>
      </c>
      <c r="G169">
        <v>39.974023000000003</v>
      </c>
      <c r="H169">
        <v>40.369467999999998</v>
      </c>
      <c r="I169"/>
      <c r="N169"/>
      <c r="O169"/>
      <c r="P169" s="1">
        <f t="shared" si="27"/>
        <v>87.263857723577246</v>
      </c>
      <c r="Q169" s="1">
        <f t="shared" si="28"/>
        <v>88.108721544715451</v>
      </c>
      <c r="R169" s="1">
        <f t="shared" si="29"/>
        <v>89.277222392168852</v>
      </c>
      <c r="S169" s="1">
        <f t="shared" si="30"/>
        <v>77.081348199672661</v>
      </c>
    </row>
    <row r="170" spans="1:19" x14ac:dyDescent="0.3">
      <c r="A170">
        <v>4077</v>
      </c>
      <c r="B170">
        <v>85.125192999999996</v>
      </c>
      <c r="C170">
        <v>85.936959999999999</v>
      </c>
      <c r="D170">
        <v>86.773397000000003</v>
      </c>
      <c r="E170">
        <v>74.423569999999998</v>
      </c>
      <c r="F170">
        <v>59.781956000000001</v>
      </c>
      <c r="G170">
        <v>39.974023000000003</v>
      </c>
      <c r="H170">
        <v>40.369467999999998</v>
      </c>
      <c r="I170" t="s">
        <v>60</v>
      </c>
      <c r="N170"/>
      <c r="O170"/>
      <c r="P170" s="1">
        <f t="shared" si="27"/>
        <v>87.265452235772372</v>
      </c>
      <c r="Q170" s="1">
        <f t="shared" si="28"/>
        <v>88.129868902439028</v>
      </c>
      <c r="R170" s="1">
        <f t="shared" si="29"/>
        <v>89.305673498521458</v>
      </c>
      <c r="S170" s="1">
        <f t="shared" si="30"/>
        <v>77.076066898527003</v>
      </c>
    </row>
    <row r="171" spans="1:19" x14ac:dyDescent="0.3">
      <c r="A171">
        <v>4077.2</v>
      </c>
      <c r="B171">
        <v>85.125192999999996</v>
      </c>
      <c r="C171">
        <v>85.936959999999999</v>
      </c>
      <c r="D171">
        <v>86.773397000000003</v>
      </c>
      <c r="E171">
        <v>74.423569999999998</v>
      </c>
      <c r="F171">
        <v>59.781956000000001</v>
      </c>
      <c r="G171">
        <v>39.954016000000003</v>
      </c>
      <c r="H171">
        <v>40.400461999999997</v>
      </c>
      <c r="I171"/>
      <c r="N171"/>
      <c r="O171"/>
      <c r="P171" s="1">
        <f t="shared" si="27"/>
        <v>87.265452235772372</v>
      </c>
      <c r="Q171" s="1">
        <f t="shared" si="28"/>
        <v>88.129868902439028</v>
      </c>
      <c r="R171" s="1">
        <f t="shared" si="29"/>
        <v>89.305673498521458</v>
      </c>
      <c r="S171" s="1">
        <f t="shared" si="30"/>
        <v>77.076066898527003</v>
      </c>
    </row>
    <row r="172" spans="1:19" x14ac:dyDescent="0.3">
      <c r="A172">
        <v>4077.4</v>
      </c>
      <c r="B172">
        <v>85.115134999999995</v>
      </c>
      <c r="C172">
        <v>85.946793</v>
      </c>
      <c r="D172">
        <v>86.760666999999998</v>
      </c>
      <c r="E172">
        <v>74.452341000000004</v>
      </c>
      <c r="F172">
        <v>59.652335000000001</v>
      </c>
      <c r="G172">
        <v>39.954016000000003</v>
      </c>
      <c r="H172">
        <v>40.400461999999997</v>
      </c>
      <c r="I172"/>
      <c r="N172"/>
      <c r="O172"/>
      <c r="P172" s="1">
        <f t="shared" ref="P172:P235" si="31">(B154+Q$36)/P$36</f>
        <v>87.246830284552843</v>
      </c>
      <c r="Q172" s="1">
        <f t="shared" ref="Q172:Q235" si="32">(C154+Q$36)/P$36</f>
        <v>88.133509146341481</v>
      </c>
      <c r="R172" s="1">
        <f t="shared" ref="R172:R235" si="33">(D154+Q$38)/P$38</f>
        <v>89.28910676047721</v>
      </c>
      <c r="S172" s="1">
        <f t="shared" ref="S172:S235" si="34">(E154+Q$39)/P$39</f>
        <v>77.081066898526998</v>
      </c>
    </row>
    <row r="173" spans="1:19" x14ac:dyDescent="0.3">
      <c r="A173">
        <v>4077.6</v>
      </c>
      <c r="B173">
        <v>85.115134999999995</v>
      </c>
      <c r="C173">
        <v>85.946793</v>
      </c>
      <c r="D173">
        <v>86.760666999999998</v>
      </c>
      <c r="E173">
        <v>74.452341000000004</v>
      </c>
      <c r="F173">
        <v>59.652335000000001</v>
      </c>
      <c r="G173">
        <v>39.966323000000003</v>
      </c>
      <c r="H173">
        <v>40.377605000000003</v>
      </c>
      <c r="I173"/>
      <c r="N173"/>
      <c r="O173"/>
      <c r="P173" s="1">
        <f t="shared" si="31"/>
        <v>87.246830284552843</v>
      </c>
      <c r="Q173" s="1">
        <f t="shared" si="32"/>
        <v>88.133509146341481</v>
      </c>
      <c r="R173" s="1">
        <f t="shared" si="33"/>
        <v>89.28910676047721</v>
      </c>
      <c r="S173" s="1">
        <f t="shared" si="34"/>
        <v>77.081066898526998</v>
      </c>
    </row>
    <row r="174" spans="1:19" x14ac:dyDescent="0.3">
      <c r="A174">
        <v>4077.8</v>
      </c>
      <c r="B174">
        <v>85.107534999999999</v>
      </c>
      <c r="C174">
        <v>85.943473999999995</v>
      </c>
      <c r="D174">
        <v>86.769520999999997</v>
      </c>
      <c r="E174">
        <v>74.433600999999996</v>
      </c>
      <c r="F174">
        <v>59.628959000000002</v>
      </c>
      <c r="G174">
        <v>39.966323000000003</v>
      </c>
      <c r="H174">
        <v>40.377605000000003</v>
      </c>
      <c r="I174"/>
      <c r="N174"/>
      <c r="O174"/>
      <c r="P174" s="1">
        <f t="shared" si="31"/>
        <v>87.285691056910579</v>
      </c>
      <c r="Q174" s="1">
        <f t="shared" si="32"/>
        <v>88.137738821138214</v>
      </c>
      <c r="R174" s="1">
        <f t="shared" si="33"/>
        <v>89.292181095136129</v>
      </c>
      <c r="S174" s="1">
        <f t="shared" si="34"/>
        <v>77.060765139116199</v>
      </c>
    </row>
    <row r="175" spans="1:19" x14ac:dyDescent="0.3">
      <c r="A175">
        <v>4731</v>
      </c>
      <c r="B175">
        <v>91.719672000000003</v>
      </c>
      <c r="C175">
        <v>92.870881999999995</v>
      </c>
      <c r="D175">
        <v>94.077155000000005</v>
      </c>
      <c r="E175">
        <v>77.655649999999994</v>
      </c>
      <c r="F175">
        <v>60.569001999999998</v>
      </c>
      <c r="G175">
        <v>39.976554</v>
      </c>
      <c r="H175">
        <v>40.617162</v>
      </c>
      <c r="I175" t="s">
        <v>60</v>
      </c>
      <c r="N175"/>
      <c r="O175"/>
      <c r="P175" s="1">
        <f t="shared" si="31"/>
        <v>87.285691056910579</v>
      </c>
      <c r="Q175" s="1">
        <f t="shared" si="32"/>
        <v>88.137738821138214</v>
      </c>
      <c r="R175" s="1">
        <f t="shared" si="33"/>
        <v>89.292181095136129</v>
      </c>
      <c r="S175" s="1">
        <f t="shared" si="34"/>
        <v>77.060765139116199</v>
      </c>
    </row>
    <row r="176" spans="1:19" x14ac:dyDescent="0.3">
      <c r="A176">
        <v>4731.2</v>
      </c>
      <c r="B176">
        <v>91.719672000000003</v>
      </c>
      <c r="C176">
        <v>92.870881999999995</v>
      </c>
      <c r="D176">
        <v>94.077155000000005</v>
      </c>
      <c r="E176">
        <v>77.655649999999994</v>
      </c>
      <c r="F176">
        <v>60.569001999999998</v>
      </c>
      <c r="G176">
        <v>39.994346999999998</v>
      </c>
      <c r="H176">
        <v>40.603516999999997</v>
      </c>
      <c r="I176"/>
      <c r="N176"/>
      <c r="O176"/>
      <c r="P176" s="1">
        <f t="shared" si="31"/>
        <v>87.262723577235789</v>
      </c>
      <c r="Q176" s="1">
        <f t="shared" si="32"/>
        <v>88.129432926829267</v>
      </c>
      <c r="R176" s="1">
        <f t="shared" si="33"/>
        <v>89.302254512083209</v>
      </c>
      <c r="S176" s="1">
        <f t="shared" si="34"/>
        <v>77.054095744680851</v>
      </c>
    </row>
    <row r="177" spans="1:19" x14ac:dyDescent="0.3">
      <c r="A177">
        <v>4731.3999999999996</v>
      </c>
      <c r="B177">
        <v>91.701273</v>
      </c>
      <c r="C177">
        <v>92.892808000000002</v>
      </c>
      <c r="D177">
        <v>94.073016999999993</v>
      </c>
      <c r="E177">
        <v>77.685592999999997</v>
      </c>
      <c r="F177">
        <v>60.510080000000002</v>
      </c>
      <c r="G177">
        <v>39.994346999999998</v>
      </c>
      <c r="H177">
        <v>40.603516999999997</v>
      </c>
      <c r="I177"/>
      <c r="N177"/>
      <c r="O177"/>
      <c r="P177" s="1">
        <f t="shared" si="31"/>
        <v>87.262723577235789</v>
      </c>
      <c r="Q177" s="1">
        <f t="shared" si="32"/>
        <v>88.129432926829267</v>
      </c>
      <c r="R177" s="1">
        <f t="shared" si="33"/>
        <v>89.302254512083209</v>
      </c>
      <c r="S177" s="1">
        <f t="shared" si="34"/>
        <v>77.054095744680851</v>
      </c>
    </row>
    <row r="178" spans="1:19" x14ac:dyDescent="0.3">
      <c r="A178">
        <v>4731.6000000000004</v>
      </c>
      <c r="B178">
        <v>91.701273</v>
      </c>
      <c r="C178">
        <v>92.892808000000002</v>
      </c>
      <c r="D178">
        <v>94.073016999999993</v>
      </c>
      <c r="E178">
        <v>77.685592999999997</v>
      </c>
      <c r="F178">
        <v>60.510080000000002</v>
      </c>
      <c r="G178">
        <v>39.991370000000003</v>
      </c>
      <c r="H178">
        <v>40.633367</v>
      </c>
      <c r="I178"/>
      <c r="N178"/>
      <c r="O178"/>
      <c r="P178" s="1">
        <f t="shared" si="31"/>
        <v>87.285791666666668</v>
      </c>
      <c r="Q178" s="1">
        <f t="shared" si="32"/>
        <v>88.135080284552842</v>
      </c>
      <c r="R178" s="1">
        <f t="shared" si="33"/>
        <v>89.300774956663602</v>
      </c>
      <c r="S178" s="1">
        <f t="shared" si="34"/>
        <v>77.050098199672661</v>
      </c>
    </row>
    <row r="179" spans="1:19" x14ac:dyDescent="0.3">
      <c r="A179">
        <v>4731.8</v>
      </c>
      <c r="B179">
        <v>91.725340000000003</v>
      </c>
      <c r="C179">
        <v>92.895165000000006</v>
      </c>
      <c r="D179">
        <v>94.067238000000003</v>
      </c>
      <c r="E179">
        <v>77.702706000000006</v>
      </c>
      <c r="F179">
        <v>60.613709999999998</v>
      </c>
      <c r="G179">
        <v>39.991370000000003</v>
      </c>
      <c r="H179">
        <v>40.633367</v>
      </c>
      <c r="I179"/>
      <c r="N179"/>
      <c r="O179"/>
      <c r="P179" s="1">
        <f t="shared" si="31"/>
        <v>87.285791666666668</v>
      </c>
      <c r="Q179" s="1">
        <f t="shared" si="32"/>
        <v>88.135080284552842</v>
      </c>
      <c r="R179" s="1">
        <f t="shared" si="33"/>
        <v>89.300774956663602</v>
      </c>
      <c r="S179" s="1">
        <f t="shared" si="34"/>
        <v>77.050098199672661</v>
      </c>
    </row>
    <row r="180" spans="1:19" x14ac:dyDescent="0.3">
      <c r="A180">
        <v>4732</v>
      </c>
      <c r="B180">
        <v>91.725340000000003</v>
      </c>
      <c r="C180">
        <v>92.895165000000006</v>
      </c>
      <c r="D180">
        <v>94.067238000000003</v>
      </c>
      <c r="E180">
        <v>77.702706000000006</v>
      </c>
      <c r="F180">
        <v>60.613709999999998</v>
      </c>
      <c r="G180">
        <v>39.990684999999999</v>
      </c>
      <c r="H180">
        <v>40.607539000000003</v>
      </c>
      <c r="I180" t="s">
        <v>60</v>
      </c>
      <c r="N180"/>
      <c r="O180"/>
      <c r="P180" s="1">
        <f t="shared" si="31"/>
        <v>87.271877032520337</v>
      </c>
      <c r="Q180" s="1">
        <f t="shared" si="32"/>
        <v>88.138150406504067</v>
      </c>
      <c r="R180" s="1">
        <f t="shared" si="33"/>
        <v>89.303379218925258</v>
      </c>
      <c r="S180" s="1">
        <f t="shared" si="34"/>
        <v>77.071485270049095</v>
      </c>
    </row>
    <row r="181" spans="1:19" x14ac:dyDescent="0.3">
      <c r="A181">
        <v>4732.2</v>
      </c>
      <c r="B181">
        <v>91.726658999999998</v>
      </c>
      <c r="C181">
        <v>92.900796999999997</v>
      </c>
      <c r="D181">
        <v>94.079386</v>
      </c>
      <c r="E181">
        <v>77.726637999999994</v>
      </c>
      <c r="F181">
        <v>60.257781000000001</v>
      </c>
      <c r="G181">
        <v>39.990684999999999</v>
      </c>
      <c r="H181">
        <v>40.607539000000003</v>
      </c>
      <c r="I181"/>
      <c r="N181"/>
      <c r="O181"/>
      <c r="P181" s="1">
        <f t="shared" si="31"/>
        <v>87.271877032520337</v>
      </c>
      <c r="Q181" s="1">
        <f t="shared" si="32"/>
        <v>88.138150406504067</v>
      </c>
      <c r="R181" s="1">
        <f t="shared" si="33"/>
        <v>89.303379218925258</v>
      </c>
      <c r="S181" s="1">
        <f t="shared" si="34"/>
        <v>77.071485270049095</v>
      </c>
    </row>
    <row r="182" spans="1:19" x14ac:dyDescent="0.3">
      <c r="A182">
        <v>4732.3999999999996</v>
      </c>
      <c r="B182">
        <v>91.726658999999998</v>
      </c>
      <c r="C182">
        <v>92.900796999999997</v>
      </c>
      <c r="D182">
        <v>94.079386</v>
      </c>
      <c r="E182">
        <v>77.726637999999994</v>
      </c>
      <c r="F182">
        <v>60.257781000000001</v>
      </c>
      <c r="G182">
        <v>39.997413999999999</v>
      </c>
      <c r="H182">
        <v>40.619385999999999</v>
      </c>
      <c r="I182"/>
      <c r="N182"/>
      <c r="O182"/>
      <c r="P182" s="1">
        <f t="shared" si="31"/>
        <v>87.297023373983748</v>
      </c>
      <c r="Q182" s="1">
        <f t="shared" si="32"/>
        <v>88.137369918699193</v>
      </c>
      <c r="R182" s="1">
        <f t="shared" si="33"/>
        <v>89.283778933414908</v>
      </c>
      <c r="S182" s="1">
        <f t="shared" si="34"/>
        <v>77.058793985270057</v>
      </c>
    </row>
    <row r="183" spans="1:19" x14ac:dyDescent="0.3">
      <c r="A183">
        <v>4732.6000000000004</v>
      </c>
      <c r="B183">
        <v>91.716404999999995</v>
      </c>
      <c r="C183">
        <v>92.904352000000003</v>
      </c>
      <c r="D183">
        <v>94.073670000000007</v>
      </c>
      <c r="E183">
        <v>77.732388999999998</v>
      </c>
      <c r="F183">
        <v>60.231439000000002</v>
      </c>
      <c r="G183">
        <v>39.997413999999999</v>
      </c>
      <c r="H183">
        <v>40.619385999999999</v>
      </c>
      <c r="I183"/>
      <c r="N183"/>
      <c r="O183"/>
      <c r="P183" s="1">
        <f t="shared" si="31"/>
        <v>87.297023373983748</v>
      </c>
      <c r="Q183" s="1">
        <f t="shared" si="32"/>
        <v>88.137369918699193</v>
      </c>
      <c r="R183" s="1">
        <f t="shared" si="33"/>
        <v>89.283778933414908</v>
      </c>
      <c r="S183" s="1">
        <f t="shared" si="34"/>
        <v>77.058793985270057</v>
      </c>
    </row>
    <row r="184" spans="1:19" x14ac:dyDescent="0.3">
      <c r="A184">
        <v>4732.8</v>
      </c>
      <c r="B184">
        <v>91.716404999999995</v>
      </c>
      <c r="C184">
        <v>92.904352000000003</v>
      </c>
      <c r="D184">
        <v>94.073670000000007</v>
      </c>
      <c r="E184">
        <v>77.732388999999998</v>
      </c>
      <c r="F184">
        <v>60.231439000000002</v>
      </c>
      <c r="G184">
        <v>39.987060999999997</v>
      </c>
      <c r="H184">
        <v>40.599029000000002</v>
      </c>
      <c r="I184"/>
      <c r="N184"/>
      <c r="O184"/>
      <c r="P184" s="1">
        <f t="shared" si="31"/>
        <v>87.279446138211384</v>
      </c>
      <c r="Q184" s="1">
        <f t="shared" si="32"/>
        <v>88.142518292682936</v>
      </c>
      <c r="R184" s="1">
        <f t="shared" si="33"/>
        <v>89.311181808911996</v>
      </c>
      <c r="S184" s="1">
        <f t="shared" si="34"/>
        <v>77.090730360065464</v>
      </c>
    </row>
    <row r="185" spans="1:19" x14ac:dyDescent="0.3">
      <c r="A185">
        <v>4733</v>
      </c>
      <c r="B185">
        <v>91.731875000000002</v>
      </c>
      <c r="C185">
        <v>92.907615000000007</v>
      </c>
      <c r="D185">
        <v>94.079172999999997</v>
      </c>
      <c r="E185">
        <v>77.714777999999995</v>
      </c>
      <c r="F185">
        <v>60.604519000000003</v>
      </c>
      <c r="G185">
        <v>39.987060999999997</v>
      </c>
      <c r="H185">
        <v>40.599029000000002</v>
      </c>
      <c r="I185" t="s">
        <v>60</v>
      </c>
      <c r="N185"/>
      <c r="O185"/>
      <c r="P185" s="1">
        <f t="shared" si="31"/>
        <v>87.279446138211384</v>
      </c>
      <c r="Q185" s="1">
        <f t="shared" si="32"/>
        <v>88.142518292682936</v>
      </c>
      <c r="R185" s="1">
        <f t="shared" si="33"/>
        <v>89.311181808911996</v>
      </c>
      <c r="S185" s="1">
        <f t="shared" si="34"/>
        <v>77.090730360065464</v>
      </c>
    </row>
    <row r="186" spans="1:19" x14ac:dyDescent="0.3">
      <c r="A186">
        <v>4733.2</v>
      </c>
      <c r="B186">
        <v>91.731875000000002</v>
      </c>
      <c r="C186">
        <v>92.907615000000007</v>
      </c>
      <c r="D186">
        <v>94.079172999999997</v>
      </c>
      <c r="E186">
        <v>77.714777999999995</v>
      </c>
      <c r="F186">
        <v>60.604519000000003</v>
      </c>
      <c r="G186">
        <v>39.961776</v>
      </c>
      <c r="H186">
        <v>40.599598</v>
      </c>
      <c r="I186"/>
      <c r="N186"/>
      <c r="O186"/>
      <c r="P186" s="1">
        <f t="shared" si="31"/>
        <v>87.290546747967483</v>
      </c>
      <c r="Q186" s="1">
        <f t="shared" si="32"/>
        <v>88.133407520325207</v>
      </c>
      <c r="R186" s="1">
        <f t="shared" si="33"/>
        <v>89.312188232894869</v>
      </c>
      <c r="S186" s="1">
        <f t="shared" si="34"/>
        <v>77.09173486088379</v>
      </c>
    </row>
    <row r="187" spans="1:19" x14ac:dyDescent="0.3">
      <c r="A187">
        <v>4733.3999999999996</v>
      </c>
      <c r="B187">
        <v>91.714421999999999</v>
      </c>
      <c r="C187">
        <v>92.907127000000003</v>
      </c>
      <c r="D187">
        <v>94.071466000000001</v>
      </c>
      <c r="E187">
        <v>77.695477999999994</v>
      </c>
      <c r="F187">
        <v>60.608719000000001</v>
      </c>
      <c r="G187">
        <v>39.961776</v>
      </c>
      <c r="H187">
        <v>40.599598</v>
      </c>
      <c r="I187"/>
      <c r="N187"/>
      <c r="O187"/>
      <c r="P187" s="1">
        <f t="shared" si="31"/>
        <v>87.290546747967483</v>
      </c>
      <c r="Q187" s="1">
        <f t="shared" si="32"/>
        <v>88.133407520325207</v>
      </c>
      <c r="R187" s="1">
        <f t="shared" si="33"/>
        <v>89.312188232894869</v>
      </c>
      <c r="S187" s="1">
        <f t="shared" si="34"/>
        <v>77.09173486088379</v>
      </c>
    </row>
    <row r="188" spans="1:19" x14ac:dyDescent="0.3">
      <c r="A188">
        <v>4733.6000000000004</v>
      </c>
      <c r="B188">
        <v>91.714421999999999</v>
      </c>
      <c r="C188">
        <v>92.907127000000003</v>
      </c>
      <c r="D188">
        <v>94.071466000000001</v>
      </c>
      <c r="E188">
        <v>77.695477999999994</v>
      </c>
      <c r="F188">
        <v>60.608719000000001</v>
      </c>
      <c r="G188">
        <v>39.986997000000002</v>
      </c>
      <c r="H188">
        <v>40.603388000000002</v>
      </c>
      <c r="I188"/>
      <c r="N188"/>
      <c r="O188"/>
      <c r="P188" s="1">
        <f t="shared" si="31"/>
        <v>87.308631097560976</v>
      </c>
      <c r="Q188" s="1">
        <f t="shared" si="32"/>
        <v>88.133597560975616</v>
      </c>
      <c r="R188" s="1">
        <f t="shared" si="33"/>
        <v>89.307328438870201</v>
      </c>
      <c r="S188" s="1">
        <f t="shared" si="34"/>
        <v>77.073823649754502</v>
      </c>
    </row>
    <row r="189" spans="1:19" x14ac:dyDescent="0.3">
      <c r="A189">
        <v>4733.8</v>
      </c>
      <c r="B189">
        <v>91.732129</v>
      </c>
      <c r="C189">
        <v>92.894715000000005</v>
      </c>
      <c r="D189">
        <v>94.084393000000006</v>
      </c>
      <c r="E189">
        <v>77.612206999999998</v>
      </c>
      <c r="F189">
        <v>60.142620000000001</v>
      </c>
      <c r="G189">
        <v>39.986997000000002</v>
      </c>
      <c r="H189">
        <v>40.603388000000002</v>
      </c>
      <c r="I189"/>
      <c r="N189"/>
      <c r="O189"/>
      <c r="P189" s="1">
        <f t="shared" si="31"/>
        <v>87.308631097560976</v>
      </c>
      <c r="Q189" s="1">
        <f t="shared" si="32"/>
        <v>88.133597560975616</v>
      </c>
      <c r="R189" s="1">
        <f t="shared" si="33"/>
        <v>89.307328438870201</v>
      </c>
      <c r="S189" s="1">
        <f t="shared" si="34"/>
        <v>77.073823649754502</v>
      </c>
    </row>
    <row r="190" spans="1:19" x14ac:dyDescent="0.3">
      <c r="A190">
        <v>4734</v>
      </c>
      <c r="B190">
        <v>91.732129</v>
      </c>
      <c r="C190">
        <v>92.894715000000005</v>
      </c>
      <c r="D190">
        <v>94.084393000000006</v>
      </c>
      <c r="E190">
        <v>77.612206999999998</v>
      </c>
      <c r="F190">
        <v>60.142620000000001</v>
      </c>
      <c r="G190">
        <v>39.961542999999999</v>
      </c>
      <c r="H190">
        <v>40.613565999999999</v>
      </c>
      <c r="I190" t="s">
        <v>60</v>
      </c>
      <c r="N190"/>
      <c r="O190"/>
      <c r="P190" s="1">
        <f t="shared" si="31"/>
        <v>87.298409552845527</v>
      </c>
      <c r="Q190" s="1">
        <f t="shared" si="32"/>
        <v>88.14359044715448</v>
      </c>
      <c r="R190" s="1">
        <f t="shared" si="33"/>
        <v>89.294347914754766</v>
      </c>
      <c r="S190" s="1">
        <f t="shared" si="34"/>
        <v>77.10325388707038</v>
      </c>
    </row>
    <row r="191" spans="1:19" x14ac:dyDescent="0.3">
      <c r="A191">
        <v>4734.2</v>
      </c>
      <c r="B191">
        <v>91.740797999999998</v>
      </c>
      <c r="C191">
        <v>92.900458</v>
      </c>
      <c r="D191">
        <v>94.073407000000003</v>
      </c>
      <c r="E191">
        <v>77.578676999999999</v>
      </c>
      <c r="F191">
        <v>59.862411999999999</v>
      </c>
      <c r="G191">
        <v>39.961542999999999</v>
      </c>
      <c r="H191">
        <v>40.613565999999999</v>
      </c>
      <c r="I191"/>
      <c r="N191"/>
      <c r="O191"/>
      <c r="P191" s="1">
        <f t="shared" si="31"/>
        <v>87.298409552845527</v>
      </c>
      <c r="Q191" s="1">
        <f t="shared" si="32"/>
        <v>88.14359044715448</v>
      </c>
      <c r="R191" s="1">
        <f t="shared" si="33"/>
        <v>89.294347914754766</v>
      </c>
      <c r="S191" s="1">
        <f t="shared" si="34"/>
        <v>77.10325388707038</v>
      </c>
    </row>
    <row r="192" spans="1:19" x14ac:dyDescent="0.3">
      <c r="A192">
        <v>4734.3999999999996</v>
      </c>
      <c r="B192">
        <v>91.740797999999998</v>
      </c>
      <c r="C192">
        <v>92.900458</v>
      </c>
      <c r="D192">
        <v>94.073407000000003</v>
      </c>
      <c r="E192">
        <v>77.578676999999999</v>
      </c>
      <c r="F192">
        <v>59.862411999999999</v>
      </c>
      <c r="G192">
        <v>39.99568</v>
      </c>
      <c r="H192">
        <v>40.619981000000003</v>
      </c>
      <c r="I192"/>
      <c r="N192"/>
      <c r="O192"/>
      <c r="P192" s="1">
        <f t="shared" si="31"/>
        <v>87.290685975609762</v>
      </c>
      <c r="Q192" s="1">
        <f t="shared" si="32"/>
        <v>88.140217479674803</v>
      </c>
      <c r="R192" s="1">
        <f t="shared" si="33"/>
        <v>89.303376159885786</v>
      </c>
      <c r="S192" s="1">
        <f t="shared" si="34"/>
        <v>77.084084492635014</v>
      </c>
    </row>
    <row r="193" spans="1:19" x14ac:dyDescent="0.3">
      <c r="A193">
        <v>4734.6000000000004</v>
      </c>
      <c r="B193">
        <v>91.724748000000005</v>
      </c>
      <c r="C193">
        <v>92.938575999999998</v>
      </c>
      <c r="D193">
        <v>94.102080000000001</v>
      </c>
      <c r="E193">
        <v>77.625955000000005</v>
      </c>
      <c r="F193">
        <v>59.993561</v>
      </c>
      <c r="G193">
        <v>39.99568</v>
      </c>
      <c r="H193">
        <v>40.619981000000003</v>
      </c>
      <c r="I193"/>
      <c r="N193"/>
      <c r="O193"/>
      <c r="P193" s="1">
        <f t="shared" si="31"/>
        <v>94.010337398373991</v>
      </c>
      <c r="Q193" s="1">
        <f t="shared" si="32"/>
        <v>95.180266260162597</v>
      </c>
      <c r="R193" s="1">
        <f t="shared" si="33"/>
        <v>96.754823085551138</v>
      </c>
      <c r="S193" s="1">
        <f t="shared" si="34"/>
        <v>80.379961129296234</v>
      </c>
    </row>
    <row r="194" spans="1:19" x14ac:dyDescent="0.3">
      <c r="A194">
        <v>4734.8</v>
      </c>
      <c r="B194">
        <v>91.724748000000005</v>
      </c>
      <c r="C194">
        <v>92.938575999999998</v>
      </c>
      <c r="D194">
        <v>94.102080000000001</v>
      </c>
      <c r="E194">
        <v>77.625955000000005</v>
      </c>
      <c r="F194">
        <v>59.993561</v>
      </c>
      <c r="G194">
        <v>39.981717000000003</v>
      </c>
      <c r="H194">
        <v>40.629072999999998</v>
      </c>
      <c r="I194"/>
      <c r="N194"/>
      <c r="O194"/>
      <c r="P194" s="1">
        <f t="shared" si="31"/>
        <v>94.010337398373991</v>
      </c>
      <c r="Q194" s="1">
        <f t="shared" si="32"/>
        <v>95.180266260162597</v>
      </c>
      <c r="R194" s="1">
        <f t="shared" si="33"/>
        <v>96.754823085551138</v>
      </c>
      <c r="S194" s="1">
        <f t="shared" si="34"/>
        <v>80.379961129296234</v>
      </c>
    </row>
    <row r="195" spans="1:19" x14ac:dyDescent="0.3">
      <c r="A195">
        <v>4735</v>
      </c>
      <c r="B195">
        <v>91.751017000000004</v>
      </c>
      <c r="C195">
        <v>92.874639999999999</v>
      </c>
      <c r="D195">
        <v>94.077056999999996</v>
      </c>
      <c r="E195">
        <v>77.665633999999997</v>
      </c>
      <c r="F195">
        <v>60.753115000000001</v>
      </c>
      <c r="G195">
        <v>39.981717000000003</v>
      </c>
      <c r="H195">
        <v>40.629072999999998</v>
      </c>
      <c r="I195" t="s">
        <v>60</v>
      </c>
      <c r="N195"/>
      <c r="O195"/>
      <c r="P195" s="1">
        <f t="shared" si="31"/>
        <v>93.991639227642281</v>
      </c>
      <c r="Q195" s="1">
        <f t="shared" si="32"/>
        <v>95.202548780487817</v>
      </c>
      <c r="R195" s="1">
        <f t="shared" si="33"/>
        <v>96.750603650453741</v>
      </c>
      <c r="S195" s="1">
        <f t="shared" si="34"/>
        <v>80.41059022094926</v>
      </c>
    </row>
    <row r="196" spans="1:19" x14ac:dyDescent="0.3">
      <c r="A196">
        <v>4735.2</v>
      </c>
      <c r="B196">
        <v>91.751017000000004</v>
      </c>
      <c r="C196">
        <v>92.874639999999999</v>
      </c>
      <c r="D196">
        <v>94.077056999999996</v>
      </c>
      <c r="E196">
        <v>77.665633999999997</v>
      </c>
      <c r="F196">
        <v>60.753115000000001</v>
      </c>
      <c r="G196">
        <v>39.969526999999999</v>
      </c>
      <c r="H196">
        <v>40.612699999999997</v>
      </c>
      <c r="I196"/>
      <c r="N196"/>
      <c r="O196"/>
      <c r="P196" s="1">
        <f t="shared" si="31"/>
        <v>93.991639227642281</v>
      </c>
      <c r="Q196" s="1">
        <f t="shared" si="32"/>
        <v>95.202548780487817</v>
      </c>
      <c r="R196" s="1">
        <f t="shared" si="33"/>
        <v>96.750603650453741</v>
      </c>
      <c r="S196" s="1">
        <f t="shared" si="34"/>
        <v>80.41059022094926</v>
      </c>
    </row>
    <row r="197" spans="1:19" x14ac:dyDescent="0.3">
      <c r="A197">
        <v>4735.3999999999996</v>
      </c>
      <c r="B197">
        <v>91.724536000000001</v>
      </c>
      <c r="C197">
        <v>92.92362</v>
      </c>
      <c r="D197">
        <v>94.119020000000006</v>
      </c>
      <c r="E197">
        <v>77.695638000000002</v>
      </c>
      <c r="F197">
        <v>61.100048999999999</v>
      </c>
      <c r="G197">
        <v>39.969526999999999</v>
      </c>
      <c r="H197">
        <v>40.612699999999997</v>
      </c>
      <c r="I197"/>
      <c r="N197"/>
      <c r="O197"/>
      <c r="P197" s="1">
        <f t="shared" si="31"/>
        <v>94.016097560975624</v>
      </c>
      <c r="Q197" s="1">
        <f t="shared" si="32"/>
        <v>95.204944105691069</v>
      </c>
      <c r="R197" s="1">
        <f t="shared" si="33"/>
        <v>96.744710920770871</v>
      </c>
      <c r="S197" s="1">
        <f t="shared" si="34"/>
        <v>80.42809533551555</v>
      </c>
    </row>
    <row r="198" spans="1:19" x14ac:dyDescent="0.3">
      <c r="A198">
        <v>4735.6000000000004</v>
      </c>
      <c r="B198">
        <v>91.724536000000001</v>
      </c>
      <c r="C198">
        <v>92.92362</v>
      </c>
      <c r="D198">
        <v>94.119020000000006</v>
      </c>
      <c r="E198">
        <v>77.695638000000002</v>
      </c>
      <c r="F198">
        <v>61.100048999999999</v>
      </c>
      <c r="G198">
        <v>39.98424</v>
      </c>
      <c r="H198">
        <v>40.617162</v>
      </c>
      <c r="I198"/>
      <c r="N198"/>
      <c r="O198"/>
      <c r="P198" s="1">
        <f t="shared" si="31"/>
        <v>94.016097560975624</v>
      </c>
      <c r="Q198" s="1">
        <f t="shared" si="32"/>
        <v>95.204944105691069</v>
      </c>
      <c r="R198" s="1">
        <f t="shared" si="33"/>
        <v>96.744710920770871</v>
      </c>
      <c r="S198" s="1">
        <f t="shared" si="34"/>
        <v>80.42809533551555</v>
      </c>
    </row>
    <row r="199" spans="1:19" x14ac:dyDescent="0.3">
      <c r="A199">
        <v>4735.8</v>
      </c>
      <c r="B199">
        <v>91.728748999999993</v>
      </c>
      <c r="C199">
        <v>92.914007999999995</v>
      </c>
      <c r="D199">
        <v>94.068382</v>
      </c>
      <c r="E199">
        <v>77.746181000000007</v>
      </c>
      <c r="F199">
        <v>61.090417000000002</v>
      </c>
      <c r="G199">
        <v>39.98424</v>
      </c>
      <c r="H199">
        <v>40.617162</v>
      </c>
      <c r="I199"/>
      <c r="N199"/>
      <c r="O199"/>
      <c r="P199" s="1">
        <f t="shared" si="31"/>
        <v>94.017438008130085</v>
      </c>
      <c r="Q199" s="1">
        <f t="shared" si="32"/>
        <v>95.210667682926825</v>
      </c>
      <c r="R199" s="1">
        <f t="shared" si="33"/>
        <v>96.757097991230751</v>
      </c>
      <c r="S199" s="1">
        <f t="shared" si="34"/>
        <v>80.452575695581004</v>
      </c>
    </row>
    <row r="200" spans="1:19" x14ac:dyDescent="0.3">
      <c r="A200">
        <v>4736</v>
      </c>
      <c r="B200">
        <v>91.728748999999993</v>
      </c>
      <c r="C200">
        <v>92.914007999999995</v>
      </c>
      <c r="D200">
        <v>94.068382</v>
      </c>
      <c r="E200">
        <v>77.746181000000007</v>
      </c>
      <c r="F200">
        <v>61.090417000000002</v>
      </c>
      <c r="G200">
        <v>40.010883999999997</v>
      </c>
      <c r="H200">
        <v>40.629823000000002</v>
      </c>
      <c r="I200" t="s">
        <v>60</v>
      </c>
      <c r="N200"/>
      <c r="O200"/>
      <c r="P200" s="1">
        <f t="shared" si="31"/>
        <v>94.017438008130085</v>
      </c>
      <c r="Q200" s="1">
        <f t="shared" si="32"/>
        <v>95.210667682926825</v>
      </c>
      <c r="R200" s="1">
        <f t="shared" si="33"/>
        <v>96.757097991230751</v>
      </c>
      <c r="S200" s="1">
        <f t="shared" si="34"/>
        <v>80.452575695581004</v>
      </c>
    </row>
    <row r="201" spans="1:19" x14ac:dyDescent="0.3">
      <c r="A201">
        <v>4736.2</v>
      </c>
      <c r="B201">
        <v>91.728633000000002</v>
      </c>
      <c r="C201">
        <v>92.914344999999997</v>
      </c>
      <c r="D201">
        <v>94.093091999999999</v>
      </c>
      <c r="E201">
        <v>77.732624999999999</v>
      </c>
      <c r="F201">
        <v>61.210487999999998</v>
      </c>
      <c r="G201">
        <v>40.010883999999997</v>
      </c>
      <c r="H201">
        <v>40.629823000000002</v>
      </c>
      <c r="I201"/>
      <c r="N201"/>
      <c r="O201"/>
      <c r="P201" s="1">
        <f t="shared" si="31"/>
        <v>94.007017276422758</v>
      </c>
      <c r="Q201" s="1">
        <f t="shared" si="32"/>
        <v>95.214280487804885</v>
      </c>
      <c r="R201" s="1">
        <f t="shared" si="33"/>
        <v>96.751269501376569</v>
      </c>
      <c r="S201" s="1">
        <f t="shared" si="34"/>
        <v>80.458458469721762</v>
      </c>
    </row>
    <row r="202" spans="1:19" x14ac:dyDescent="0.3">
      <c r="A202">
        <v>4736.3999999999996</v>
      </c>
      <c r="B202">
        <v>91.728633000000002</v>
      </c>
      <c r="C202">
        <v>92.914344999999997</v>
      </c>
      <c r="D202">
        <v>94.093091999999999</v>
      </c>
      <c r="E202">
        <v>77.732624999999999</v>
      </c>
      <c r="F202">
        <v>61.210487999999998</v>
      </c>
      <c r="G202">
        <v>39.986117</v>
      </c>
      <c r="H202">
        <v>40.623460000000001</v>
      </c>
      <c r="I202"/>
      <c r="N202"/>
      <c r="O202"/>
      <c r="P202" s="1">
        <f t="shared" si="31"/>
        <v>94.007017276422758</v>
      </c>
      <c r="Q202" s="1">
        <f t="shared" si="32"/>
        <v>95.214280487804885</v>
      </c>
      <c r="R202" s="1">
        <f t="shared" si="33"/>
        <v>96.751269501376569</v>
      </c>
      <c r="S202" s="1">
        <f t="shared" si="34"/>
        <v>80.458458469721762</v>
      </c>
    </row>
    <row r="203" spans="1:19" x14ac:dyDescent="0.3">
      <c r="A203">
        <v>4736.6000000000004</v>
      </c>
      <c r="B203">
        <v>91.748203000000004</v>
      </c>
      <c r="C203">
        <v>92.931020000000004</v>
      </c>
      <c r="D203">
        <v>94.086211000000006</v>
      </c>
      <c r="E203">
        <v>77.753124999999997</v>
      </c>
      <c r="F203">
        <v>61.177691000000003</v>
      </c>
      <c r="G203">
        <v>39.986117</v>
      </c>
      <c r="H203">
        <v>40.623460000000001</v>
      </c>
      <c r="I203"/>
      <c r="N203"/>
      <c r="O203"/>
      <c r="P203" s="1">
        <f t="shared" si="31"/>
        <v>94.022738821138219</v>
      </c>
      <c r="Q203" s="1">
        <f t="shared" si="32"/>
        <v>95.217596544715462</v>
      </c>
      <c r="R203" s="1">
        <f t="shared" si="33"/>
        <v>96.75688079942897</v>
      </c>
      <c r="S203" s="1">
        <f t="shared" si="34"/>
        <v>80.440443944353518</v>
      </c>
    </row>
    <row r="204" spans="1:19" x14ac:dyDescent="0.3">
      <c r="A204">
        <v>4736.8</v>
      </c>
      <c r="B204">
        <v>91.748203000000004</v>
      </c>
      <c r="C204">
        <v>92.931020000000004</v>
      </c>
      <c r="D204">
        <v>94.086211000000006</v>
      </c>
      <c r="E204">
        <v>77.753124999999997</v>
      </c>
      <c r="F204">
        <v>61.177691000000003</v>
      </c>
      <c r="G204">
        <v>39.989921000000002</v>
      </c>
      <c r="H204">
        <v>40.628892</v>
      </c>
      <c r="I204"/>
      <c r="N204"/>
      <c r="O204"/>
      <c r="P204" s="1">
        <f t="shared" si="31"/>
        <v>94.022738821138219</v>
      </c>
      <c r="Q204" s="1">
        <f t="shared" si="32"/>
        <v>95.217596544715462</v>
      </c>
      <c r="R204" s="1">
        <f t="shared" si="33"/>
        <v>96.75688079942897</v>
      </c>
      <c r="S204" s="1">
        <f t="shared" si="34"/>
        <v>80.440443944353518</v>
      </c>
    </row>
    <row r="205" spans="1:19" x14ac:dyDescent="0.3">
      <c r="A205">
        <v>4737</v>
      </c>
      <c r="B205">
        <v>91.741453000000007</v>
      </c>
      <c r="C205">
        <v>92.907239000000004</v>
      </c>
      <c r="D205">
        <v>94.094372000000007</v>
      </c>
      <c r="E205">
        <v>77.747112999999999</v>
      </c>
      <c r="F205">
        <v>61.019995000000002</v>
      </c>
      <c r="G205">
        <v>39.989921000000002</v>
      </c>
      <c r="H205">
        <v>40.628892</v>
      </c>
      <c r="I205" t="s">
        <v>60</v>
      </c>
      <c r="N205"/>
      <c r="O205"/>
      <c r="P205" s="1">
        <f t="shared" si="31"/>
        <v>94.005002032520323</v>
      </c>
      <c r="Q205" s="1">
        <f t="shared" si="32"/>
        <v>95.217100609756102</v>
      </c>
      <c r="R205" s="1">
        <f t="shared" si="33"/>
        <v>96.7490221270521</v>
      </c>
      <c r="S205" s="1">
        <f t="shared" si="34"/>
        <v>80.420701718494257</v>
      </c>
    </row>
    <row r="206" spans="1:19" x14ac:dyDescent="0.3">
      <c r="A206">
        <v>4737.2</v>
      </c>
      <c r="B206">
        <v>91.741453000000007</v>
      </c>
      <c r="C206">
        <v>92.907239000000004</v>
      </c>
      <c r="D206">
        <v>94.094372000000007</v>
      </c>
      <c r="E206">
        <v>77.747112999999999</v>
      </c>
      <c r="F206">
        <v>61.019995000000002</v>
      </c>
      <c r="G206">
        <v>39.993195</v>
      </c>
      <c r="H206">
        <v>40.645201</v>
      </c>
      <c r="I206"/>
      <c r="N206"/>
      <c r="O206"/>
      <c r="P206" s="1">
        <f t="shared" si="31"/>
        <v>94.005002032520323</v>
      </c>
      <c r="Q206" s="1">
        <f t="shared" si="32"/>
        <v>95.217100609756102</v>
      </c>
      <c r="R206" s="1">
        <f t="shared" si="33"/>
        <v>96.7490221270521</v>
      </c>
      <c r="S206" s="1">
        <f t="shared" si="34"/>
        <v>80.420701718494257</v>
      </c>
    </row>
    <row r="207" spans="1:19" x14ac:dyDescent="0.3">
      <c r="A207">
        <v>4737.3999999999996</v>
      </c>
      <c r="B207">
        <v>91.749371999999994</v>
      </c>
      <c r="C207">
        <v>92.927655000000001</v>
      </c>
      <c r="D207">
        <v>94.095501999999996</v>
      </c>
      <c r="E207">
        <v>77.740842000000001</v>
      </c>
      <c r="F207">
        <v>61.443705000000001</v>
      </c>
      <c r="G207">
        <v>39.993195</v>
      </c>
      <c r="H207">
        <v>40.645201</v>
      </c>
      <c r="I207"/>
      <c r="N207"/>
      <c r="O207"/>
      <c r="P207" s="1">
        <f t="shared" si="31"/>
        <v>94.022996951219511</v>
      </c>
      <c r="Q207" s="1">
        <f t="shared" si="32"/>
        <v>95.204486788617899</v>
      </c>
      <c r="R207" s="1">
        <f t="shared" si="33"/>
        <v>96.762203528092186</v>
      </c>
      <c r="S207" s="1">
        <f t="shared" si="34"/>
        <v>80.335522708674304</v>
      </c>
    </row>
    <row r="208" spans="1:19" x14ac:dyDescent="0.3">
      <c r="A208">
        <v>4737.6000000000004</v>
      </c>
      <c r="B208">
        <v>91.749371999999994</v>
      </c>
      <c r="C208">
        <v>92.927655000000001</v>
      </c>
      <c r="D208">
        <v>94.095501999999996</v>
      </c>
      <c r="E208">
        <v>77.740842000000001</v>
      </c>
      <c r="F208">
        <v>61.443705000000001</v>
      </c>
      <c r="G208">
        <v>39.990361</v>
      </c>
      <c r="H208">
        <v>40.641204000000002</v>
      </c>
      <c r="I208"/>
      <c r="N208"/>
      <c r="O208"/>
      <c r="P208" s="1">
        <f t="shared" si="31"/>
        <v>94.022996951219511</v>
      </c>
      <c r="Q208" s="1">
        <f t="shared" si="32"/>
        <v>95.204486788617899</v>
      </c>
      <c r="R208" s="1">
        <f t="shared" si="33"/>
        <v>96.762203528092186</v>
      </c>
      <c r="S208" s="1">
        <f t="shared" si="34"/>
        <v>80.335522708674304</v>
      </c>
    </row>
    <row r="209" spans="1:19" x14ac:dyDescent="0.3">
      <c r="A209">
        <v>4737.8</v>
      </c>
      <c r="B209">
        <v>91.742143999999996</v>
      </c>
      <c r="C209">
        <v>92.925852000000006</v>
      </c>
      <c r="D209">
        <v>94.088967999999994</v>
      </c>
      <c r="E209">
        <v>77.765270999999998</v>
      </c>
      <c r="F209">
        <v>61.220838000000001</v>
      </c>
      <c r="G209">
        <v>39.990361</v>
      </c>
      <c r="H209">
        <v>40.641204000000002</v>
      </c>
      <c r="I209"/>
      <c r="N209"/>
      <c r="O209"/>
      <c r="P209" s="1">
        <f t="shared" si="31"/>
        <v>94.031806910569102</v>
      </c>
      <c r="Q209" s="1">
        <f t="shared" si="32"/>
        <v>95.210323170731712</v>
      </c>
      <c r="R209" s="1">
        <f t="shared" si="33"/>
        <v>96.751001325583772</v>
      </c>
      <c r="S209" s="1">
        <f t="shared" si="34"/>
        <v>80.301224427168577</v>
      </c>
    </row>
    <row r="210" spans="1:19" x14ac:dyDescent="0.3">
      <c r="A210">
        <v>4738</v>
      </c>
      <c r="B210">
        <v>91.742143999999996</v>
      </c>
      <c r="C210">
        <v>92.925852000000006</v>
      </c>
      <c r="D210">
        <v>94.088967999999994</v>
      </c>
      <c r="E210">
        <v>77.765270999999998</v>
      </c>
      <c r="F210">
        <v>61.220838000000001</v>
      </c>
      <c r="G210">
        <v>40.002640999999997</v>
      </c>
      <c r="H210">
        <v>40.624844000000003</v>
      </c>
      <c r="I210" t="s">
        <v>60</v>
      </c>
      <c r="N210"/>
      <c r="O210"/>
      <c r="P210" s="1">
        <f t="shared" si="31"/>
        <v>94.031806910569102</v>
      </c>
      <c r="Q210" s="1">
        <f t="shared" si="32"/>
        <v>95.210323170731712</v>
      </c>
      <c r="R210" s="1">
        <f t="shared" si="33"/>
        <v>96.751001325583772</v>
      </c>
      <c r="S210" s="1">
        <f t="shared" si="34"/>
        <v>80.301224427168577</v>
      </c>
    </row>
    <row r="211" spans="1:19" x14ac:dyDescent="0.3">
      <c r="A211">
        <v>4738.2</v>
      </c>
      <c r="B211">
        <v>91.763799000000006</v>
      </c>
      <c r="C211">
        <v>92.929192999999998</v>
      </c>
      <c r="D211">
        <v>94.089132000000006</v>
      </c>
      <c r="E211">
        <v>77.779546999999994</v>
      </c>
      <c r="F211">
        <v>61.354291000000003</v>
      </c>
      <c r="G211">
        <v>40.002640999999997</v>
      </c>
      <c r="H211">
        <v>40.624844000000003</v>
      </c>
      <c r="I211"/>
      <c r="N211"/>
      <c r="O211"/>
      <c r="P211" s="1">
        <f t="shared" si="31"/>
        <v>94.015495934959361</v>
      </c>
      <c r="Q211" s="1">
        <f t="shared" si="32"/>
        <v>95.249060975609765</v>
      </c>
      <c r="R211" s="1">
        <f t="shared" si="33"/>
        <v>96.780238605077997</v>
      </c>
      <c r="S211" s="1">
        <f t="shared" si="34"/>
        <v>80.349585720130932</v>
      </c>
    </row>
    <row r="212" spans="1:19" x14ac:dyDescent="0.3">
      <c r="A212">
        <v>4738.3999999999996</v>
      </c>
      <c r="B212">
        <v>91.763799000000006</v>
      </c>
      <c r="C212">
        <v>92.929192999999998</v>
      </c>
      <c r="D212">
        <v>94.089132000000006</v>
      </c>
      <c r="E212">
        <v>77.779546999999994</v>
      </c>
      <c r="F212">
        <v>61.354291000000003</v>
      </c>
      <c r="G212">
        <v>39.987281000000003</v>
      </c>
      <c r="H212">
        <v>40.618105999999997</v>
      </c>
      <c r="I212"/>
      <c r="N212"/>
      <c r="O212"/>
      <c r="P212" s="1">
        <f t="shared" si="31"/>
        <v>94.015495934959361</v>
      </c>
      <c r="Q212" s="1">
        <f t="shared" si="32"/>
        <v>95.249060975609765</v>
      </c>
      <c r="R212" s="1">
        <f t="shared" si="33"/>
        <v>96.780238605077997</v>
      </c>
      <c r="S212" s="1">
        <f t="shared" si="34"/>
        <v>80.349585720130932</v>
      </c>
    </row>
    <row r="213" spans="1:19" x14ac:dyDescent="0.3">
      <c r="A213">
        <v>4738.6000000000004</v>
      </c>
      <c r="B213">
        <v>91.762265999999997</v>
      </c>
      <c r="C213">
        <v>92.928336000000002</v>
      </c>
      <c r="D213">
        <v>94.118972999999997</v>
      </c>
      <c r="E213">
        <v>77.689318</v>
      </c>
      <c r="F213">
        <v>61.660170000000001</v>
      </c>
      <c r="G213">
        <v>39.987281000000003</v>
      </c>
      <c r="H213">
        <v>40.618105999999997</v>
      </c>
      <c r="I213"/>
      <c r="N213"/>
      <c r="O213"/>
      <c r="P213" s="1">
        <f t="shared" si="31"/>
        <v>94.042192073170739</v>
      </c>
      <c r="Q213" s="1">
        <f t="shared" si="32"/>
        <v>95.184085365853662</v>
      </c>
      <c r="R213" s="1">
        <f t="shared" si="33"/>
        <v>96.754723156928719</v>
      </c>
      <c r="S213" s="1">
        <f t="shared" si="34"/>
        <v>80.390173895253682</v>
      </c>
    </row>
    <row r="214" spans="1:19" x14ac:dyDescent="0.3">
      <c r="A214">
        <v>4738.8</v>
      </c>
      <c r="B214">
        <v>91.762265999999997</v>
      </c>
      <c r="C214">
        <v>92.928336000000002</v>
      </c>
      <c r="D214">
        <v>94.118972999999997</v>
      </c>
      <c r="E214">
        <v>77.689318</v>
      </c>
      <c r="F214">
        <v>61.660170000000001</v>
      </c>
      <c r="G214">
        <v>39.982557999999997</v>
      </c>
      <c r="H214">
        <v>40.613618000000002</v>
      </c>
      <c r="I214"/>
      <c r="N214"/>
      <c r="O214"/>
      <c r="P214" s="1">
        <f t="shared" si="31"/>
        <v>94.042192073170739</v>
      </c>
      <c r="Q214" s="1">
        <f t="shared" si="32"/>
        <v>95.184085365853662</v>
      </c>
      <c r="R214" s="1">
        <f t="shared" si="33"/>
        <v>96.754723156928719</v>
      </c>
      <c r="S214" s="1">
        <f t="shared" si="34"/>
        <v>80.390173895253682</v>
      </c>
    </row>
    <row r="215" spans="1:19" x14ac:dyDescent="0.3">
      <c r="A215">
        <v>4739</v>
      </c>
      <c r="B215">
        <v>91.761624999999995</v>
      </c>
      <c r="C215">
        <v>92.926333</v>
      </c>
      <c r="D215">
        <v>94.097571000000002</v>
      </c>
      <c r="E215">
        <v>77.524705999999995</v>
      </c>
      <c r="F215">
        <v>61.798996000000002</v>
      </c>
      <c r="G215">
        <v>39.982557999999997</v>
      </c>
      <c r="H215">
        <v>40.613618000000002</v>
      </c>
      <c r="I215" t="s">
        <v>60</v>
      </c>
      <c r="N215"/>
      <c r="O215"/>
      <c r="P215" s="1">
        <f t="shared" si="31"/>
        <v>94.015280487804887</v>
      </c>
      <c r="Q215" s="1">
        <f t="shared" si="32"/>
        <v>95.233861788617887</v>
      </c>
      <c r="R215" s="1">
        <f t="shared" si="33"/>
        <v>96.797511981237889</v>
      </c>
      <c r="S215" s="1">
        <f t="shared" si="34"/>
        <v>80.420865384615382</v>
      </c>
    </row>
    <row r="216" spans="1:19" x14ac:dyDescent="0.3">
      <c r="A216">
        <v>4739.2</v>
      </c>
      <c r="B216">
        <v>91.761624999999995</v>
      </c>
      <c r="C216">
        <v>92.926333</v>
      </c>
      <c r="D216">
        <v>94.097571000000002</v>
      </c>
      <c r="E216">
        <v>77.524705999999995</v>
      </c>
      <c r="F216">
        <v>61.798996000000002</v>
      </c>
      <c r="G216">
        <v>39.994295000000001</v>
      </c>
      <c r="H216">
        <v>40.620925</v>
      </c>
      <c r="I216"/>
      <c r="N216"/>
      <c r="O216"/>
      <c r="P216" s="1">
        <f t="shared" si="31"/>
        <v>94.015280487804887</v>
      </c>
      <c r="Q216" s="1">
        <f t="shared" si="32"/>
        <v>95.233861788617887</v>
      </c>
      <c r="R216" s="1">
        <f t="shared" si="33"/>
        <v>96.797511981237889</v>
      </c>
      <c r="S216" s="1">
        <f t="shared" si="34"/>
        <v>80.420865384615382</v>
      </c>
    </row>
    <row r="217" spans="1:19" x14ac:dyDescent="0.3">
      <c r="A217">
        <v>4739.3999999999996</v>
      </c>
      <c r="B217">
        <v>91.766892999999996</v>
      </c>
      <c r="C217">
        <v>92.918232000000003</v>
      </c>
      <c r="D217">
        <v>94.112080000000006</v>
      </c>
      <c r="E217">
        <v>77.233333000000002</v>
      </c>
      <c r="F217">
        <v>61.747061000000002</v>
      </c>
      <c r="G217">
        <v>39.994295000000001</v>
      </c>
      <c r="H217">
        <v>40.620925</v>
      </c>
      <c r="I217"/>
      <c r="N217"/>
      <c r="O217"/>
      <c r="P217" s="1">
        <f t="shared" si="31"/>
        <v>94.019561991869921</v>
      </c>
      <c r="Q217" s="1">
        <f t="shared" si="32"/>
        <v>95.224093495934966</v>
      </c>
      <c r="R217" s="1">
        <f t="shared" si="33"/>
        <v>96.745877434485564</v>
      </c>
      <c r="S217" s="1">
        <f t="shared" si="34"/>
        <v>80.472566489361711</v>
      </c>
    </row>
    <row r="218" spans="1:19" x14ac:dyDescent="0.3">
      <c r="A218">
        <v>4739.6000000000004</v>
      </c>
      <c r="B218">
        <v>91.766892999999996</v>
      </c>
      <c r="C218">
        <v>92.918232000000003</v>
      </c>
      <c r="D218">
        <v>94.112080000000006</v>
      </c>
      <c r="E218">
        <v>77.233333000000002</v>
      </c>
      <c r="F218">
        <v>61.747061000000002</v>
      </c>
      <c r="G218">
        <v>39.972335000000001</v>
      </c>
      <c r="H218">
        <v>40.620395000000002</v>
      </c>
      <c r="I218"/>
      <c r="N218"/>
      <c r="O218"/>
      <c r="P218" s="1">
        <f t="shared" si="31"/>
        <v>94.019561991869921</v>
      </c>
      <c r="Q218" s="1">
        <f t="shared" si="32"/>
        <v>95.224093495934966</v>
      </c>
      <c r="R218" s="1">
        <f t="shared" si="33"/>
        <v>96.745877434485564</v>
      </c>
      <c r="S218" s="1">
        <f t="shared" si="34"/>
        <v>80.472566489361711</v>
      </c>
    </row>
    <row r="219" spans="1:19" x14ac:dyDescent="0.3">
      <c r="A219">
        <v>4739.8</v>
      </c>
      <c r="B219">
        <v>91.755128999999997</v>
      </c>
      <c r="C219">
        <v>92.929118000000003</v>
      </c>
      <c r="D219">
        <v>94.117946000000003</v>
      </c>
      <c r="E219">
        <v>77.086831000000004</v>
      </c>
      <c r="F219">
        <v>61.129941000000002</v>
      </c>
      <c r="G219">
        <v>39.972335000000001</v>
      </c>
      <c r="H219">
        <v>40.620395000000002</v>
      </c>
      <c r="I219"/>
      <c r="N219"/>
      <c r="O219"/>
      <c r="P219" s="1">
        <f t="shared" si="31"/>
        <v>94.019444105691065</v>
      </c>
      <c r="Q219" s="1">
        <f t="shared" si="32"/>
        <v>95.224435975609765</v>
      </c>
      <c r="R219" s="1">
        <f t="shared" si="33"/>
        <v>96.771073722851014</v>
      </c>
      <c r="S219" s="1">
        <f t="shared" si="34"/>
        <v>80.45869987725041</v>
      </c>
    </row>
    <row r="220" spans="1:19" x14ac:dyDescent="0.3">
      <c r="A220">
        <v>4740</v>
      </c>
      <c r="B220">
        <v>91.755128999999997</v>
      </c>
      <c r="C220">
        <v>92.929118000000003</v>
      </c>
      <c r="D220">
        <v>94.117946000000003</v>
      </c>
      <c r="E220">
        <v>77.086831000000004</v>
      </c>
      <c r="F220">
        <v>61.129941000000002</v>
      </c>
      <c r="G220">
        <v>39.980978999999998</v>
      </c>
      <c r="H220">
        <v>40.619722000000003</v>
      </c>
      <c r="I220" t="s">
        <v>60</v>
      </c>
      <c r="N220"/>
      <c r="O220"/>
      <c r="P220" s="1">
        <f t="shared" si="31"/>
        <v>94.019444105691065</v>
      </c>
      <c r="Q220" s="1">
        <f t="shared" si="32"/>
        <v>95.224435975609765</v>
      </c>
      <c r="R220" s="1">
        <f t="shared" si="33"/>
        <v>96.771073722851014</v>
      </c>
      <c r="S220" s="1">
        <f t="shared" si="34"/>
        <v>80.45869987725041</v>
      </c>
    </row>
    <row r="221" spans="1:19" x14ac:dyDescent="0.3">
      <c r="A221">
        <v>4740.2</v>
      </c>
      <c r="B221">
        <v>91.726725999999999</v>
      </c>
      <c r="C221">
        <v>92.924908000000002</v>
      </c>
      <c r="D221">
        <v>94.120527999999993</v>
      </c>
      <c r="E221">
        <v>77.012336000000005</v>
      </c>
      <c r="F221">
        <v>60.619152</v>
      </c>
      <c r="G221">
        <v>39.980978999999998</v>
      </c>
      <c r="H221">
        <v>40.619722000000003</v>
      </c>
      <c r="I221"/>
      <c r="N221"/>
      <c r="O221"/>
      <c r="P221" s="1">
        <f t="shared" si="31"/>
        <v>94.039332317073175</v>
      </c>
      <c r="Q221" s="1">
        <f t="shared" si="32"/>
        <v>95.241382113821146</v>
      </c>
      <c r="R221" s="1">
        <f t="shared" si="33"/>
        <v>96.76405730600591</v>
      </c>
      <c r="S221" s="1">
        <f t="shared" si="34"/>
        <v>80.479669599017996</v>
      </c>
    </row>
    <row r="222" spans="1:19" x14ac:dyDescent="0.3">
      <c r="A222">
        <v>4740.3999999999996</v>
      </c>
      <c r="B222">
        <v>91.726725999999999</v>
      </c>
      <c r="C222">
        <v>92.924908000000002</v>
      </c>
      <c r="D222">
        <v>94.120527999999993</v>
      </c>
      <c r="E222">
        <v>77.012336000000005</v>
      </c>
      <c r="F222">
        <v>60.619152</v>
      </c>
      <c r="G222">
        <v>40.020330000000001</v>
      </c>
      <c r="H222">
        <v>40.628556000000003</v>
      </c>
      <c r="I222"/>
      <c r="N222"/>
      <c r="O222"/>
      <c r="P222" s="1">
        <f t="shared" si="31"/>
        <v>94.039332317073175</v>
      </c>
      <c r="Q222" s="1">
        <f t="shared" si="32"/>
        <v>95.241382113821146</v>
      </c>
      <c r="R222" s="1">
        <f t="shared" si="33"/>
        <v>96.76405730600591</v>
      </c>
      <c r="S222" s="1">
        <f t="shared" si="34"/>
        <v>80.479669599017996</v>
      </c>
    </row>
    <row r="223" spans="1:19" x14ac:dyDescent="0.3">
      <c r="A223">
        <v>4740.6000000000004</v>
      </c>
      <c r="B223">
        <v>91.745756</v>
      </c>
      <c r="C223">
        <v>92.907016999999996</v>
      </c>
      <c r="D223">
        <v>94.102501000000004</v>
      </c>
      <c r="E223">
        <v>76.893642</v>
      </c>
      <c r="F223">
        <v>59.513849</v>
      </c>
      <c r="G223">
        <v>40.020330000000001</v>
      </c>
      <c r="H223">
        <v>40.628556000000003</v>
      </c>
      <c r="I223"/>
      <c r="N223"/>
      <c r="O223"/>
      <c r="P223" s="1">
        <f t="shared" si="31"/>
        <v>94.03247256097562</v>
      </c>
      <c r="Q223" s="1">
        <f t="shared" si="32"/>
        <v>95.217214430894316</v>
      </c>
      <c r="R223" s="1">
        <f t="shared" si="33"/>
        <v>96.772378913021313</v>
      </c>
      <c r="S223" s="1">
        <f t="shared" si="34"/>
        <v>80.473519844517185</v>
      </c>
    </row>
    <row r="224" spans="1:19" x14ac:dyDescent="0.3">
      <c r="A224">
        <v>4740.8</v>
      </c>
      <c r="B224">
        <v>91.745756</v>
      </c>
      <c r="C224">
        <v>92.907016999999996</v>
      </c>
      <c r="D224">
        <v>94.102501000000004</v>
      </c>
      <c r="E224">
        <v>76.893642</v>
      </c>
      <c r="F224">
        <v>59.513849</v>
      </c>
      <c r="G224">
        <v>39.990670999999999</v>
      </c>
      <c r="H224">
        <v>40.616373000000003</v>
      </c>
      <c r="I224"/>
      <c r="N224"/>
      <c r="O224"/>
      <c r="P224" s="1">
        <f t="shared" si="31"/>
        <v>94.03247256097562</v>
      </c>
      <c r="Q224" s="1">
        <f t="shared" si="32"/>
        <v>95.217214430894316</v>
      </c>
      <c r="R224" s="1">
        <f t="shared" si="33"/>
        <v>96.772378913021313</v>
      </c>
      <c r="S224" s="1">
        <f t="shared" si="34"/>
        <v>80.473519844517185</v>
      </c>
    </row>
    <row r="225" spans="1:19" x14ac:dyDescent="0.3">
      <c r="A225">
        <v>5597</v>
      </c>
      <c r="B225">
        <v>96.970222000000007</v>
      </c>
      <c r="C225">
        <v>98.497273000000007</v>
      </c>
      <c r="D225">
        <v>100.055723</v>
      </c>
      <c r="E225">
        <v>78.832008000000002</v>
      </c>
      <c r="F225">
        <v>59.899900000000002</v>
      </c>
      <c r="G225">
        <v>39.987439999999999</v>
      </c>
      <c r="H225">
        <v>40.792850000000001</v>
      </c>
      <c r="I225" t="s">
        <v>60</v>
      </c>
      <c r="N225"/>
      <c r="O225"/>
      <c r="P225" s="1">
        <f t="shared" si="31"/>
        <v>94.040520325203246</v>
      </c>
      <c r="Q225" s="1">
        <f t="shared" si="32"/>
        <v>95.237962398373995</v>
      </c>
      <c r="R225" s="1">
        <f t="shared" si="33"/>
        <v>96.773531151218506</v>
      </c>
      <c r="S225" s="1">
        <f t="shared" si="34"/>
        <v>80.467105155482813</v>
      </c>
    </row>
    <row r="226" spans="1:19" x14ac:dyDescent="0.3">
      <c r="A226">
        <v>5597.2</v>
      </c>
      <c r="B226">
        <v>96.988607999999999</v>
      </c>
      <c r="C226">
        <v>98.515714000000003</v>
      </c>
      <c r="D226">
        <v>100.06841900000001</v>
      </c>
      <c r="E226">
        <v>78.844802000000001</v>
      </c>
      <c r="F226">
        <v>60.240322999999997</v>
      </c>
      <c r="G226">
        <v>39.957197999999998</v>
      </c>
      <c r="H226">
        <v>40.802897999999999</v>
      </c>
      <c r="I226"/>
      <c r="N226"/>
      <c r="O226"/>
      <c r="P226" s="1">
        <f t="shared" si="31"/>
        <v>94.040520325203246</v>
      </c>
      <c r="Q226" s="1">
        <f t="shared" si="32"/>
        <v>95.237962398373995</v>
      </c>
      <c r="R226" s="1">
        <f t="shared" si="33"/>
        <v>96.773531151218506</v>
      </c>
      <c r="S226" s="1">
        <f t="shared" si="34"/>
        <v>80.467105155482813</v>
      </c>
    </row>
    <row r="227" spans="1:19" x14ac:dyDescent="0.3">
      <c r="A227">
        <v>5597.4</v>
      </c>
      <c r="B227">
        <v>96.988607999999999</v>
      </c>
      <c r="C227">
        <v>98.515714000000003</v>
      </c>
      <c r="D227">
        <v>100.06841900000001</v>
      </c>
      <c r="E227">
        <v>78.844802000000001</v>
      </c>
      <c r="F227">
        <v>60.240322999999997</v>
      </c>
      <c r="G227">
        <v>39.957197999999998</v>
      </c>
      <c r="H227">
        <v>40.802897999999999</v>
      </c>
      <c r="I227"/>
      <c r="N227"/>
      <c r="O227"/>
      <c r="P227" s="1">
        <f t="shared" si="31"/>
        <v>94.033174796747971</v>
      </c>
      <c r="Q227" s="1">
        <f t="shared" si="32"/>
        <v>95.236130081300828</v>
      </c>
      <c r="R227" s="1">
        <f t="shared" si="33"/>
        <v>96.766868563271117</v>
      </c>
      <c r="S227" s="1">
        <f t="shared" si="34"/>
        <v>80.492093903436981</v>
      </c>
    </row>
    <row r="228" spans="1:19" x14ac:dyDescent="0.3">
      <c r="A228">
        <v>5597.6</v>
      </c>
      <c r="B228">
        <v>96.969718</v>
      </c>
      <c r="C228">
        <v>98.523825000000002</v>
      </c>
      <c r="D228">
        <v>100.067893</v>
      </c>
      <c r="E228">
        <v>78.791407000000007</v>
      </c>
      <c r="F228">
        <v>60.266221999999999</v>
      </c>
      <c r="G228">
        <v>39.973205</v>
      </c>
      <c r="H228">
        <v>40.797711999999997</v>
      </c>
      <c r="I228"/>
      <c r="N228"/>
      <c r="O228"/>
      <c r="P228" s="1">
        <f t="shared" si="31"/>
        <v>94.033174796747971</v>
      </c>
      <c r="Q228" s="1">
        <f t="shared" si="32"/>
        <v>95.236130081300828</v>
      </c>
      <c r="R228" s="1">
        <f t="shared" si="33"/>
        <v>96.766868563271117</v>
      </c>
      <c r="S228" s="1">
        <f t="shared" si="34"/>
        <v>80.492093903436981</v>
      </c>
    </row>
    <row r="229" spans="1:19" x14ac:dyDescent="0.3">
      <c r="A229">
        <v>5597.8</v>
      </c>
      <c r="B229">
        <v>96.969718</v>
      </c>
      <c r="C229">
        <v>98.523825000000002</v>
      </c>
      <c r="D229">
        <v>100.067893</v>
      </c>
      <c r="E229">
        <v>78.791407000000007</v>
      </c>
      <c r="F229">
        <v>60.266221999999999</v>
      </c>
      <c r="G229">
        <v>39.973205</v>
      </c>
      <c r="H229">
        <v>40.797711999999997</v>
      </c>
      <c r="I229"/>
      <c r="N229"/>
      <c r="O229"/>
      <c r="P229" s="1">
        <f t="shared" si="31"/>
        <v>94.055181910569118</v>
      </c>
      <c r="Q229" s="1">
        <f t="shared" si="32"/>
        <v>95.239525406504072</v>
      </c>
      <c r="R229" s="1">
        <f t="shared" si="33"/>
        <v>96.76703579076171</v>
      </c>
      <c r="S229" s="1">
        <f t="shared" si="34"/>
        <v>80.506697013093287</v>
      </c>
    </row>
    <row r="230" spans="1:19" x14ac:dyDescent="0.3">
      <c r="A230">
        <v>5598</v>
      </c>
      <c r="B230">
        <v>96.995643999999999</v>
      </c>
      <c r="C230">
        <v>98.517995999999997</v>
      </c>
      <c r="D230">
        <v>100.055076</v>
      </c>
      <c r="E230">
        <v>78.792160999999993</v>
      </c>
      <c r="F230">
        <v>60.299892</v>
      </c>
      <c r="G230">
        <v>39.970526</v>
      </c>
      <c r="H230">
        <v>40.810862999999998</v>
      </c>
      <c r="I230" t="s">
        <v>60</v>
      </c>
      <c r="N230"/>
      <c r="O230"/>
      <c r="P230" s="1">
        <f t="shared" si="31"/>
        <v>94.055181910569118</v>
      </c>
      <c r="Q230" s="1">
        <f t="shared" si="32"/>
        <v>95.239525406504072</v>
      </c>
      <c r="R230" s="1">
        <f t="shared" si="33"/>
        <v>96.76703579076171</v>
      </c>
      <c r="S230" s="1">
        <f t="shared" si="34"/>
        <v>80.506697013093287</v>
      </c>
    </row>
    <row r="231" spans="1:19" x14ac:dyDescent="0.3">
      <c r="A231">
        <v>5598.2</v>
      </c>
      <c r="B231">
        <v>96.995643999999999</v>
      </c>
      <c r="C231">
        <v>98.517995999999997</v>
      </c>
      <c r="D231">
        <v>100.055076</v>
      </c>
      <c r="E231">
        <v>78.792160999999993</v>
      </c>
      <c r="F231">
        <v>60.299892</v>
      </c>
      <c r="G231">
        <v>39.970526</v>
      </c>
      <c r="H231">
        <v>40.810862999999998</v>
      </c>
      <c r="I231"/>
      <c r="N231"/>
      <c r="O231"/>
      <c r="P231" s="1">
        <f t="shared" si="31"/>
        <v>94.05362398373984</v>
      </c>
      <c r="Q231" s="1">
        <f t="shared" si="32"/>
        <v>95.23865447154472</v>
      </c>
      <c r="R231" s="1">
        <f t="shared" si="33"/>
        <v>96.797464056286316</v>
      </c>
      <c r="S231" s="1">
        <f t="shared" si="34"/>
        <v>80.414400572831426</v>
      </c>
    </row>
    <row r="232" spans="1:19" x14ac:dyDescent="0.3">
      <c r="A232">
        <v>5598.4</v>
      </c>
      <c r="B232">
        <v>96.974377000000004</v>
      </c>
      <c r="C232">
        <v>98.500076000000007</v>
      </c>
      <c r="D232">
        <v>100.06394400000001</v>
      </c>
      <c r="E232">
        <v>78.800044</v>
      </c>
      <c r="F232">
        <v>60.292015999999997</v>
      </c>
      <c r="G232">
        <v>39.974874999999997</v>
      </c>
      <c r="H232">
        <v>40.815907000000003</v>
      </c>
      <c r="I232"/>
      <c r="N232"/>
      <c r="O232"/>
      <c r="P232" s="1">
        <f t="shared" si="31"/>
        <v>94.05362398373984</v>
      </c>
      <c r="Q232" s="1">
        <f t="shared" si="32"/>
        <v>95.23865447154472</v>
      </c>
      <c r="R232" s="1">
        <f t="shared" si="33"/>
        <v>96.797464056286316</v>
      </c>
      <c r="S232" s="1">
        <f t="shared" si="34"/>
        <v>80.414400572831426</v>
      </c>
    </row>
    <row r="233" spans="1:19" x14ac:dyDescent="0.3">
      <c r="A233">
        <v>5598.6</v>
      </c>
      <c r="B233">
        <v>96.974377000000004</v>
      </c>
      <c r="C233">
        <v>98.500076000000007</v>
      </c>
      <c r="D233">
        <v>100.06394400000001</v>
      </c>
      <c r="E233">
        <v>78.800044</v>
      </c>
      <c r="F233">
        <v>60.292015999999997</v>
      </c>
      <c r="G233">
        <v>39.974874999999997</v>
      </c>
      <c r="H233">
        <v>40.815907000000003</v>
      </c>
      <c r="I233"/>
      <c r="N233"/>
      <c r="O233"/>
      <c r="P233" s="1">
        <f t="shared" si="31"/>
        <v>94.052972560975604</v>
      </c>
      <c r="Q233" s="1">
        <f t="shared" si="32"/>
        <v>95.236618902439034</v>
      </c>
      <c r="R233" s="1">
        <f t="shared" si="33"/>
        <v>96.775640868767212</v>
      </c>
      <c r="S233" s="1">
        <f t="shared" si="34"/>
        <v>80.246016775777406</v>
      </c>
    </row>
    <row r="234" spans="1:19" x14ac:dyDescent="0.3">
      <c r="A234">
        <v>5598.8</v>
      </c>
      <c r="B234">
        <v>96.967635000000001</v>
      </c>
      <c r="C234">
        <v>98.513551000000007</v>
      </c>
      <c r="D234">
        <v>100.071471</v>
      </c>
      <c r="E234">
        <v>78.787779999999998</v>
      </c>
      <c r="F234">
        <v>60.134357000000001</v>
      </c>
      <c r="G234">
        <v>39.974435</v>
      </c>
      <c r="H234">
        <v>40.823613999999999</v>
      </c>
      <c r="I234"/>
      <c r="N234"/>
      <c r="O234"/>
      <c r="P234" s="1">
        <f t="shared" si="31"/>
        <v>94.052972560975604</v>
      </c>
      <c r="Q234" s="1">
        <f t="shared" si="32"/>
        <v>95.236618902439034</v>
      </c>
      <c r="R234" s="1">
        <f t="shared" si="33"/>
        <v>96.775640868767212</v>
      </c>
      <c r="S234" s="1">
        <f t="shared" si="34"/>
        <v>80.246016775777406</v>
      </c>
    </row>
    <row r="235" spans="1:19" x14ac:dyDescent="0.3">
      <c r="A235">
        <v>5599</v>
      </c>
      <c r="B235">
        <v>96.967635000000001</v>
      </c>
      <c r="C235">
        <v>98.513551000000007</v>
      </c>
      <c r="D235">
        <v>100.071471</v>
      </c>
      <c r="E235">
        <v>78.787779999999998</v>
      </c>
      <c r="F235">
        <v>60.134357000000001</v>
      </c>
      <c r="G235">
        <v>39.974435</v>
      </c>
      <c r="H235">
        <v>40.823613999999999</v>
      </c>
      <c r="I235" t="s">
        <v>60</v>
      </c>
      <c r="N235"/>
      <c r="O235"/>
      <c r="P235" s="1">
        <f t="shared" si="31"/>
        <v>94.058326219512196</v>
      </c>
      <c r="Q235" s="1">
        <f t="shared" si="32"/>
        <v>95.228386178861797</v>
      </c>
      <c r="R235" s="1">
        <f t="shared" si="33"/>
        <v>96.790435403283368</v>
      </c>
      <c r="S235" s="1">
        <f t="shared" si="34"/>
        <v>79.947967471358425</v>
      </c>
    </row>
    <row r="236" spans="1:19" x14ac:dyDescent="0.3">
      <c r="A236">
        <v>5599.2</v>
      </c>
      <c r="B236">
        <v>96.974186000000003</v>
      </c>
      <c r="C236">
        <v>98.513071999999994</v>
      </c>
      <c r="D236">
        <v>100.07438999999999</v>
      </c>
      <c r="E236">
        <v>78.756615999999994</v>
      </c>
      <c r="F236">
        <v>60.106399000000003</v>
      </c>
      <c r="G236">
        <v>39.987879999999997</v>
      </c>
      <c r="H236">
        <v>40.822384999999997</v>
      </c>
      <c r="I236"/>
      <c r="N236"/>
      <c r="O236"/>
      <c r="P236" s="1">
        <f t="shared" ref="P236:P299" si="35">(B218+Q$36)/P$36</f>
        <v>94.058326219512196</v>
      </c>
      <c r="Q236" s="1">
        <f t="shared" ref="Q236:Q299" si="36">(C218+Q$36)/P$36</f>
        <v>95.228386178861797</v>
      </c>
      <c r="R236" s="1">
        <f t="shared" ref="R236:R299" si="37">(D218+Q$38)/P$38</f>
        <v>96.790435403283368</v>
      </c>
      <c r="S236" s="1">
        <f t="shared" ref="S236:S299" si="38">(E218+Q$39)/P$39</f>
        <v>79.947967471358425</v>
      </c>
    </row>
    <row r="237" spans="1:19" x14ac:dyDescent="0.3">
      <c r="A237">
        <v>5599.4</v>
      </c>
      <c r="B237">
        <v>96.974186000000003</v>
      </c>
      <c r="C237">
        <v>98.513071999999994</v>
      </c>
      <c r="D237">
        <v>100.07438999999999</v>
      </c>
      <c r="E237">
        <v>78.756615999999994</v>
      </c>
      <c r="F237">
        <v>60.106399000000003</v>
      </c>
      <c r="G237">
        <v>39.987879999999997</v>
      </c>
      <c r="H237">
        <v>40.822384999999997</v>
      </c>
      <c r="I237"/>
      <c r="N237"/>
      <c r="O237"/>
      <c r="P237" s="1">
        <f t="shared" si="35"/>
        <v>94.046370934959356</v>
      </c>
      <c r="Q237" s="1">
        <f t="shared" si="36"/>
        <v>95.239449186991877</v>
      </c>
      <c r="R237" s="1">
        <f t="shared" si="37"/>
        <v>96.796416845110642</v>
      </c>
      <c r="S237" s="1">
        <f t="shared" si="38"/>
        <v>79.798108633387884</v>
      </c>
    </row>
    <row r="238" spans="1:19" x14ac:dyDescent="0.3">
      <c r="A238">
        <v>5599.6</v>
      </c>
      <c r="B238">
        <v>96.958393999999998</v>
      </c>
      <c r="C238">
        <v>98.504281000000006</v>
      </c>
      <c r="D238">
        <v>100.073561</v>
      </c>
      <c r="E238">
        <v>78.783575999999996</v>
      </c>
      <c r="F238">
        <v>60.069426999999997</v>
      </c>
      <c r="G238">
        <v>39.969310999999998</v>
      </c>
      <c r="H238">
        <v>40.808717000000001</v>
      </c>
      <c r="I238"/>
      <c r="N238"/>
      <c r="O238"/>
      <c r="P238" s="1">
        <f t="shared" si="35"/>
        <v>94.046370934959356</v>
      </c>
      <c r="Q238" s="1">
        <f t="shared" si="36"/>
        <v>95.239449186991877</v>
      </c>
      <c r="R238" s="1">
        <f t="shared" si="37"/>
        <v>96.796416845110642</v>
      </c>
      <c r="S238" s="1">
        <f t="shared" si="38"/>
        <v>79.798108633387884</v>
      </c>
    </row>
    <row r="239" spans="1:19" x14ac:dyDescent="0.3">
      <c r="A239">
        <v>5599.8</v>
      </c>
      <c r="B239">
        <v>96.958393999999998</v>
      </c>
      <c r="C239">
        <v>98.504281000000006</v>
      </c>
      <c r="D239">
        <v>100.073561</v>
      </c>
      <c r="E239">
        <v>78.783575999999996</v>
      </c>
      <c r="F239">
        <v>60.069426999999997</v>
      </c>
      <c r="G239">
        <v>39.969310999999998</v>
      </c>
      <c r="H239">
        <v>40.808717000000001</v>
      </c>
      <c r="I239"/>
      <c r="N239"/>
      <c r="O239"/>
      <c r="P239" s="1">
        <f t="shared" si="35"/>
        <v>94.017506097560982</v>
      </c>
      <c r="Q239" s="1">
        <f t="shared" si="36"/>
        <v>95.235170731707328</v>
      </c>
      <c r="R239" s="1">
        <f t="shared" si="37"/>
        <v>96.799049658407256</v>
      </c>
      <c r="S239" s="1">
        <f t="shared" si="38"/>
        <v>79.721906710310975</v>
      </c>
    </row>
    <row r="240" spans="1:19" x14ac:dyDescent="0.3">
      <c r="A240">
        <v>5600</v>
      </c>
      <c r="B240">
        <v>96.978030000000004</v>
      </c>
      <c r="C240">
        <v>98.543757999999997</v>
      </c>
      <c r="D240">
        <v>100.051749</v>
      </c>
      <c r="E240">
        <v>78.752348999999995</v>
      </c>
      <c r="F240">
        <v>60.127707999999998</v>
      </c>
      <c r="G240">
        <v>39.965338000000003</v>
      </c>
      <c r="H240">
        <v>40.815686999999997</v>
      </c>
      <c r="I240" t="s">
        <v>60</v>
      </c>
      <c r="N240"/>
      <c r="O240"/>
      <c r="P240" s="1">
        <f t="shared" si="35"/>
        <v>94.017506097560982</v>
      </c>
      <c r="Q240" s="1">
        <f t="shared" si="36"/>
        <v>95.235170731707328</v>
      </c>
      <c r="R240" s="1">
        <f t="shared" si="37"/>
        <v>96.799049658407256</v>
      </c>
      <c r="S240" s="1">
        <f t="shared" si="38"/>
        <v>79.721906710310975</v>
      </c>
    </row>
    <row r="241" spans="1:19" x14ac:dyDescent="0.3">
      <c r="A241">
        <v>5600.2</v>
      </c>
      <c r="B241">
        <v>96.978030000000004</v>
      </c>
      <c r="C241">
        <v>98.543757999999997</v>
      </c>
      <c r="D241">
        <v>100.051749</v>
      </c>
      <c r="E241">
        <v>78.752348999999995</v>
      </c>
      <c r="F241">
        <v>60.127707999999998</v>
      </c>
      <c r="G241">
        <v>39.965338000000003</v>
      </c>
      <c r="H241">
        <v>40.815686999999997</v>
      </c>
      <c r="I241"/>
      <c r="N241"/>
      <c r="O241"/>
      <c r="P241" s="1">
        <f t="shared" si="35"/>
        <v>94.036845528455288</v>
      </c>
      <c r="Q241" s="1">
        <f t="shared" si="36"/>
        <v>95.216988821138216</v>
      </c>
      <c r="R241" s="1">
        <f t="shared" si="37"/>
        <v>96.780667890282444</v>
      </c>
      <c r="S241" s="1">
        <f t="shared" si="38"/>
        <v>79.600493044189847</v>
      </c>
    </row>
    <row r="242" spans="1:19" x14ac:dyDescent="0.3">
      <c r="A242">
        <v>5600.4</v>
      </c>
      <c r="B242">
        <v>96.979275000000001</v>
      </c>
      <c r="C242">
        <v>98.510446000000002</v>
      </c>
      <c r="D242">
        <v>100.06702300000001</v>
      </c>
      <c r="E242">
        <v>78.797492000000005</v>
      </c>
      <c r="F242">
        <v>59.952069000000002</v>
      </c>
      <c r="G242">
        <v>39.988100000000003</v>
      </c>
      <c r="H242">
        <v>40.800027</v>
      </c>
      <c r="I242"/>
      <c r="N242"/>
      <c r="O242"/>
      <c r="P242" s="1">
        <f t="shared" si="35"/>
        <v>94.036845528455288</v>
      </c>
      <c r="Q242" s="1">
        <f t="shared" si="36"/>
        <v>95.216988821138216</v>
      </c>
      <c r="R242" s="1">
        <f t="shared" si="37"/>
        <v>96.780667890282444</v>
      </c>
      <c r="S242" s="1">
        <f t="shared" si="38"/>
        <v>79.600493044189847</v>
      </c>
    </row>
    <row r="243" spans="1:19" x14ac:dyDescent="0.3">
      <c r="A243">
        <v>5600.6</v>
      </c>
      <c r="B243">
        <v>96.979275000000001</v>
      </c>
      <c r="C243">
        <v>98.510446000000002</v>
      </c>
      <c r="D243">
        <v>100.06702300000001</v>
      </c>
      <c r="E243">
        <v>78.797492000000005</v>
      </c>
      <c r="F243">
        <v>59.952069000000002</v>
      </c>
      <c r="G243">
        <v>39.988100000000003</v>
      </c>
      <c r="H243">
        <v>40.800027</v>
      </c>
      <c r="I243"/>
      <c r="N243"/>
      <c r="O243"/>
      <c r="P243" s="1">
        <f t="shared" si="35"/>
        <v>99.346262195121966</v>
      </c>
      <c r="Q243" s="1">
        <f t="shared" si="36"/>
        <v>100.89814329268295</v>
      </c>
      <c r="R243" s="1">
        <f t="shared" si="37"/>
        <v>102.85104823085551</v>
      </c>
      <c r="S243" s="1">
        <f t="shared" si="38"/>
        <v>81.583273322422258</v>
      </c>
    </row>
    <row r="244" spans="1:19" x14ac:dyDescent="0.3">
      <c r="A244">
        <v>5600.8</v>
      </c>
      <c r="B244">
        <v>96.958433999999997</v>
      </c>
      <c r="C244">
        <v>98.517964000000006</v>
      </c>
      <c r="D244">
        <v>100.069754</v>
      </c>
      <c r="E244">
        <v>78.840074000000001</v>
      </c>
      <c r="F244">
        <v>60.079951000000001</v>
      </c>
      <c r="G244">
        <v>39.988424000000002</v>
      </c>
      <c r="H244">
        <v>40.801048999999999</v>
      </c>
      <c r="I244"/>
      <c r="N244"/>
      <c r="O244"/>
      <c r="P244" s="1">
        <f t="shared" si="35"/>
        <v>99.364947154471551</v>
      </c>
      <c r="Q244" s="1">
        <f t="shared" si="36"/>
        <v>100.91688414634147</v>
      </c>
      <c r="R244" s="1">
        <f t="shared" si="37"/>
        <v>102.86399408585704</v>
      </c>
      <c r="S244" s="1">
        <f t="shared" si="38"/>
        <v>81.596360474631751</v>
      </c>
    </row>
    <row r="245" spans="1:19" x14ac:dyDescent="0.3">
      <c r="A245">
        <v>5601</v>
      </c>
      <c r="B245">
        <v>96.958433999999997</v>
      </c>
      <c r="C245">
        <v>98.517964000000006</v>
      </c>
      <c r="D245">
        <v>100.069754</v>
      </c>
      <c r="E245">
        <v>78.840074000000001</v>
      </c>
      <c r="F245">
        <v>60.079951000000001</v>
      </c>
      <c r="G245">
        <v>39.988424000000002</v>
      </c>
      <c r="H245">
        <v>40.801048999999999</v>
      </c>
      <c r="I245" t="s">
        <v>60</v>
      </c>
      <c r="N245"/>
      <c r="O245"/>
      <c r="P245" s="1">
        <f t="shared" si="35"/>
        <v>99.364947154471551</v>
      </c>
      <c r="Q245" s="1">
        <f t="shared" si="36"/>
        <v>100.91688414634147</v>
      </c>
      <c r="R245" s="1">
        <f t="shared" si="37"/>
        <v>102.86399408585704</v>
      </c>
      <c r="S245" s="1">
        <f t="shared" si="38"/>
        <v>81.596360474631751</v>
      </c>
    </row>
    <row r="246" spans="1:19" x14ac:dyDescent="0.3">
      <c r="A246">
        <v>5601.2</v>
      </c>
      <c r="B246">
        <v>96.984367000000006</v>
      </c>
      <c r="C246">
        <v>98.513733000000002</v>
      </c>
      <c r="D246">
        <v>100.068259</v>
      </c>
      <c r="E246">
        <v>78.710218999999995</v>
      </c>
      <c r="F246">
        <v>59.912864999999996</v>
      </c>
      <c r="G246">
        <v>39.963138000000001</v>
      </c>
      <c r="H246">
        <v>40.799523000000001</v>
      </c>
      <c r="I246"/>
      <c r="N246"/>
      <c r="O246"/>
      <c r="P246" s="1">
        <f t="shared" si="35"/>
        <v>99.34575000000001</v>
      </c>
      <c r="Q246" s="1">
        <f t="shared" si="36"/>
        <v>100.92512703252034</v>
      </c>
      <c r="R246" s="1">
        <f t="shared" si="37"/>
        <v>102.86345773427144</v>
      </c>
      <c r="S246" s="1">
        <f t="shared" si="38"/>
        <v>81.541742021276605</v>
      </c>
    </row>
    <row r="247" spans="1:19" x14ac:dyDescent="0.3">
      <c r="A247">
        <v>5601.4</v>
      </c>
      <c r="B247">
        <v>96.984367000000006</v>
      </c>
      <c r="C247">
        <v>98.513733000000002</v>
      </c>
      <c r="D247">
        <v>100.068259</v>
      </c>
      <c r="E247">
        <v>78.710218999999995</v>
      </c>
      <c r="F247">
        <v>59.912864999999996</v>
      </c>
      <c r="G247">
        <v>39.963138000000001</v>
      </c>
      <c r="H247">
        <v>40.799523000000001</v>
      </c>
      <c r="I247"/>
      <c r="N247"/>
      <c r="O247"/>
      <c r="P247" s="1">
        <f t="shared" si="35"/>
        <v>99.34575000000001</v>
      </c>
      <c r="Q247" s="1">
        <f t="shared" si="36"/>
        <v>100.92512703252034</v>
      </c>
      <c r="R247" s="1">
        <f t="shared" si="37"/>
        <v>102.86345773427144</v>
      </c>
      <c r="S247" s="1">
        <f t="shared" si="38"/>
        <v>81.541742021276605</v>
      </c>
    </row>
    <row r="248" spans="1:19" x14ac:dyDescent="0.3">
      <c r="A248">
        <v>5601.6</v>
      </c>
      <c r="B248">
        <v>96.970461999999998</v>
      </c>
      <c r="C248">
        <v>98.526162999999997</v>
      </c>
      <c r="D248">
        <v>100.064109</v>
      </c>
      <c r="E248">
        <v>78.746437999999998</v>
      </c>
      <c r="F248">
        <v>60.340477</v>
      </c>
      <c r="G248">
        <v>39.995075</v>
      </c>
      <c r="H248">
        <v>40.822127000000002</v>
      </c>
      <c r="I248"/>
      <c r="N248"/>
      <c r="O248"/>
      <c r="P248" s="1">
        <f t="shared" si="35"/>
        <v>99.372097560975618</v>
      </c>
      <c r="Q248" s="1">
        <f t="shared" si="36"/>
        <v>100.91920325203252</v>
      </c>
      <c r="R248" s="1">
        <f t="shared" si="37"/>
        <v>102.85038849801163</v>
      </c>
      <c r="S248" s="1">
        <f t="shared" si="38"/>
        <v>81.542513297872333</v>
      </c>
    </row>
    <row r="249" spans="1:19" x14ac:dyDescent="0.3">
      <c r="A249">
        <v>5601.8</v>
      </c>
      <c r="B249">
        <v>96.970461999999998</v>
      </c>
      <c r="C249">
        <v>98.526162999999997</v>
      </c>
      <c r="D249">
        <v>100.064109</v>
      </c>
      <c r="E249">
        <v>78.746437999999998</v>
      </c>
      <c r="F249">
        <v>60.340477</v>
      </c>
      <c r="G249">
        <v>39.995075</v>
      </c>
      <c r="H249">
        <v>40.822127000000002</v>
      </c>
      <c r="I249"/>
      <c r="N249"/>
      <c r="O249"/>
      <c r="P249" s="1">
        <f t="shared" si="35"/>
        <v>99.372097560975618</v>
      </c>
      <c r="Q249" s="1">
        <f t="shared" si="36"/>
        <v>100.91920325203252</v>
      </c>
      <c r="R249" s="1">
        <f t="shared" si="37"/>
        <v>102.85038849801163</v>
      </c>
      <c r="S249" s="1">
        <f t="shared" si="38"/>
        <v>81.542513297872333</v>
      </c>
    </row>
    <row r="250" spans="1:19" x14ac:dyDescent="0.3">
      <c r="A250">
        <v>5602</v>
      </c>
      <c r="B250">
        <v>96.964641999999998</v>
      </c>
      <c r="C250">
        <v>98.516232000000002</v>
      </c>
      <c r="D250">
        <v>100.050605</v>
      </c>
      <c r="E250">
        <v>78.713130000000007</v>
      </c>
      <c r="F250">
        <v>60.317993000000001</v>
      </c>
      <c r="G250">
        <v>39.977812</v>
      </c>
      <c r="H250">
        <v>40.805109000000002</v>
      </c>
      <c r="I250" t="s">
        <v>60</v>
      </c>
      <c r="N250"/>
      <c r="O250"/>
      <c r="P250" s="1">
        <f t="shared" si="35"/>
        <v>99.350484756097572</v>
      </c>
      <c r="Q250" s="1">
        <f t="shared" si="36"/>
        <v>100.90099186991871</v>
      </c>
      <c r="R250" s="1">
        <f t="shared" si="37"/>
        <v>102.85943101866015</v>
      </c>
      <c r="S250" s="1">
        <f t="shared" si="38"/>
        <v>81.550576923076918</v>
      </c>
    </row>
    <row r="251" spans="1:19" x14ac:dyDescent="0.3">
      <c r="A251">
        <v>5602.2</v>
      </c>
      <c r="B251">
        <v>96.964641999999998</v>
      </c>
      <c r="C251">
        <v>98.516232000000002</v>
      </c>
      <c r="D251">
        <v>100.050605</v>
      </c>
      <c r="E251">
        <v>78.713130000000007</v>
      </c>
      <c r="F251">
        <v>60.317993000000001</v>
      </c>
      <c r="G251">
        <v>39.977812</v>
      </c>
      <c r="H251">
        <v>40.805109000000002</v>
      </c>
      <c r="I251"/>
      <c r="N251"/>
      <c r="O251"/>
      <c r="P251" s="1">
        <f t="shared" si="35"/>
        <v>99.350484756097572</v>
      </c>
      <c r="Q251" s="1">
        <f t="shared" si="36"/>
        <v>100.90099186991871</v>
      </c>
      <c r="R251" s="1">
        <f t="shared" si="37"/>
        <v>102.85943101866015</v>
      </c>
      <c r="S251" s="1">
        <f t="shared" si="38"/>
        <v>81.550576923076918</v>
      </c>
    </row>
    <row r="252" spans="1:19" x14ac:dyDescent="0.3">
      <c r="A252">
        <v>5602.4</v>
      </c>
      <c r="B252">
        <v>96.941935999999998</v>
      </c>
      <c r="C252">
        <v>98.506873999999996</v>
      </c>
      <c r="D252">
        <v>100.07048399999999</v>
      </c>
      <c r="E252">
        <v>78.717574999999997</v>
      </c>
      <c r="F252">
        <v>60.357790000000001</v>
      </c>
      <c r="G252">
        <v>39.970371999999998</v>
      </c>
      <c r="H252">
        <v>40.8277</v>
      </c>
      <c r="I252"/>
      <c r="N252"/>
      <c r="O252"/>
      <c r="P252" s="1">
        <f t="shared" si="35"/>
        <v>99.343633130081301</v>
      </c>
      <c r="Q252" s="1">
        <f t="shared" si="36"/>
        <v>100.91468597560977</v>
      </c>
      <c r="R252" s="1">
        <f t="shared" si="37"/>
        <v>102.86710614866932</v>
      </c>
      <c r="S252" s="1">
        <f t="shared" si="38"/>
        <v>81.538031914893608</v>
      </c>
    </row>
    <row r="253" spans="1:19" x14ac:dyDescent="0.3">
      <c r="A253">
        <v>5602.6</v>
      </c>
      <c r="B253">
        <v>96.941935999999998</v>
      </c>
      <c r="C253">
        <v>98.506873999999996</v>
      </c>
      <c r="D253">
        <v>100.07048399999999</v>
      </c>
      <c r="E253">
        <v>78.717574999999997</v>
      </c>
      <c r="F253">
        <v>60.357790000000001</v>
      </c>
      <c r="G253">
        <v>39.970371999999998</v>
      </c>
      <c r="H253">
        <v>40.8277</v>
      </c>
      <c r="I253"/>
      <c r="N253"/>
      <c r="O253"/>
      <c r="P253" s="1">
        <f t="shared" si="35"/>
        <v>99.343633130081301</v>
      </c>
      <c r="Q253" s="1">
        <f t="shared" si="36"/>
        <v>100.91468597560977</v>
      </c>
      <c r="R253" s="1">
        <f t="shared" si="37"/>
        <v>102.86710614866932</v>
      </c>
      <c r="S253" s="1">
        <f t="shared" si="38"/>
        <v>81.538031914893608</v>
      </c>
    </row>
    <row r="254" spans="1:19" x14ac:dyDescent="0.3">
      <c r="A254">
        <v>5602.8</v>
      </c>
      <c r="B254">
        <v>96.973398000000003</v>
      </c>
      <c r="C254">
        <v>98.499093999999999</v>
      </c>
      <c r="D254">
        <v>100.045089</v>
      </c>
      <c r="E254">
        <v>78.652332000000001</v>
      </c>
      <c r="F254">
        <v>60.252206000000001</v>
      </c>
      <c r="G254">
        <v>39.986884000000003</v>
      </c>
      <c r="H254">
        <v>40.810915999999999</v>
      </c>
      <c r="I254"/>
      <c r="N254"/>
      <c r="O254"/>
      <c r="P254" s="1">
        <f t="shared" si="35"/>
        <v>99.350290650406507</v>
      </c>
      <c r="Q254" s="1">
        <f t="shared" si="36"/>
        <v>100.91419918699187</v>
      </c>
      <c r="R254" s="1">
        <f t="shared" si="37"/>
        <v>102.87008259406545</v>
      </c>
      <c r="S254" s="1">
        <f t="shared" si="38"/>
        <v>81.506153846153836</v>
      </c>
    </row>
    <row r="255" spans="1:19" x14ac:dyDescent="0.3">
      <c r="A255">
        <v>5603</v>
      </c>
      <c r="B255">
        <v>96.973398000000003</v>
      </c>
      <c r="C255">
        <v>98.499093999999999</v>
      </c>
      <c r="D255">
        <v>100.045089</v>
      </c>
      <c r="E255">
        <v>78.652332000000001</v>
      </c>
      <c r="F255">
        <v>60.252206000000001</v>
      </c>
      <c r="G255">
        <v>39.986884000000003</v>
      </c>
      <c r="H255">
        <v>40.810915999999999</v>
      </c>
      <c r="I255" t="s">
        <v>60</v>
      </c>
      <c r="N255"/>
      <c r="O255"/>
      <c r="P255" s="1">
        <f t="shared" si="35"/>
        <v>99.350290650406507</v>
      </c>
      <c r="Q255" s="1">
        <f t="shared" si="36"/>
        <v>100.91419918699187</v>
      </c>
      <c r="R255" s="1">
        <f t="shared" si="37"/>
        <v>102.87008259406545</v>
      </c>
      <c r="S255" s="1">
        <f t="shared" si="38"/>
        <v>81.506153846153836</v>
      </c>
    </row>
    <row r="256" spans="1:19" x14ac:dyDescent="0.3">
      <c r="A256">
        <v>5603.2</v>
      </c>
      <c r="B256">
        <v>96.951179999999994</v>
      </c>
      <c r="C256">
        <v>98.512280000000004</v>
      </c>
      <c r="D256">
        <v>100.052102</v>
      </c>
      <c r="E256">
        <v>78.609987000000004</v>
      </c>
      <c r="F256">
        <v>60.146959000000003</v>
      </c>
      <c r="G256">
        <v>39.987039000000003</v>
      </c>
      <c r="H256">
        <v>40.821080000000002</v>
      </c>
      <c r="I256"/>
      <c r="N256"/>
      <c r="O256"/>
      <c r="P256" s="1">
        <f t="shared" si="35"/>
        <v>99.334241869918699</v>
      </c>
      <c r="Q256" s="1">
        <f t="shared" si="36"/>
        <v>100.90526524390245</v>
      </c>
      <c r="R256" s="1">
        <f t="shared" si="37"/>
        <v>102.86923727949423</v>
      </c>
      <c r="S256" s="1">
        <f t="shared" si="38"/>
        <v>81.533731587561363</v>
      </c>
    </row>
    <row r="257" spans="1:19" x14ac:dyDescent="0.3">
      <c r="A257">
        <v>5603.4</v>
      </c>
      <c r="B257">
        <v>96.951179999999994</v>
      </c>
      <c r="C257">
        <v>98.512280000000004</v>
      </c>
      <c r="D257">
        <v>100.052102</v>
      </c>
      <c r="E257">
        <v>78.609987000000004</v>
      </c>
      <c r="F257">
        <v>60.146959000000003</v>
      </c>
      <c r="G257">
        <v>39.987039000000003</v>
      </c>
      <c r="H257">
        <v>40.821080000000002</v>
      </c>
      <c r="I257"/>
      <c r="N257"/>
      <c r="O257"/>
      <c r="P257" s="1">
        <f t="shared" si="35"/>
        <v>99.334241869918699</v>
      </c>
      <c r="Q257" s="1">
        <f t="shared" si="36"/>
        <v>100.90526524390245</v>
      </c>
      <c r="R257" s="1">
        <f t="shared" si="37"/>
        <v>102.86923727949423</v>
      </c>
      <c r="S257" s="1">
        <f t="shared" si="38"/>
        <v>81.533731587561363</v>
      </c>
    </row>
    <row r="258" spans="1:19" x14ac:dyDescent="0.3">
      <c r="A258">
        <v>5603.6</v>
      </c>
      <c r="B258">
        <v>96.919016999999997</v>
      </c>
      <c r="C258">
        <v>98.512761999999995</v>
      </c>
      <c r="D258">
        <v>100.051677</v>
      </c>
      <c r="E258">
        <v>78.660197999999994</v>
      </c>
      <c r="F258">
        <v>59.934475999999997</v>
      </c>
      <c r="G258">
        <v>39.987530999999997</v>
      </c>
      <c r="H258">
        <v>40.802484999999997</v>
      </c>
      <c r="I258"/>
      <c r="N258"/>
      <c r="O258"/>
      <c r="P258" s="1">
        <f t="shared" si="35"/>
        <v>99.354197154471549</v>
      </c>
      <c r="Q258" s="1">
        <f t="shared" si="36"/>
        <v>100.94538414634147</v>
      </c>
      <c r="R258" s="1">
        <f t="shared" si="37"/>
        <v>102.84699602324869</v>
      </c>
      <c r="S258" s="1">
        <f t="shared" si="38"/>
        <v>81.50178907528641</v>
      </c>
    </row>
    <row r="259" spans="1:19" x14ac:dyDescent="0.3">
      <c r="A259">
        <v>5603.8</v>
      </c>
      <c r="B259">
        <v>96.919016999999997</v>
      </c>
      <c r="C259">
        <v>98.512761999999995</v>
      </c>
      <c r="D259">
        <v>100.051677</v>
      </c>
      <c r="E259">
        <v>78.660197999999994</v>
      </c>
      <c r="F259">
        <v>59.934475999999997</v>
      </c>
      <c r="G259">
        <v>39.987530999999997</v>
      </c>
      <c r="H259">
        <v>40.802484999999997</v>
      </c>
      <c r="I259"/>
      <c r="N259"/>
      <c r="O259"/>
      <c r="P259" s="1">
        <f t="shared" si="35"/>
        <v>99.354197154471549</v>
      </c>
      <c r="Q259" s="1">
        <f t="shared" si="36"/>
        <v>100.94538414634147</v>
      </c>
      <c r="R259" s="1">
        <f t="shared" si="37"/>
        <v>102.84699602324869</v>
      </c>
      <c r="S259" s="1">
        <f t="shared" si="38"/>
        <v>81.50178907528641</v>
      </c>
    </row>
    <row r="260" spans="1:19" x14ac:dyDescent="0.3">
      <c r="A260">
        <v>5604</v>
      </c>
      <c r="B260">
        <v>96.950322</v>
      </c>
      <c r="C260">
        <v>98.515056999999999</v>
      </c>
      <c r="D260">
        <v>100.047172</v>
      </c>
      <c r="E260">
        <v>78.669853000000003</v>
      </c>
      <c r="F260">
        <v>59.918709999999997</v>
      </c>
      <c r="G260">
        <v>39.985396000000001</v>
      </c>
      <c r="H260">
        <v>40.788713000000001</v>
      </c>
      <c r="I260" t="s">
        <v>60</v>
      </c>
      <c r="N260"/>
      <c r="O260"/>
      <c r="P260" s="1">
        <f t="shared" si="35"/>
        <v>99.355462398373987</v>
      </c>
      <c r="Q260" s="1">
        <f t="shared" si="36"/>
        <v>100.91153048780488</v>
      </c>
      <c r="R260" s="1">
        <f t="shared" si="37"/>
        <v>102.86257061282757</v>
      </c>
      <c r="S260" s="1">
        <f t="shared" si="38"/>
        <v>81.54796644844518</v>
      </c>
    </row>
    <row r="261" spans="1:19" x14ac:dyDescent="0.3">
      <c r="A261">
        <v>5604.2</v>
      </c>
      <c r="B261">
        <v>96.950322</v>
      </c>
      <c r="C261">
        <v>98.515056999999999</v>
      </c>
      <c r="D261">
        <v>100.047172</v>
      </c>
      <c r="E261">
        <v>78.669853000000003</v>
      </c>
      <c r="F261">
        <v>59.918709999999997</v>
      </c>
      <c r="G261">
        <v>39.985396000000001</v>
      </c>
      <c r="H261">
        <v>40.788713000000001</v>
      </c>
      <c r="I261"/>
      <c r="N261"/>
      <c r="O261"/>
      <c r="P261" s="1">
        <f t="shared" si="35"/>
        <v>99.355462398373987</v>
      </c>
      <c r="Q261" s="1">
        <f t="shared" si="36"/>
        <v>100.91153048780488</v>
      </c>
      <c r="R261" s="1">
        <f t="shared" si="37"/>
        <v>102.86257061282757</v>
      </c>
      <c r="S261" s="1">
        <f t="shared" si="38"/>
        <v>81.54796644844518</v>
      </c>
    </row>
    <row r="262" spans="1:19" x14ac:dyDescent="0.3">
      <c r="A262">
        <v>5604.4</v>
      </c>
      <c r="B262">
        <v>96.946130999999994</v>
      </c>
      <c r="C262">
        <v>98.499257999999998</v>
      </c>
      <c r="D262">
        <v>100.04389399999999</v>
      </c>
      <c r="E262">
        <v>78.653165000000001</v>
      </c>
      <c r="F262">
        <v>59.639271999999998</v>
      </c>
      <c r="G262">
        <v>39.961948</v>
      </c>
      <c r="H262">
        <v>40.810903000000003</v>
      </c>
      <c r="I262"/>
      <c r="N262"/>
      <c r="O262"/>
      <c r="P262" s="1">
        <f t="shared" si="35"/>
        <v>99.334282520325203</v>
      </c>
      <c r="Q262" s="1">
        <f t="shared" si="36"/>
        <v>100.91917073170733</v>
      </c>
      <c r="R262" s="1">
        <f t="shared" si="37"/>
        <v>102.86535535841746</v>
      </c>
      <c r="S262" s="1">
        <f t="shared" si="38"/>
        <v>81.591524140752867</v>
      </c>
    </row>
    <row r="263" spans="1:19" x14ac:dyDescent="0.3">
      <c r="A263">
        <v>5604.6</v>
      </c>
      <c r="B263">
        <v>96.946130999999994</v>
      </c>
      <c r="C263">
        <v>98.499257999999998</v>
      </c>
      <c r="D263">
        <v>100.04389399999999</v>
      </c>
      <c r="E263">
        <v>78.653165000000001</v>
      </c>
      <c r="F263">
        <v>59.639271999999998</v>
      </c>
      <c r="G263">
        <v>39.961948</v>
      </c>
      <c r="H263">
        <v>40.810903000000003</v>
      </c>
      <c r="I263"/>
      <c r="N263"/>
      <c r="O263"/>
      <c r="P263" s="1">
        <f t="shared" si="35"/>
        <v>99.334282520325203</v>
      </c>
      <c r="Q263" s="1">
        <f t="shared" si="36"/>
        <v>100.91917073170733</v>
      </c>
      <c r="R263" s="1">
        <f t="shared" si="37"/>
        <v>102.86535535841746</v>
      </c>
      <c r="S263" s="1">
        <f t="shared" si="38"/>
        <v>81.591524140752867</v>
      </c>
    </row>
    <row r="264" spans="1:19" x14ac:dyDescent="0.3">
      <c r="A264">
        <v>5604.8</v>
      </c>
      <c r="B264">
        <v>96.941546000000002</v>
      </c>
      <c r="C264">
        <v>98.493977000000001</v>
      </c>
      <c r="D264">
        <v>100.04384400000001</v>
      </c>
      <c r="E264">
        <v>78.653115</v>
      </c>
      <c r="F264">
        <v>59.413701000000003</v>
      </c>
      <c r="G264">
        <v>39.953859999999999</v>
      </c>
      <c r="H264">
        <v>40.793976000000001</v>
      </c>
      <c r="I264"/>
      <c r="N264"/>
      <c r="O264"/>
      <c r="P264" s="1">
        <f t="shared" si="35"/>
        <v>99.360637195121967</v>
      </c>
      <c r="Q264" s="1">
        <f t="shared" si="36"/>
        <v>100.91487093495935</v>
      </c>
      <c r="R264" s="1">
        <f t="shared" si="37"/>
        <v>102.86383093708575</v>
      </c>
      <c r="S264" s="1">
        <f t="shared" si="38"/>
        <v>81.458693739770865</v>
      </c>
    </row>
    <row r="265" spans="1:19" x14ac:dyDescent="0.3">
      <c r="A265">
        <v>5605</v>
      </c>
      <c r="B265">
        <v>96.941546000000002</v>
      </c>
      <c r="C265">
        <v>98.493977000000001</v>
      </c>
      <c r="D265">
        <v>100.04384400000001</v>
      </c>
      <c r="E265">
        <v>78.653115</v>
      </c>
      <c r="F265">
        <v>59.413701000000003</v>
      </c>
      <c r="G265">
        <v>39.953859999999999</v>
      </c>
      <c r="H265">
        <v>40.793976000000001</v>
      </c>
      <c r="I265" t="s">
        <v>60</v>
      </c>
      <c r="N265"/>
      <c r="O265"/>
      <c r="P265" s="1">
        <f t="shared" si="35"/>
        <v>99.360637195121967</v>
      </c>
      <c r="Q265" s="1">
        <f t="shared" si="36"/>
        <v>100.91487093495935</v>
      </c>
      <c r="R265" s="1">
        <f t="shared" si="37"/>
        <v>102.86383093708575</v>
      </c>
      <c r="S265" s="1">
        <f t="shared" si="38"/>
        <v>81.458693739770865</v>
      </c>
    </row>
    <row r="266" spans="1:19" x14ac:dyDescent="0.3">
      <c r="A266">
        <v>5605.2</v>
      </c>
      <c r="B266">
        <v>96.927679999999995</v>
      </c>
      <c r="C266">
        <v>98.500988000000007</v>
      </c>
      <c r="D266">
        <v>100.044258</v>
      </c>
      <c r="E266">
        <v>78.696315999999996</v>
      </c>
      <c r="F266">
        <v>59.840795999999997</v>
      </c>
      <c r="G266">
        <v>39.969065000000001</v>
      </c>
      <c r="H266">
        <v>40.815455</v>
      </c>
      <c r="I266"/>
      <c r="N266"/>
      <c r="O266"/>
      <c r="P266" s="1">
        <f t="shared" si="35"/>
        <v>99.346506097560976</v>
      </c>
      <c r="Q266" s="1">
        <f t="shared" si="36"/>
        <v>100.92750304878049</v>
      </c>
      <c r="R266" s="1">
        <f t="shared" si="37"/>
        <v>102.85959926583052</v>
      </c>
      <c r="S266" s="1">
        <f t="shared" si="38"/>
        <v>81.495742635024541</v>
      </c>
    </row>
    <row r="267" spans="1:19" x14ac:dyDescent="0.3">
      <c r="A267">
        <v>5605.4</v>
      </c>
      <c r="B267">
        <v>96.927679999999995</v>
      </c>
      <c r="C267">
        <v>98.500988000000007</v>
      </c>
      <c r="D267">
        <v>100.044258</v>
      </c>
      <c r="E267">
        <v>78.696315999999996</v>
      </c>
      <c r="F267">
        <v>59.840795999999997</v>
      </c>
      <c r="G267">
        <v>39.969065000000001</v>
      </c>
      <c r="H267">
        <v>40.815455</v>
      </c>
      <c r="I267"/>
      <c r="N267"/>
      <c r="O267"/>
      <c r="P267" s="1">
        <f t="shared" si="35"/>
        <v>99.346506097560976</v>
      </c>
      <c r="Q267" s="1">
        <f t="shared" si="36"/>
        <v>100.92750304878049</v>
      </c>
      <c r="R267" s="1">
        <f t="shared" si="37"/>
        <v>102.85959926583052</v>
      </c>
      <c r="S267" s="1">
        <f t="shared" si="38"/>
        <v>81.495742635024541</v>
      </c>
    </row>
    <row r="268" spans="1:19" x14ac:dyDescent="0.3">
      <c r="A268">
        <v>5605.6</v>
      </c>
      <c r="B268">
        <v>96.929115999999993</v>
      </c>
      <c r="C268">
        <v>98.514933999999997</v>
      </c>
      <c r="D268">
        <v>100.035509</v>
      </c>
      <c r="E268">
        <v>78.712523000000004</v>
      </c>
      <c r="F268">
        <v>59.397854000000002</v>
      </c>
      <c r="G268">
        <v>39.978330999999997</v>
      </c>
      <c r="H268">
        <v>40.809119000000003</v>
      </c>
      <c r="I268"/>
      <c r="N268"/>
      <c r="O268"/>
      <c r="P268" s="1">
        <f t="shared" si="35"/>
        <v>99.34059146341464</v>
      </c>
      <c r="Q268" s="1">
        <f t="shared" si="36"/>
        <v>100.9174105691057</v>
      </c>
      <c r="R268" s="1">
        <f t="shared" si="37"/>
        <v>102.84582950953401</v>
      </c>
      <c r="S268" s="1">
        <f t="shared" si="38"/>
        <v>81.461671440261867</v>
      </c>
    </row>
    <row r="269" spans="1:19" x14ac:dyDescent="0.3">
      <c r="A269">
        <v>5605.8</v>
      </c>
      <c r="B269">
        <v>96.929115999999993</v>
      </c>
      <c r="C269">
        <v>98.514933999999997</v>
      </c>
      <c r="D269">
        <v>100.035509</v>
      </c>
      <c r="E269">
        <v>78.712523000000004</v>
      </c>
      <c r="F269">
        <v>59.397854000000002</v>
      </c>
      <c r="G269">
        <v>39.978330999999997</v>
      </c>
      <c r="H269">
        <v>40.809119000000003</v>
      </c>
      <c r="I269"/>
      <c r="N269"/>
      <c r="O269"/>
      <c r="P269" s="1">
        <f t="shared" si="35"/>
        <v>99.34059146341464</v>
      </c>
      <c r="Q269" s="1">
        <f t="shared" si="36"/>
        <v>100.9174105691057</v>
      </c>
      <c r="R269" s="1">
        <f t="shared" si="37"/>
        <v>102.84582950953401</v>
      </c>
      <c r="S269" s="1">
        <f t="shared" si="38"/>
        <v>81.461671440261867</v>
      </c>
    </row>
    <row r="270" spans="1:19" x14ac:dyDescent="0.3">
      <c r="A270">
        <v>5606</v>
      </c>
      <c r="B270">
        <v>96.919811999999993</v>
      </c>
      <c r="C270">
        <v>98.487639000000001</v>
      </c>
      <c r="D270">
        <v>100.046813</v>
      </c>
      <c r="E270">
        <v>78.660088000000002</v>
      </c>
      <c r="F270">
        <v>59.464053</v>
      </c>
      <c r="G270">
        <v>39.975133999999997</v>
      </c>
      <c r="H270">
        <v>40.822450000000003</v>
      </c>
      <c r="I270" t="s">
        <v>60</v>
      </c>
      <c r="N270"/>
      <c r="O270"/>
      <c r="P270" s="1">
        <f t="shared" si="35"/>
        <v>99.317516260162606</v>
      </c>
      <c r="Q270" s="1">
        <f t="shared" si="36"/>
        <v>100.90790040650407</v>
      </c>
      <c r="R270" s="1">
        <f t="shared" si="37"/>
        <v>102.86609972468644</v>
      </c>
      <c r="S270" s="1">
        <f t="shared" si="38"/>
        <v>81.466218289689024</v>
      </c>
    </row>
    <row r="271" spans="1:19" x14ac:dyDescent="0.3">
      <c r="A271">
        <v>5606.2</v>
      </c>
      <c r="B271">
        <v>96.919811999999993</v>
      </c>
      <c r="C271">
        <v>98.487639000000001</v>
      </c>
      <c r="D271">
        <v>100.046813</v>
      </c>
      <c r="E271">
        <v>78.660088000000002</v>
      </c>
      <c r="F271">
        <v>59.464053</v>
      </c>
      <c r="G271">
        <v>39.975133999999997</v>
      </c>
      <c r="H271">
        <v>40.822450000000003</v>
      </c>
      <c r="I271"/>
      <c r="N271"/>
      <c r="O271"/>
      <c r="P271" s="1">
        <f t="shared" si="35"/>
        <v>99.317516260162606</v>
      </c>
      <c r="Q271" s="1">
        <f t="shared" si="36"/>
        <v>100.90790040650407</v>
      </c>
      <c r="R271" s="1">
        <f t="shared" si="37"/>
        <v>102.86609972468644</v>
      </c>
      <c r="S271" s="1">
        <f t="shared" si="38"/>
        <v>81.466218289689024</v>
      </c>
    </row>
    <row r="272" spans="1:19" x14ac:dyDescent="0.3">
      <c r="A272">
        <v>5606.4</v>
      </c>
      <c r="B272">
        <v>96.943675999999996</v>
      </c>
      <c r="C272">
        <v>98.490882999999997</v>
      </c>
      <c r="D272">
        <v>100.04528999999999</v>
      </c>
      <c r="E272">
        <v>78.767238000000006</v>
      </c>
      <c r="F272">
        <v>59.873742999999997</v>
      </c>
      <c r="G272">
        <v>39.969310999999998</v>
      </c>
      <c r="H272">
        <v>40.836416</v>
      </c>
      <c r="I272"/>
      <c r="N272"/>
      <c r="O272"/>
      <c r="P272" s="1">
        <f t="shared" si="35"/>
        <v>99.34948983739838</v>
      </c>
      <c r="Q272" s="1">
        <f t="shared" si="36"/>
        <v>100.89999390243904</v>
      </c>
      <c r="R272" s="1">
        <f t="shared" si="37"/>
        <v>102.84020495564393</v>
      </c>
      <c r="S272" s="1">
        <f t="shared" si="38"/>
        <v>81.399480360065468</v>
      </c>
    </row>
    <row r="273" spans="1:19" x14ac:dyDescent="0.3">
      <c r="A273">
        <v>5606.6</v>
      </c>
      <c r="B273">
        <v>96.943675999999996</v>
      </c>
      <c r="C273">
        <v>98.490882999999997</v>
      </c>
      <c r="D273">
        <v>100.04528999999999</v>
      </c>
      <c r="E273">
        <v>78.767238000000006</v>
      </c>
      <c r="F273">
        <v>59.873742999999997</v>
      </c>
      <c r="G273">
        <v>39.969310999999998</v>
      </c>
      <c r="H273">
        <v>40.836416</v>
      </c>
      <c r="I273"/>
      <c r="N273"/>
      <c r="O273"/>
      <c r="P273" s="1">
        <f t="shared" si="35"/>
        <v>99.34948983739838</v>
      </c>
      <c r="Q273" s="1">
        <f t="shared" si="36"/>
        <v>100.89999390243904</v>
      </c>
      <c r="R273" s="1">
        <f t="shared" si="37"/>
        <v>102.84020495564393</v>
      </c>
      <c r="S273" s="1">
        <f t="shared" si="38"/>
        <v>81.399480360065468</v>
      </c>
    </row>
    <row r="274" spans="1:19" x14ac:dyDescent="0.3">
      <c r="A274">
        <v>5606.8</v>
      </c>
      <c r="B274">
        <v>96.909470999999996</v>
      </c>
      <c r="C274">
        <v>98.498639999999995</v>
      </c>
      <c r="D274">
        <v>100.045768</v>
      </c>
      <c r="E274">
        <v>78.716631000000007</v>
      </c>
      <c r="F274">
        <v>60.369633999999998</v>
      </c>
      <c r="G274">
        <v>39.987273000000002</v>
      </c>
      <c r="H274">
        <v>40.821778999999999</v>
      </c>
      <c r="I274"/>
      <c r="N274"/>
      <c r="O274"/>
      <c r="P274" s="1">
        <f t="shared" si="35"/>
        <v>99.326910569105692</v>
      </c>
      <c r="Q274" s="1">
        <f t="shared" si="36"/>
        <v>100.9133943089431</v>
      </c>
      <c r="R274" s="1">
        <f t="shared" si="37"/>
        <v>102.84735597022535</v>
      </c>
      <c r="S274" s="1">
        <f t="shared" si="38"/>
        <v>81.356165098199668</v>
      </c>
    </row>
    <row r="275" spans="1:19" x14ac:dyDescent="0.3">
      <c r="A275">
        <v>6617</v>
      </c>
      <c r="B275">
        <v>104.63954200000001</v>
      </c>
      <c r="C275">
        <v>106.57075</v>
      </c>
      <c r="D275">
        <v>108.512685</v>
      </c>
      <c r="E275">
        <v>82.336905000000002</v>
      </c>
      <c r="F275">
        <v>60.356231999999999</v>
      </c>
      <c r="G275">
        <v>39.969593000000003</v>
      </c>
      <c r="H275">
        <v>41.046391</v>
      </c>
      <c r="I275" t="s">
        <v>60</v>
      </c>
      <c r="N275"/>
      <c r="O275"/>
      <c r="P275" s="1">
        <f t="shared" si="35"/>
        <v>99.326910569105692</v>
      </c>
      <c r="Q275" s="1">
        <f t="shared" si="36"/>
        <v>100.9133943089431</v>
      </c>
      <c r="R275" s="1">
        <f t="shared" si="37"/>
        <v>102.84735597022535</v>
      </c>
      <c r="S275" s="1">
        <f t="shared" si="38"/>
        <v>81.356165098199668</v>
      </c>
    </row>
    <row r="276" spans="1:19" x14ac:dyDescent="0.3">
      <c r="A276">
        <v>6617.2</v>
      </c>
      <c r="B276">
        <v>104.63954200000001</v>
      </c>
      <c r="C276">
        <v>106.57075</v>
      </c>
      <c r="D276">
        <v>108.512685</v>
      </c>
      <c r="E276">
        <v>82.336905000000002</v>
      </c>
      <c r="F276">
        <v>60.356231999999999</v>
      </c>
      <c r="G276">
        <v>39.958334999999998</v>
      </c>
      <c r="H276">
        <v>41.066094</v>
      </c>
      <c r="I276"/>
      <c r="N276"/>
      <c r="O276"/>
      <c r="P276" s="1">
        <f t="shared" si="35"/>
        <v>99.29422459349594</v>
      </c>
      <c r="Q276" s="1">
        <f t="shared" si="36"/>
        <v>100.91388414634146</v>
      </c>
      <c r="R276" s="1">
        <f t="shared" si="37"/>
        <v>102.84692260630162</v>
      </c>
      <c r="S276" s="1">
        <f t="shared" si="38"/>
        <v>81.40752659574467</v>
      </c>
    </row>
    <row r="277" spans="1:19" x14ac:dyDescent="0.3">
      <c r="A277">
        <v>6617.4</v>
      </c>
      <c r="B277">
        <v>104.634209</v>
      </c>
      <c r="C277">
        <v>106.564714</v>
      </c>
      <c r="D277">
        <v>108.52940700000001</v>
      </c>
      <c r="E277">
        <v>82.288165000000006</v>
      </c>
      <c r="F277">
        <v>60.457692000000002</v>
      </c>
      <c r="G277">
        <v>39.958334999999998</v>
      </c>
      <c r="H277">
        <v>41.066094</v>
      </c>
      <c r="I277"/>
      <c r="N277"/>
      <c r="O277"/>
      <c r="P277" s="1">
        <f t="shared" si="35"/>
        <v>99.29422459349594</v>
      </c>
      <c r="Q277" s="1">
        <f t="shared" si="36"/>
        <v>100.91388414634146</v>
      </c>
      <c r="R277" s="1">
        <f t="shared" si="37"/>
        <v>102.84692260630162</v>
      </c>
      <c r="S277" s="1">
        <f t="shared" si="38"/>
        <v>81.40752659574467</v>
      </c>
    </row>
    <row r="278" spans="1:19" x14ac:dyDescent="0.3">
      <c r="A278">
        <v>6617.6</v>
      </c>
      <c r="B278">
        <v>104.634209</v>
      </c>
      <c r="C278">
        <v>106.564714</v>
      </c>
      <c r="D278">
        <v>108.52940700000001</v>
      </c>
      <c r="E278">
        <v>82.288165000000006</v>
      </c>
      <c r="F278">
        <v>60.457692000000002</v>
      </c>
      <c r="G278">
        <v>39.968001999999998</v>
      </c>
      <c r="H278">
        <v>41.041311</v>
      </c>
      <c r="I278"/>
      <c r="N278"/>
      <c r="O278"/>
      <c r="P278" s="1">
        <f t="shared" si="35"/>
        <v>99.326038617886184</v>
      </c>
      <c r="Q278" s="1">
        <f t="shared" si="36"/>
        <v>100.91621646341464</v>
      </c>
      <c r="R278" s="1">
        <f t="shared" si="37"/>
        <v>102.8423289487101</v>
      </c>
      <c r="S278" s="1">
        <f t="shared" si="38"/>
        <v>81.417402823240593</v>
      </c>
    </row>
    <row r="279" spans="1:19" x14ac:dyDescent="0.3">
      <c r="A279">
        <v>6617.8</v>
      </c>
      <c r="B279">
        <v>104.62944899999999</v>
      </c>
      <c r="C279">
        <v>106.572952</v>
      </c>
      <c r="D279">
        <v>108.52624299999999</v>
      </c>
      <c r="E279">
        <v>82.282131000000007</v>
      </c>
      <c r="F279">
        <v>60.572383000000002</v>
      </c>
      <c r="G279">
        <v>39.968001999999998</v>
      </c>
      <c r="H279">
        <v>41.041311</v>
      </c>
      <c r="I279"/>
      <c r="N279"/>
      <c r="O279"/>
      <c r="P279" s="1">
        <f t="shared" si="35"/>
        <v>99.326038617886184</v>
      </c>
      <c r="Q279" s="1">
        <f t="shared" si="36"/>
        <v>100.91621646341464</v>
      </c>
      <c r="R279" s="1">
        <f t="shared" si="37"/>
        <v>102.8423289487101</v>
      </c>
      <c r="S279" s="1">
        <f t="shared" si="38"/>
        <v>81.417402823240593</v>
      </c>
    </row>
    <row r="280" spans="1:19" x14ac:dyDescent="0.3">
      <c r="A280">
        <v>6618</v>
      </c>
      <c r="B280">
        <v>104.62944899999999</v>
      </c>
      <c r="C280">
        <v>106.572952</v>
      </c>
      <c r="D280">
        <v>108.52624299999999</v>
      </c>
      <c r="E280">
        <v>82.282131000000007</v>
      </c>
      <c r="F280">
        <v>60.572383000000002</v>
      </c>
      <c r="G280">
        <v>39.963123000000003</v>
      </c>
      <c r="H280">
        <v>41.049467999999997</v>
      </c>
      <c r="I280" t="s">
        <v>60</v>
      </c>
      <c r="N280"/>
      <c r="O280"/>
      <c r="P280" s="1">
        <f t="shared" si="35"/>
        <v>99.321779471544716</v>
      </c>
      <c r="Q280" s="1">
        <f t="shared" si="36"/>
        <v>100.90016056910569</v>
      </c>
      <c r="R280" s="1">
        <f t="shared" si="37"/>
        <v>102.83898643825837</v>
      </c>
      <c r="S280" s="1">
        <f t="shared" si="38"/>
        <v>81.400332446808505</v>
      </c>
    </row>
    <row r="281" spans="1:19" x14ac:dyDescent="0.3">
      <c r="A281">
        <v>6618.2</v>
      </c>
      <c r="B281">
        <v>104.64553600000001</v>
      </c>
      <c r="C281">
        <v>106.576307</v>
      </c>
      <c r="D281">
        <v>108.51799</v>
      </c>
      <c r="E281">
        <v>82.280940999999999</v>
      </c>
      <c r="F281">
        <v>60.464737999999997</v>
      </c>
      <c r="G281">
        <v>39.963123000000003</v>
      </c>
      <c r="H281">
        <v>41.049467999999997</v>
      </c>
      <c r="I281"/>
      <c r="N281"/>
      <c r="O281"/>
      <c r="P281" s="1">
        <f t="shared" si="35"/>
        <v>99.321779471544716</v>
      </c>
      <c r="Q281" s="1">
        <f t="shared" si="36"/>
        <v>100.90016056910569</v>
      </c>
      <c r="R281" s="1">
        <f t="shared" si="37"/>
        <v>102.83898643825837</v>
      </c>
      <c r="S281" s="1">
        <f t="shared" si="38"/>
        <v>81.400332446808505</v>
      </c>
    </row>
    <row r="282" spans="1:19" x14ac:dyDescent="0.3">
      <c r="A282">
        <v>6618.4</v>
      </c>
      <c r="B282">
        <v>104.64553600000001</v>
      </c>
      <c r="C282">
        <v>106.576307</v>
      </c>
      <c r="D282">
        <v>108.51799</v>
      </c>
      <c r="E282">
        <v>82.280940999999999</v>
      </c>
      <c r="F282">
        <v>60.464737999999997</v>
      </c>
      <c r="G282">
        <v>39.943829999999998</v>
      </c>
      <c r="H282">
        <v>41.039966999999997</v>
      </c>
      <c r="I282"/>
      <c r="N282"/>
      <c r="O282"/>
      <c r="P282" s="1">
        <f t="shared" si="35"/>
        <v>99.317119918699191</v>
      </c>
      <c r="Q282" s="1">
        <f t="shared" si="36"/>
        <v>100.89479369918701</v>
      </c>
      <c r="R282" s="1">
        <f t="shared" si="37"/>
        <v>102.83893545426736</v>
      </c>
      <c r="S282" s="1">
        <f t="shared" si="38"/>
        <v>81.400281301145654</v>
      </c>
    </row>
    <row r="283" spans="1:19" x14ac:dyDescent="0.3">
      <c r="A283">
        <v>6618.6</v>
      </c>
      <c r="B283">
        <v>104.630504</v>
      </c>
      <c r="C283">
        <v>106.58108799999999</v>
      </c>
      <c r="D283">
        <v>108.540482</v>
      </c>
      <c r="E283">
        <v>82.300206000000003</v>
      </c>
      <c r="F283">
        <v>61.013069000000002</v>
      </c>
      <c r="G283">
        <v>39.943829999999998</v>
      </c>
      <c r="H283">
        <v>41.039966999999997</v>
      </c>
      <c r="I283"/>
      <c r="N283"/>
      <c r="O283"/>
      <c r="P283" s="1">
        <f t="shared" si="35"/>
        <v>99.317119918699191</v>
      </c>
      <c r="Q283" s="1">
        <f t="shared" si="36"/>
        <v>100.89479369918701</v>
      </c>
      <c r="R283" s="1">
        <f t="shared" si="37"/>
        <v>102.83893545426736</v>
      </c>
      <c r="S283" s="1">
        <f t="shared" si="38"/>
        <v>81.400281301145654</v>
      </c>
    </row>
    <row r="284" spans="1:19" x14ac:dyDescent="0.3">
      <c r="A284">
        <v>6618.8</v>
      </c>
      <c r="B284">
        <v>104.630504</v>
      </c>
      <c r="C284">
        <v>106.58108799999999</v>
      </c>
      <c r="D284">
        <v>108.540482</v>
      </c>
      <c r="E284">
        <v>82.300206000000003</v>
      </c>
      <c r="F284">
        <v>61.013069000000002</v>
      </c>
      <c r="G284">
        <v>39.954427000000003</v>
      </c>
      <c r="H284">
        <v>41.062190000000001</v>
      </c>
      <c r="I284"/>
      <c r="N284"/>
      <c r="O284"/>
      <c r="P284" s="1">
        <f t="shared" si="35"/>
        <v>99.303028455284547</v>
      </c>
      <c r="Q284" s="1">
        <f t="shared" si="36"/>
        <v>100.90191869918701</v>
      </c>
      <c r="R284" s="1">
        <f t="shared" si="37"/>
        <v>102.83935760171306</v>
      </c>
      <c r="S284" s="1">
        <f t="shared" si="38"/>
        <v>81.444472176759405</v>
      </c>
    </row>
    <row r="285" spans="1:19" x14ac:dyDescent="0.3">
      <c r="A285">
        <v>6619</v>
      </c>
      <c r="B285">
        <v>104.645574</v>
      </c>
      <c r="C285">
        <v>106.565386</v>
      </c>
      <c r="D285">
        <v>108.53007599999999</v>
      </c>
      <c r="E285">
        <v>82.145589999999999</v>
      </c>
      <c r="F285">
        <v>60.937514</v>
      </c>
      <c r="G285">
        <v>39.954427000000003</v>
      </c>
      <c r="H285">
        <v>41.062190000000001</v>
      </c>
      <c r="I285" t="s">
        <v>60</v>
      </c>
      <c r="N285"/>
      <c r="O285"/>
      <c r="P285" s="1">
        <f t="shared" si="35"/>
        <v>99.303028455284547</v>
      </c>
      <c r="Q285" s="1">
        <f t="shared" si="36"/>
        <v>100.90191869918701</v>
      </c>
      <c r="R285" s="1">
        <f t="shared" si="37"/>
        <v>102.83935760171306</v>
      </c>
      <c r="S285" s="1">
        <f t="shared" si="38"/>
        <v>81.444472176759405</v>
      </c>
    </row>
    <row r="286" spans="1:19" x14ac:dyDescent="0.3">
      <c r="A286">
        <v>6619.2</v>
      </c>
      <c r="B286">
        <v>104.645574</v>
      </c>
      <c r="C286">
        <v>106.565386</v>
      </c>
      <c r="D286">
        <v>108.53007599999999</v>
      </c>
      <c r="E286">
        <v>82.145589999999999</v>
      </c>
      <c r="F286">
        <v>60.937514</v>
      </c>
      <c r="G286">
        <v>39.954712000000001</v>
      </c>
      <c r="H286">
        <v>41.065033999999997</v>
      </c>
      <c r="I286"/>
      <c r="N286"/>
      <c r="O286"/>
      <c r="P286" s="1">
        <f t="shared" si="35"/>
        <v>99.30448780487805</v>
      </c>
      <c r="Q286" s="1">
        <f t="shared" si="36"/>
        <v>100.91609146341463</v>
      </c>
      <c r="R286" s="1">
        <f t="shared" si="37"/>
        <v>102.83043642296319</v>
      </c>
      <c r="S286" s="1">
        <f t="shared" si="38"/>
        <v>81.461050531914893</v>
      </c>
    </row>
    <row r="287" spans="1:19" x14ac:dyDescent="0.3">
      <c r="A287">
        <v>6619.4</v>
      </c>
      <c r="B287">
        <v>104.62867300000001</v>
      </c>
      <c r="C287">
        <v>106.59317900000001</v>
      </c>
      <c r="D287">
        <v>108.513648</v>
      </c>
      <c r="E287">
        <v>82.457334000000003</v>
      </c>
      <c r="F287">
        <v>61.071643999999999</v>
      </c>
      <c r="G287">
        <v>39.954712000000001</v>
      </c>
      <c r="H287">
        <v>41.065033999999997</v>
      </c>
      <c r="I287"/>
      <c r="N287"/>
      <c r="O287"/>
      <c r="P287" s="1">
        <f t="shared" si="35"/>
        <v>99.30448780487805</v>
      </c>
      <c r="Q287" s="1">
        <f t="shared" si="36"/>
        <v>100.91609146341463</v>
      </c>
      <c r="R287" s="1">
        <f t="shared" si="37"/>
        <v>102.83043642296319</v>
      </c>
      <c r="S287" s="1">
        <f t="shared" si="38"/>
        <v>81.461050531914893</v>
      </c>
    </row>
    <row r="288" spans="1:19" x14ac:dyDescent="0.3">
      <c r="A288">
        <v>6619.6</v>
      </c>
      <c r="B288">
        <v>104.62867300000001</v>
      </c>
      <c r="C288">
        <v>106.59317900000001</v>
      </c>
      <c r="D288">
        <v>108.513648</v>
      </c>
      <c r="E288">
        <v>82.457334000000003</v>
      </c>
      <c r="F288">
        <v>61.071643999999999</v>
      </c>
      <c r="G288">
        <v>39.965958999999998</v>
      </c>
      <c r="H288">
        <v>41.0779</v>
      </c>
      <c r="I288"/>
      <c r="N288"/>
      <c r="O288"/>
      <c r="P288" s="1">
        <f t="shared" si="35"/>
        <v>99.295032520325208</v>
      </c>
      <c r="Q288" s="1">
        <f t="shared" si="36"/>
        <v>100.88835264227643</v>
      </c>
      <c r="R288" s="1">
        <f t="shared" si="37"/>
        <v>102.84196288365453</v>
      </c>
      <c r="S288" s="1">
        <f t="shared" si="38"/>
        <v>81.407414075286411</v>
      </c>
    </row>
    <row r="289" spans="1:19" x14ac:dyDescent="0.3">
      <c r="A289">
        <v>6619.8</v>
      </c>
      <c r="B289">
        <v>104.644324</v>
      </c>
      <c r="C289">
        <v>106.598607</v>
      </c>
      <c r="D289">
        <v>108.507232</v>
      </c>
      <c r="E289">
        <v>82.566005000000004</v>
      </c>
      <c r="F289">
        <v>61.152585999999999</v>
      </c>
      <c r="G289">
        <v>39.965958999999998</v>
      </c>
      <c r="H289">
        <v>41.0779</v>
      </c>
      <c r="I289"/>
      <c r="N289"/>
      <c r="O289"/>
      <c r="P289" s="1">
        <f t="shared" si="35"/>
        <v>99.295032520325208</v>
      </c>
      <c r="Q289" s="1">
        <f t="shared" si="36"/>
        <v>100.88835264227643</v>
      </c>
      <c r="R289" s="1">
        <f t="shared" si="37"/>
        <v>102.84196288365453</v>
      </c>
      <c r="S289" s="1">
        <f t="shared" si="38"/>
        <v>81.407414075286411</v>
      </c>
    </row>
    <row r="290" spans="1:19" x14ac:dyDescent="0.3">
      <c r="A290">
        <v>6620</v>
      </c>
      <c r="B290">
        <v>104.644324</v>
      </c>
      <c r="C290">
        <v>106.598607</v>
      </c>
      <c r="D290">
        <v>108.507232</v>
      </c>
      <c r="E290">
        <v>82.566005000000004</v>
      </c>
      <c r="F290">
        <v>61.152585999999999</v>
      </c>
      <c r="G290">
        <v>39.961364000000003</v>
      </c>
      <c r="H290">
        <v>41.084479000000002</v>
      </c>
      <c r="I290" t="s">
        <v>60</v>
      </c>
      <c r="N290"/>
      <c r="O290"/>
      <c r="P290" s="1">
        <f t="shared" si="35"/>
        <v>99.319284552845531</v>
      </c>
      <c r="Q290" s="1">
        <f t="shared" si="36"/>
        <v>100.8916493902439</v>
      </c>
      <c r="R290" s="1">
        <f t="shared" si="37"/>
        <v>102.84040991128785</v>
      </c>
      <c r="S290" s="1">
        <f t="shared" si="38"/>
        <v>81.517019230769236</v>
      </c>
    </row>
    <row r="291" spans="1:19" x14ac:dyDescent="0.3">
      <c r="A291">
        <v>6620.2</v>
      </c>
      <c r="B291">
        <v>104.66234</v>
      </c>
      <c r="C291">
        <v>106.58677400000001</v>
      </c>
      <c r="D291">
        <v>108.53068500000001</v>
      </c>
      <c r="E291">
        <v>82.370570000000001</v>
      </c>
      <c r="F291">
        <v>60.965834000000001</v>
      </c>
      <c r="G291">
        <v>39.961364000000003</v>
      </c>
      <c r="H291">
        <v>41.084479000000002</v>
      </c>
      <c r="I291"/>
      <c r="N291"/>
      <c r="O291"/>
      <c r="P291" s="1">
        <f t="shared" si="35"/>
        <v>99.319284552845531</v>
      </c>
      <c r="Q291" s="1">
        <f t="shared" si="36"/>
        <v>100.8916493902439</v>
      </c>
      <c r="R291" s="1">
        <f t="shared" si="37"/>
        <v>102.84040991128785</v>
      </c>
      <c r="S291" s="1">
        <f t="shared" si="38"/>
        <v>81.517019230769236</v>
      </c>
    </row>
    <row r="292" spans="1:19" x14ac:dyDescent="0.3">
      <c r="A292">
        <v>6620.4</v>
      </c>
      <c r="B292">
        <v>104.66234</v>
      </c>
      <c r="C292">
        <v>106.58677400000001</v>
      </c>
      <c r="D292">
        <v>108.53068500000001</v>
      </c>
      <c r="E292">
        <v>82.370570000000001</v>
      </c>
      <c r="F292">
        <v>60.965834000000001</v>
      </c>
      <c r="G292">
        <v>39.985978000000003</v>
      </c>
      <c r="H292">
        <v>41.064157000000002</v>
      </c>
      <c r="I292"/>
      <c r="N292"/>
      <c r="O292"/>
      <c r="P292" s="1">
        <f t="shared" si="35"/>
        <v>99.284523373983745</v>
      </c>
      <c r="Q292" s="1">
        <f t="shared" si="36"/>
        <v>100.89953252032521</v>
      </c>
      <c r="R292" s="1">
        <f t="shared" si="37"/>
        <v>102.84089731824206</v>
      </c>
      <c r="S292" s="1">
        <f t="shared" si="38"/>
        <v>81.465252659574475</v>
      </c>
    </row>
    <row r="293" spans="1:19" x14ac:dyDescent="0.3">
      <c r="A293">
        <v>6620.6</v>
      </c>
      <c r="B293">
        <v>104.63970500000001</v>
      </c>
      <c r="C293">
        <v>106.59671299999999</v>
      </c>
      <c r="D293">
        <v>108.50830000000001</v>
      </c>
      <c r="E293">
        <v>82.641259000000005</v>
      </c>
      <c r="F293">
        <v>60.722073999999999</v>
      </c>
      <c r="G293">
        <v>39.985978000000003</v>
      </c>
      <c r="H293">
        <v>41.064157000000002</v>
      </c>
      <c r="I293"/>
      <c r="N293"/>
      <c r="O293"/>
      <c r="P293" s="1">
        <f t="shared" si="35"/>
        <v>107.14028658536587</v>
      </c>
      <c r="Q293" s="1">
        <f t="shared" si="36"/>
        <v>109.10289634146342</v>
      </c>
      <c r="R293" s="1">
        <f t="shared" si="37"/>
        <v>111.47444172529826</v>
      </c>
      <c r="S293" s="1">
        <f t="shared" si="38"/>
        <v>85.168478927986911</v>
      </c>
    </row>
    <row r="294" spans="1:19" x14ac:dyDescent="0.3">
      <c r="A294">
        <v>6620.8</v>
      </c>
      <c r="B294">
        <v>104.63970500000001</v>
      </c>
      <c r="C294">
        <v>106.59671299999999</v>
      </c>
      <c r="D294">
        <v>108.50830000000001</v>
      </c>
      <c r="E294">
        <v>82.641259000000005</v>
      </c>
      <c r="F294">
        <v>60.722073999999999</v>
      </c>
      <c r="G294">
        <v>39.983674000000001</v>
      </c>
      <c r="H294">
        <v>41.065112999999997</v>
      </c>
      <c r="I294"/>
      <c r="N294"/>
      <c r="O294"/>
      <c r="P294" s="1">
        <f t="shared" si="35"/>
        <v>107.14028658536587</v>
      </c>
      <c r="Q294" s="1">
        <f t="shared" si="36"/>
        <v>109.10289634146342</v>
      </c>
      <c r="R294" s="1">
        <f t="shared" si="37"/>
        <v>111.47444172529826</v>
      </c>
      <c r="S294" s="1">
        <f t="shared" si="38"/>
        <v>85.168478927986911</v>
      </c>
    </row>
    <row r="295" spans="1:19" x14ac:dyDescent="0.3">
      <c r="A295">
        <v>6621</v>
      </c>
      <c r="B295">
        <v>104.63145799999999</v>
      </c>
      <c r="C295">
        <v>106.604421</v>
      </c>
      <c r="D295">
        <v>108.524614</v>
      </c>
      <c r="E295">
        <v>82.599958000000001</v>
      </c>
      <c r="F295">
        <v>60.915013000000002</v>
      </c>
      <c r="G295">
        <v>39.983674000000001</v>
      </c>
      <c r="H295">
        <v>41.065112999999997</v>
      </c>
      <c r="I295" t="s">
        <v>60</v>
      </c>
      <c r="N295"/>
      <c r="O295"/>
      <c r="P295" s="1">
        <f t="shared" si="35"/>
        <v>107.1348668699187</v>
      </c>
      <c r="Q295" s="1">
        <f t="shared" si="36"/>
        <v>109.09676219512195</v>
      </c>
      <c r="R295" s="1">
        <f t="shared" si="37"/>
        <v>111.49149281125727</v>
      </c>
      <c r="S295" s="1">
        <f t="shared" si="38"/>
        <v>85.118622135842884</v>
      </c>
    </row>
    <row r="296" spans="1:19" x14ac:dyDescent="0.3">
      <c r="A296">
        <v>6621.2</v>
      </c>
      <c r="B296">
        <v>104.63145799999999</v>
      </c>
      <c r="C296">
        <v>106.604421</v>
      </c>
      <c r="D296">
        <v>108.524614</v>
      </c>
      <c r="E296">
        <v>82.599958000000001</v>
      </c>
      <c r="F296">
        <v>60.915013000000002</v>
      </c>
      <c r="G296">
        <v>39.953912000000003</v>
      </c>
      <c r="H296">
        <v>41.073776000000002</v>
      </c>
      <c r="I296"/>
      <c r="N296"/>
      <c r="O296"/>
      <c r="P296" s="1">
        <f t="shared" si="35"/>
        <v>107.1348668699187</v>
      </c>
      <c r="Q296" s="1">
        <f t="shared" si="36"/>
        <v>109.09676219512195</v>
      </c>
      <c r="R296" s="1">
        <f t="shared" si="37"/>
        <v>111.49149281125727</v>
      </c>
      <c r="S296" s="1">
        <f t="shared" si="38"/>
        <v>85.118622135842884</v>
      </c>
    </row>
    <row r="297" spans="1:19" x14ac:dyDescent="0.3">
      <c r="A297">
        <v>6621.4</v>
      </c>
      <c r="B297">
        <v>104.67084199999999</v>
      </c>
      <c r="C297">
        <v>106.60557900000001</v>
      </c>
      <c r="D297">
        <v>108.53736000000001</v>
      </c>
      <c r="E297">
        <v>82.584953999999996</v>
      </c>
      <c r="F297">
        <v>61.132151</v>
      </c>
      <c r="G297">
        <v>39.953912000000003</v>
      </c>
      <c r="H297">
        <v>41.073776000000002</v>
      </c>
      <c r="I297"/>
      <c r="N297"/>
      <c r="O297"/>
      <c r="P297" s="1">
        <f t="shared" si="35"/>
        <v>107.13002947154472</v>
      </c>
      <c r="Q297" s="1">
        <f t="shared" si="36"/>
        <v>109.10513414634147</v>
      </c>
      <c r="R297" s="1">
        <f t="shared" si="37"/>
        <v>111.48826654430508</v>
      </c>
      <c r="S297" s="1">
        <f t="shared" si="38"/>
        <v>85.112449877250413</v>
      </c>
    </row>
    <row r="298" spans="1:19" x14ac:dyDescent="0.3">
      <c r="A298">
        <v>6621.6</v>
      </c>
      <c r="B298">
        <v>104.67084199999999</v>
      </c>
      <c r="C298">
        <v>106.60557900000001</v>
      </c>
      <c r="D298">
        <v>108.53736000000001</v>
      </c>
      <c r="E298">
        <v>82.584953999999996</v>
      </c>
      <c r="F298">
        <v>61.132151</v>
      </c>
      <c r="G298">
        <v>39.975107999999999</v>
      </c>
      <c r="H298">
        <v>41.077033999999998</v>
      </c>
      <c r="I298"/>
      <c r="N298"/>
      <c r="O298"/>
      <c r="P298" s="1">
        <f t="shared" si="35"/>
        <v>107.13002947154472</v>
      </c>
      <c r="Q298" s="1">
        <f t="shared" si="36"/>
        <v>109.10513414634147</v>
      </c>
      <c r="R298" s="1">
        <f t="shared" si="37"/>
        <v>111.48826654430508</v>
      </c>
      <c r="S298" s="1">
        <f t="shared" si="38"/>
        <v>85.112449877250413</v>
      </c>
    </row>
    <row r="299" spans="1:19" x14ac:dyDescent="0.3">
      <c r="A299">
        <v>6621.8</v>
      </c>
      <c r="B299">
        <v>104.67021099999999</v>
      </c>
      <c r="C299">
        <v>106.613164</v>
      </c>
      <c r="D299">
        <v>108.52809000000001</v>
      </c>
      <c r="E299">
        <v>82.269605999999996</v>
      </c>
      <c r="F299">
        <v>61.353057</v>
      </c>
      <c r="G299">
        <v>39.975107999999999</v>
      </c>
      <c r="H299">
        <v>41.077033999999998</v>
      </c>
      <c r="I299"/>
      <c r="N299"/>
      <c r="O299"/>
      <c r="P299" s="1">
        <f t="shared" si="35"/>
        <v>107.14637804878051</v>
      </c>
      <c r="Q299" s="1">
        <f t="shared" si="36"/>
        <v>109.108543699187</v>
      </c>
      <c r="R299" s="1">
        <f t="shared" si="37"/>
        <v>111.4798511267462</v>
      </c>
      <c r="S299" s="1">
        <f t="shared" si="38"/>
        <v>85.11123261047463</v>
      </c>
    </row>
    <row r="300" spans="1:19" x14ac:dyDescent="0.3">
      <c r="A300">
        <v>6622</v>
      </c>
      <c r="B300">
        <v>104.67021099999999</v>
      </c>
      <c r="C300">
        <v>106.613164</v>
      </c>
      <c r="D300">
        <v>108.52809000000001</v>
      </c>
      <c r="E300">
        <v>82.269605999999996</v>
      </c>
      <c r="F300">
        <v>61.353057</v>
      </c>
      <c r="G300">
        <v>39.971031000000004</v>
      </c>
      <c r="H300">
        <v>41.072262000000002</v>
      </c>
      <c r="I300" t="s">
        <v>60</v>
      </c>
      <c r="N300"/>
      <c r="O300"/>
      <c r="P300" s="1">
        <f t="shared" ref="P300:P363" si="39">(B282+Q$36)/P$36</f>
        <v>107.14637804878051</v>
      </c>
      <c r="Q300" s="1">
        <f t="shared" ref="Q300:Q363" si="40">(C282+Q$36)/P$36</f>
        <v>109.108543699187</v>
      </c>
      <c r="R300" s="1">
        <f t="shared" ref="R300:R363" si="41">(D282+Q$38)/P$38</f>
        <v>111.4798511267462</v>
      </c>
      <c r="S300" s="1">
        <f t="shared" ref="S300:S363" si="42">(E282+Q$39)/P$39</f>
        <v>85.11123261047463</v>
      </c>
    </row>
    <row r="301" spans="1:19" x14ac:dyDescent="0.3">
      <c r="A301">
        <v>6622.2</v>
      </c>
      <c r="B301">
        <v>104.66887800000001</v>
      </c>
      <c r="C301">
        <v>106.60041099999999</v>
      </c>
      <c r="D301">
        <v>108.527441</v>
      </c>
      <c r="E301">
        <v>82.380373000000006</v>
      </c>
      <c r="F301">
        <v>61.547198000000002</v>
      </c>
      <c r="G301">
        <v>39.971031000000004</v>
      </c>
      <c r="H301">
        <v>41.072262000000002</v>
      </c>
      <c r="I301"/>
      <c r="N301"/>
      <c r="O301"/>
      <c r="P301" s="1">
        <f t="shared" si="39"/>
        <v>107.13110162601627</v>
      </c>
      <c r="Q301" s="1">
        <f t="shared" si="40"/>
        <v>109.11340243902438</v>
      </c>
      <c r="R301" s="1">
        <f t="shared" si="41"/>
        <v>111.50278576526969</v>
      </c>
      <c r="S301" s="1">
        <f t="shared" si="42"/>
        <v>85.130939034369888</v>
      </c>
    </row>
    <row r="302" spans="1:19" x14ac:dyDescent="0.3">
      <c r="A302">
        <v>6622.4</v>
      </c>
      <c r="B302">
        <v>104.66887800000001</v>
      </c>
      <c r="C302">
        <v>106.60041099999999</v>
      </c>
      <c r="D302">
        <v>108.527441</v>
      </c>
      <c r="E302">
        <v>82.380373000000006</v>
      </c>
      <c r="F302">
        <v>61.547198000000002</v>
      </c>
      <c r="G302">
        <v>39.955671000000002</v>
      </c>
      <c r="H302">
        <v>41.070182000000003</v>
      </c>
      <c r="I302"/>
      <c r="N302"/>
      <c r="O302"/>
      <c r="P302" s="1">
        <f t="shared" si="39"/>
        <v>107.13110162601627</v>
      </c>
      <c r="Q302" s="1">
        <f t="shared" si="40"/>
        <v>109.11340243902438</v>
      </c>
      <c r="R302" s="1">
        <f t="shared" si="41"/>
        <v>111.50278576526969</v>
      </c>
      <c r="S302" s="1">
        <f t="shared" si="42"/>
        <v>85.130939034369888</v>
      </c>
    </row>
    <row r="303" spans="1:19" x14ac:dyDescent="0.3">
      <c r="A303">
        <v>6622.6</v>
      </c>
      <c r="B303">
        <v>104.648038</v>
      </c>
      <c r="C303">
        <v>106.595484</v>
      </c>
      <c r="D303">
        <v>108.537312</v>
      </c>
      <c r="E303">
        <v>82.184105000000002</v>
      </c>
      <c r="F303">
        <v>61.321699000000002</v>
      </c>
      <c r="G303">
        <v>39.955671000000002</v>
      </c>
      <c r="H303">
        <v>41.070182000000003</v>
      </c>
      <c r="I303"/>
      <c r="N303"/>
      <c r="O303"/>
      <c r="P303" s="1">
        <f t="shared" si="39"/>
        <v>107.14641666666667</v>
      </c>
      <c r="Q303" s="1">
        <f t="shared" si="40"/>
        <v>109.09744512195122</v>
      </c>
      <c r="R303" s="1">
        <f t="shared" si="41"/>
        <v>111.49217497705719</v>
      </c>
      <c r="S303" s="1">
        <f t="shared" si="42"/>
        <v>84.972780278232406</v>
      </c>
    </row>
    <row r="304" spans="1:19" x14ac:dyDescent="0.3">
      <c r="A304">
        <v>6622.8</v>
      </c>
      <c r="B304">
        <v>104.648038</v>
      </c>
      <c r="C304">
        <v>106.595484</v>
      </c>
      <c r="D304">
        <v>108.537312</v>
      </c>
      <c r="E304">
        <v>82.184105000000002</v>
      </c>
      <c r="F304">
        <v>61.321699000000002</v>
      </c>
      <c r="G304">
        <v>39.956862000000001</v>
      </c>
      <c r="H304">
        <v>41.078817999999998</v>
      </c>
      <c r="I304"/>
      <c r="N304"/>
      <c r="O304"/>
      <c r="P304" s="1">
        <f t="shared" si="39"/>
        <v>107.14641666666667</v>
      </c>
      <c r="Q304" s="1">
        <f t="shared" si="40"/>
        <v>109.09744512195122</v>
      </c>
      <c r="R304" s="1">
        <f t="shared" si="41"/>
        <v>111.49217497705719</v>
      </c>
      <c r="S304" s="1">
        <f t="shared" si="42"/>
        <v>84.972780278232406</v>
      </c>
    </row>
    <row r="305" spans="1:19" x14ac:dyDescent="0.3">
      <c r="A305">
        <v>6623</v>
      </c>
      <c r="B305">
        <v>104.667224</v>
      </c>
      <c r="C305">
        <v>106.606515</v>
      </c>
      <c r="D305">
        <v>108.549885</v>
      </c>
      <c r="E305">
        <v>82.209952999999999</v>
      </c>
      <c r="F305">
        <v>61.701777999999997</v>
      </c>
      <c r="G305">
        <v>39.956862000000001</v>
      </c>
      <c r="H305">
        <v>41.078817999999998</v>
      </c>
      <c r="I305" t="s">
        <v>60</v>
      </c>
      <c r="N305"/>
      <c r="O305"/>
      <c r="P305" s="1">
        <f t="shared" si="39"/>
        <v>107.12924085365854</v>
      </c>
      <c r="Q305" s="1">
        <f t="shared" si="40"/>
        <v>109.12569004065041</v>
      </c>
      <c r="R305" s="1">
        <f t="shared" si="41"/>
        <v>111.47542367696543</v>
      </c>
      <c r="S305" s="1">
        <f t="shared" si="42"/>
        <v>85.29166734860884</v>
      </c>
    </row>
    <row r="306" spans="1:19" x14ac:dyDescent="0.3">
      <c r="A306">
        <v>6623.2</v>
      </c>
      <c r="B306">
        <v>104.667224</v>
      </c>
      <c r="C306">
        <v>106.606515</v>
      </c>
      <c r="D306">
        <v>108.549885</v>
      </c>
      <c r="E306">
        <v>82.209952999999999</v>
      </c>
      <c r="F306">
        <v>61.701777999999997</v>
      </c>
      <c r="G306">
        <v>39.978859999999997</v>
      </c>
      <c r="H306">
        <v>41.061933000000003</v>
      </c>
      <c r="I306"/>
      <c r="N306"/>
      <c r="O306"/>
      <c r="P306" s="1">
        <f t="shared" si="39"/>
        <v>107.12924085365854</v>
      </c>
      <c r="Q306" s="1">
        <f t="shared" si="40"/>
        <v>109.12569004065041</v>
      </c>
      <c r="R306" s="1">
        <f t="shared" si="41"/>
        <v>111.47542367696543</v>
      </c>
      <c r="S306" s="1">
        <f t="shared" si="42"/>
        <v>85.29166734860884</v>
      </c>
    </row>
    <row r="307" spans="1:19" x14ac:dyDescent="0.3">
      <c r="A307">
        <v>6623.4</v>
      </c>
      <c r="B307">
        <v>104.64489</v>
      </c>
      <c r="C307">
        <v>106.586618</v>
      </c>
      <c r="D307">
        <v>108.54257800000001</v>
      </c>
      <c r="E307">
        <v>82.404938999999999</v>
      </c>
      <c r="F307">
        <v>61.230201000000001</v>
      </c>
      <c r="G307">
        <v>39.978859999999997</v>
      </c>
      <c r="H307">
        <v>41.061933000000003</v>
      </c>
      <c r="I307"/>
      <c r="N307"/>
      <c r="O307"/>
      <c r="P307" s="1">
        <f t="shared" si="39"/>
        <v>107.14514634146342</v>
      </c>
      <c r="Q307" s="1">
        <f t="shared" si="40"/>
        <v>109.13120630081302</v>
      </c>
      <c r="R307" s="1">
        <f t="shared" si="41"/>
        <v>111.46888141123686</v>
      </c>
      <c r="S307" s="1">
        <f t="shared" si="42"/>
        <v>85.402828355155478</v>
      </c>
    </row>
    <row r="308" spans="1:19" x14ac:dyDescent="0.3">
      <c r="A308">
        <v>6623.6</v>
      </c>
      <c r="B308">
        <v>104.64489</v>
      </c>
      <c r="C308">
        <v>106.586618</v>
      </c>
      <c r="D308">
        <v>108.54257800000001</v>
      </c>
      <c r="E308">
        <v>82.404938999999999</v>
      </c>
      <c r="F308">
        <v>61.230201000000001</v>
      </c>
      <c r="G308">
        <v>39.969258000000004</v>
      </c>
      <c r="H308">
        <v>41.070490999999997</v>
      </c>
      <c r="I308"/>
      <c r="N308"/>
      <c r="O308"/>
      <c r="P308" s="1">
        <f t="shared" si="39"/>
        <v>107.14514634146342</v>
      </c>
      <c r="Q308" s="1">
        <f t="shared" si="40"/>
        <v>109.13120630081302</v>
      </c>
      <c r="R308" s="1">
        <f t="shared" si="41"/>
        <v>111.46888141123686</v>
      </c>
      <c r="S308" s="1">
        <f t="shared" si="42"/>
        <v>85.402828355155478</v>
      </c>
    </row>
    <row r="309" spans="1:19" x14ac:dyDescent="0.3">
      <c r="A309">
        <v>6623.8</v>
      </c>
      <c r="B309">
        <v>104.63825300000001</v>
      </c>
      <c r="C309">
        <v>106.602334</v>
      </c>
      <c r="D309">
        <v>108.536402</v>
      </c>
      <c r="E309">
        <v>82.731965000000002</v>
      </c>
      <c r="F309">
        <v>61.096524000000002</v>
      </c>
      <c r="G309">
        <v>39.969258000000004</v>
      </c>
      <c r="H309">
        <v>41.070490999999997</v>
      </c>
      <c r="I309"/>
      <c r="N309"/>
      <c r="O309"/>
      <c r="P309" s="1">
        <f t="shared" si="39"/>
        <v>107.16345528455285</v>
      </c>
      <c r="Q309" s="1">
        <f t="shared" si="40"/>
        <v>109.11918089430895</v>
      </c>
      <c r="R309" s="1">
        <f t="shared" si="41"/>
        <v>111.49279596206792</v>
      </c>
      <c r="S309" s="1">
        <f t="shared" si="42"/>
        <v>85.202915302782316</v>
      </c>
    </row>
    <row r="310" spans="1:19" x14ac:dyDescent="0.3">
      <c r="A310">
        <v>6624</v>
      </c>
      <c r="B310">
        <v>104.63825300000001</v>
      </c>
      <c r="C310">
        <v>106.602334</v>
      </c>
      <c r="D310">
        <v>108.536402</v>
      </c>
      <c r="E310">
        <v>82.731965000000002</v>
      </c>
      <c r="F310">
        <v>61.096524000000002</v>
      </c>
      <c r="G310">
        <v>39.958247999999998</v>
      </c>
      <c r="H310">
        <v>41.078806</v>
      </c>
      <c r="I310" t="s">
        <v>60</v>
      </c>
      <c r="N310"/>
      <c r="O310"/>
      <c r="P310" s="1">
        <f t="shared" si="39"/>
        <v>107.16345528455285</v>
      </c>
      <c r="Q310" s="1">
        <f t="shared" si="40"/>
        <v>109.11918089430895</v>
      </c>
      <c r="R310" s="1">
        <f t="shared" si="41"/>
        <v>111.49279596206792</v>
      </c>
      <c r="S310" s="1">
        <f t="shared" si="42"/>
        <v>85.202915302782316</v>
      </c>
    </row>
    <row r="311" spans="1:19" x14ac:dyDescent="0.3">
      <c r="A311">
        <v>6624.2</v>
      </c>
      <c r="B311">
        <v>104.66752099999999</v>
      </c>
      <c r="C311">
        <v>106.614576</v>
      </c>
      <c r="D311">
        <v>108.514038</v>
      </c>
      <c r="E311">
        <v>82.905171999999993</v>
      </c>
      <c r="F311">
        <v>61.091037999999998</v>
      </c>
      <c r="G311">
        <v>39.958247999999998</v>
      </c>
      <c r="H311">
        <v>41.078806</v>
      </c>
      <c r="I311"/>
      <c r="N311"/>
      <c r="O311"/>
      <c r="P311" s="1">
        <f t="shared" si="39"/>
        <v>107.14045223577237</v>
      </c>
      <c r="Q311" s="1">
        <f t="shared" si="40"/>
        <v>109.12928150406503</v>
      </c>
      <c r="R311" s="1">
        <f t="shared" si="41"/>
        <v>111.46997042928521</v>
      </c>
      <c r="S311" s="1">
        <f t="shared" si="42"/>
        <v>85.479806669394435</v>
      </c>
    </row>
    <row r="312" spans="1:19" x14ac:dyDescent="0.3">
      <c r="A312">
        <v>6624.4</v>
      </c>
      <c r="B312">
        <v>104.66752099999999</v>
      </c>
      <c r="C312">
        <v>106.614576</v>
      </c>
      <c r="D312">
        <v>108.514038</v>
      </c>
      <c r="E312">
        <v>82.905171999999993</v>
      </c>
      <c r="F312">
        <v>61.091037999999998</v>
      </c>
      <c r="G312">
        <v>39.948529000000001</v>
      </c>
      <c r="H312">
        <v>41.083292</v>
      </c>
      <c r="I312"/>
      <c r="N312"/>
      <c r="O312"/>
      <c r="P312" s="1">
        <f t="shared" si="39"/>
        <v>107.14045223577237</v>
      </c>
      <c r="Q312" s="1">
        <f t="shared" si="40"/>
        <v>109.12928150406503</v>
      </c>
      <c r="R312" s="1">
        <f t="shared" si="41"/>
        <v>111.46997042928521</v>
      </c>
      <c r="S312" s="1">
        <f t="shared" si="42"/>
        <v>85.479806669394435</v>
      </c>
    </row>
    <row r="313" spans="1:19" x14ac:dyDescent="0.3">
      <c r="A313">
        <v>6624.6</v>
      </c>
      <c r="B313">
        <v>104.696015</v>
      </c>
      <c r="C313">
        <v>106.62466999999999</v>
      </c>
      <c r="D313">
        <v>108.552504</v>
      </c>
      <c r="E313">
        <v>83.129857999999999</v>
      </c>
      <c r="F313">
        <v>61.094478000000002</v>
      </c>
      <c r="G313">
        <v>39.948529000000001</v>
      </c>
      <c r="H313">
        <v>41.083292</v>
      </c>
      <c r="I313"/>
      <c r="N313"/>
      <c r="O313"/>
      <c r="P313" s="1">
        <f t="shared" si="39"/>
        <v>107.13207113821139</v>
      </c>
      <c r="Q313" s="1">
        <f t="shared" si="40"/>
        <v>109.13711483739839</v>
      </c>
      <c r="R313" s="1">
        <f t="shared" si="41"/>
        <v>111.48660548587743</v>
      </c>
      <c r="S313" s="1">
        <f t="shared" si="42"/>
        <v>85.437559328968902</v>
      </c>
    </row>
    <row r="314" spans="1:19" x14ac:dyDescent="0.3">
      <c r="A314">
        <v>6624.8</v>
      </c>
      <c r="B314">
        <v>104.696015</v>
      </c>
      <c r="C314">
        <v>106.62466999999999</v>
      </c>
      <c r="D314">
        <v>108.552504</v>
      </c>
      <c r="E314">
        <v>83.129857999999999</v>
      </c>
      <c r="F314">
        <v>61.094478000000002</v>
      </c>
      <c r="G314">
        <v>39.953073000000003</v>
      </c>
      <c r="H314">
        <v>41.090856000000002</v>
      </c>
      <c r="I314"/>
      <c r="N314"/>
      <c r="O314"/>
      <c r="P314" s="1">
        <f t="shared" si="39"/>
        <v>107.13207113821139</v>
      </c>
      <c r="Q314" s="1">
        <f t="shared" si="40"/>
        <v>109.13711483739839</v>
      </c>
      <c r="R314" s="1">
        <f t="shared" si="41"/>
        <v>111.48660548587743</v>
      </c>
      <c r="S314" s="1">
        <f t="shared" si="42"/>
        <v>85.437559328968902</v>
      </c>
    </row>
    <row r="315" spans="1:19" x14ac:dyDescent="0.3">
      <c r="A315">
        <v>6625</v>
      </c>
      <c r="B315">
        <v>104.703778</v>
      </c>
      <c r="C315">
        <v>106.63908000000001</v>
      </c>
      <c r="D315">
        <v>108.552984</v>
      </c>
      <c r="E315">
        <v>82.888655</v>
      </c>
      <c r="F315">
        <v>61.040472000000001</v>
      </c>
      <c r="G315">
        <v>39.953073000000003</v>
      </c>
      <c r="H315">
        <v>41.090856000000002</v>
      </c>
      <c r="I315" t="s">
        <v>60</v>
      </c>
      <c r="N315"/>
      <c r="O315"/>
      <c r="P315" s="1">
        <f t="shared" si="39"/>
        <v>107.17209552845529</v>
      </c>
      <c r="Q315" s="1">
        <f t="shared" si="40"/>
        <v>109.13829166666667</v>
      </c>
      <c r="R315" s="1">
        <f t="shared" si="41"/>
        <v>111.49960232487</v>
      </c>
      <c r="S315" s="1">
        <f t="shared" si="42"/>
        <v>85.422211538461539</v>
      </c>
    </row>
    <row r="316" spans="1:19" x14ac:dyDescent="0.3">
      <c r="A316">
        <v>6625.2</v>
      </c>
      <c r="B316">
        <v>104.703778</v>
      </c>
      <c r="C316">
        <v>106.63908000000001</v>
      </c>
      <c r="D316">
        <v>108.552984</v>
      </c>
      <c r="E316">
        <v>82.888655</v>
      </c>
      <c r="F316">
        <v>61.040472000000001</v>
      </c>
      <c r="G316">
        <v>39.963436000000002</v>
      </c>
      <c r="H316">
        <v>41.070492000000002</v>
      </c>
      <c r="I316"/>
      <c r="N316"/>
      <c r="O316"/>
      <c r="P316" s="1">
        <f t="shared" si="39"/>
        <v>107.17209552845529</v>
      </c>
      <c r="Q316" s="1">
        <f t="shared" si="40"/>
        <v>109.13829166666667</v>
      </c>
      <c r="R316" s="1">
        <f t="shared" si="41"/>
        <v>111.49960232487</v>
      </c>
      <c r="S316" s="1">
        <f t="shared" si="42"/>
        <v>85.422211538461539</v>
      </c>
    </row>
    <row r="317" spans="1:19" x14ac:dyDescent="0.3">
      <c r="A317">
        <v>6625.4</v>
      </c>
      <c r="B317">
        <v>104.699288</v>
      </c>
      <c r="C317">
        <v>106.64073999999999</v>
      </c>
      <c r="D317">
        <v>108.56418499999999</v>
      </c>
      <c r="E317">
        <v>82.769002</v>
      </c>
      <c r="F317">
        <v>60.964626000000003</v>
      </c>
      <c r="G317">
        <v>39.963436000000002</v>
      </c>
      <c r="H317">
        <v>41.070492000000002</v>
      </c>
      <c r="I317"/>
      <c r="N317"/>
      <c r="O317"/>
      <c r="P317" s="1">
        <f t="shared" si="39"/>
        <v>107.17145426829268</v>
      </c>
      <c r="Q317" s="1">
        <f t="shared" si="40"/>
        <v>109.146</v>
      </c>
      <c r="R317" s="1">
        <f t="shared" si="41"/>
        <v>111.49014989293362</v>
      </c>
      <c r="S317" s="1">
        <f t="shared" si="42"/>
        <v>85.099637888707036</v>
      </c>
    </row>
    <row r="318" spans="1:19" x14ac:dyDescent="0.3">
      <c r="A318">
        <v>6625.6</v>
      </c>
      <c r="B318">
        <v>104.699288</v>
      </c>
      <c r="C318">
        <v>106.64073999999999</v>
      </c>
      <c r="D318">
        <v>108.56418499999999</v>
      </c>
      <c r="E318">
        <v>82.769002</v>
      </c>
      <c r="F318">
        <v>60.964626000000003</v>
      </c>
      <c r="G318">
        <v>39.964886</v>
      </c>
      <c r="H318">
        <v>41.074966000000003</v>
      </c>
      <c r="I318"/>
      <c r="N318"/>
      <c r="O318"/>
      <c r="P318" s="1">
        <f t="shared" si="39"/>
        <v>107.17145426829268</v>
      </c>
      <c r="Q318" s="1">
        <f t="shared" si="40"/>
        <v>109.146</v>
      </c>
      <c r="R318" s="1">
        <f t="shared" si="41"/>
        <v>111.49014989293362</v>
      </c>
      <c r="S318" s="1">
        <f t="shared" si="42"/>
        <v>85.099637888707036</v>
      </c>
    </row>
    <row r="319" spans="1:19" x14ac:dyDescent="0.3">
      <c r="A319">
        <v>6625.8</v>
      </c>
      <c r="B319">
        <v>104.721253</v>
      </c>
      <c r="C319">
        <v>106.6557</v>
      </c>
      <c r="D319">
        <v>108.559529</v>
      </c>
      <c r="E319">
        <v>82.692226000000005</v>
      </c>
      <c r="F319">
        <v>61.185467000000003</v>
      </c>
      <c r="G319">
        <v>39.964886</v>
      </c>
      <c r="H319">
        <v>41.074966000000003</v>
      </c>
      <c r="I319"/>
      <c r="N319"/>
      <c r="O319"/>
      <c r="P319" s="1">
        <f t="shared" si="39"/>
        <v>107.17009959349595</v>
      </c>
      <c r="Q319" s="1">
        <f t="shared" si="40"/>
        <v>109.13303963414634</v>
      </c>
      <c r="R319" s="1">
        <f t="shared" si="41"/>
        <v>111.48948812073009</v>
      </c>
      <c r="S319" s="1">
        <f t="shared" si="42"/>
        <v>85.212942921440259</v>
      </c>
    </row>
    <row r="320" spans="1:19" x14ac:dyDescent="0.3">
      <c r="A320">
        <v>6626</v>
      </c>
      <c r="B320">
        <v>104.721253</v>
      </c>
      <c r="C320">
        <v>106.6557</v>
      </c>
      <c r="D320">
        <v>108.559529</v>
      </c>
      <c r="E320">
        <v>82.692226000000005</v>
      </c>
      <c r="F320">
        <v>61.185467000000003</v>
      </c>
      <c r="G320">
        <v>39.963332999999999</v>
      </c>
      <c r="H320">
        <v>41.080627999999997</v>
      </c>
      <c r="I320" t="s">
        <v>60</v>
      </c>
      <c r="N320"/>
      <c r="O320"/>
      <c r="P320" s="1">
        <f t="shared" si="39"/>
        <v>107.17009959349595</v>
      </c>
      <c r="Q320" s="1">
        <f t="shared" si="40"/>
        <v>109.13303963414634</v>
      </c>
      <c r="R320" s="1">
        <f t="shared" si="41"/>
        <v>111.48948812073009</v>
      </c>
      <c r="S320" s="1">
        <f t="shared" si="42"/>
        <v>85.212942921440259</v>
      </c>
    </row>
    <row r="321" spans="1:19" x14ac:dyDescent="0.3">
      <c r="A321">
        <v>6626.2</v>
      </c>
      <c r="B321">
        <v>104.709839</v>
      </c>
      <c r="C321">
        <v>106.661372</v>
      </c>
      <c r="D321">
        <v>108.581999</v>
      </c>
      <c r="E321">
        <v>82.476761999999994</v>
      </c>
      <c r="F321">
        <v>61.340859000000002</v>
      </c>
      <c r="G321">
        <v>39.963332999999999</v>
      </c>
      <c r="H321">
        <v>41.080627999999997</v>
      </c>
      <c r="I321"/>
      <c r="N321"/>
      <c r="O321"/>
      <c r="P321" s="1">
        <f t="shared" si="39"/>
        <v>107.14892073170732</v>
      </c>
      <c r="Q321" s="1">
        <f t="shared" si="40"/>
        <v>109.12803252032521</v>
      </c>
      <c r="R321" s="1">
        <f t="shared" si="41"/>
        <v>111.49955338023859</v>
      </c>
      <c r="S321" s="1">
        <f t="shared" si="42"/>
        <v>85.012177782324059</v>
      </c>
    </row>
    <row r="322" spans="1:19" x14ac:dyDescent="0.3">
      <c r="A322">
        <v>6626.4</v>
      </c>
      <c r="B322">
        <v>104.709839</v>
      </c>
      <c r="C322">
        <v>106.661372</v>
      </c>
      <c r="D322">
        <v>108.581999</v>
      </c>
      <c r="E322">
        <v>82.476761999999994</v>
      </c>
      <c r="F322">
        <v>61.340859000000002</v>
      </c>
      <c r="G322">
        <v>39.947105999999998</v>
      </c>
      <c r="H322">
        <v>41.070234999999997</v>
      </c>
      <c r="I322"/>
      <c r="N322"/>
      <c r="O322"/>
      <c r="P322" s="1">
        <f t="shared" si="39"/>
        <v>107.14892073170732</v>
      </c>
      <c r="Q322" s="1">
        <f t="shared" si="40"/>
        <v>109.12803252032521</v>
      </c>
      <c r="R322" s="1">
        <f t="shared" si="41"/>
        <v>111.49955338023859</v>
      </c>
      <c r="S322" s="1">
        <f t="shared" si="42"/>
        <v>85.012177782324059</v>
      </c>
    </row>
    <row r="323" spans="1:19" x14ac:dyDescent="0.3">
      <c r="A323">
        <v>6626.6</v>
      </c>
      <c r="B323">
        <v>104.69913699999999</v>
      </c>
      <c r="C323">
        <v>106.644014</v>
      </c>
      <c r="D323">
        <v>108.587222</v>
      </c>
      <c r="E323">
        <v>82.320740000000001</v>
      </c>
      <c r="F323">
        <v>61.596730999999998</v>
      </c>
      <c r="G323">
        <v>39.947105999999998</v>
      </c>
      <c r="H323">
        <v>41.070234999999997</v>
      </c>
      <c r="I323"/>
      <c r="N323"/>
      <c r="O323"/>
      <c r="P323" s="1">
        <f t="shared" si="39"/>
        <v>107.168418699187</v>
      </c>
      <c r="Q323" s="1">
        <f t="shared" si="40"/>
        <v>109.13924288617886</v>
      </c>
      <c r="R323" s="1">
        <f t="shared" si="41"/>
        <v>111.51237381462221</v>
      </c>
      <c r="S323" s="1">
        <f t="shared" si="42"/>
        <v>85.038618044189846</v>
      </c>
    </row>
    <row r="324" spans="1:19" x14ac:dyDescent="0.3">
      <c r="A324">
        <v>6626.8</v>
      </c>
      <c r="B324">
        <v>104.69913699999999</v>
      </c>
      <c r="C324">
        <v>106.644014</v>
      </c>
      <c r="D324">
        <v>108.587222</v>
      </c>
      <c r="E324">
        <v>82.320740000000001</v>
      </c>
      <c r="F324">
        <v>61.596730999999998</v>
      </c>
      <c r="G324">
        <v>39.955776999999998</v>
      </c>
      <c r="H324">
        <v>41.067261999999999</v>
      </c>
      <c r="I324"/>
      <c r="N324"/>
      <c r="O324"/>
      <c r="P324" s="1">
        <f t="shared" si="39"/>
        <v>107.168418699187</v>
      </c>
      <c r="Q324" s="1">
        <f t="shared" si="40"/>
        <v>109.13924288617886</v>
      </c>
      <c r="R324" s="1">
        <f t="shared" si="41"/>
        <v>111.51237381462221</v>
      </c>
      <c r="S324" s="1">
        <f t="shared" si="42"/>
        <v>85.038618044189846</v>
      </c>
    </row>
    <row r="325" spans="1:19" x14ac:dyDescent="0.3">
      <c r="A325">
        <v>7658</v>
      </c>
      <c r="B325">
        <v>111.36215199999999</v>
      </c>
      <c r="C325">
        <v>113.742689</v>
      </c>
      <c r="D325">
        <v>116.095867</v>
      </c>
      <c r="E325">
        <v>84.308200999999997</v>
      </c>
      <c r="F325">
        <v>62.255847000000003</v>
      </c>
      <c r="G325">
        <v>39.979170000000003</v>
      </c>
      <c r="H325">
        <v>41.309587000000001</v>
      </c>
      <c r="I325" t="s">
        <v>60</v>
      </c>
      <c r="N325"/>
      <c r="O325"/>
      <c r="P325" s="1">
        <f t="shared" si="39"/>
        <v>107.14572154471546</v>
      </c>
      <c r="Q325" s="1">
        <f t="shared" si="40"/>
        <v>109.11902235772358</v>
      </c>
      <c r="R325" s="1">
        <f t="shared" si="41"/>
        <v>111.50492301417356</v>
      </c>
      <c r="S325" s="1">
        <f t="shared" si="42"/>
        <v>85.238071808510639</v>
      </c>
    </row>
    <row r="326" spans="1:19" x14ac:dyDescent="0.3">
      <c r="A326">
        <v>7658.2</v>
      </c>
      <c r="B326">
        <v>111.34871099999999</v>
      </c>
      <c r="C326">
        <v>113.74868600000001</v>
      </c>
      <c r="D326">
        <v>116.09955600000001</v>
      </c>
      <c r="E326">
        <v>84.259573000000003</v>
      </c>
      <c r="F326">
        <v>62.587727000000001</v>
      </c>
      <c r="G326">
        <v>39.979170000000003</v>
      </c>
      <c r="H326">
        <v>41.309587000000001</v>
      </c>
      <c r="I326"/>
      <c r="N326"/>
      <c r="O326"/>
      <c r="P326" s="1">
        <f t="shared" si="39"/>
        <v>107.14572154471546</v>
      </c>
      <c r="Q326" s="1">
        <f t="shared" si="40"/>
        <v>109.11902235772358</v>
      </c>
      <c r="R326" s="1">
        <f t="shared" si="41"/>
        <v>111.50492301417356</v>
      </c>
      <c r="S326" s="1">
        <f t="shared" si="42"/>
        <v>85.238071808510639</v>
      </c>
    </row>
    <row r="327" spans="1:19" x14ac:dyDescent="0.3">
      <c r="A327">
        <v>7658.4</v>
      </c>
      <c r="B327">
        <v>111.34871099999999</v>
      </c>
      <c r="C327">
        <v>113.74868600000001</v>
      </c>
      <c r="D327">
        <v>116.09955600000001</v>
      </c>
      <c r="E327">
        <v>84.259573000000003</v>
      </c>
      <c r="F327">
        <v>62.587727000000001</v>
      </c>
      <c r="G327">
        <v>39.97063</v>
      </c>
      <c r="H327">
        <v>41.358289999999997</v>
      </c>
      <c r="I327"/>
      <c r="N327"/>
      <c r="O327"/>
      <c r="P327" s="1">
        <f t="shared" si="39"/>
        <v>107.13897662601627</v>
      </c>
      <c r="Q327" s="1">
        <f t="shared" si="40"/>
        <v>109.13499390243904</v>
      </c>
      <c r="R327" s="1">
        <f t="shared" si="41"/>
        <v>111.49862547160191</v>
      </c>
      <c r="S327" s="1">
        <f t="shared" si="42"/>
        <v>85.572591039279871</v>
      </c>
    </row>
    <row r="328" spans="1:19" x14ac:dyDescent="0.3">
      <c r="A328">
        <v>7658.6</v>
      </c>
      <c r="B328">
        <v>111.341784</v>
      </c>
      <c r="C328">
        <v>113.729354</v>
      </c>
      <c r="D328">
        <v>116.119804</v>
      </c>
      <c r="E328">
        <v>84.278113000000005</v>
      </c>
      <c r="F328">
        <v>62.833199</v>
      </c>
      <c r="G328">
        <v>39.97063</v>
      </c>
      <c r="H328">
        <v>41.358289999999997</v>
      </c>
      <c r="I328"/>
      <c r="N328"/>
      <c r="O328"/>
      <c r="P328" s="1">
        <f t="shared" si="39"/>
        <v>107.13897662601627</v>
      </c>
      <c r="Q328" s="1">
        <f t="shared" si="40"/>
        <v>109.13499390243904</v>
      </c>
      <c r="R328" s="1">
        <f t="shared" si="41"/>
        <v>111.49862547160191</v>
      </c>
      <c r="S328" s="1">
        <f t="shared" si="42"/>
        <v>85.572591039279871</v>
      </c>
    </row>
    <row r="329" spans="1:19" x14ac:dyDescent="0.3">
      <c r="A329">
        <v>7658.8</v>
      </c>
      <c r="B329">
        <v>111.341784</v>
      </c>
      <c r="C329">
        <v>113.729354</v>
      </c>
      <c r="D329">
        <v>116.119804</v>
      </c>
      <c r="E329">
        <v>84.278113000000005</v>
      </c>
      <c r="F329">
        <v>62.833199</v>
      </c>
      <c r="G329">
        <v>39.989961999999998</v>
      </c>
      <c r="H329">
        <v>41.343167000000001</v>
      </c>
      <c r="I329"/>
      <c r="N329"/>
      <c r="O329"/>
      <c r="P329" s="1">
        <f t="shared" si="39"/>
        <v>107.16872052845528</v>
      </c>
      <c r="Q329" s="1">
        <f t="shared" si="40"/>
        <v>109.1474349593496</v>
      </c>
      <c r="R329" s="1">
        <f t="shared" si="41"/>
        <v>111.47582135209544</v>
      </c>
      <c r="S329" s="1">
        <f t="shared" si="42"/>
        <v>85.749766775777402</v>
      </c>
    </row>
    <row r="330" spans="1:19" x14ac:dyDescent="0.3">
      <c r="A330">
        <v>7659</v>
      </c>
      <c r="B330">
        <v>111.35999</v>
      </c>
      <c r="C330">
        <v>113.736852</v>
      </c>
      <c r="D330">
        <v>116.100785</v>
      </c>
      <c r="E330">
        <v>84.259433999999999</v>
      </c>
      <c r="F330">
        <v>62.741143000000001</v>
      </c>
      <c r="G330">
        <v>39.989961999999998</v>
      </c>
      <c r="H330">
        <v>41.343167000000001</v>
      </c>
      <c r="I330" t="s">
        <v>60</v>
      </c>
      <c r="N330"/>
      <c r="O330"/>
      <c r="P330" s="1">
        <f t="shared" si="39"/>
        <v>107.16872052845528</v>
      </c>
      <c r="Q330" s="1">
        <f t="shared" si="40"/>
        <v>109.1474349593496</v>
      </c>
      <c r="R330" s="1">
        <f t="shared" si="41"/>
        <v>111.47582135209544</v>
      </c>
      <c r="S330" s="1">
        <f t="shared" si="42"/>
        <v>85.749766775777402</v>
      </c>
    </row>
    <row r="331" spans="1:19" x14ac:dyDescent="0.3">
      <c r="A331">
        <v>7659.2</v>
      </c>
      <c r="B331">
        <v>111.35999</v>
      </c>
      <c r="C331">
        <v>113.736852</v>
      </c>
      <c r="D331">
        <v>116.100785</v>
      </c>
      <c r="E331">
        <v>84.259433999999999</v>
      </c>
      <c r="F331">
        <v>62.741143000000001</v>
      </c>
      <c r="G331">
        <v>39.965012999999999</v>
      </c>
      <c r="H331">
        <v>41.336626000000003</v>
      </c>
      <c r="I331"/>
      <c r="N331"/>
      <c r="O331"/>
      <c r="P331" s="1">
        <f t="shared" si="39"/>
        <v>107.19767784552846</v>
      </c>
      <c r="Q331" s="1">
        <f t="shared" si="40"/>
        <v>109.15769308943089</v>
      </c>
      <c r="R331" s="1">
        <f t="shared" si="41"/>
        <v>111.5150443560722</v>
      </c>
      <c r="S331" s="1">
        <f t="shared" si="42"/>
        <v>85.97960106382979</v>
      </c>
    </row>
    <row r="332" spans="1:19" x14ac:dyDescent="0.3">
      <c r="A332">
        <v>7659.4</v>
      </c>
      <c r="B332">
        <v>111.332892</v>
      </c>
      <c r="C332">
        <v>113.74312500000001</v>
      </c>
      <c r="D332">
        <v>116.092191</v>
      </c>
      <c r="E332">
        <v>84.282613999999995</v>
      </c>
      <c r="F332">
        <v>62.804966</v>
      </c>
      <c r="G332">
        <v>39.965012999999999</v>
      </c>
      <c r="H332">
        <v>41.336626000000003</v>
      </c>
      <c r="I332"/>
      <c r="N332"/>
      <c r="O332"/>
      <c r="P332" s="1">
        <f t="shared" si="39"/>
        <v>107.19767784552846</v>
      </c>
      <c r="Q332" s="1">
        <f t="shared" si="40"/>
        <v>109.15769308943089</v>
      </c>
      <c r="R332" s="1">
        <f t="shared" si="41"/>
        <v>111.5150443560722</v>
      </c>
      <c r="S332" s="1">
        <f t="shared" si="42"/>
        <v>85.97960106382979</v>
      </c>
    </row>
    <row r="333" spans="1:19" x14ac:dyDescent="0.3">
      <c r="A333">
        <v>7659.6</v>
      </c>
      <c r="B333">
        <v>111.332892</v>
      </c>
      <c r="C333">
        <v>113.74312500000001</v>
      </c>
      <c r="D333">
        <v>116.092191</v>
      </c>
      <c r="E333">
        <v>84.282613999999995</v>
      </c>
      <c r="F333">
        <v>62.804966</v>
      </c>
      <c r="G333">
        <v>40.009501</v>
      </c>
      <c r="H333">
        <v>41.338952999999997</v>
      </c>
      <c r="I333"/>
      <c r="N333"/>
      <c r="O333"/>
      <c r="P333" s="1">
        <f t="shared" si="39"/>
        <v>107.20556707317074</v>
      </c>
      <c r="Q333" s="1">
        <f t="shared" si="40"/>
        <v>109.172337398374</v>
      </c>
      <c r="R333" s="1">
        <f t="shared" si="41"/>
        <v>111.51553380238605</v>
      </c>
      <c r="S333" s="1">
        <f t="shared" si="42"/>
        <v>85.732871317512277</v>
      </c>
    </row>
    <row r="334" spans="1:19" x14ac:dyDescent="0.3">
      <c r="A334">
        <v>7659.8</v>
      </c>
      <c r="B334">
        <v>111.32769999999999</v>
      </c>
      <c r="C334">
        <v>113.745479</v>
      </c>
      <c r="D334">
        <v>116.084489</v>
      </c>
      <c r="E334">
        <v>84.384485999999995</v>
      </c>
      <c r="F334">
        <v>62.783447000000002</v>
      </c>
      <c r="G334">
        <v>40.009501</v>
      </c>
      <c r="H334">
        <v>41.338952999999997</v>
      </c>
      <c r="I334"/>
      <c r="N334"/>
      <c r="O334"/>
      <c r="P334" s="1">
        <f t="shared" si="39"/>
        <v>107.20556707317074</v>
      </c>
      <c r="Q334" s="1">
        <f t="shared" si="40"/>
        <v>109.172337398374</v>
      </c>
      <c r="R334" s="1">
        <f t="shared" si="41"/>
        <v>111.51553380238605</v>
      </c>
      <c r="S334" s="1">
        <f t="shared" si="42"/>
        <v>85.732871317512277</v>
      </c>
    </row>
    <row r="335" spans="1:19" x14ac:dyDescent="0.3">
      <c r="A335">
        <v>7660</v>
      </c>
      <c r="B335">
        <v>111.32769999999999</v>
      </c>
      <c r="C335">
        <v>113.745479</v>
      </c>
      <c r="D335">
        <v>116.084489</v>
      </c>
      <c r="E335">
        <v>84.384485999999995</v>
      </c>
      <c r="F335">
        <v>62.783447000000002</v>
      </c>
      <c r="G335">
        <v>40.012478999999999</v>
      </c>
      <c r="H335">
        <v>41.340065000000003</v>
      </c>
      <c r="I335" t="s">
        <v>60</v>
      </c>
      <c r="N335"/>
      <c r="O335"/>
      <c r="P335" s="1">
        <f t="shared" si="39"/>
        <v>107.20100406504065</v>
      </c>
      <c r="Q335" s="1">
        <f t="shared" si="40"/>
        <v>109.1740243902439</v>
      </c>
      <c r="R335" s="1">
        <f t="shared" si="41"/>
        <v>111.52695523605587</v>
      </c>
      <c r="S335" s="1">
        <f t="shared" si="42"/>
        <v>85.610476677577736</v>
      </c>
    </row>
    <row r="336" spans="1:19" x14ac:dyDescent="0.3">
      <c r="A336">
        <v>7660.2</v>
      </c>
      <c r="B336">
        <v>111.33831000000001</v>
      </c>
      <c r="C336">
        <v>113.744665</v>
      </c>
      <c r="D336">
        <v>116.091899</v>
      </c>
      <c r="E336">
        <v>84.500754999999998</v>
      </c>
      <c r="F336">
        <v>62.579144999999997</v>
      </c>
      <c r="G336">
        <v>40.012478999999999</v>
      </c>
      <c r="H336">
        <v>41.340065000000003</v>
      </c>
      <c r="I336"/>
      <c r="N336"/>
      <c r="O336"/>
      <c r="P336" s="1">
        <f t="shared" si="39"/>
        <v>107.20100406504065</v>
      </c>
      <c r="Q336" s="1">
        <f t="shared" si="40"/>
        <v>109.1740243902439</v>
      </c>
      <c r="R336" s="1">
        <f t="shared" si="41"/>
        <v>111.52695523605587</v>
      </c>
      <c r="S336" s="1">
        <f t="shared" si="42"/>
        <v>85.610476677577736</v>
      </c>
    </row>
    <row r="337" spans="1:19" x14ac:dyDescent="0.3">
      <c r="A337">
        <v>7660.4</v>
      </c>
      <c r="B337">
        <v>111.33831000000001</v>
      </c>
      <c r="C337">
        <v>113.744665</v>
      </c>
      <c r="D337">
        <v>116.091899</v>
      </c>
      <c r="E337">
        <v>84.500754999999998</v>
      </c>
      <c r="F337">
        <v>62.579144999999997</v>
      </c>
      <c r="G337">
        <v>39.980981999999997</v>
      </c>
      <c r="H337">
        <v>41.322797000000001</v>
      </c>
      <c r="I337"/>
      <c r="N337"/>
      <c r="O337"/>
      <c r="P337" s="1">
        <f t="shared" si="39"/>
        <v>107.2233262195122</v>
      </c>
      <c r="Q337" s="1">
        <f t="shared" si="40"/>
        <v>109.18922764227642</v>
      </c>
      <c r="R337" s="1">
        <f t="shared" si="41"/>
        <v>111.52220760681145</v>
      </c>
      <c r="S337" s="1">
        <f t="shared" si="42"/>
        <v>85.531941489361699</v>
      </c>
    </row>
    <row r="338" spans="1:19" x14ac:dyDescent="0.3">
      <c r="A338">
        <v>7660.6</v>
      </c>
      <c r="B338">
        <v>111.342698</v>
      </c>
      <c r="C338">
        <v>113.746089</v>
      </c>
      <c r="D338">
        <v>116.09263199999999</v>
      </c>
      <c r="E338">
        <v>84.475909000000001</v>
      </c>
      <c r="F338">
        <v>62.632913000000002</v>
      </c>
      <c r="G338">
        <v>39.980981999999997</v>
      </c>
      <c r="H338">
        <v>41.322797000000001</v>
      </c>
      <c r="I338"/>
      <c r="N338"/>
      <c r="O338"/>
      <c r="P338" s="1">
        <f t="shared" si="39"/>
        <v>107.2233262195122</v>
      </c>
      <c r="Q338" s="1">
        <f t="shared" si="40"/>
        <v>109.18922764227642</v>
      </c>
      <c r="R338" s="1">
        <f t="shared" si="41"/>
        <v>111.52220760681145</v>
      </c>
      <c r="S338" s="1">
        <f t="shared" si="42"/>
        <v>85.531941489361699</v>
      </c>
    </row>
    <row r="339" spans="1:19" x14ac:dyDescent="0.3">
      <c r="A339">
        <v>7660.8</v>
      </c>
      <c r="B339">
        <v>111.342698</v>
      </c>
      <c r="C339">
        <v>113.746089</v>
      </c>
      <c r="D339">
        <v>116.09263199999999</v>
      </c>
      <c r="E339">
        <v>84.475909000000001</v>
      </c>
      <c r="F339">
        <v>62.632913000000002</v>
      </c>
      <c r="G339">
        <v>39.998246999999999</v>
      </c>
      <c r="H339">
        <v>41.341205000000002</v>
      </c>
      <c r="I339"/>
      <c r="N339"/>
      <c r="O339"/>
      <c r="P339" s="1">
        <f t="shared" si="39"/>
        <v>107.21172662601627</v>
      </c>
      <c r="Q339" s="1">
        <f t="shared" si="40"/>
        <v>109.19499186991871</v>
      </c>
      <c r="R339" s="1">
        <f t="shared" si="41"/>
        <v>111.5451198123789</v>
      </c>
      <c r="S339" s="1">
        <f t="shared" si="42"/>
        <v>85.311540507364967</v>
      </c>
    </row>
    <row r="340" spans="1:19" x14ac:dyDescent="0.3">
      <c r="A340">
        <v>7661</v>
      </c>
      <c r="B340">
        <v>111.356709</v>
      </c>
      <c r="C340">
        <v>113.748001</v>
      </c>
      <c r="D340">
        <v>116.103441</v>
      </c>
      <c r="E340">
        <v>84.517698999999993</v>
      </c>
      <c r="F340">
        <v>62.698193000000003</v>
      </c>
      <c r="G340">
        <v>39.998246999999999</v>
      </c>
      <c r="H340">
        <v>41.341205000000002</v>
      </c>
      <c r="I340" t="s">
        <v>60</v>
      </c>
      <c r="N340"/>
      <c r="O340"/>
      <c r="P340" s="1">
        <f t="shared" si="39"/>
        <v>107.21172662601627</v>
      </c>
      <c r="Q340" s="1">
        <f t="shared" si="40"/>
        <v>109.19499186991871</v>
      </c>
      <c r="R340" s="1">
        <f t="shared" si="41"/>
        <v>111.5451198123789</v>
      </c>
      <c r="S340" s="1">
        <f t="shared" si="42"/>
        <v>85.311540507364967</v>
      </c>
    </row>
    <row r="341" spans="1:19" x14ac:dyDescent="0.3">
      <c r="A341">
        <v>7661.2</v>
      </c>
      <c r="B341">
        <v>111.356709</v>
      </c>
      <c r="C341">
        <v>113.748001</v>
      </c>
      <c r="D341">
        <v>116.103441</v>
      </c>
      <c r="E341">
        <v>84.517698999999993</v>
      </c>
      <c r="F341">
        <v>62.698193000000003</v>
      </c>
      <c r="G341">
        <v>39.980569000000003</v>
      </c>
      <c r="H341">
        <v>41.326107</v>
      </c>
      <c r="I341"/>
      <c r="N341"/>
      <c r="O341"/>
      <c r="P341" s="1">
        <f t="shared" si="39"/>
        <v>107.2008506097561</v>
      </c>
      <c r="Q341" s="1">
        <f t="shared" si="40"/>
        <v>109.17735162601626</v>
      </c>
      <c r="R341" s="1">
        <f t="shared" si="41"/>
        <v>111.55044560008157</v>
      </c>
      <c r="S341" s="1">
        <f t="shared" si="42"/>
        <v>85.151943535188209</v>
      </c>
    </row>
    <row r="342" spans="1:19" x14ac:dyDescent="0.3">
      <c r="A342">
        <v>7661.4</v>
      </c>
      <c r="B342">
        <v>111.350326</v>
      </c>
      <c r="C342">
        <v>113.757413</v>
      </c>
      <c r="D342">
        <v>116.11897999999999</v>
      </c>
      <c r="E342">
        <v>84.509189000000006</v>
      </c>
      <c r="F342">
        <v>62.843867000000003</v>
      </c>
      <c r="G342">
        <v>39.980569000000003</v>
      </c>
      <c r="H342">
        <v>41.326107</v>
      </c>
      <c r="I342"/>
      <c r="N342"/>
      <c r="O342"/>
      <c r="P342" s="1">
        <f t="shared" si="39"/>
        <v>107.2008506097561</v>
      </c>
      <c r="Q342" s="1">
        <f t="shared" si="40"/>
        <v>109.17735162601626</v>
      </c>
      <c r="R342" s="1">
        <f t="shared" si="41"/>
        <v>111.55044560008157</v>
      </c>
      <c r="S342" s="1">
        <f t="shared" si="42"/>
        <v>85.151943535188209</v>
      </c>
    </row>
    <row r="343" spans="1:19" x14ac:dyDescent="0.3">
      <c r="A343">
        <v>7661.6</v>
      </c>
      <c r="B343">
        <v>111.350326</v>
      </c>
      <c r="C343">
        <v>113.757413</v>
      </c>
      <c r="D343">
        <v>116.11897999999999</v>
      </c>
      <c r="E343">
        <v>84.509189000000006</v>
      </c>
      <c r="F343">
        <v>62.843867000000003</v>
      </c>
      <c r="G343">
        <v>39.997159000000003</v>
      </c>
      <c r="H343">
        <v>41.321970999999998</v>
      </c>
      <c r="I343"/>
      <c r="N343"/>
      <c r="O343"/>
      <c r="P343" s="1">
        <f t="shared" si="39"/>
        <v>113.97220731707317</v>
      </c>
      <c r="Q343" s="1">
        <f t="shared" si="40"/>
        <v>116.39145223577236</v>
      </c>
      <c r="R343" s="1">
        <f t="shared" si="41"/>
        <v>119.20685938615274</v>
      </c>
      <c r="S343" s="1">
        <f t="shared" si="42"/>
        <v>87.184943739770858</v>
      </c>
    </row>
    <row r="344" spans="1:19" x14ac:dyDescent="0.3">
      <c r="A344">
        <v>7661.8</v>
      </c>
      <c r="B344">
        <v>111.376182</v>
      </c>
      <c r="C344">
        <v>113.761126</v>
      </c>
      <c r="D344">
        <v>116.117884</v>
      </c>
      <c r="E344">
        <v>84.460791999999998</v>
      </c>
      <c r="F344">
        <v>63.133327000000001</v>
      </c>
      <c r="G344">
        <v>39.997159000000003</v>
      </c>
      <c r="H344">
        <v>41.321970999999998</v>
      </c>
      <c r="I344"/>
      <c r="N344"/>
      <c r="O344"/>
      <c r="P344" s="1">
        <f t="shared" si="39"/>
        <v>113.95854776422765</v>
      </c>
      <c r="Q344" s="1">
        <f t="shared" si="40"/>
        <v>116.3975467479675</v>
      </c>
      <c r="R344" s="1">
        <f t="shared" si="41"/>
        <v>119.21062098501071</v>
      </c>
      <c r="S344" s="1">
        <f t="shared" si="42"/>
        <v>87.135201513911625</v>
      </c>
    </row>
    <row r="345" spans="1:19" x14ac:dyDescent="0.3">
      <c r="A345">
        <v>7662</v>
      </c>
      <c r="B345">
        <v>111.376182</v>
      </c>
      <c r="C345">
        <v>113.761126</v>
      </c>
      <c r="D345">
        <v>116.117884</v>
      </c>
      <c r="E345">
        <v>84.460791999999998</v>
      </c>
      <c r="F345">
        <v>63.133327000000001</v>
      </c>
      <c r="G345">
        <v>39.981127000000001</v>
      </c>
      <c r="H345">
        <v>41.315497000000001</v>
      </c>
      <c r="I345" t="s">
        <v>60</v>
      </c>
      <c r="N345"/>
      <c r="O345"/>
      <c r="P345" s="1">
        <f t="shared" si="39"/>
        <v>113.95854776422765</v>
      </c>
      <c r="Q345" s="1">
        <f t="shared" si="40"/>
        <v>116.3975467479675</v>
      </c>
      <c r="R345" s="1">
        <f t="shared" si="41"/>
        <v>119.21062098501071</v>
      </c>
      <c r="S345" s="1">
        <f t="shared" si="42"/>
        <v>87.135201513911625</v>
      </c>
    </row>
    <row r="346" spans="1:19" x14ac:dyDescent="0.3">
      <c r="A346">
        <v>7662.2</v>
      </c>
      <c r="B346">
        <v>111.370597</v>
      </c>
      <c r="C346">
        <v>113.762857</v>
      </c>
      <c r="D346">
        <v>116.11823800000001</v>
      </c>
      <c r="E346">
        <v>84.467642999999995</v>
      </c>
      <c r="F346">
        <v>62.800446999999998</v>
      </c>
      <c r="G346">
        <v>39.981127000000001</v>
      </c>
      <c r="H346">
        <v>41.315497000000001</v>
      </c>
      <c r="I346"/>
      <c r="N346"/>
      <c r="O346"/>
      <c r="P346" s="1">
        <f t="shared" si="39"/>
        <v>113.95150813008131</v>
      </c>
      <c r="Q346" s="1">
        <f t="shared" si="40"/>
        <v>116.37790040650407</v>
      </c>
      <c r="R346" s="1">
        <f t="shared" si="41"/>
        <v>119.23126746201693</v>
      </c>
      <c r="S346" s="1">
        <f t="shared" si="42"/>
        <v>87.154166325695584</v>
      </c>
    </row>
    <row r="347" spans="1:19" x14ac:dyDescent="0.3">
      <c r="A347">
        <v>7662.4</v>
      </c>
      <c r="B347">
        <v>111.370597</v>
      </c>
      <c r="C347">
        <v>113.762857</v>
      </c>
      <c r="D347">
        <v>116.11823800000001</v>
      </c>
      <c r="E347">
        <v>84.467642999999995</v>
      </c>
      <c r="F347">
        <v>62.800446999999998</v>
      </c>
      <c r="G347">
        <v>39.988709999999998</v>
      </c>
      <c r="H347">
        <v>41.320045999999998</v>
      </c>
      <c r="I347"/>
      <c r="N347"/>
      <c r="O347"/>
      <c r="P347" s="1">
        <f t="shared" si="39"/>
        <v>113.95150813008131</v>
      </c>
      <c r="Q347" s="1">
        <f t="shared" si="40"/>
        <v>116.37790040650407</v>
      </c>
      <c r="R347" s="1">
        <f t="shared" si="41"/>
        <v>119.23126746201693</v>
      </c>
      <c r="S347" s="1">
        <f t="shared" si="42"/>
        <v>87.154166325695584</v>
      </c>
    </row>
    <row r="348" spans="1:19" x14ac:dyDescent="0.3">
      <c r="A348">
        <v>7662.6</v>
      </c>
      <c r="B348">
        <v>111.378325</v>
      </c>
      <c r="C348">
        <v>113.776115</v>
      </c>
      <c r="D348">
        <v>116.121396</v>
      </c>
      <c r="E348">
        <v>84.575925999999995</v>
      </c>
      <c r="F348">
        <v>62.538713999999999</v>
      </c>
      <c r="G348">
        <v>39.988709999999998</v>
      </c>
      <c r="H348">
        <v>41.320045999999998</v>
      </c>
      <c r="I348"/>
      <c r="N348"/>
      <c r="O348"/>
      <c r="P348" s="1">
        <f t="shared" si="39"/>
        <v>113.97001016260162</v>
      </c>
      <c r="Q348" s="1">
        <f t="shared" si="40"/>
        <v>116.38552032520326</v>
      </c>
      <c r="R348" s="1">
        <f t="shared" si="41"/>
        <v>119.21187417151015</v>
      </c>
      <c r="S348" s="1">
        <f t="shared" si="42"/>
        <v>87.135059328968893</v>
      </c>
    </row>
    <row r="349" spans="1:19" x14ac:dyDescent="0.3">
      <c r="A349">
        <v>7662.8</v>
      </c>
      <c r="B349">
        <v>111.378325</v>
      </c>
      <c r="C349">
        <v>113.776115</v>
      </c>
      <c r="D349">
        <v>116.121396</v>
      </c>
      <c r="E349">
        <v>84.575925999999995</v>
      </c>
      <c r="F349">
        <v>62.538713999999999</v>
      </c>
      <c r="G349">
        <v>40.009166999999998</v>
      </c>
      <c r="H349">
        <v>41.319541000000001</v>
      </c>
      <c r="I349"/>
      <c r="N349"/>
      <c r="O349"/>
      <c r="P349" s="1">
        <f t="shared" si="39"/>
        <v>113.97001016260162</v>
      </c>
      <c r="Q349" s="1">
        <f t="shared" si="40"/>
        <v>116.38552032520326</v>
      </c>
      <c r="R349" s="1">
        <f t="shared" si="41"/>
        <v>119.21187417151015</v>
      </c>
      <c r="S349" s="1">
        <f t="shared" si="42"/>
        <v>87.135059328968893</v>
      </c>
    </row>
    <row r="350" spans="1:19" x14ac:dyDescent="0.3">
      <c r="A350">
        <v>7663</v>
      </c>
      <c r="B350">
        <v>111.40772</v>
      </c>
      <c r="C350">
        <v>113.77741899999999</v>
      </c>
      <c r="D350">
        <v>116.098263</v>
      </c>
      <c r="E350">
        <v>84.699879999999993</v>
      </c>
      <c r="F350">
        <v>62.484811999999998</v>
      </c>
      <c r="G350">
        <v>40.009166999999998</v>
      </c>
      <c r="H350">
        <v>41.319541000000001</v>
      </c>
      <c r="I350" t="s">
        <v>60</v>
      </c>
      <c r="N350"/>
      <c r="O350"/>
      <c r="P350" s="1">
        <f t="shared" si="39"/>
        <v>113.94247154471546</v>
      </c>
      <c r="Q350" s="1">
        <f t="shared" si="40"/>
        <v>116.39189532520327</v>
      </c>
      <c r="R350" s="1">
        <f t="shared" si="41"/>
        <v>119.20311104313245</v>
      </c>
      <c r="S350" s="1">
        <f t="shared" si="42"/>
        <v>87.158770458265138</v>
      </c>
    </row>
    <row r="351" spans="1:19" x14ac:dyDescent="0.3">
      <c r="A351">
        <v>7663.2</v>
      </c>
      <c r="B351">
        <v>111.40772</v>
      </c>
      <c r="C351">
        <v>113.77741899999999</v>
      </c>
      <c r="D351">
        <v>116.098263</v>
      </c>
      <c r="E351">
        <v>84.699879999999993</v>
      </c>
      <c r="F351">
        <v>62.484811999999998</v>
      </c>
      <c r="G351">
        <v>39.992218000000001</v>
      </c>
      <c r="H351">
        <v>41.315407</v>
      </c>
      <c r="I351"/>
      <c r="N351"/>
      <c r="O351"/>
      <c r="P351" s="1">
        <f t="shared" si="39"/>
        <v>113.94247154471546</v>
      </c>
      <c r="Q351" s="1">
        <f t="shared" si="40"/>
        <v>116.39189532520327</v>
      </c>
      <c r="R351" s="1">
        <f t="shared" si="41"/>
        <v>119.20311104313245</v>
      </c>
      <c r="S351" s="1">
        <f t="shared" si="42"/>
        <v>87.158770458265138</v>
      </c>
    </row>
    <row r="352" spans="1:19" x14ac:dyDescent="0.3">
      <c r="A352">
        <v>7663.4</v>
      </c>
      <c r="B352">
        <v>111.39799499999999</v>
      </c>
      <c r="C352">
        <v>113.77086799999999</v>
      </c>
      <c r="D352">
        <v>116.127815</v>
      </c>
      <c r="E352">
        <v>84.750660999999994</v>
      </c>
      <c r="F352">
        <v>62.492680999999997</v>
      </c>
      <c r="G352">
        <v>39.992218000000001</v>
      </c>
      <c r="H352">
        <v>41.315407</v>
      </c>
      <c r="I352"/>
      <c r="N352"/>
      <c r="O352"/>
      <c r="P352" s="1">
        <f t="shared" si="39"/>
        <v>113.93719512195122</v>
      </c>
      <c r="Q352" s="1">
        <f t="shared" si="40"/>
        <v>116.39428760162602</v>
      </c>
      <c r="R352" s="1">
        <f t="shared" si="41"/>
        <v>119.19525746915468</v>
      </c>
      <c r="S352" s="1">
        <f t="shared" si="42"/>
        <v>87.26297667757774</v>
      </c>
    </row>
    <row r="353" spans="1:19" x14ac:dyDescent="0.3">
      <c r="A353">
        <v>7663.6</v>
      </c>
      <c r="B353">
        <v>111.39799499999999</v>
      </c>
      <c r="C353">
        <v>113.77086799999999</v>
      </c>
      <c r="D353">
        <v>116.127815</v>
      </c>
      <c r="E353">
        <v>84.750660999999994</v>
      </c>
      <c r="F353">
        <v>62.492680999999997</v>
      </c>
      <c r="G353">
        <v>39.982667999999997</v>
      </c>
      <c r="H353">
        <v>41.323318</v>
      </c>
      <c r="I353"/>
      <c r="N353"/>
      <c r="O353"/>
      <c r="P353" s="1">
        <f t="shared" si="39"/>
        <v>113.93719512195122</v>
      </c>
      <c r="Q353" s="1">
        <f t="shared" si="40"/>
        <v>116.39428760162602</v>
      </c>
      <c r="R353" s="1">
        <f t="shared" si="41"/>
        <v>119.19525746915468</v>
      </c>
      <c r="S353" s="1">
        <f t="shared" si="42"/>
        <v>87.26297667757774</v>
      </c>
    </row>
    <row r="354" spans="1:19" x14ac:dyDescent="0.3">
      <c r="A354">
        <v>7663.8</v>
      </c>
      <c r="B354">
        <v>111.408</v>
      </c>
      <c r="C354">
        <v>113.776095</v>
      </c>
      <c r="D354">
        <v>116.122975</v>
      </c>
      <c r="E354">
        <v>84.759364000000005</v>
      </c>
      <c r="F354">
        <v>62.629240000000003</v>
      </c>
      <c r="G354">
        <v>39.982667999999997</v>
      </c>
      <c r="H354">
        <v>41.323318</v>
      </c>
      <c r="I354"/>
      <c r="N354"/>
      <c r="O354"/>
      <c r="P354" s="1">
        <f t="shared" si="39"/>
        <v>113.94797764227644</v>
      </c>
      <c r="Q354" s="1">
        <f t="shared" si="40"/>
        <v>116.39346036585366</v>
      </c>
      <c r="R354" s="1">
        <f t="shared" si="41"/>
        <v>119.20281329662485</v>
      </c>
      <c r="S354" s="1">
        <f t="shared" si="42"/>
        <v>87.38190977905073</v>
      </c>
    </row>
    <row r="355" spans="1:19" x14ac:dyDescent="0.3">
      <c r="A355">
        <v>7664</v>
      </c>
      <c r="B355">
        <v>111.408</v>
      </c>
      <c r="C355">
        <v>113.776095</v>
      </c>
      <c r="D355">
        <v>116.122975</v>
      </c>
      <c r="E355">
        <v>84.759364000000005</v>
      </c>
      <c r="F355">
        <v>62.629240000000003</v>
      </c>
      <c r="G355">
        <v>40.005223999999998</v>
      </c>
      <c r="H355">
        <v>41.322349000000003</v>
      </c>
      <c r="I355" t="s">
        <v>60</v>
      </c>
      <c r="N355"/>
      <c r="O355"/>
      <c r="P355" s="1">
        <f t="shared" si="39"/>
        <v>113.94797764227644</v>
      </c>
      <c r="Q355" s="1">
        <f t="shared" si="40"/>
        <v>116.39346036585366</v>
      </c>
      <c r="R355" s="1">
        <f t="shared" si="41"/>
        <v>119.20281329662485</v>
      </c>
      <c r="S355" s="1">
        <f t="shared" si="42"/>
        <v>87.38190977905073</v>
      </c>
    </row>
    <row r="356" spans="1:19" x14ac:dyDescent="0.3">
      <c r="A356">
        <v>7664.2</v>
      </c>
      <c r="B356">
        <v>111.414473</v>
      </c>
      <c r="C356">
        <v>113.788552</v>
      </c>
      <c r="D356">
        <v>116.136752</v>
      </c>
      <c r="E356">
        <v>84.710547000000005</v>
      </c>
      <c r="F356">
        <v>62.693226000000003</v>
      </c>
      <c r="G356">
        <v>40.005223999999998</v>
      </c>
      <c r="H356">
        <v>41.322349000000003</v>
      </c>
      <c r="I356"/>
      <c r="N356"/>
      <c r="O356"/>
      <c r="P356" s="1">
        <f t="shared" si="39"/>
        <v>113.95243699186992</v>
      </c>
      <c r="Q356" s="1">
        <f t="shared" si="40"/>
        <v>116.39490752032521</v>
      </c>
      <c r="R356" s="1">
        <f t="shared" si="41"/>
        <v>119.2035607219333</v>
      </c>
      <c r="S356" s="1">
        <f t="shared" si="42"/>
        <v>87.356494476268409</v>
      </c>
    </row>
    <row r="357" spans="1:19" x14ac:dyDescent="0.3">
      <c r="A357">
        <v>7664.4</v>
      </c>
      <c r="B357">
        <v>111.414473</v>
      </c>
      <c r="C357">
        <v>113.788552</v>
      </c>
      <c r="D357">
        <v>116.136752</v>
      </c>
      <c r="E357">
        <v>84.710547000000005</v>
      </c>
      <c r="F357">
        <v>62.693226000000003</v>
      </c>
      <c r="G357">
        <v>39.999102999999998</v>
      </c>
      <c r="H357">
        <v>41.355088000000002</v>
      </c>
      <c r="I357"/>
      <c r="N357"/>
      <c r="O357"/>
      <c r="P357" s="1">
        <f t="shared" si="39"/>
        <v>113.95243699186992</v>
      </c>
      <c r="Q357" s="1">
        <f t="shared" si="40"/>
        <v>116.39490752032521</v>
      </c>
      <c r="R357" s="1">
        <f t="shared" si="41"/>
        <v>119.2035607219333</v>
      </c>
      <c r="S357" s="1">
        <f t="shared" si="42"/>
        <v>87.356494476268409</v>
      </c>
    </row>
    <row r="358" spans="1:19" x14ac:dyDescent="0.3">
      <c r="A358">
        <v>7664.6</v>
      </c>
      <c r="B358">
        <v>111.44504000000001</v>
      </c>
      <c r="C358">
        <v>113.801119</v>
      </c>
      <c r="D358">
        <v>116.129632</v>
      </c>
      <c r="E358">
        <v>84.504176000000001</v>
      </c>
      <c r="F358">
        <v>62.551234000000001</v>
      </c>
      <c r="G358">
        <v>39.999102999999998</v>
      </c>
      <c r="H358">
        <v>41.355088000000002</v>
      </c>
      <c r="I358"/>
      <c r="N358"/>
      <c r="O358"/>
      <c r="P358" s="1">
        <f t="shared" si="39"/>
        <v>113.96667581300812</v>
      </c>
      <c r="Q358" s="1">
        <f t="shared" si="40"/>
        <v>116.3968506097561</v>
      </c>
      <c r="R358" s="1">
        <f t="shared" si="41"/>
        <v>119.21458244111349</v>
      </c>
      <c r="S358" s="1">
        <f t="shared" si="42"/>
        <v>87.399242021276592</v>
      </c>
    </row>
    <row r="359" spans="1:19" x14ac:dyDescent="0.3">
      <c r="A359">
        <v>7664.8</v>
      </c>
      <c r="B359">
        <v>111.44504000000001</v>
      </c>
      <c r="C359">
        <v>113.801119</v>
      </c>
      <c r="D359">
        <v>116.129632</v>
      </c>
      <c r="E359">
        <v>84.504176000000001</v>
      </c>
      <c r="F359">
        <v>62.551234000000001</v>
      </c>
      <c r="G359">
        <v>39.987079999999999</v>
      </c>
      <c r="H359">
        <v>41.343546000000003</v>
      </c>
      <c r="I359"/>
      <c r="N359"/>
      <c r="O359"/>
      <c r="P359" s="1">
        <f t="shared" si="39"/>
        <v>113.96667581300812</v>
      </c>
      <c r="Q359" s="1">
        <f t="shared" si="40"/>
        <v>116.3968506097561</v>
      </c>
      <c r="R359" s="1">
        <f t="shared" si="41"/>
        <v>119.21458244111349</v>
      </c>
      <c r="S359" s="1">
        <f t="shared" si="42"/>
        <v>87.399242021276592</v>
      </c>
    </row>
    <row r="360" spans="1:19" x14ac:dyDescent="0.3">
      <c r="A360">
        <v>7665</v>
      </c>
      <c r="B360">
        <v>111.413202</v>
      </c>
      <c r="C360">
        <v>113.78911100000001</v>
      </c>
      <c r="D360">
        <v>116.128631</v>
      </c>
      <c r="E360">
        <v>84.588415999999995</v>
      </c>
      <c r="F360">
        <v>62.927407000000002</v>
      </c>
      <c r="G360">
        <v>39.987079999999999</v>
      </c>
      <c r="H360">
        <v>41.343546000000003</v>
      </c>
      <c r="I360" t="s">
        <v>60</v>
      </c>
      <c r="N360"/>
      <c r="O360"/>
      <c r="P360" s="1">
        <f t="shared" si="39"/>
        <v>113.96018902439025</v>
      </c>
      <c r="Q360" s="1">
        <f t="shared" si="40"/>
        <v>116.40641565040652</v>
      </c>
      <c r="R360" s="1">
        <f t="shared" si="41"/>
        <v>119.23042724584479</v>
      </c>
      <c r="S360" s="1">
        <f t="shared" si="42"/>
        <v>87.390537029459907</v>
      </c>
    </row>
    <row r="361" spans="1:19" x14ac:dyDescent="0.3">
      <c r="A361">
        <v>7665.2</v>
      </c>
      <c r="B361">
        <v>111.413202</v>
      </c>
      <c r="C361">
        <v>113.78911100000001</v>
      </c>
      <c r="D361">
        <v>116.128631</v>
      </c>
      <c r="E361">
        <v>84.588415999999995</v>
      </c>
      <c r="F361">
        <v>62.927407000000002</v>
      </c>
      <c r="G361">
        <v>39.966904999999997</v>
      </c>
      <c r="H361">
        <v>41.330373999999999</v>
      </c>
      <c r="I361"/>
      <c r="N361"/>
      <c r="O361"/>
      <c r="P361" s="1">
        <f t="shared" si="39"/>
        <v>113.96018902439025</v>
      </c>
      <c r="Q361" s="1">
        <f t="shared" si="40"/>
        <v>116.40641565040652</v>
      </c>
      <c r="R361" s="1">
        <f t="shared" si="41"/>
        <v>119.23042724584479</v>
      </c>
      <c r="S361" s="1">
        <f t="shared" si="42"/>
        <v>87.390537029459907</v>
      </c>
    </row>
    <row r="362" spans="1:19" x14ac:dyDescent="0.3">
      <c r="A362">
        <v>7665.4</v>
      </c>
      <c r="B362">
        <v>111.426847</v>
      </c>
      <c r="C362">
        <v>113.77987899999999</v>
      </c>
      <c r="D362">
        <v>116.136562</v>
      </c>
      <c r="E362">
        <v>84.564134999999993</v>
      </c>
      <c r="F362">
        <v>62.966683000000003</v>
      </c>
      <c r="G362">
        <v>39.966904999999997</v>
      </c>
      <c r="H362">
        <v>41.330373999999999</v>
      </c>
      <c r="I362"/>
      <c r="N362"/>
      <c r="O362"/>
      <c r="P362" s="1">
        <f t="shared" si="39"/>
        <v>113.98646544715447</v>
      </c>
      <c r="Q362" s="1">
        <f t="shared" si="40"/>
        <v>116.41018902439025</v>
      </c>
      <c r="R362" s="1">
        <f t="shared" si="41"/>
        <v>119.2293096767615</v>
      </c>
      <c r="S362" s="1">
        <f t="shared" si="42"/>
        <v>87.341031096563</v>
      </c>
    </row>
    <row r="363" spans="1:19" x14ac:dyDescent="0.3">
      <c r="A363">
        <v>7665.6</v>
      </c>
      <c r="B363">
        <v>111.426847</v>
      </c>
      <c r="C363">
        <v>113.77987899999999</v>
      </c>
      <c r="D363">
        <v>116.136562</v>
      </c>
      <c r="E363">
        <v>84.564134999999993</v>
      </c>
      <c r="F363">
        <v>62.966683000000003</v>
      </c>
      <c r="G363">
        <v>39.975965000000002</v>
      </c>
      <c r="H363">
        <v>41.348264</v>
      </c>
      <c r="I363"/>
      <c r="N363"/>
      <c r="O363"/>
      <c r="P363" s="1">
        <f t="shared" si="39"/>
        <v>113.98646544715447</v>
      </c>
      <c r="Q363" s="1">
        <f t="shared" si="40"/>
        <v>116.41018902439025</v>
      </c>
      <c r="R363" s="1">
        <f t="shared" si="41"/>
        <v>119.2293096767615</v>
      </c>
      <c r="S363" s="1">
        <f t="shared" si="42"/>
        <v>87.341031096563</v>
      </c>
    </row>
    <row r="364" spans="1:19" x14ac:dyDescent="0.3">
      <c r="A364">
        <v>7665.8</v>
      </c>
      <c r="B364">
        <v>111.41768399999999</v>
      </c>
      <c r="C364">
        <v>113.80828099999999</v>
      </c>
      <c r="D364">
        <v>116.15252</v>
      </c>
      <c r="E364">
        <v>84.447266999999997</v>
      </c>
      <c r="F364">
        <v>62.758578999999997</v>
      </c>
      <c r="G364">
        <v>39.975965000000002</v>
      </c>
      <c r="H364">
        <v>41.348264</v>
      </c>
      <c r="I364"/>
      <c r="N364"/>
      <c r="O364"/>
      <c r="P364" s="1">
        <f t="shared" ref="P364:P427" si="43">(B346+Q$36)/P$36</f>
        <v>113.98078963414635</v>
      </c>
      <c r="Q364" s="1">
        <f t="shared" ref="Q364:Q427" si="44">(C346+Q$36)/P$36</f>
        <v>116.4119481707317</v>
      </c>
      <c r="R364" s="1">
        <f t="shared" ref="R364:R427" si="45">(D346+Q$38)/P$38</f>
        <v>119.22967064341796</v>
      </c>
      <c r="S364" s="1">
        <f t="shared" ref="S364:S427" si="46">(E346+Q$39)/P$39</f>
        <v>87.348039075286408</v>
      </c>
    </row>
    <row r="365" spans="1:19" x14ac:dyDescent="0.3">
      <c r="A365">
        <v>7666</v>
      </c>
      <c r="B365">
        <v>111.41768399999999</v>
      </c>
      <c r="C365">
        <v>113.80828099999999</v>
      </c>
      <c r="D365">
        <v>116.15252</v>
      </c>
      <c r="E365">
        <v>84.447266999999997</v>
      </c>
      <c r="F365">
        <v>62.758578999999997</v>
      </c>
      <c r="G365">
        <v>39.987611000000001</v>
      </c>
      <c r="H365">
        <v>41.363385999999998</v>
      </c>
      <c r="I365" t="s">
        <v>60</v>
      </c>
      <c r="N365"/>
      <c r="O365"/>
      <c r="P365" s="1">
        <f t="shared" si="43"/>
        <v>113.98078963414635</v>
      </c>
      <c r="Q365" s="1">
        <f t="shared" si="44"/>
        <v>116.4119481707317</v>
      </c>
      <c r="R365" s="1">
        <f t="shared" si="45"/>
        <v>119.22967064341796</v>
      </c>
      <c r="S365" s="1">
        <f t="shared" si="46"/>
        <v>87.348039075286408</v>
      </c>
    </row>
    <row r="366" spans="1:19" x14ac:dyDescent="0.3">
      <c r="A366">
        <v>7666.2</v>
      </c>
      <c r="B366">
        <v>111.41622700000001</v>
      </c>
      <c r="C366">
        <v>113.81621800000001</v>
      </c>
      <c r="D366">
        <v>116.157</v>
      </c>
      <c r="E366">
        <v>84.459964999999997</v>
      </c>
      <c r="F366">
        <v>62.694699</v>
      </c>
      <c r="G366">
        <v>39.987611000000001</v>
      </c>
      <c r="H366">
        <v>41.363385999999998</v>
      </c>
      <c r="I366"/>
      <c r="N366"/>
      <c r="O366"/>
      <c r="P366" s="1">
        <f t="shared" si="43"/>
        <v>113.98864329268294</v>
      </c>
      <c r="Q366" s="1">
        <f t="shared" si="44"/>
        <v>116.42542174796749</v>
      </c>
      <c r="R366" s="1">
        <f t="shared" si="45"/>
        <v>119.23289079229122</v>
      </c>
      <c r="S366" s="1">
        <f t="shared" si="46"/>
        <v>87.458803191489352</v>
      </c>
    </row>
    <row r="367" spans="1:19" x14ac:dyDescent="0.3">
      <c r="A367">
        <v>7666.4</v>
      </c>
      <c r="B367">
        <v>111.41622700000001</v>
      </c>
      <c r="C367">
        <v>113.81621800000001</v>
      </c>
      <c r="D367">
        <v>116.157</v>
      </c>
      <c r="E367">
        <v>84.459964999999997</v>
      </c>
      <c r="F367">
        <v>62.694699</v>
      </c>
      <c r="G367">
        <v>39.973014999999997</v>
      </c>
      <c r="H367">
        <v>41.323680000000003</v>
      </c>
      <c r="I367"/>
      <c r="N367"/>
      <c r="O367"/>
      <c r="P367" s="1">
        <f t="shared" si="43"/>
        <v>113.98864329268294</v>
      </c>
      <c r="Q367" s="1">
        <f t="shared" si="44"/>
        <v>116.42542174796749</v>
      </c>
      <c r="R367" s="1">
        <f t="shared" si="45"/>
        <v>119.23289079229122</v>
      </c>
      <c r="S367" s="1">
        <f t="shared" si="46"/>
        <v>87.458803191489352</v>
      </c>
    </row>
    <row r="368" spans="1:19" x14ac:dyDescent="0.3">
      <c r="A368">
        <v>7666.6</v>
      </c>
      <c r="B368">
        <v>111.44492099999999</v>
      </c>
      <c r="C368">
        <v>113.81819400000001</v>
      </c>
      <c r="D368">
        <v>116.15234700000001</v>
      </c>
      <c r="E368">
        <v>84.515496999999996</v>
      </c>
      <c r="F368">
        <v>62.887175999999997</v>
      </c>
      <c r="G368">
        <v>39.973014999999997</v>
      </c>
      <c r="H368">
        <v>41.323680000000003</v>
      </c>
      <c r="I368"/>
      <c r="N368"/>
      <c r="O368"/>
      <c r="P368" s="1">
        <f t="shared" si="43"/>
        <v>114.0185162601626</v>
      </c>
      <c r="Q368" s="1">
        <f t="shared" si="44"/>
        <v>116.42674695121951</v>
      </c>
      <c r="R368" s="1">
        <f t="shared" si="45"/>
        <v>119.20930253900275</v>
      </c>
      <c r="S368" s="1">
        <f t="shared" si="46"/>
        <v>87.585597381342055</v>
      </c>
    </row>
    <row r="369" spans="1:19" x14ac:dyDescent="0.3">
      <c r="A369">
        <v>7666.8</v>
      </c>
      <c r="B369">
        <v>111.44492099999999</v>
      </c>
      <c r="C369">
        <v>113.81819400000001</v>
      </c>
      <c r="D369">
        <v>116.15234700000001</v>
      </c>
      <c r="E369">
        <v>84.515496999999996</v>
      </c>
      <c r="F369">
        <v>62.887175999999997</v>
      </c>
      <c r="G369">
        <v>39.969289000000003</v>
      </c>
      <c r="H369">
        <v>41.342992000000002</v>
      </c>
      <c r="I369"/>
      <c r="N369"/>
      <c r="O369"/>
      <c r="P369" s="1">
        <f t="shared" si="43"/>
        <v>114.0185162601626</v>
      </c>
      <c r="Q369" s="1">
        <f t="shared" si="44"/>
        <v>116.42674695121951</v>
      </c>
      <c r="R369" s="1">
        <f t="shared" si="45"/>
        <v>119.20930253900275</v>
      </c>
      <c r="S369" s="1">
        <f t="shared" si="46"/>
        <v>87.585597381342055</v>
      </c>
    </row>
    <row r="370" spans="1:19" x14ac:dyDescent="0.3">
      <c r="A370">
        <v>7667</v>
      </c>
      <c r="B370">
        <v>111.440781</v>
      </c>
      <c r="C370">
        <v>113.797532</v>
      </c>
      <c r="D370">
        <v>116.138846</v>
      </c>
      <c r="E370">
        <v>84.544398999999999</v>
      </c>
      <c r="F370">
        <v>62.788398000000001</v>
      </c>
      <c r="G370">
        <v>39.969289000000003</v>
      </c>
      <c r="H370">
        <v>41.342992000000002</v>
      </c>
      <c r="I370" t="s">
        <v>60</v>
      </c>
      <c r="N370"/>
      <c r="O370"/>
      <c r="P370" s="1">
        <f t="shared" si="43"/>
        <v>114.00863313008131</v>
      </c>
      <c r="Q370" s="1">
        <f t="shared" si="44"/>
        <v>116.42008943089431</v>
      </c>
      <c r="R370" s="1">
        <f t="shared" si="45"/>
        <v>119.23943611705924</v>
      </c>
      <c r="S370" s="1">
        <f t="shared" si="46"/>
        <v>87.637541939443523</v>
      </c>
    </row>
    <row r="371" spans="1:19" x14ac:dyDescent="0.3">
      <c r="A371">
        <v>7667.2</v>
      </c>
      <c r="B371">
        <v>111.440781</v>
      </c>
      <c r="C371">
        <v>113.797532</v>
      </c>
      <c r="D371">
        <v>116.138846</v>
      </c>
      <c r="E371">
        <v>84.544398999999999</v>
      </c>
      <c r="F371">
        <v>62.788398000000001</v>
      </c>
      <c r="G371">
        <v>39.982396999999999</v>
      </c>
      <c r="H371">
        <v>41.316066999999997</v>
      </c>
      <c r="I371"/>
      <c r="N371"/>
      <c r="O371"/>
      <c r="P371" s="1">
        <f t="shared" si="43"/>
        <v>114.00863313008131</v>
      </c>
      <c r="Q371" s="1">
        <f t="shared" si="44"/>
        <v>116.42008943089431</v>
      </c>
      <c r="R371" s="1">
        <f t="shared" si="45"/>
        <v>119.23943611705924</v>
      </c>
      <c r="S371" s="1">
        <f t="shared" si="46"/>
        <v>87.637541939443523</v>
      </c>
    </row>
    <row r="372" spans="1:19" x14ac:dyDescent="0.3">
      <c r="A372">
        <v>7667.4</v>
      </c>
      <c r="B372">
        <v>111.433046</v>
      </c>
      <c r="C372">
        <v>113.82301200000001</v>
      </c>
      <c r="D372">
        <v>116.15098</v>
      </c>
      <c r="E372">
        <v>84.557214000000002</v>
      </c>
      <c r="F372">
        <v>62.957951000000001</v>
      </c>
      <c r="G372">
        <v>39.982396999999999</v>
      </c>
      <c r="H372">
        <v>41.316066999999997</v>
      </c>
      <c r="I372"/>
      <c r="N372"/>
      <c r="O372"/>
      <c r="P372" s="1">
        <f t="shared" si="43"/>
        <v>114.01880081300814</v>
      </c>
      <c r="Q372" s="1">
        <f t="shared" si="44"/>
        <v>116.42540142276422</v>
      </c>
      <c r="R372" s="1">
        <f t="shared" si="45"/>
        <v>119.23450086672784</v>
      </c>
      <c r="S372" s="1">
        <f t="shared" si="46"/>
        <v>87.646444353518831</v>
      </c>
    </row>
    <row r="373" spans="1:19" x14ac:dyDescent="0.3">
      <c r="A373">
        <v>7667.6</v>
      </c>
      <c r="B373">
        <v>111.433046</v>
      </c>
      <c r="C373">
        <v>113.82301200000001</v>
      </c>
      <c r="D373">
        <v>116.15098</v>
      </c>
      <c r="E373">
        <v>84.557214000000002</v>
      </c>
      <c r="F373">
        <v>62.957951000000001</v>
      </c>
      <c r="G373">
        <v>39.984248999999998</v>
      </c>
      <c r="H373">
        <v>41.315125000000002</v>
      </c>
      <c r="I373"/>
      <c r="N373"/>
      <c r="O373"/>
      <c r="P373" s="1">
        <f t="shared" si="43"/>
        <v>114.01880081300814</v>
      </c>
      <c r="Q373" s="1">
        <f t="shared" si="44"/>
        <v>116.42540142276422</v>
      </c>
      <c r="R373" s="1">
        <f t="shared" si="45"/>
        <v>119.23450086672784</v>
      </c>
      <c r="S373" s="1">
        <f t="shared" si="46"/>
        <v>87.646444353518831</v>
      </c>
    </row>
    <row r="374" spans="1:19" x14ac:dyDescent="0.3">
      <c r="A374">
        <v>7667.8</v>
      </c>
      <c r="B374">
        <v>111.437316</v>
      </c>
      <c r="C374">
        <v>113.787406</v>
      </c>
      <c r="D374">
        <v>116.162554</v>
      </c>
      <c r="E374">
        <v>84.722209000000007</v>
      </c>
      <c r="F374">
        <v>63.100309000000003</v>
      </c>
      <c r="G374">
        <v>39.984248999999998</v>
      </c>
      <c r="H374">
        <v>41.315125000000002</v>
      </c>
      <c r="I374"/>
      <c r="N374"/>
      <c r="O374"/>
      <c r="P374" s="1">
        <f t="shared" si="43"/>
        <v>114.02537906504065</v>
      </c>
      <c r="Q374" s="1">
        <f t="shared" si="44"/>
        <v>116.43806097560976</v>
      </c>
      <c r="R374" s="1">
        <f t="shared" si="45"/>
        <v>119.24854899561538</v>
      </c>
      <c r="S374" s="1">
        <f t="shared" si="46"/>
        <v>87.596508797054014</v>
      </c>
    </row>
    <row r="375" spans="1:19" x14ac:dyDescent="0.3">
      <c r="A375">
        <v>8214</v>
      </c>
      <c r="B375">
        <v>119.523787</v>
      </c>
      <c r="C375">
        <v>122.45899900000001</v>
      </c>
      <c r="D375">
        <v>125.318996</v>
      </c>
      <c r="E375">
        <v>87.066398000000007</v>
      </c>
      <c r="F375">
        <v>64.068127000000004</v>
      </c>
      <c r="G375">
        <v>40.001480999999998</v>
      </c>
      <c r="H375">
        <v>41.618004999999997</v>
      </c>
      <c r="I375" t="s">
        <v>60</v>
      </c>
      <c r="N375"/>
      <c r="O375"/>
      <c r="P375" s="1">
        <f t="shared" si="43"/>
        <v>114.02537906504065</v>
      </c>
      <c r="Q375" s="1">
        <f t="shared" si="44"/>
        <v>116.43806097560976</v>
      </c>
      <c r="R375" s="1">
        <f t="shared" si="45"/>
        <v>119.24854899561538</v>
      </c>
      <c r="S375" s="1">
        <f t="shared" si="46"/>
        <v>87.596508797054014</v>
      </c>
    </row>
    <row r="376" spans="1:19" x14ac:dyDescent="0.3">
      <c r="A376">
        <v>8214.2000000000007</v>
      </c>
      <c r="B376">
        <v>119.523787</v>
      </c>
      <c r="C376">
        <v>122.45899900000001</v>
      </c>
      <c r="D376">
        <v>125.318996</v>
      </c>
      <c r="E376">
        <v>87.066398000000007</v>
      </c>
      <c r="F376">
        <v>64.068127000000004</v>
      </c>
      <c r="G376">
        <v>40.001480999999998</v>
      </c>
      <c r="H376">
        <v>41.618004999999997</v>
      </c>
      <c r="I376"/>
      <c r="N376"/>
      <c r="O376"/>
      <c r="P376" s="1">
        <f t="shared" si="43"/>
        <v>114.0564430894309</v>
      </c>
      <c r="Q376" s="1">
        <f t="shared" si="44"/>
        <v>116.45083231707318</v>
      </c>
      <c r="R376" s="1">
        <f t="shared" si="45"/>
        <v>119.24128887529315</v>
      </c>
      <c r="S376" s="1">
        <f t="shared" si="46"/>
        <v>87.385409165302775</v>
      </c>
    </row>
    <row r="377" spans="1:19" x14ac:dyDescent="0.3">
      <c r="A377">
        <v>8214.4</v>
      </c>
      <c r="B377">
        <v>119.518119</v>
      </c>
      <c r="C377">
        <v>122.440174</v>
      </c>
      <c r="D377">
        <v>125.31493399999999</v>
      </c>
      <c r="E377">
        <v>86.989266999999998</v>
      </c>
      <c r="F377">
        <v>64.040925000000001</v>
      </c>
      <c r="G377">
        <v>40.006811999999996</v>
      </c>
      <c r="H377">
        <v>41.628911000000002</v>
      </c>
      <c r="I377"/>
      <c r="N377"/>
      <c r="O377"/>
      <c r="P377" s="1">
        <f t="shared" si="43"/>
        <v>114.0564430894309</v>
      </c>
      <c r="Q377" s="1">
        <f t="shared" si="44"/>
        <v>116.45083231707318</v>
      </c>
      <c r="R377" s="1">
        <f t="shared" si="45"/>
        <v>119.24128887529315</v>
      </c>
      <c r="S377" s="1">
        <f t="shared" si="46"/>
        <v>87.385409165302775</v>
      </c>
    </row>
    <row r="378" spans="1:19" x14ac:dyDescent="0.3">
      <c r="A378">
        <v>8214.6</v>
      </c>
      <c r="B378">
        <v>119.518119</v>
      </c>
      <c r="C378">
        <v>122.440174</v>
      </c>
      <c r="D378">
        <v>125.31493399999999</v>
      </c>
      <c r="E378">
        <v>86.989266999999998</v>
      </c>
      <c r="F378">
        <v>64.040925000000001</v>
      </c>
      <c r="G378">
        <v>40.006811999999996</v>
      </c>
      <c r="H378">
        <v>41.628911000000002</v>
      </c>
      <c r="I378"/>
      <c r="N378"/>
      <c r="O378"/>
      <c r="P378" s="1">
        <f t="shared" si="43"/>
        <v>114.02408739837399</v>
      </c>
      <c r="Q378" s="1">
        <f t="shared" si="44"/>
        <v>116.43862906504066</v>
      </c>
      <c r="R378" s="1">
        <f t="shared" si="45"/>
        <v>119.24026817579279</v>
      </c>
      <c r="S378" s="1">
        <f t="shared" si="46"/>
        <v>87.471579378068739</v>
      </c>
    </row>
    <row r="379" spans="1:19" x14ac:dyDescent="0.3">
      <c r="A379">
        <v>8214.7999999999993</v>
      </c>
      <c r="B379">
        <v>119.504785</v>
      </c>
      <c r="C379">
        <v>122.445452</v>
      </c>
      <c r="D379">
        <v>125.335115</v>
      </c>
      <c r="E379">
        <v>87.088662999999997</v>
      </c>
      <c r="F379">
        <v>63.927059999999997</v>
      </c>
      <c r="G379">
        <v>40.003514000000003</v>
      </c>
      <c r="H379">
        <v>41.621429999999997</v>
      </c>
      <c r="I379"/>
      <c r="N379"/>
      <c r="O379"/>
      <c r="P379" s="1">
        <f t="shared" si="43"/>
        <v>114.02408739837399</v>
      </c>
      <c r="Q379" s="1">
        <f t="shared" si="44"/>
        <v>116.43862906504066</v>
      </c>
      <c r="R379" s="1">
        <f t="shared" si="45"/>
        <v>119.24026817579279</v>
      </c>
      <c r="S379" s="1">
        <f t="shared" si="46"/>
        <v>87.471579378068739</v>
      </c>
    </row>
    <row r="380" spans="1:19" x14ac:dyDescent="0.3">
      <c r="A380">
        <v>8215</v>
      </c>
      <c r="B380">
        <v>119.504785</v>
      </c>
      <c r="C380">
        <v>122.445452</v>
      </c>
      <c r="D380">
        <v>125.335115</v>
      </c>
      <c r="E380">
        <v>87.088662999999997</v>
      </c>
      <c r="F380">
        <v>63.927059999999997</v>
      </c>
      <c r="G380">
        <v>40.003514000000003</v>
      </c>
      <c r="H380">
        <v>41.621429999999997</v>
      </c>
      <c r="I380" t="s">
        <v>60</v>
      </c>
      <c r="N380"/>
      <c r="O380"/>
      <c r="P380" s="1">
        <f t="shared" si="43"/>
        <v>114.03795426829268</v>
      </c>
      <c r="Q380" s="1">
        <f t="shared" si="44"/>
        <v>116.42924695121951</v>
      </c>
      <c r="R380" s="1">
        <f t="shared" si="45"/>
        <v>119.24835525644947</v>
      </c>
      <c r="S380" s="1">
        <f t="shared" si="46"/>
        <v>87.446742021276592</v>
      </c>
    </row>
    <row r="381" spans="1:19" x14ac:dyDescent="0.3">
      <c r="A381">
        <v>8215.2000000000007</v>
      </c>
      <c r="B381">
        <v>119.505516</v>
      </c>
      <c r="C381">
        <v>122.449412</v>
      </c>
      <c r="D381">
        <v>125.325975</v>
      </c>
      <c r="E381">
        <v>87.104190000000003</v>
      </c>
      <c r="F381">
        <v>64.364447999999996</v>
      </c>
      <c r="G381">
        <v>39.992257000000002</v>
      </c>
      <c r="H381">
        <v>41.623213999999997</v>
      </c>
      <c r="I381"/>
      <c r="N381"/>
      <c r="O381"/>
      <c r="P381" s="1">
        <f t="shared" si="43"/>
        <v>114.03795426829268</v>
      </c>
      <c r="Q381" s="1">
        <f t="shared" si="44"/>
        <v>116.42924695121951</v>
      </c>
      <c r="R381" s="1">
        <f t="shared" si="45"/>
        <v>119.24835525644947</v>
      </c>
      <c r="S381" s="1">
        <f t="shared" si="46"/>
        <v>87.446742021276592</v>
      </c>
    </row>
    <row r="382" spans="1:19" x14ac:dyDescent="0.3">
      <c r="A382">
        <v>8215.4</v>
      </c>
      <c r="B382">
        <v>119.505516</v>
      </c>
      <c r="C382">
        <v>122.449412</v>
      </c>
      <c r="D382">
        <v>125.325975</v>
      </c>
      <c r="E382">
        <v>87.104190000000003</v>
      </c>
      <c r="F382">
        <v>64.364447999999996</v>
      </c>
      <c r="G382">
        <v>39.992257000000002</v>
      </c>
      <c r="H382">
        <v>41.623213999999997</v>
      </c>
      <c r="I382"/>
      <c r="N382"/>
      <c r="O382"/>
      <c r="P382" s="1">
        <f t="shared" si="43"/>
        <v>114.02864227642276</v>
      </c>
      <c r="Q382" s="1">
        <f t="shared" si="44"/>
        <v>116.45811077235773</v>
      </c>
      <c r="R382" s="1">
        <f t="shared" si="45"/>
        <v>119.26462730702559</v>
      </c>
      <c r="S382" s="1">
        <f t="shared" si="46"/>
        <v>87.327196194762678</v>
      </c>
    </row>
    <row r="383" spans="1:19" x14ac:dyDescent="0.3">
      <c r="A383">
        <v>8215.6</v>
      </c>
      <c r="B383">
        <v>119.519476</v>
      </c>
      <c r="C383">
        <v>122.45950999999999</v>
      </c>
      <c r="D383">
        <v>125.302746</v>
      </c>
      <c r="E383">
        <v>86.857518999999996</v>
      </c>
      <c r="F383">
        <v>64.170295999999993</v>
      </c>
      <c r="G383">
        <v>40.021138999999998</v>
      </c>
      <c r="H383">
        <v>41.638333000000003</v>
      </c>
      <c r="I383"/>
      <c r="N383"/>
      <c r="O383"/>
      <c r="P383" s="1">
        <f t="shared" si="43"/>
        <v>114.02864227642276</v>
      </c>
      <c r="Q383" s="1">
        <f t="shared" si="44"/>
        <v>116.45811077235773</v>
      </c>
      <c r="R383" s="1">
        <f t="shared" si="45"/>
        <v>119.26462730702559</v>
      </c>
      <c r="S383" s="1">
        <f t="shared" si="46"/>
        <v>87.327196194762678</v>
      </c>
    </row>
    <row r="384" spans="1:19" x14ac:dyDescent="0.3">
      <c r="A384">
        <v>8215.7999999999993</v>
      </c>
      <c r="B384">
        <v>119.519476</v>
      </c>
      <c r="C384">
        <v>122.45950999999999</v>
      </c>
      <c r="D384">
        <v>125.302746</v>
      </c>
      <c r="E384">
        <v>86.857518999999996</v>
      </c>
      <c r="F384">
        <v>64.170295999999993</v>
      </c>
      <c r="G384">
        <v>40.021138999999998</v>
      </c>
      <c r="H384">
        <v>41.638333000000003</v>
      </c>
      <c r="I384"/>
      <c r="N384"/>
      <c r="O384"/>
      <c r="P384" s="1">
        <f t="shared" si="43"/>
        <v>114.02716158536586</v>
      </c>
      <c r="Q384" s="1">
        <f t="shared" si="44"/>
        <v>116.46617682926831</v>
      </c>
      <c r="R384" s="1">
        <f t="shared" si="45"/>
        <v>119.26919547262159</v>
      </c>
      <c r="S384" s="1">
        <f t="shared" si="46"/>
        <v>87.340185147299508</v>
      </c>
    </row>
    <row r="385" spans="1:19" x14ac:dyDescent="0.3">
      <c r="A385">
        <v>8216</v>
      </c>
      <c r="B385">
        <v>119.517083</v>
      </c>
      <c r="C385">
        <v>122.440977</v>
      </c>
      <c r="D385">
        <v>125.30678</v>
      </c>
      <c r="E385">
        <v>86.835655000000003</v>
      </c>
      <c r="F385">
        <v>63.905880000000003</v>
      </c>
      <c r="G385">
        <v>40.031609000000003</v>
      </c>
      <c r="H385">
        <v>41.612968000000002</v>
      </c>
      <c r="I385" t="s">
        <v>60</v>
      </c>
      <c r="N385"/>
      <c r="O385"/>
      <c r="P385" s="1">
        <f t="shared" si="43"/>
        <v>114.02716158536586</v>
      </c>
      <c r="Q385" s="1">
        <f t="shared" si="44"/>
        <v>116.46617682926831</v>
      </c>
      <c r="R385" s="1">
        <f t="shared" si="45"/>
        <v>119.26919547262159</v>
      </c>
      <c r="S385" s="1">
        <f t="shared" si="46"/>
        <v>87.340185147299508</v>
      </c>
    </row>
    <row r="386" spans="1:19" x14ac:dyDescent="0.3">
      <c r="A386">
        <v>8216.2000000000007</v>
      </c>
      <c r="B386">
        <v>119.517083</v>
      </c>
      <c r="C386">
        <v>122.440977</v>
      </c>
      <c r="D386">
        <v>125.30678</v>
      </c>
      <c r="E386">
        <v>86.835655000000003</v>
      </c>
      <c r="F386">
        <v>63.905880000000003</v>
      </c>
      <c r="G386">
        <v>40.031609000000003</v>
      </c>
      <c r="H386">
        <v>41.612968000000002</v>
      </c>
      <c r="I386"/>
      <c r="N386"/>
      <c r="O386"/>
      <c r="P386" s="1">
        <f t="shared" si="43"/>
        <v>114.05632215447154</v>
      </c>
      <c r="Q386" s="1">
        <f t="shared" si="44"/>
        <v>116.4681849593496</v>
      </c>
      <c r="R386" s="1">
        <f t="shared" si="45"/>
        <v>119.26445090241664</v>
      </c>
      <c r="S386" s="1">
        <f t="shared" si="46"/>
        <v>87.396989566284773</v>
      </c>
    </row>
    <row r="387" spans="1:19" x14ac:dyDescent="0.3">
      <c r="A387">
        <v>8216.4</v>
      </c>
      <c r="B387">
        <v>119.48884</v>
      </c>
      <c r="C387">
        <v>122.46377699999999</v>
      </c>
      <c r="D387">
        <v>125.32513400000001</v>
      </c>
      <c r="E387">
        <v>86.764283000000006</v>
      </c>
      <c r="F387">
        <v>63.913589000000002</v>
      </c>
      <c r="G387">
        <v>40.004834000000002</v>
      </c>
      <c r="H387">
        <v>41.644379999999998</v>
      </c>
      <c r="I387"/>
      <c r="N387"/>
      <c r="O387"/>
      <c r="P387" s="1">
        <f t="shared" si="43"/>
        <v>114.05632215447154</v>
      </c>
      <c r="Q387" s="1">
        <f t="shared" si="44"/>
        <v>116.4681849593496</v>
      </c>
      <c r="R387" s="1">
        <f t="shared" si="45"/>
        <v>119.26445090241664</v>
      </c>
      <c r="S387" s="1">
        <f t="shared" si="46"/>
        <v>87.396989566284773</v>
      </c>
    </row>
    <row r="388" spans="1:19" x14ac:dyDescent="0.3">
      <c r="A388">
        <v>8216.6</v>
      </c>
      <c r="B388">
        <v>119.48884</v>
      </c>
      <c r="C388">
        <v>122.46377699999999</v>
      </c>
      <c r="D388">
        <v>125.32513400000001</v>
      </c>
      <c r="E388">
        <v>86.764283000000006</v>
      </c>
      <c r="F388">
        <v>63.913589000000002</v>
      </c>
      <c r="G388">
        <v>40.004834000000002</v>
      </c>
      <c r="H388">
        <v>41.644379999999998</v>
      </c>
      <c r="I388"/>
      <c r="N388"/>
      <c r="O388"/>
      <c r="P388" s="1">
        <f t="shared" si="43"/>
        <v>114.05211483739838</v>
      </c>
      <c r="Q388" s="1">
        <f t="shared" si="44"/>
        <v>116.44718699186993</v>
      </c>
      <c r="R388" s="1">
        <f t="shared" si="45"/>
        <v>119.25068420515957</v>
      </c>
      <c r="S388" s="1">
        <f t="shared" si="46"/>
        <v>87.426553805237319</v>
      </c>
    </row>
    <row r="389" spans="1:19" x14ac:dyDescent="0.3">
      <c r="A389">
        <v>8216.7999999999993</v>
      </c>
      <c r="B389">
        <v>119.494676</v>
      </c>
      <c r="C389">
        <v>122.424012</v>
      </c>
      <c r="D389">
        <v>125.296305</v>
      </c>
      <c r="E389">
        <v>86.991928000000001</v>
      </c>
      <c r="F389">
        <v>63.726168000000001</v>
      </c>
      <c r="G389">
        <v>40.006115000000001</v>
      </c>
      <c r="H389">
        <v>41.633330999999998</v>
      </c>
      <c r="I389"/>
      <c r="N389"/>
      <c r="O389"/>
      <c r="P389" s="1">
        <f t="shared" si="43"/>
        <v>114.05211483739838</v>
      </c>
      <c r="Q389" s="1">
        <f t="shared" si="44"/>
        <v>116.44718699186993</v>
      </c>
      <c r="R389" s="1">
        <f t="shared" si="45"/>
        <v>119.25068420515957</v>
      </c>
      <c r="S389" s="1">
        <f t="shared" si="46"/>
        <v>87.426553805237319</v>
      </c>
    </row>
    <row r="390" spans="1:19" x14ac:dyDescent="0.3">
      <c r="A390">
        <v>8217</v>
      </c>
      <c r="B390">
        <v>119.494676</v>
      </c>
      <c r="C390">
        <v>122.424012</v>
      </c>
      <c r="D390">
        <v>125.296305</v>
      </c>
      <c r="E390">
        <v>86.991928000000001</v>
      </c>
      <c r="F390">
        <v>63.726168000000001</v>
      </c>
      <c r="G390">
        <v>40.006115000000001</v>
      </c>
      <c r="H390">
        <v>41.633330999999998</v>
      </c>
      <c r="I390" t="s">
        <v>60</v>
      </c>
      <c r="N390"/>
      <c r="O390"/>
      <c r="P390" s="1">
        <f t="shared" si="43"/>
        <v>114.04425406504066</v>
      </c>
      <c r="Q390" s="1">
        <f t="shared" si="44"/>
        <v>116.47308130081302</v>
      </c>
      <c r="R390" s="1">
        <f t="shared" si="45"/>
        <v>119.26305700010197</v>
      </c>
      <c r="S390" s="1">
        <f t="shared" si="46"/>
        <v>87.439662438625206</v>
      </c>
    </row>
    <row r="391" spans="1:19" x14ac:dyDescent="0.3">
      <c r="A391">
        <v>8217.2000000000007</v>
      </c>
      <c r="B391">
        <v>119.484244</v>
      </c>
      <c r="C391">
        <v>122.44833300000001</v>
      </c>
      <c r="D391">
        <v>125.30469600000001</v>
      </c>
      <c r="E391">
        <v>87.116828999999996</v>
      </c>
      <c r="F391">
        <v>63.899438000000004</v>
      </c>
      <c r="G391">
        <v>40.008639000000002</v>
      </c>
      <c r="H391">
        <v>41.641202</v>
      </c>
      <c r="I391"/>
      <c r="N391"/>
      <c r="O391"/>
      <c r="P391" s="1">
        <f t="shared" si="43"/>
        <v>114.04425406504066</v>
      </c>
      <c r="Q391" s="1">
        <f t="shared" si="44"/>
        <v>116.47308130081302</v>
      </c>
      <c r="R391" s="1">
        <f t="shared" si="45"/>
        <v>119.26305700010197</v>
      </c>
      <c r="S391" s="1">
        <f t="shared" si="46"/>
        <v>87.439662438625206</v>
      </c>
    </row>
    <row r="392" spans="1:19" x14ac:dyDescent="0.3">
      <c r="A392">
        <v>8217.4</v>
      </c>
      <c r="B392">
        <v>119.484244</v>
      </c>
      <c r="C392">
        <v>122.44833300000001</v>
      </c>
      <c r="D392">
        <v>125.30469600000001</v>
      </c>
      <c r="E392">
        <v>87.116828999999996</v>
      </c>
      <c r="F392">
        <v>63.899438000000004</v>
      </c>
      <c r="G392">
        <v>40.008639000000002</v>
      </c>
      <c r="H392">
        <v>41.641202</v>
      </c>
      <c r="I392"/>
      <c r="N392"/>
      <c r="O392"/>
      <c r="P392" s="1">
        <f t="shared" si="43"/>
        <v>114.04859349593497</v>
      </c>
      <c r="Q392" s="1">
        <f t="shared" si="44"/>
        <v>116.43689634146342</v>
      </c>
      <c r="R392" s="1">
        <f t="shared" si="45"/>
        <v>119.27485877434485</v>
      </c>
      <c r="S392" s="1">
        <f t="shared" si="46"/>
        <v>87.608438011456627</v>
      </c>
    </row>
    <row r="393" spans="1:19" x14ac:dyDescent="0.3">
      <c r="A393">
        <v>8217.6</v>
      </c>
      <c r="B393">
        <v>119.472981</v>
      </c>
      <c r="C393">
        <v>122.449929</v>
      </c>
      <c r="D393">
        <v>125.31340299999999</v>
      </c>
      <c r="E393">
        <v>86.959943999999993</v>
      </c>
      <c r="F393">
        <v>64.063792000000007</v>
      </c>
      <c r="G393">
        <v>40.010413</v>
      </c>
      <c r="H393">
        <v>41.654836000000003</v>
      </c>
      <c r="I393"/>
      <c r="N393"/>
      <c r="O393"/>
      <c r="P393" s="1">
        <f t="shared" si="43"/>
        <v>122.26655182926829</v>
      </c>
      <c r="Q393" s="1">
        <f t="shared" si="44"/>
        <v>125.24949085365854</v>
      </c>
      <c r="R393" s="1">
        <f t="shared" si="45"/>
        <v>128.61149790965635</v>
      </c>
      <c r="S393" s="1">
        <f t="shared" si="46"/>
        <v>90.006340016366622</v>
      </c>
    </row>
    <row r="394" spans="1:19" x14ac:dyDescent="0.3">
      <c r="A394">
        <v>8217.7999999999993</v>
      </c>
      <c r="B394">
        <v>119.472981</v>
      </c>
      <c r="C394">
        <v>122.449929</v>
      </c>
      <c r="D394">
        <v>125.31340299999999</v>
      </c>
      <c r="E394">
        <v>86.959943999999993</v>
      </c>
      <c r="F394">
        <v>64.063792000000007</v>
      </c>
      <c r="G394">
        <v>40.010413</v>
      </c>
      <c r="H394">
        <v>41.654836000000003</v>
      </c>
      <c r="I394"/>
      <c r="N394"/>
      <c r="O394"/>
      <c r="P394" s="1">
        <f t="shared" si="43"/>
        <v>122.26655182926829</v>
      </c>
      <c r="Q394" s="1">
        <f t="shared" si="44"/>
        <v>125.24949085365854</v>
      </c>
      <c r="R394" s="1">
        <f t="shared" si="45"/>
        <v>128.61149790965635</v>
      </c>
      <c r="S394" s="1">
        <f t="shared" si="46"/>
        <v>90.006340016366622</v>
      </c>
    </row>
    <row r="395" spans="1:19" x14ac:dyDescent="0.3">
      <c r="A395">
        <v>8218</v>
      </c>
      <c r="B395">
        <v>119.494624</v>
      </c>
      <c r="C395">
        <v>122.42949</v>
      </c>
      <c r="D395">
        <v>125.30061499999999</v>
      </c>
      <c r="E395">
        <v>86.916475000000005</v>
      </c>
      <c r="F395">
        <v>64.251000000000005</v>
      </c>
      <c r="G395">
        <v>40.029459000000003</v>
      </c>
      <c r="H395">
        <v>41.660597000000003</v>
      </c>
      <c r="I395" t="s">
        <v>60</v>
      </c>
      <c r="N395"/>
      <c r="O395"/>
      <c r="P395" s="1">
        <f t="shared" si="43"/>
        <v>122.26079166666668</v>
      </c>
      <c r="Q395" s="1">
        <f t="shared" si="44"/>
        <v>125.23035975609757</v>
      </c>
      <c r="R395" s="1">
        <f t="shared" si="45"/>
        <v>128.60735597022534</v>
      </c>
      <c r="S395" s="1">
        <f t="shared" si="46"/>
        <v>89.927441693944346</v>
      </c>
    </row>
    <row r="396" spans="1:19" x14ac:dyDescent="0.3">
      <c r="A396">
        <v>8218.2000000000007</v>
      </c>
      <c r="B396">
        <v>119.494624</v>
      </c>
      <c r="C396">
        <v>122.42949</v>
      </c>
      <c r="D396">
        <v>125.30061499999999</v>
      </c>
      <c r="E396">
        <v>86.916475000000005</v>
      </c>
      <c r="F396">
        <v>64.251000000000005</v>
      </c>
      <c r="G396">
        <v>40.029459000000003</v>
      </c>
      <c r="H396">
        <v>41.660597000000003</v>
      </c>
      <c r="I396"/>
      <c r="N396"/>
      <c r="O396"/>
      <c r="P396" s="1">
        <f t="shared" si="43"/>
        <v>122.26079166666668</v>
      </c>
      <c r="Q396" s="1">
        <f t="shared" si="44"/>
        <v>125.23035975609757</v>
      </c>
      <c r="R396" s="1">
        <f t="shared" si="45"/>
        <v>128.60735597022534</v>
      </c>
      <c r="S396" s="1">
        <f t="shared" si="46"/>
        <v>89.927441693944346</v>
      </c>
    </row>
    <row r="397" spans="1:19" x14ac:dyDescent="0.3">
      <c r="A397">
        <v>8218.4</v>
      </c>
      <c r="B397">
        <v>119.49667700000001</v>
      </c>
      <c r="C397">
        <v>122.435929</v>
      </c>
      <c r="D397">
        <v>125.2967</v>
      </c>
      <c r="E397">
        <v>86.851607999999999</v>
      </c>
      <c r="F397">
        <v>64.353651999999997</v>
      </c>
      <c r="G397">
        <v>40.004564000000002</v>
      </c>
      <c r="H397">
        <v>41.654809999999998</v>
      </c>
      <c r="I397"/>
      <c r="N397"/>
      <c r="O397"/>
      <c r="P397" s="1">
        <f t="shared" si="43"/>
        <v>122.24724085365854</v>
      </c>
      <c r="Q397" s="1">
        <f t="shared" si="44"/>
        <v>125.23572357723579</v>
      </c>
      <c r="R397" s="1">
        <f t="shared" si="45"/>
        <v>128.62793412868359</v>
      </c>
      <c r="S397" s="1">
        <f t="shared" si="46"/>
        <v>90.029115180032733</v>
      </c>
    </row>
    <row r="398" spans="1:19" x14ac:dyDescent="0.3">
      <c r="A398">
        <v>8218.6</v>
      </c>
      <c r="B398">
        <v>119.49667700000001</v>
      </c>
      <c r="C398">
        <v>122.435929</v>
      </c>
      <c r="D398">
        <v>125.2967</v>
      </c>
      <c r="E398">
        <v>86.851607999999999</v>
      </c>
      <c r="F398">
        <v>64.353651999999997</v>
      </c>
      <c r="G398">
        <v>40.004564000000002</v>
      </c>
      <c r="H398">
        <v>41.654809999999998</v>
      </c>
      <c r="I398"/>
      <c r="N398"/>
      <c r="O398"/>
      <c r="P398" s="1">
        <f t="shared" si="43"/>
        <v>122.24724085365854</v>
      </c>
      <c r="Q398" s="1">
        <f t="shared" si="44"/>
        <v>125.23572357723579</v>
      </c>
      <c r="R398" s="1">
        <f t="shared" si="45"/>
        <v>128.62793412868359</v>
      </c>
      <c r="S398" s="1">
        <f t="shared" si="46"/>
        <v>90.029115180032733</v>
      </c>
    </row>
    <row r="399" spans="1:19" x14ac:dyDescent="0.3">
      <c r="A399">
        <v>8218.7999999999993</v>
      </c>
      <c r="B399">
        <v>119.518238</v>
      </c>
      <c r="C399">
        <v>122.44743699999999</v>
      </c>
      <c r="D399">
        <v>125.28038599999999</v>
      </c>
      <c r="E399">
        <v>87.046385999999998</v>
      </c>
      <c r="F399">
        <v>64.126040000000003</v>
      </c>
      <c r="G399">
        <v>40.020454999999998</v>
      </c>
      <c r="H399">
        <v>41.647651000000003</v>
      </c>
      <c r="I399"/>
      <c r="N399"/>
      <c r="O399"/>
      <c r="P399" s="1">
        <f t="shared" si="43"/>
        <v>122.24798373983741</v>
      </c>
      <c r="Q399" s="1">
        <f t="shared" si="44"/>
        <v>125.23974796747967</v>
      </c>
      <c r="R399" s="1">
        <f t="shared" si="45"/>
        <v>128.61861425512387</v>
      </c>
      <c r="S399" s="1">
        <f t="shared" si="46"/>
        <v>90.044997954173482</v>
      </c>
    </row>
    <row r="400" spans="1:19" x14ac:dyDescent="0.3">
      <c r="A400">
        <v>8219</v>
      </c>
      <c r="B400">
        <v>119.518238</v>
      </c>
      <c r="C400">
        <v>122.44743699999999</v>
      </c>
      <c r="D400">
        <v>125.28038599999999</v>
      </c>
      <c r="E400">
        <v>87.046385999999998</v>
      </c>
      <c r="F400">
        <v>64.126040000000003</v>
      </c>
      <c r="G400">
        <v>40.020454999999998</v>
      </c>
      <c r="H400">
        <v>41.647651000000003</v>
      </c>
      <c r="I400" t="s">
        <v>60</v>
      </c>
      <c r="N400"/>
      <c r="O400"/>
      <c r="P400" s="1">
        <f t="shared" si="43"/>
        <v>122.24798373983741</v>
      </c>
      <c r="Q400" s="1">
        <f t="shared" si="44"/>
        <v>125.23974796747967</v>
      </c>
      <c r="R400" s="1">
        <f t="shared" si="45"/>
        <v>128.61861425512387</v>
      </c>
      <c r="S400" s="1">
        <f t="shared" si="46"/>
        <v>90.044997954173482</v>
      </c>
    </row>
    <row r="401" spans="1:19" x14ac:dyDescent="0.3">
      <c r="A401">
        <v>8219.2000000000007</v>
      </c>
      <c r="B401">
        <v>119.480844</v>
      </c>
      <c r="C401">
        <v>122.416116</v>
      </c>
      <c r="D401">
        <v>125.308183</v>
      </c>
      <c r="E401">
        <v>87.194297000000006</v>
      </c>
      <c r="F401">
        <v>64.097003000000001</v>
      </c>
      <c r="G401">
        <v>40.014049</v>
      </c>
      <c r="H401">
        <v>41.660327000000002</v>
      </c>
      <c r="I401"/>
      <c r="N401"/>
      <c r="O401"/>
      <c r="P401" s="1">
        <f t="shared" si="43"/>
        <v>122.26217073170731</v>
      </c>
      <c r="Q401" s="1">
        <f t="shared" si="44"/>
        <v>125.25001016260163</v>
      </c>
      <c r="R401" s="1">
        <f t="shared" si="45"/>
        <v>128.59492811257266</v>
      </c>
      <c r="S401" s="1">
        <f t="shared" si="46"/>
        <v>89.792674918166938</v>
      </c>
    </row>
    <row r="402" spans="1:19" x14ac:dyDescent="0.3">
      <c r="A402">
        <v>8219.4</v>
      </c>
      <c r="B402">
        <v>119.480844</v>
      </c>
      <c r="C402">
        <v>122.416116</v>
      </c>
      <c r="D402">
        <v>125.308183</v>
      </c>
      <c r="E402">
        <v>87.194297000000006</v>
      </c>
      <c r="F402">
        <v>64.097003000000001</v>
      </c>
      <c r="G402">
        <v>40.014049</v>
      </c>
      <c r="H402">
        <v>41.660327000000002</v>
      </c>
      <c r="I402"/>
      <c r="N402"/>
      <c r="O402"/>
      <c r="P402" s="1">
        <f t="shared" si="43"/>
        <v>122.26217073170731</v>
      </c>
      <c r="Q402" s="1">
        <f t="shared" si="44"/>
        <v>125.25001016260163</v>
      </c>
      <c r="R402" s="1">
        <f t="shared" si="45"/>
        <v>128.59492811257266</v>
      </c>
      <c r="S402" s="1">
        <f t="shared" si="46"/>
        <v>89.792674918166938</v>
      </c>
    </row>
    <row r="403" spans="1:19" x14ac:dyDescent="0.3">
      <c r="A403">
        <v>8219.6</v>
      </c>
      <c r="B403">
        <v>119.48878999999999</v>
      </c>
      <c r="C403">
        <v>122.44160599999999</v>
      </c>
      <c r="D403">
        <v>125.28972899999999</v>
      </c>
      <c r="E403">
        <v>87.210819999999998</v>
      </c>
      <c r="F403">
        <v>63.927992000000003</v>
      </c>
      <c r="G403">
        <v>40.02655</v>
      </c>
      <c r="H403">
        <v>41.643735999999997</v>
      </c>
      <c r="I403"/>
      <c r="N403"/>
      <c r="O403"/>
      <c r="P403" s="1">
        <f t="shared" si="43"/>
        <v>122.25973882113821</v>
      </c>
      <c r="Q403" s="1">
        <f t="shared" si="44"/>
        <v>125.23117581300814</v>
      </c>
      <c r="R403" s="1">
        <f t="shared" si="45"/>
        <v>128.5990415009687</v>
      </c>
      <c r="S403" s="1">
        <f t="shared" si="46"/>
        <v>89.770309942716864</v>
      </c>
    </row>
    <row r="404" spans="1:19" x14ac:dyDescent="0.3">
      <c r="A404">
        <v>8219.7999999999993</v>
      </c>
      <c r="B404">
        <v>119.48878999999999</v>
      </c>
      <c r="C404">
        <v>122.44160599999999</v>
      </c>
      <c r="D404">
        <v>125.28972899999999</v>
      </c>
      <c r="E404">
        <v>87.210819999999998</v>
      </c>
      <c r="F404">
        <v>63.927992000000003</v>
      </c>
      <c r="G404">
        <v>40.02655</v>
      </c>
      <c r="H404">
        <v>41.643735999999997</v>
      </c>
      <c r="I404"/>
      <c r="N404"/>
      <c r="O404"/>
      <c r="P404" s="1">
        <f t="shared" si="43"/>
        <v>122.25973882113821</v>
      </c>
      <c r="Q404" s="1">
        <f t="shared" si="44"/>
        <v>125.23117581300814</v>
      </c>
      <c r="R404" s="1">
        <f t="shared" si="45"/>
        <v>128.5990415009687</v>
      </c>
      <c r="S404" s="1">
        <f t="shared" si="46"/>
        <v>89.770309942716864</v>
      </c>
    </row>
    <row r="405" spans="1:19" x14ac:dyDescent="0.3">
      <c r="A405">
        <v>8220</v>
      </c>
      <c r="B405">
        <v>119.477396</v>
      </c>
      <c r="C405">
        <v>122.442379</v>
      </c>
      <c r="D405">
        <v>125.288663</v>
      </c>
      <c r="E405">
        <v>87.346682999999999</v>
      </c>
      <c r="F405">
        <v>63.845810999999998</v>
      </c>
      <c r="G405">
        <v>39.982332</v>
      </c>
      <c r="H405">
        <v>41.656101</v>
      </c>
      <c r="I405" t="s">
        <v>60</v>
      </c>
      <c r="N405"/>
      <c r="O405"/>
      <c r="P405" s="1">
        <f t="shared" si="43"/>
        <v>122.23103658536586</v>
      </c>
      <c r="Q405" s="1">
        <f t="shared" si="44"/>
        <v>125.25434654471545</v>
      </c>
      <c r="R405" s="1">
        <f t="shared" si="45"/>
        <v>128.61775670439482</v>
      </c>
      <c r="S405" s="1">
        <f t="shared" si="46"/>
        <v>89.697302577741411</v>
      </c>
    </row>
    <row r="406" spans="1:19" x14ac:dyDescent="0.3">
      <c r="A406">
        <v>8220.2000000000007</v>
      </c>
      <c r="B406">
        <v>119.477396</v>
      </c>
      <c r="C406">
        <v>122.442379</v>
      </c>
      <c r="D406">
        <v>125.288663</v>
      </c>
      <c r="E406">
        <v>87.346682999999999</v>
      </c>
      <c r="F406">
        <v>63.845810999999998</v>
      </c>
      <c r="G406">
        <v>39.982332</v>
      </c>
      <c r="H406">
        <v>41.656101</v>
      </c>
      <c r="I406"/>
      <c r="N406"/>
      <c r="O406"/>
      <c r="P406" s="1">
        <f t="shared" si="43"/>
        <v>122.23103658536586</v>
      </c>
      <c r="Q406" s="1">
        <f t="shared" si="44"/>
        <v>125.25434654471545</v>
      </c>
      <c r="R406" s="1">
        <f t="shared" si="45"/>
        <v>128.61775670439482</v>
      </c>
      <c r="S406" s="1">
        <f t="shared" si="46"/>
        <v>89.697302577741411</v>
      </c>
    </row>
    <row r="407" spans="1:19" x14ac:dyDescent="0.3">
      <c r="A407">
        <v>8220.4</v>
      </c>
      <c r="B407">
        <v>119.48947699999999</v>
      </c>
      <c r="C407">
        <v>122.441374</v>
      </c>
      <c r="D407">
        <v>125.29799300000001</v>
      </c>
      <c r="E407">
        <v>87.201168999999993</v>
      </c>
      <c r="F407">
        <v>64.333848000000003</v>
      </c>
      <c r="G407">
        <v>39.999426999999997</v>
      </c>
      <c r="H407">
        <v>41.616418000000003</v>
      </c>
      <c r="I407"/>
      <c r="N407"/>
      <c r="O407"/>
      <c r="P407" s="1">
        <f t="shared" si="43"/>
        <v>122.2369674796748</v>
      </c>
      <c r="Q407" s="1">
        <f t="shared" si="44"/>
        <v>125.2139349593496</v>
      </c>
      <c r="R407" s="1">
        <f t="shared" si="45"/>
        <v>128.58836035484859</v>
      </c>
      <c r="S407" s="1">
        <f t="shared" si="46"/>
        <v>89.930163666121118</v>
      </c>
    </row>
    <row r="408" spans="1:19" x14ac:dyDescent="0.3">
      <c r="A408">
        <v>8220.6</v>
      </c>
      <c r="B408">
        <v>119.48947699999999</v>
      </c>
      <c r="C408">
        <v>122.441374</v>
      </c>
      <c r="D408">
        <v>125.29799300000001</v>
      </c>
      <c r="E408">
        <v>87.201168999999993</v>
      </c>
      <c r="F408">
        <v>64.333848000000003</v>
      </c>
      <c r="G408">
        <v>39.999426999999997</v>
      </c>
      <c r="H408">
        <v>41.616418000000003</v>
      </c>
      <c r="I408"/>
      <c r="N408"/>
      <c r="O408"/>
      <c r="P408" s="1">
        <f t="shared" si="43"/>
        <v>122.2369674796748</v>
      </c>
      <c r="Q408" s="1">
        <f t="shared" si="44"/>
        <v>125.2139349593496</v>
      </c>
      <c r="R408" s="1">
        <f t="shared" si="45"/>
        <v>128.58836035484859</v>
      </c>
      <c r="S408" s="1">
        <f t="shared" si="46"/>
        <v>89.930163666121118</v>
      </c>
    </row>
    <row r="409" spans="1:19" x14ac:dyDescent="0.3">
      <c r="A409">
        <v>8220.7999999999993</v>
      </c>
      <c r="B409">
        <v>119.515899</v>
      </c>
      <c r="C409">
        <v>122.449467</v>
      </c>
      <c r="D409">
        <v>125.285623</v>
      </c>
      <c r="E409">
        <v>87.231718000000001</v>
      </c>
      <c r="F409">
        <v>64.073706999999999</v>
      </c>
      <c r="G409">
        <v>40.008732000000002</v>
      </c>
      <c r="H409">
        <v>41.622453999999998</v>
      </c>
      <c r="I409"/>
      <c r="N409"/>
      <c r="O409"/>
      <c r="P409" s="1">
        <f t="shared" si="43"/>
        <v>122.22636585365855</v>
      </c>
      <c r="Q409" s="1">
        <f t="shared" si="44"/>
        <v>125.23865142276424</v>
      </c>
      <c r="R409" s="1">
        <f t="shared" si="45"/>
        <v>128.59691648822269</v>
      </c>
      <c r="S409" s="1">
        <f t="shared" si="46"/>
        <v>90.057926554828143</v>
      </c>
    </row>
    <row r="410" spans="1:19" x14ac:dyDescent="0.3">
      <c r="A410">
        <v>8221</v>
      </c>
      <c r="B410">
        <v>119.515899</v>
      </c>
      <c r="C410">
        <v>122.449467</v>
      </c>
      <c r="D410">
        <v>125.285623</v>
      </c>
      <c r="E410">
        <v>87.231718000000001</v>
      </c>
      <c r="F410">
        <v>64.073706999999999</v>
      </c>
      <c r="G410">
        <v>40.008732000000002</v>
      </c>
      <c r="H410">
        <v>41.622453999999998</v>
      </c>
      <c r="I410" t="s">
        <v>60</v>
      </c>
      <c r="N410"/>
      <c r="O410"/>
      <c r="P410" s="1">
        <f t="shared" si="43"/>
        <v>122.22636585365855</v>
      </c>
      <c r="Q410" s="1">
        <f t="shared" si="44"/>
        <v>125.23865142276424</v>
      </c>
      <c r="R410" s="1">
        <f t="shared" si="45"/>
        <v>128.59691648822269</v>
      </c>
      <c r="S410" s="1">
        <f t="shared" si="46"/>
        <v>90.057926554828143</v>
      </c>
    </row>
    <row r="411" spans="1:19" x14ac:dyDescent="0.3">
      <c r="A411">
        <v>8221.2000000000007</v>
      </c>
      <c r="B411">
        <v>119.507063</v>
      </c>
      <c r="C411">
        <v>122.437831</v>
      </c>
      <c r="D411">
        <v>125.32476699999999</v>
      </c>
      <c r="E411">
        <v>87.215446999999998</v>
      </c>
      <c r="F411">
        <v>64.206384999999997</v>
      </c>
      <c r="G411">
        <v>40.035983999999999</v>
      </c>
      <c r="H411">
        <v>41.623849999999997</v>
      </c>
      <c r="I411"/>
      <c r="N411"/>
      <c r="O411"/>
      <c r="P411" s="1">
        <f t="shared" si="43"/>
        <v>122.21491971544717</v>
      </c>
      <c r="Q411" s="1">
        <f t="shared" si="44"/>
        <v>125.24027337398374</v>
      </c>
      <c r="R411" s="1">
        <f t="shared" si="45"/>
        <v>128.60579484042009</v>
      </c>
      <c r="S411" s="1">
        <f t="shared" si="46"/>
        <v>89.897446808510622</v>
      </c>
    </row>
    <row r="412" spans="1:19" x14ac:dyDescent="0.3">
      <c r="A412">
        <v>8221.4</v>
      </c>
      <c r="B412">
        <v>119.507063</v>
      </c>
      <c r="C412">
        <v>122.437831</v>
      </c>
      <c r="D412">
        <v>125.32476699999999</v>
      </c>
      <c r="E412">
        <v>87.215446999999998</v>
      </c>
      <c r="F412">
        <v>64.206384999999997</v>
      </c>
      <c r="G412">
        <v>40.035983999999999</v>
      </c>
      <c r="H412">
        <v>41.623849999999997</v>
      </c>
      <c r="I412"/>
      <c r="N412"/>
      <c r="O412"/>
      <c r="P412" s="1">
        <f t="shared" si="43"/>
        <v>122.21491971544717</v>
      </c>
      <c r="Q412" s="1">
        <f t="shared" si="44"/>
        <v>125.24027337398374</v>
      </c>
      <c r="R412" s="1">
        <f t="shared" si="45"/>
        <v>128.60579484042009</v>
      </c>
      <c r="S412" s="1">
        <f t="shared" si="46"/>
        <v>89.897446808510622</v>
      </c>
    </row>
    <row r="413" spans="1:19" x14ac:dyDescent="0.3">
      <c r="A413">
        <v>8221.6</v>
      </c>
      <c r="B413">
        <v>119.514494</v>
      </c>
      <c r="C413">
        <v>122.442066</v>
      </c>
      <c r="D413">
        <v>125.300748</v>
      </c>
      <c r="E413">
        <v>87.050579999999997</v>
      </c>
      <c r="F413">
        <v>63.780501000000001</v>
      </c>
      <c r="G413">
        <v>40.030911000000003</v>
      </c>
      <c r="H413">
        <v>41.643904999999997</v>
      </c>
      <c r="I413"/>
      <c r="N413"/>
      <c r="O413"/>
      <c r="P413" s="1">
        <f t="shared" si="43"/>
        <v>122.23691463414634</v>
      </c>
      <c r="Q413" s="1">
        <f t="shared" si="44"/>
        <v>125.21950203252034</v>
      </c>
      <c r="R413" s="1">
        <f t="shared" si="45"/>
        <v>128.59275517487507</v>
      </c>
      <c r="S413" s="1">
        <f t="shared" si="46"/>
        <v>89.852981792144035</v>
      </c>
    </row>
    <row r="414" spans="1:19" x14ac:dyDescent="0.3">
      <c r="A414">
        <v>8221.7999999999993</v>
      </c>
      <c r="B414">
        <v>119.514494</v>
      </c>
      <c r="C414">
        <v>122.442066</v>
      </c>
      <c r="D414">
        <v>125.300748</v>
      </c>
      <c r="E414">
        <v>87.050579999999997</v>
      </c>
      <c r="F414">
        <v>63.780501000000001</v>
      </c>
      <c r="G414">
        <v>40.030911000000003</v>
      </c>
      <c r="H414">
        <v>41.643904999999997</v>
      </c>
      <c r="I414"/>
      <c r="N414"/>
      <c r="O414"/>
      <c r="P414" s="1">
        <f t="shared" si="43"/>
        <v>122.23691463414634</v>
      </c>
      <c r="Q414" s="1">
        <f t="shared" si="44"/>
        <v>125.21950203252034</v>
      </c>
      <c r="R414" s="1">
        <f t="shared" si="45"/>
        <v>128.59275517487507</v>
      </c>
      <c r="S414" s="1">
        <f t="shared" si="46"/>
        <v>89.852981792144035</v>
      </c>
    </row>
    <row r="415" spans="1:19" x14ac:dyDescent="0.3">
      <c r="A415">
        <v>8222</v>
      </c>
      <c r="B415">
        <v>119.50457900000001</v>
      </c>
      <c r="C415">
        <v>122.45100499999999</v>
      </c>
      <c r="D415">
        <v>125.30644100000001</v>
      </c>
      <c r="E415">
        <v>87.168581000000003</v>
      </c>
      <c r="F415">
        <v>63.739514</v>
      </c>
      <c r="G415">
        <v>40.017544999999998</v>
      </c>
      <c r="H415">
        <v>41.646141999999998</v>
      </c>
      <c r="I415" t="s">
        <v>60</v>
      </c>
      <c r="N415"/>
      <c r="O415"/>
      <c r="P415" s="1">
        <f t="shared" si="43"/>
        <v>122.23900101626018</v>
      </c>
      <c r="Q415" s="1">
        <f t="shared" si="44"/>
        <v>125.22604573170733</v>
      </c>
      <c r="R415" s="1">
        <f t="shared" si="45"/>
        <v>128.58876312837768</v>
      </c>
      <c r="S415" s="1">
        <f t="shared" si="46"/>
        <v>89.786628477905069</v>
      </c>
    </row>
    <row r="416" spans="1:19" x14ac:dyDescent="0.3">
      <c r="A416">
        <v>8222.2000000000007</v>
      </c>
      <c r="B416">
        <v>119.50457900000001</v>
      </c>
      <c r="C416">
        <v>122.45100499999999</v>
      </c>
      <c r="D416">
        <v>125.30644100000001</v>
      </c>
      <c r="E416">
        <v>87.168581000000003</v>
      </c>
      <c r="F416">
        <v>63.739514</v>
      </c>
      <c r="G416">
        <v>40.017544999999998</v>
      </c>
      <c r="H416">
        <v>41.646141999999998</v>
      </c>
      <c r="I416"/>
      <c r="N416"/>
      <c r="O416"/>
      <c r="P416" s="1">
        <f t="shared" si="43"/>
        <v>122.23900101626018</v>
      </c>
      <c r="Q416" s="1">
        <f t="shared" si="44"/>
        <v>125.22604573170733</v>
      </c>
      <c r="R416" s="1">
        <f t="shared" si="45"/>
        <v>128.58876312837768</v>
      </c>
      <c r="S416" s="1">
        <f t="shared" si="46"/>
        <v>89.786628477905069</v>
      </c>
    </row>
    <row r="417" spans="1:19" x14ac:dyDescent="0.3">
      <c r="A417">
        <v>8222.4</v>
      </c>
      <c r="B417">
        <v>119.521787</v>
      </c>
      <c r="C417">
        <v>122.455378</v>
      </c>
      <c r="D417">
        <v>125.311027</v>
      </c>
      <c r="E417">
        <v>86.993527</v>
      </c>
      <c r="F417">
        <v>64.284374</v>
      </c>
      <c r="G417">
        <v>40.004410999999998</v>
      </c>
      <c r="H417">
        <v>41.651865000000001</v>
      </c>
      <c r="I417"/>
      <c r="N417"/>
      <c r="O417"/>
      <c r="P417" s="1">
        <f t="shared" si="43"/>
        <v>122.26091260162602</v>
      </c>
      <c r="Q417" s="1">
        <f t="shared" si="44"/>
        <v>125.23774085365854</v>
      </c>
      <c r="R417" s="1">
        <f t="shared" si="45"/>
        <v>128.57212807178544</v>
      </c>
      <c r="S417" s="1">
        <f t="shared" si="46"/>
        <v>89.985869476268405</v>
      </c>
    </row>
    <row r="418" spans="1:19" x14ac:dyDescent="0.3">
      <c r="A418">
        <v>8222.6</v>
      </c>
      <c r="B418">
        <v>119.521787</v>
      </c>
      <c r="C418">
        <v>122.455378</v>
      </c>
      <c r="D418">
        <v>125.311027</v>
      </c>
      <c r="E418">
        <v>86.993527</v>
      </c>
      <c r="F418">
        <v>64.284374</v>
      </c>
      <c r="G418">
        <v>40.004410999999998</v>
      </c>
      <c r="H418">
        <v>41.651865000000001</v>
      </c>
      <c r="I418"/>
      <c r="N418"/>
      <c r="O418"/>
      <c r="P418" s="1">
        <f t="shared" si="43"/>
        <v>122.26091260162602</v>
      </c>
      <c r="Q418" s="1">
        <f t="shared" si="44"/>
        <v>125.23774085365854</v>
      </c>
      <c r="R418" s="1">
        <f t="shared" si="45"/>
        <v>128.57212807178544</v>
      </c>
      <c r="S418" s="1">
        <f t="shared" si="46"/>
        <v>89.985869476268405</v>
      </c>
    </row>
    <row r="419" spans="1:19" x14ac:dyDescent="0.3">
      <c r="A419">
        <v>8222.7999999999993</v>
      </c>
      <c r="B419">
        <v>119.53906600000001</v>
      </c>
      <c r="C419">
        <v>122.44138700000001</v>
      </c>
      <c r="D419">
        <v>125.302368</v>
      </c>
      <c r="E419">
        <v>86.985512</v>
      </c>
      <c r="F419">
        <v>64.060854000000006</v>
      </c>
      <c r="G419">
        <v>39.997798000000003</v>
      </c>
      <c r="H419">
        <v>41.644331000000001</v>
      </c>
      <c r="I419"/>
      <c r="N419"/>
      <c r="O419"/>
      <c r="P419" s="1">
        <f t="shared" si="43"/>
        <v>122.22291056910571</v>
      </c>
      <c r="Q419" s="1">
        <f t="shared" si="44"/>
        <v>125.2059105691057</v>
      </c>
      <c r="R419" s="1">
        <f t="shared" si="45"/>
        <v>128.60047211175691</v>
      </c>
      <c r="S419" s="1">
        <f t="shared" si="46"/>
        <v>90.137169599018009</v>
      </c>
    </row>
    <row r="420" spans="1:19" x14ac:dyDescent="0.3">
      <c r="A420">
        <v>8223</v>
      </c>
      <c r="B420">
        <v>119.53906600000001</v>
      </c>
      <c r="C420">
        <v>122.44138700000001</v>
      </c>
      <c r="D420">
        <v>125.302368</v>
      </c>
      <c r="E420">
        <v>86.985512</v>
      </c>
      <c r="F420">
        <v>64.060854000000006</v>
      </c>
      <c r="G420">
        <v>39.997798000000003</v>
      </c>
      <c r="H420">
        <v>41.644331000000001</v>
      </c>
      <c r="I420" t="s">
        <v>60</v>
      </c>
      <c r="N420"/>
      <c r="O420"/>
      <c r="P420" s="1">
        <f t="shared" si="43"/>
        <v>122.22291056910571</v>
      </c>
      <c r="Q420" s="1">
        <f t="shared" si="44"/>
        <v>125.2059105691057</v>
      </c>
      <c r="R420" s="1">
        <f t="shared" si="45"/>
        <v>128.60047211175691</v>
      </c>
      <c r="S420" s="1">
        <f t="shared" si="46"/>
        <v>90.137169599018009</v>
      </c>
    </row>
    <row r="421" spans="1:19" x14ac:dyDescent="0.3">
      <c r="A421">
        <v>8223.2000000000007</v>
      </c>
      <c r="B421">
        <v>119.487554</v>
      </c>
      <c r="C421">
        <v>122.44197800000001</v>
      </c>
      <c r="D421">
        <v>125.302727</v>
      </c>
      <c r="E421">
        <v>86.869842000000006</v>
      </c>
      <c r="F421">
        <v>63.717151000000001</v>
      </c>
      <c r="G421">
        <v>40.012524999999997</v>
      </c>
      <c r="H421">
        <v>41.668807000000001</v>
      </c>
      <c r="I421"/>
      <c r="N421"/>
      <c r="O421"/>
      <c r="P421" s="1">
        <f t="shared" si="43"/>
        <v>122.23098577235773</v>
      </c>
      <c r="Q421" s="1">
        <f t="shared" si="44"/>
        <v>125.2318150406504</v>
      </c>
      <c r="R421" s="1">
        <f t="shared" si="45"/>
        <v>128.58165494034873</v>
      </c>
      <c r="S421" s="1">
        <f t="shared" si="46"/>
        <v>90.154071194762679</v>
      </c>
    </row>
    <row r="422" spans="1:19" x14ac:dyDescent="0.3">
      <c r="A422">
        <v>8223.4</v>
      </c>
      <c r="B422">
        <v>119.487554</v>
      </c>
      <c r="C422">
        <v>122.44197800000001</v>
      </c>
      <c r="D422">
        <v>125.302727</v>
      </c>
      <c r="E422">
        <v>86.869842000000006</v>
      </c>
      <c r="F422">
        <v>63.717151000000001</v>
      </c>
      <c r="G422">
        <v>40.012524999999997</v>
      </c>
      <c r="H422">
        <v>41.668807000000001</v>
      </c>
      <c r="I422"/>
      <c r="N422"/>
      <c r="O422"/>
      <c r="P422" s="1">
        <f t="shared" si="43"/>
        <v>122.23098577235773</v>
      </c>
      <c r="Q422" s="1">
        <f t="shared" si="44"/>
        <v>125.2318150406504</v>
      </c>
      <c r="R422" s="1">
        <f t="shared" si="45"/>
        <v>128.58165494034873</v>
      </c>
      <c r="S422" s="1">
        <f t="shared" si="46"/>
        <v>90.154071194762679</v>
      </c>
    </row>
    <row r="423" spans="1:19" x14ac:dyDescent="0.3">
      <c r="A423">
        <v>8223.6</v>
      </c>
      <c r="B423">
        <v>119.50294100000001</v>
      </c>
      <c r="C423">
        <v>122.435305</v>
      </c>
      <c r="D423">
        <v>125.309164</v>
      </c>
      <c r="E423">
        <v>86.818911</v>
      </c>
      <c r="F423">
        <v>63.795538000000001</v>
      </c>
      <c r="G423">
        <v>40.006495000000001</v>
      </c>
      <c r="H423">
        <v>41.645108999999998</v>
      </c>
      <c r="I423"/>
      <c r="N423"/>
      <c r="O423"/>
      <c r="P423" s="1">
        <f t="shared" si="43"/>
        <v>122.21940650406505</v>
      </c>
      <c r="Q423" s="1">
        <f t="shared" si="44"/>
        <v>125.2326006097561</v>
      </c>
      <c r="R423" s="1">
        <f t="shared" si="45"/>
        <v>128.58056796166002</v>
      </c>
      <c r="S423" s="1">
        <f t="shared" si="46"/>
        <v>90.293047258592466</v>
      </c>
    </row>
    <row r="424" spans="1:19" x14ac:dyDescent="0.3">
      <c r="A424">
        <v>8223.7999999999993</v>
      </c>
      <c r="B424">
        <v>119.50294100000001</v>
      </c>
      <c r="C424">
        <v>122.435305</v>
      </c>
      <c r="D424">
        <v>125.309164</v>
      </c>
      <c r="E424">
        <v>86.818911</v>
      </c>
      <c r="F424">
        <v>63.795538000000001</v>
      </c>
      <c r="G424">
        <v>40.006495000000001</v>
      </c>
      <c r="H424">
        <v>41.645108999999998</v>
      </c>
      <c r="I424"/>
      <c r="N424"/>
      <c r="O424"/>
      <c r="P424" s="1">
        <f t="shared" si="43"/>
        <v>122.21940650406505</v>
      </c>
      <c r="Q424" s="1">
        <f t="shared" si="44"/>
        <v>125.2326006097561</v>
      </c>
      <c r="R424" s="1">
        <f t="shared" si="45"/>
        <v>128.58056796166002</v>
      </c>
      <c r="S424" s="1">
        <f t="shared" si="46"/>
        <v>90.293047258592466</v>
      </c>
    </row>
    <row r="425" spans="1:19" x14ac:dyDescent="0.3">
      <c r="A425">
        <v>8728</v>
      </c>
      <c r="B425">
        <v>128.56083599999999</v>
      </c>
      <c r="C425">
        <v>132.066215</v>
      </c>
      <c r="D425">
        <v>135.438929</v>
      </c>
      <c r="E425">
        <v>89.908938000000006</v>
      </c>
      <c r="F425">
        <v>65.130900999999994</v>
      </c>
      <c r="G425">
        <v>40.026857999999997</v>
      </c>
      <c r="H425">
        <v>41.933821999999999</v>
      </c>
      <c r="I425" t="s">
        <v>60</v>
      </c>
      <c r="N425"/>
      <c r="O425"/>
      <c r="P425" s="1">
        <f t="shared" si="43"/>
        <v>122.23168394308944</v>
      </c>
      <c r="Q425" s="1">
        <f t="shared" si="44"/>
        <v>125.23157926829269</v>
      </c>
      <c r="R425" s="1">
        <f t="shared" si="45"/>
        <v>128.59008157438564</v>
      </c>
      <c r="S425" s="1">
        <f t="shared" si="46"/>
        <v>90.144199058919796</v>
      </c>
    </row>
    <row r="426" spans="1:19" x14ac:dyDescent="0.3">
      <c r="A426">
        <v>8728.2000000000007</v>
      </c>
      <c r="B426">
        <v>128.55309099999999</v>
      </c>
      <c r="C426">
        <v>132.07419400000001</v>
      </c>
      <c r="D426">
        <v>135.44849500000001</v>
      </c>
      <c r="E426">
        <v>90.005402000000004</v>
      </c>
      <c r="F426">
        <v>65.502557999999993</v>
      </c>
      <c r="G426">
        <v>40.026857999999997</v>
      </c>
      <c r="H426">
        <v>41.933821999999999</v>
      </c>
      <c r="I426"/>
      <c r="N426"/>
      <c r="O426"/>
      <c r="P426" s="1">
        <f t="shared" si="43"/>
        <v>122.23168394308944</v>
      </c>
      <c r="Q426" s="1">
        <f t="shared" si="44"/>
        <v>125.23157926829269</v>
      </c>
      <c r="R426" s="1">
        <f t="shared" si="45"/>
        <v>128.59008157438564</v>
      </c>
      <c r="S426" s="1">
        <f t="shared" si="46"/>
        <v>90.144199058919796</v>
      </c>
    </row>
    <row r="427" spans="1:19" x14ac:dyDescent="0.3">
      <c r="A427">
        <v>8728.4</v>
      </c>
      <c r="B427">
        <v>128.55309099999999</v>
      </c>
      <c r="C427">
        <v>132.07419400000001</v>
      </c>
      <c r="D427">
        <v>135.44849500000001</v>
      </c>
      <c r="E427">
        <v>90.005402000000004</v>
      </c>
      <c r="F427">
        <v>65.502557999999993</v>
      </c>
      <c r="G427">
        <v>40.026744000000001</v>
      </c>
      <c r="H427">
        <v>41.933010000000003</v>
      </c>
      <c r="I427"/>
      <c r="N427"/>
      <c r="O427"/>
      <c r="P427" s="1">
        <f t="shared" si="43"/>
        <v>122.2585355691057</v>
      </c>
      <c r="Q427" s="1">
        <f t="shared" si="44"/>
        <v>125.23980386178862</v>
      </c>
      <c r="R427" s="1">
        <f t="shared" si="45"/>
        <v>128.5774681350056</v>
      </c>
      <c r="S427" s="1">
        <f t="shared" si="46"/>
        <v>90.175448036006543</v>
      </c>
    </row>
    <row r="428" spans="1:19" x14ac:dyDescent="0.3">
      <c r="A428">
        <v>8728.6</v>
      </c>
      <c r="B428">
        <v>128.55403999999999</v>
      </c>
      <c r="C428">
        <v>132.09044</v>
      </c>
      <c r="D428">
        <v>135.43004999999999</v>
      </c>
      <c r="E428">
        <v>90.029912999999993</v>
      </c>
      <c r="F428">
        <v>65.122416000000001</v>
      </c>
      <c r="G428">
        <v>40.026744000000001</v>
      </c>
      <c r="H428">
        <v>41.933010000000003</v>
      </c>
      <c r="I428"/>
      <c r="N428"/>
      <c r="O428"/>
      <c r="P428" s="1">
        <f t="shared" ref="P428:P491" si="47">(B410+Q$36)/P$36</f>
        <v>122.2585355691057</v>
      </c>
      <c r="Q428" s="1">
        <f t="shared" ref="Q428:Q491" si="48">(C410+Q$36)/P$36</f>
        <v>125.23980386178862</v>
      </c>
      <c r="R428" s="1">
        <f t="shared" ref="R428:R491" si="49">(D410+Q$38)/P$38</f>
        <v>128.5774681350056</v>
      </c>
      <c r="S428" s="1">
        <f t="shared" ref="S428:S491" si="50">(E410+Q$39)/P$39</f>
        <v>90.175448036006543</v>
      </c>
    </row>
    <row r="429" spans="1:19" x14ac:dyDescent="0.3">
      <c r="A429">
        <v>8728.7999999999993</v>
      </c>
      <c r="B429">
        <v>128.55403999999999</v>
      </c>
      <c r="C429">
        <v>132.09044</v>
      </c>
      <c r="D429">
        <v>135.43004999999999</v>
      </c>
      <c r="E429">
        <v>90.029912999999993</v>
      </c>
      <c r="F429">
        <v>65.122416000000001</v>
      </c>
      <c r="G429">
        <v>40.045715000000001</v>
      </c>
      <c r="H429">
        <v>41.924511000000003</v>
      </c>
      <c r="I429"/>
      <c r="N429"/>
      <c r="O429"/>
      <c r="P429" s="1">
        <f t="shared" si="47"/>
        <v>122.24955589430895</v>
      </c>
      <c r="Q429" s="1">
        <f t="shared" si="48"/>
        <v>125.2279786585366</v>
      </c>
      <c r="R429" s="1">
        <f t="shared" si="49"/>
        <v>128.61738248190068</v>
      </c>
      <c r="S429" s="1">
        <f t="shared" si="50"/>
        <v>90.158804214402608</v>
      </c>
    </row>
    <row r="430" spans="1:19" x14ac:dyDescent="0.3">
      <c r="A430">
        <v>8729</v>
      </c>
      <c r="B430">
        <v>128.56226799999999</v>
      </c>
      <c r="C430">
        <v>132.07043400000001</v>
      </c>
      <c r="D430">
        <v>135.44775000000001</v>
      </c>
      <c r="E430">
        <v>90.026466999999997</v>
      </c>
      <c r="F430">
        <v>65.197050000000004</v>
      </c>
      <c r="G430">
        <v>40.045715000000001</v>
      </c>
      <c r="H430">
        <v>41.924511000000003</v>
      </c>
      <c r="I430" t="s">
        <v>60</v>
      </c>
      <c r="N430"/>
      <c r="O430"/>
      <c r="P430" s="1">
        <f t="shared" si="47"/>
        <v>122.24955589430895</v>
      </c>
      <c r="Q430" s="1">
        <f t="shared" si="48"/>
        <v>125.2279786585366</v>
      </c>
      <c r="R430" s="1">
        <f t="shared" si="49"/>
        <v>128.61738248190068</v>
      </c>
      <c r="S430" s="1">
        <f t="shared" si="50"/>
        <v>90.158804214402608</v>
      </c>
    </row>
    <row r="431" spans="1:19" x14ac:dyDescent="0.3">
      <c r="A431">
        <v>8729.2000000000007</v>
      </c>
      <c r="B431">
        <v>128.56226799999999</v>
      </c>
      <c r="C431">
        <v>132.07043400000001</v>
      </c>
      <c r="D431">
        <v>135.44775000000001</v>
      </c>
      <c r="E431">
        <v>90.026466999999997</v>
      </c>
      <c r="F431">
        <v>65.197050000000004</v>
      </c>
      <c r="G431">
        <v>40.052168000000002</v>
      </c>
      <c r="H431">
        <v>41.944904999999999</v>
      </c>
      <c r="I431"/>
      <c r="N431"/>
      <c r="O431"/>
      <c r="P431" s="1">
        <f t="shared" si="47"/>
        <v>122.25710772357723</v>
      </c>
      <c r="Q431" s="1">
        <f t="shared" si="48"/>
        <v>125.2322825203252</v>
      </c>
      <c r="R431" s="1">
        <f t="shared" si="49"/>
        <v>128.59289079229123</v>
      </c>
      <c r="S431" s="1">
        <f t="shared" si="50"/>
        <v>89.99015957446808</v>
      </c>
    </row>
    <row r="432" spans="1:19" x14ac:dyDescent="0.3">
      <c r="A432">
        <v>8729.4</v>
      </c>
      <c r="B432">
        <v>128.579207</v>
      </c>
      <c r="C432">
        <v>132.085128</v>
      </c>
      <c r="D432">
        <v>135.43122199999999</v>
      </c>
      <c r="E432">
        <v>90.105407999999997</v>
      </c>
      <c r="F432">
        <v>65.324573000000001</v>
      </c>
      <c r="G432">
        <v>40.052168000000002</v>
      </c>
      <c r="H432">
        <v>41.944904999999999</v>
      </c>
      <c r="I432"/>
      <c r="N432"/>
      <c r="O432"/>
      <c r="P432" s="1">
        <f t="shared" si="47"/>
        <v>122.25710772357723</v>
      </c>
      <c r="Q432" s="1">
        <f t="shared" si="48"/>
        <v>125.2322825203252</v>
      </c>
      <c r="R432" s="1">
        <f t="shared" si="49"/>
        <v>128.59289079229123</v>
      </c>
      <c r="S432" s="1">
        <f t="shared" si="50"/>
        <v>89.99015957446808</v>
      </c>
    </row>
    <row r="433" spans="1:19" x14ac:dyDescent="0.3">
      <c r="A433">
        <v>8729.6</v>
      </c>
      <c r="B433">
        <v>128.579207</v>
      </c>
      <c r="C433">
        <v>132.085128</v>
      </c>
      <c r="D433">
        <v>135.43122199999999</v>
      </c>
      <c r="E433">
        <v>90.105407999999997</v>
      </c>
      <c r="F433">
        <v>65.324573000000001</v>
      </c>
      <c r="G433">
        <v>40.037444999999998</v>
      </c>
      <c r="H433">
        <v>41.920208000000002</v>
      </c>
      <c r="I433"/>
      <c r="N433"/>
      <c r="O433"/>
      <c r="P433" s="1">
        <f t="shared" si="47"/>
        <v>122.24703150406505</v>
      </c>
      <c r="Q433" s="1">
        <f t="shared" si="48"/>
        <v>125.24136686991869</v>
      </c>
      <c r="R433" s="1">
        <f t="shared" si="49"/>
        <v>128.59869582950952</v>
      </c>
      <c r="S433" s="1">
        <f t="shared" si="50"/>
        <v>90.110864361702127</v>
      </c>
    </row>
    <row r="434" spans="1:19" x14ac:dyDescent="0.3">
      <c r="A434">
        <v>8729.7999999999993</v>
      </c>
      <c r="B434">
        <v>128.56558999999999</v>
      </c>
      <c r="C434">
        <v>132.099953</v>
      </c>
      <c r="D434">
        <v>135.45869400000001</v>
      </c>
      <c r="E434">
        <v>90.176167000000007</v>
      </c>
      <c r="F434">
        <v>65.173895000000002</v>
      </c>
      <c r="G434">
        <v>40.037444999999998</v>
      </c>
      <c r="H434">
        <v>41.920208000000002</v>
      </c>
      <c r="I434"/>
      <c r="N434"/>
      <c r="O434"/>
      <c r="P434" s="1">
        <f t="shared" si="47"/>
        <v>122.24703150406505</v>
      </c>
      <c r="Q434" s="1">
        <f t="shared" si="48"/>
        <v>125.24136686991869</v>
      </c>
      <c r="R434" s="1">
        <f t="shared" si="49"/>
        <v>128.59869582950952</v>
      </c>
      <c r="S434" s="1">
        <f t="shared" si="50"/>
        <v>90.110864361702127</v>
      </c>
    </row>
    <row r="435" spans="1:19" x14ac:dyDescent="0.3">
      <c r="A435">
        <v>8730</v>
      </c>
      <c r="B435">
        <v>128.56558999999999</v>
      </c>
      <c r="C435">
        <v>132.099953</v>
      </c>
      <c r="D435">
        <v>135.45869400000001</v>
      </c>
      <c r="E435">
        <v>90.176167000000007</v>
      </c>
      <c r="F435">
        <v>65.173895000000002</v>
      </c>
      <c r="G435">
        <v>40.019123</v>
      </c>
      <c r="H435">
        <v>41.951445999999997</v>
      </c>
      <c r="I435" t="s">
        <v>60</v>
      </c>
      <c r="N435"/>
      <c r="O435"/>
      <c r="P435" s="1">
        <f t="shared" si="47"/>
        <v>122.26451930894309</v>
      </c>
      <c r="Q435" s="1">
        <f t="shared" si="48"/>
        <v>125.24581097560976</v>
      </c>
      <c r="R435" s="1">
        <f t="shared" si="49"/>
        <v>128.6033720811665</v>
      </c>
      <c r="S435" s="1">
        <f t="shared" si="50"/>
        <v>89.931799304418988</v>
      </c>
    </row>
    <row r="436" spans="1:19" x14ac:dyDescent="0.3">
      <c r="A436">
        <v>8730.2000000000007</v>
      </c>
      <c r="B436">
        <v>128.58229</v>
      </c>
      <c r="C436">
        <v>132.09308899999999</v>
      </c>
      <c r="D436">
        <v>135.44354200000001</v>
      </c>
      <c r="E436">
        <v>90.037198000000004</v>
      </c>
      <c r="F436">
        <v>65.239219000000006</v>
      </c>
      <c r="G436">
        <v>40.019123</v>
      </c>
      <c r="H436">
        <v>41.951445999999997</v>
      </c>
      <c r="I436"/>
      <c r="N436"/>
      <c r="O436"/>
      <c r="P436" s="1">
        <f t="shared" si="47"/>
        <v>122.26451930894309</v>
      </c>
      <c r="Q436" s="1">
        <f t="shared" si="48"/>
        <v>125.24581097560976</v>
      </c>
      <c r="R436" s="1">
        <f t="shared" si="49"/>
        <v>128.6033720811665</v>
      </c>
      <c r="S436" s="1">
        <f t="shared" si="50"/>
        <v>89.931799304418988</v>
      </c>
    </row>
    <row r="437" spans="1:19" x14ac:dyDescent="0.3">
      <c r="A437">
        <v>8730.4</v>
      </c>
      <c r="B437">
        <v>128.58229</v>
      </c>
      <c r="C437">
        <v>132.09308899999999</v>
      </c>
      <c r="D437">
        <v>135.44354200000001</v>
      </c>
      <c r="E437">
        <v>90.037198000000004</v>
      </c>
      <c r="F437">
        <v>65.239219000000006</v>
      </c>
      <c r="G437">
        <v>40.044015999999999</v>
      </c>
      <c r="H437">
        <v>41.937928999999997</v>
      </c>
      <c r="I437"/>
      <c r="N437"/>
      <c r="O437"/>
      <c r="P437" s="1">
        <f t="shared" si="47"/>
        <v>122.28207926829269</v>
      </c>
      <c r="Q437" s="1">
        <f t="shared" si="48"/>
        <v>125.2315924796748</v>
      </c>
      <c r="R437" s="1">
        <f t="shared" si="49"/>
        <v>128.5945426736005</v>
      </c>
      <c r="S437" s="1">
        <f t="shared" si="50"/>
        <v>89.923600654664483</v>
      </c>
    </row>
    <row r="438" spans="1:19" x14ac:dyDescent="0.3">
      <c r="A438">
        <v>8730.6</v>
      </c>
      <c r="B438">
        <v>128.60328699999999</v>
      </c>
      <c r="C438">
        <v>132.072699</v>
      </c>
      <c r="D438">
        <v>135.45070000000001</v>
      </c>
      <c r="E438">
        <v>89.834135000000003</v>
      </c>
      <c r="F438">
        <v>65.415323999999998</v>
      </c>
      <c r="G438">
        <v>40.044015999999999</v>
      </c>
      <c r="H438">
        <v>41.937928999999997</v>
      </c>
      <c r="I438"/>
      <c r="N438"/>
      <c r="O438"/>
      <c r="P438" s="1">
        <f t="shared" si="47"/>
        <v>122.28207926829269</v>
      </c>
      <c r="Q438" s="1">
        <f t="shared" si="48"/>
        <v>125.2315924796748</v>
      </c>
      <c r="R438" s="1">
        <f t="shared" si="49"/>
        <v>128.5945426736005</v>
      </c>
      <c r="S438" s="1">
        <f t="shared" si="50"/>
        <v>89.923600654664483</v>
      </c>
    </row>
    <row r="439" spans="1:19" x14ac:dyDescent="0.3">
      <c r="A439">
        <v>8730.7999999999993</v>
      </c>
      <c r="B439">
        <v>128.60328699999999</v>
      </c>
      <c r="C439">
        <v>132.072699</v>
      </c>
      <c r="D439">
        <v>135.45070000000001</v>
      </c>
      <c r="E439">
        <v>89.834135000000003</v>
      </c>
      <c r="F439">
        <v>65.415323999999998</v>
      </c>
      <c r="G439">
        <v>40.045996000000002</v>
      </c>
      <c r="H439">
        <v>41.922466</v>
      </c>
      <c r="I439"/>
      <c r="N439"/>
      <c r="O439"/>
      <c r="P439" s="1">
        <f t="shared" si="47"/>
        <v>122.22972967479676</v>
      </c>
      <c r="Q439" s="1">
        <f t="shared" si="48"/>
        <v>125.23219308943091</v>
      </c>
      <c r="R439" s="1">
        <f t="shared" si="49"/>
        <v>128.59490873865607</v>
      </c>
      <c r="S439" s="1">
        <f t="shared" si="50"/>
        <v>89.805280278232402</v>
      </c>
    </row>
    <row r="440" spans="1:19" x14ac:dyDescent="0.3">
      <c r="A440">
        <v>8731</v>
      </c>
      <c r="B440">
        <v>128.59774899999999</v>
      </c>
      <c r="C440">
        <v>132.09146699999999</v>
      </c>
      <c r="D440">
        <v>135.44977600000001</v>
      </c>
      <c r="E440">
        <v>89.800442000000004</v>
      </c>
      <c r="F440">
        <v>65.486419999999995</v>
      </c>
      <c r="G440">
        <v>40.045996000000002</v>
      </c>
      <c r="H440">
        <v>41.922466</v>
      </c>
      <c r="I440" t="s">
        <v>60</v>
      </c>
      <c r="N440"/>
      <c r="O440"/>
      <c r="P440" s="1">
        <f t="shared" si="47"/>
        <v>122.22972967479676</v>
      </c>
      <c r="Q440" s="1">
        <f t="shared" si="48"/>
        <v>125.23219308943091</v>
      </c>
      <c r="R440" s="1">
        <f t="shared" si="49"/>
        <v>128.59490873865607</v>
      </c>
      <c r="S440" s="1">
        <f t="shared" si="50"/>
        <v>89.805280278232402</v>
      </c>
    </row>
    <row r="441" spans="1:19" x14ac:dyDescent="0.3">
      <c r="A441">
        <v>8731.2000000000007</v>
      </c>
      <c r="B441">
        <v>128.59774899999999</v>
      </c>
      <c r="C441">
        <v>132.09146699999999</v>
      </c>
      <c r="D441">
        <v>135.44977600000001</v>
      </c>
      <c r="E441">
        <v>89.800442000000004</v>
      </c>
      <c r="F441">
        <v>65.486419999999995</v>
      </c>
      <c r="G441">
        <v>40.046526999999998</v>
      </c>
      <c r="H441">
        <v>41.940204000000001</v>
      </c>
      <c r="I441"/>
      <c r="N441"/>
      <c r="O441"/>
      <c r="P441" s="1">
        <f t="shared" si="47"/>
        <v>122.24536686991871</v>
      </c>
      <c r="Q441" s="1">
        <f t="shared" si="48"/>
        <v>125.22541158536586</v>
      </c>
      <c r="R441" s="1">
        <f t="shared" si="49"/>
        <v>128.60147241766086</v>
      </c>
      <c r="S441" s="1">
        <f t="shared" si="50"/>
        <v>89.753182283142394</v>
      </c>
    </row>
    <row r="442" spans="1:19" x14ac:dyDescent="0.3">
      <c r="A442">
        <v>8731.4</v>
      </c>
      <c r="B442">
        <v>128.57263800000001</v>
      </c>
      <c r="C442">
        <v>132.07320200000001</v>
      </c>
      <c r="D442">
        <v>135.42003</v>
      </c>
      <c r="E442">
        <v>89.788126000000005</v>
      </c>
      <c r="F442">
        <v>65.426770000000005</v>
      </c>
      <c r="G442">
        <v>40.046526999999998</v>
      </c>
      <c r="H442">
        <v>41.940204000000001</v>
      </c>
      <c r="I442"/>
      <c r="N442"/>
      <c r="O442"/>
      <c r="P442" s="1">
        <f t="shared" si="47"/>
        <v>122.24536686991871</v>
      </c>
      <c r="Q442" s="1">
        <f t="shared" si="48"/>
        <v>125.22541158536586</v>
      </c>
      <c r="R442" s="1">
        <f t="shared" si="49"/>
        <v>128.60147241766086</v>
      </c>
      <c r="S442" s="1">
        <f t="shared" si="50"/>
        <v>89.753182283142394</v>
      </c>
    </row>
    <row r="443" spans="1:19" x14ac:dyDescent="0.3">
      <c r="A443">
        <v>8731.6</v>
      </c>
      <c r="B443">
        <v>128.57263800000001</v>
      </c>
      <c r="C443">
        <v>132.07320200000001</v>
      </c>
      <c r="D443">
        <v>135.42003</v>
      </c>
      <c r="E443">
        <v>89.788126000000005</v>
      </c>
      <c r="F443">
        <v>65.426770000000005</v>
      </c>
      <c r="G443">
        <v>40.033048000000001</v>
      </c>
      <c r="H443">
        <v>41.952558000000003</v>
      </c>
      <c r="I443"/>
      <c r="N443"/>
      <c r="O443"/>
      <c r="P443" s="1">
        <f t="shared" si="47"/>
        <v>131.45054471544714</v>
      </c>
      <c r="Q443" s="1">
        <f t="shared" si="48"/>
        <v>135.01292174796748</v>
      </c>
      <c r="R443" s="1">
        <f t="shared" si="49"/>
        <v>138.93058937493629</v>
      </c>
      <c r="S443" s="1">
        <f t="shared" si="50"/>
        <v>92.914011865793782</v>
      </c>
    </row>
    <row r="444" spans="1:19" x14ac:dyDescent="0.3">
      <c r="A444">
        <v>8731.7999999999993</v>
      </c>
      <c r="B444">
        <v>128.57263399999999</v>
      </c>
      <c r="C444">
        <v>132.104941</v>
      </c>
      <c r="D444">
        <v>135.435034</v>
      </c>
      <c r="E444">
        <v>89.768805</v>
      </c>
      <c r="F444">
        <v>65.151841000000005</v>
      </c>
      <c r="G444">
        <v>40.033048000000001</v>
      </c>
      <c r="H444">
        <v>41.952558000000003</v>
      </c>
      <c r="I444"/>
      <c r="N444"/>
      <c r="O444"/>
      <c r="P444" s="1">
        <f t="shared" si="47"/>
        <v>131.44267378048778</v>
      </c>
      <c r="Q444" s="1">
        <f t="shared" si="48"/>
        <v>135.02103048780486</v>
      </c>
      <c r="R444" s="1">
        <f t="shared" si="49"/>
        <v>138.94034363209954</v>
      </c>
      <c r="S444" s="1">
        <f t="shared" si="50"/>
        <v>93.012686170212774</v>
      </c>
    </row>
    <row r="445" spans="1:19" x14ac:dyDescent="0.3">
      <c r="A445">
        <v>8732</v>
      </c>
      <c r="B445">
        <v>128.57263399999999</v>
      </c>
      <c r="C445">
        <v>132.104941</v>
      </c>
      <c r="D445">
        <v>135.435034</v>
      </c>
      <c r="E445">
        <v>89.768805</v>
      </c>
      <c r="F445">
        <v>65.151841000000005</v>
      </c>
      <c r="G445">
        <v>40.050528</v>
      </c>
      <c r="H445">
        <v>41.943966000000003</v>
      </c>
      <c r="I445" t="s">
        <v>60</v>
      </c>
      <c r="N445"/>
      <c r="O445"/>
      <c r="P445" s="1">
        <f t="shared" si="47"/>
        <v>131.44267378048778</v>
      </c>
      <c r="Q445" s="1">
        <f t="shared" si="48"/>
        <v>135.02103048780486</v>
      </c>
      <c r="R445" s="1">
        <f t="shared" si="49"/>
        <v>138.94034363209954</v>
      </c>
      <c r="S445" s="1">
        <f t="shared" si="50"/>
        <v>93.012686170212774</v>
      </c>
    </row>
    <row r="446" spans="1:19" x14ac:dyDescent="0.3">
      <c r="A446">
        <v>8732.2000000000007</v>
      </c>
      <c r="B446">
        <v>128.560979</v>
      </c>
      <c r="C446">
        <v>132.07052999999999</v>
      </c>
      <c r="D446">
        <v>135.47324499999999</v>
      </c>
      <c r="E446">
        <v>89.795868999999996</v>
      </c>
      <c r="F446">
        <v>65.617385999999996</v>
      </c>
      <c r="G446">
        <v>40.050528</v>
      </c>
      <c r="H446">
        <v>41.943966000000003</v>
      </c>
      <c r="I446"/>
      <c r="N446"/>
      <c r="O446"/>
      <c r="P446" s="1">
        <f t="shared" si="47"/>
        <v>131.44363821138208</v>
      </c>
      <c r="Q446" s="1">
        <f t="shared" si="48"/>
        <v>135.0375406504065</v>
      </c>
      <c r="R446" s="1">
        <f t="shared" si="49"/>
        <v>138.92153563780974</v>
      </c>
      <c r="S446" s="1">
        <f t="shared" si="50"/>
        <v>93.037758797053996</v>
      </c>
    </row>
    <row r="447" spans="1:19" x14ac:dyDescent="0.3">
      <c r="A447">
        <v>8732.4</v>
      </c>
      <c r="B447">
        <v>128.560979</v>
      </c>
      <c r="C447">
        <v>132.07052999999999</v>
      </c>
      <c r="D447">
        <v>135.47324499999999</v>
      </c>
      <c r="E447">
        <v>89.795868999999996</v>
      </c>
      <c r="F447">
        <v>65.617385999999996</v>
      </c>
      <c r="G447">
        <v>40.038508</v>
      </c>
      <c r="H447">
        <v>41.958939000000001</v>
      </c>
      <c r="I447"/>
      <c r="N447"/>
      <c r="O447"/>
      <c r="P447" s="1">
        <f t="shared" si="47"/>
        <v>131.44363821138208</v>
      </c>
      <c r="Q447" s="1">
        <f t="shared" si="48"/>
        <v>135.0375406504065</v>
      </c>
      <c r="R447" s="1">
        <f t="shared" si="49"/>
        <v>138.92153563780974</v>
      </c>
      <c r="S447" s="1">
        <f t="shared" si="50"/>
        <v>93.037758797053996</v>
      </c>
    </row>
    <row r="448" spans="1:19" x14ac:dyDescent="0.3">
      <c r="A448">
        <v>8732.6</v>
      </c>
      <c r="B448">
        <v>128.55319499999999</v>
      </c>
      <c r="C448">
        <v>132.06804299999999</v>
      </c>
      <c r="D448">
        <v>135.41673700000001</v>
      </c>
      <c r="E448">
        <v>89.922391000000005</v>
      </c>
      <c r="F448">
        <v>65.434511999999998</v>
      </c>
      <c r="G448">
        <v>40.038508</v>
      </c>
      <c r="H448">
        <v>41.958939000000001</v>
      </c>
      <c r="I448"/>
      <c r="N448"/>
      <c r="O448"/>
      <c r="P448" s="1">
        <f t="shared" si="47"/>
        <v>131.45199999999997</v>
      </c>
      <c r="Q448" s="1">
        <f t="shared" si="48"/>
        <v>135.01720934959349</v>
      </c>
      <c r="R448" s="1">
        <f t="shared" si="49"/>
        <v>138.93958397063324</v>
      </c>
      <c r="S448" s="1">
        <f t="shared" si="50"/>
        <v>93.034233837970532</v>
      </c>
    </row>
    <row r="449" spans="1:19" x14ac:dyDescent="0.3">
      <c r="A449">
        <v>8732.7999999999993</v>
      </c>
      <c r="B449">
        <v>128.55319499999999</v>
      </c>
      <c r="C449">
        <v>132.06804299999999</v>
      </c>
      <c r="D449">
        <v>135.41673700000001</v>
      </c>
      <c r="E449">
        <v>89.922391000000005</v>
      </c>
      <c r="F449">
        <v>65.434511999999998</v>
      </c>
      <c r="G449">
        <v>40.042555</v>
      </c>
      <c r="H449">
        <v>41.946005</v>
      </c>
      <c r="I449"/>
      <c r="N449"/>
      <c r="O449"/>
      <c r="P449" s="1">
        <f t="shared" si="47"/>
        <v>131.45199999999997</v>
      </c>
      <c r="Q449" s="1">
        <f t="shared" si="48"/>
        <v>135.01720934959349</v>
      </c>
      <c r="R449" s="1">
        <f t="shared" si="49"/>
        <v>138.93958397063324</v>
      </c>
      <c r="S449" s="1">
        <f t="shared" si="50"/>
        <v>93.034233837970532</v>
      </c>
    </row>
    <row r="450" spans="1:19" x14ac:dyDescent="0.3">
      <c r="A450">
        <v>8733</v>
      </c>
      <c r="B450">
        <v>128.547449</v>
      </c>
      <c r="C450">
        <v>132.05346700000001</v>
      </c>
      <c r="D450">
        <v>135.439155</v>
      </c>
      <c r="E450">
        <v>90.213093999999998</v>
      </c>
      <c r="F450">
        <v>65.267987000000005</v>
      </c>
      <c r="G450">
        <v>40.042555</v>
      </c>
      <c r="H450">
        <v>41.946005</v>
      </c>
      <c r="I450" t="s">
        <v>60</v>
      </c>
      <c r="N450"/>
      <c r="O450"/>
      <c r="P450" s="1">
        <f t="shared" si="47"/>
        <v>131.46921443089428</v>
      </c>
      <c r="Q450" s="1">
        <f t="shared" si="48"/>
        <v>135.03214227642275</v>
      </c>
      <c r="R450" s="1">
        <f t="shared" si="49"/>
        <v>138.92273070255939</v>
      </c>
      <c r="S450" s="1">
        <f t="shared" si="50"/>
        <v>93.11498363338788</v>
      </c>
    </row>
    <row r="451" spans="1:19" x14ac:dyDescent="0.3">
      <c r="A451">
        <v>8733.2000000000007</v>
      </c>
      <c r="B451">
        <v>128.547449</v>
      </c>
      <c r="C451">
        <v>132.05346700000001</v>
      </c>
      <c r="D451">
        <v>135.439155</v>
      </c>
      <c r="E451">
        <v>90.213093999999998</v>
      </c>
      <c r="F451">
        <v>65.267987000000005</v>
      </c>
      <c r="G451">
        <v>40.029294999999998</v>
      </c>
      <c r="H451">
        <v>41.954393000000003</v>
      </c>
      <c r="I451"/>
      <c r="N451"/>
      <c r="O451"/>
      <c r="P451" s="1">
        <f t="shared" si="47"/>
        <v>131.46921443089428</v>
      </c>
      <c r="Q451" s="1">
        <f t="shared" si="48"/>
        <v>135.03214227642275</v>
      </c>
      <c r="R451" s="1">
        <f t="shared" si="49"/>
        <v>138.92273070255939</v>
      </c>
      <c r="S451" s="1">
        <f t="shared" si="50"/>
        <v>93.11498363338788</v>
      </c>
    </row>
    <row r="452" spans="1:19" x14ac:dyDescent="0.3">
      <c r="A452">
        <v>8733.4</v>
      </c>
      <c r="B452">
        <v>128.56561099999999</v>
      </c>
      <c r="C452">
        <v>132.04621900000001</v>
      </c>
      <c r="D452">
        <v>135.45202</v>
      </c>
      <c r="E452">
        <v>90.240437999999997</v>
      </c>
      <c r="F452">
        <v>65.060923000000003</v>
      </c>
      <c r="G452">
        <v>40.029294999999998</v>
      </c>
      <c r="H452">
        <v>41.954393000000003</v>
      </c>
      <c r="I452"/>
      <c r="N452"/>
      <c r="O452"/>
      <c r="P452" s="1">
        <f t="shared" si="47"/>
        <v>131.45537601626015</v>
      </c>
      <c r="Q452" s="1">
        <f t="shared" si="48"/>
        <v>135.04720833333332</v>
      </c>
      <c r="R452" s="1">
        <f t="shared" si="49"/>
        <v>138.95074334658918</v>
      </c>
      <c r="S452" s="1">
        <f t="shared" si="50"/>
        <v>93.187363952536828</v>
      </c>
    </row>
    <row r="453" spans="1:19" x14ac:dyDescent="0.3">
      <c r="A453">
        <v>8733.6</v>
      </c>
      <c r="B453">
        <v>128.56561099999999</v>
      </c>
      <c r="C453">
        <v>132.04621900000001</v>
      </c>
      <c r="D453">
        <v>135.45202</v>
      </c>
      <c r="E453">
        <v>90.240437999999997</v>
      </c>
      <c r="F453">
        <v>65.060923000000003</v>
      </c>
      <c r="G453">
        <v>40.032608000000003</v>
      </c>
      <c r="H453">
        <v>41.934446999999999</v>
      </c>
      <c r="I453"/>
      <c r="N453"/>
      <c r="O453"/>
      <c r="P453" s="1">
        <f t="shared" si="47"/>
        <v>131.45537601626015</v>
      </c>
      <c r="Q453" s="1">
        <f t="shared" si="48"/>
        <v>135.04720833333332</v>
      </c>
      <c r="R453" s="1">
        <f t="shared" si="49"/>
        <v>138.95074334658918</v>
      </c>
      <c r="S453" s="1">
        <f t="shared" si="50"/>
        <v>93.187363952536828</v>
      </c>
    </row>
    <row r="454" spans="1:19" x14ac:dyDescent="0.3">
      <c r="A454">
        <v>8733.7999999999993</v>
      </c>
      <c r="B454">
        <v>128.564471</v>
      </c>
      <c r="C454">
        <v>132.06523200000001</v>
      </c>
      <c r="D454">
        <v>135.434485</v>
      </c>
      <c r="E454">
        <v>90.055117999999993</v>
      </c>
      <c r="F454">
        <v>65.100497000000004</v>
      </c>
      <c r="G454">
        <v>40.032608000000003</v>
      </c>
      <c r="H454">
        <v>41.934446999999999</v>
      </c>
      <c r="I454"/>
      <c r="N454"/>
      <c r="O454"/>
      <c r="P454" s="1">
        <f t="shared" si="47"/>
        <v>131.47234756097561</v>
      </c>
      <c r="Q454" s="1">
        <f t="shared" si="48"/>
        <v>135.04023272357722</v>
      </c>
      <c r="R454" s="1">
        <f t="shared" si="49"/>
        <v>138.93529315794842</v>
      </c>
      <c r="S454" s="1">
        <f t="shared" si="50"/>
        <v>93.045210720130939</v>
      </c>
    </row>
    <row r="455" spans="1:19" x14ac:dyDescent="0.3">
      <c r="A455">
        <v>8734</v>
      </c>
      <c r="B455">
        <v>128.564471</v>
      </c>
      <c r="C455">
        <v>132.06523200000001</v>
      </c>
      <c r="D455">
        <v>135.434485</v>
      </c>
      <c r="E455">
        <v>90.055117999999993</v>
      </c>
      <c r="F455">
        <v>65.100497000000004</v>
      </c>
      <c r="G455">
        <v>40.032877999999997</v>
      </c>
      <c r="H455">
        <v>41.949831000000003</v>
      </c>
      <c r="I455" t="s">
        <v>60</v>
      </c>
      <c r="N455"/>
      <c r="O455"/>
      <c r="P455" s="1">
        <f t="shared" si="47"/>
        <v>131.47234756097561</v>
      </c>
      <c r="Q455" s="1">
        <f t="shared" si="48"/>
        <v>135.04023272357722</v>
      </c>
      <c r="R455" s="1">
        <f t="shared" si="49"/>
        <v>138.93529315794842</v>
      </c>
      <c r="S455" s="1">
        <f t="shared" si="50"/>
        <v>93.045210720130939</v>
      </c>
    </row>
    <row r="456" spans="1:19" x14ac:dyDescent="0.3">
      <c r="A456">
        <v>8734.2000000000007</v>
      </c>
      <c r="B456">
        <v>128.592129</v>
      </c>
      <c r="C456">
        <v>132.085128</v>
      </c>
      <c r="D456">
        <v>135.427066</v>
      </c>
      <c r="E456">
        <v>90.022291999999993</v>
      </c>
      <c r="F456">
        <v>65.124998000000005</v>
      </c>
      <c r="G456">
        <v>40.032877999999997</v>
      </c>
      <c r="H456">
        <v>41.949831000000003</v>
      </c>
      <c r="I456"/>
      <c r="N456"/>
      <c r="O456"/>
      <c r="P456" s="1">
        <f t="shared" si="47"/>
        <v>131.49368597560974</v>
      </c>
      <c r="Q456" s="1">
        <f t="shared" si="48"/>
        <v>135.01951117886179</v>
      </c>
      <c r="R456" s="1">
        <f t="shared" si="49"/>
        <v>138.94259202610382</v>
      </c>
      <c r="S456" s="1">
        <f t="shared" si="50"/>
        <v>92.837494885433713</v>
      </c>
    </row>
    <row r="457" spans="1:19" x14ac:dyDescent="0.3">
      <c r="A457">
        <v>8734.4</v>
      </c>
      <c r="B457">
        <v>128.592129</v>
      </c>
      <c r="C457">
        <v>132.085128</v>
      </c>
      <c r="D457">
        <v>135.427066</v>
      </c>
      <c r="E457">
        <v>90.022291999999993</v>
      </c>
      <c r="F457">
        <v>65.124998000000005</v>
      </c>
      <c r="G457">
        <v>40.025751</v>
      </c>
      <c r="H457">
        <v>41.941088000000001</v>
      </c>
      <c r="I457"/>
      <c r="N457"/>
      <c r="O457"/>
      <c r="P457" s="1">
        <f t="shared" si="47"/>
        <v>131.49368597560974</v>
      </c>
      <c r="Q457" s="1">
        <f t="shared" si="48"/>
        <v>135.01951117886179</v>
      </c>
      <c r="R457" s="1">
        <f t="shared" si="49"/>
        <v>138.94259202610382</v>
      </c>
      <c r="S457" s="1">
        <f t="shared" si="50"/>
        <v>92.837494885433713</v>
      </c>
    </row>
    <row r="458" spans="1:19" x14ac:dyDescent="0.3">
      <c r="A458">
        <v>8734.6</v>
      </c>
      <c r="B458">
        <v>128.57823200000001</v>
      </c>
      <c r="C458">
        <v>132.084149</v>
      </c>
      <c r="D458">
        <v>135.44317599999999</v>
      </c>
      <c r="E458">
        <v>90.098843000000002</v>
      </c>
      <c r="F458">
        <v>65.369050000000001</v>
      </c>
      <c r="G458">
        <v>40.025751</v>
      </c>
      <c r="H458">
        <v>41.941088000000001</v>
      </c>
      <c r="I458"/>
      <c r="N458"/>
      <c r="O458"/>
      <c r="P458" s="1">
        <f t="shared" si="47"/>
        <v>131.48805792682924</v>
      </c>
      <c r="Q458" s="1">
        <f t="shared" si="48"/>
        <v>135.03858434959349</v>
      </c>
      <c r="R458" s="1">
        <f t="shared" si="49"/>
        <v>138.94164984194964</v>
      </c>
      <c r="S458" s="1">
        <f t="shared" si="50"/>
        <v>92.803029869067103</v>
      </c>
    </row>
    <row r="459" spans="1:19" x14ac:dyDescent="0.3">
      <c r="A459">
        <v>8734.7999999999993</v>
      </c>
      <c r="B459">
        <v>128.57823200000001</v>
      </c>
      <c r="C459">
        <v>132.084149</v>
      </c>
      <c r="D459">
        <v>135.44317599999999</v>
      </c>
      <c r="E459">
        <v>90.098843000000002</v>
      </c>
      <c r="F459">
        <v>65.369050000000001</v>
      </c>
      <c r="G459">
        <v>40.048448</v>
      </c>
      <c r="H459">
        <v>41.952354</v>
      </c>
      <c r="I459"/>
      <c r="N459"/>
      <c r="O459"/>
      <c r="P459" s="1">
        <f t="shared" si="47"/>
        <v>131.48805792682924</v>
      </c>
      <c r="Q459" s="1">
        <f t="shared" si="48"/>
        <v>135.03858434959349</v>
      </c>
      <c r="R459" s="1">
        <f t="shared" si="49"/>
        <v>138.94164984194964</v>
      </c>
      <c r="S459" s="1">
        <f t="shared" si="50"/>
        <v>92.803029869067103</v>
      </c>
    </row>
    <row r="460" spans="1:19" x14ac:dyDescent="0.3">
      <c r="A460">
        <v>8735</v>
      </c>
      <c r="B460">
        <v>128.58875900000001</v>
      </c>
      <c r="C460">
        <v>132.08799999999999</v>
      </c>
      <c r="D460">
        <v>135.4357</v>
      </c>
      <c r="E460">
        <v>90.035409999999999</v>
      </c>
      <c r="F460">
        <v>65.203743000000003</v>
      </c>
      <c r="G460">
        <v>40.048448</v>
      </c>
      <c r="H460">
        <v>41.952354</v>
      </c>
      <c r="I460" t="s">
        <v>60</v>
      </c>
      <c r="N460"/>
      <c r="O460"/>
      <c r="P460" s="1">
        <f t="shared" si="47"/>
        <v>131.4625386178862</v>
      </c>
      <c r="Q460" s="1">
        <f t="shared" si="48"/>
        <v>135.02002235772358</v>
      </c>
      <c r="R460" s="1">
        <f t="shared" si="49"/>
        <v>138.91131844600795</v>
      </c>
      <c r="S460" s="1">
        <f t="shared" si="50"/>
        <v>92.790431669394437</v>
      </c>
    </row>
    <row r="461" spans="1:19" x14ac:dyDescent="0.3">
      <c r="A461">
        <v>8735.2000000000007</v>
      </c>
      <c r="B461">
        <v>128.58875900000001</v>
      </c>
      <c r="C461">
        <v>132.08799999999999</v>
      </c>
      <c r="D461">
        <v>135.4357</v>
      </c>
      <c r="E461">
        <v>90.035409999999999</v>
      </c>
      <c r="F461">
        <v>65.203743000000003</v>
      </c>
      <c r="G461">
        <v>40.027405999999999</v>
      </c>
      <c r="H461">
        <v>41.954832000000003</v>
      </c>
      <c r="I461"/>
      <c r="N461"/>
      <c r="O461"/>
      <c r="P461" s="1">
        <f t="shared" si="47"/>
        <v>131.4625386178862</v>
      </c>
      <c r="Q461" s="1">
        <f t="shared" si="48"/>
        <v>135.02002235772358</v>
      </c>
      <c r="R461" s="1">
        <f t="shared" si="49"/>
        <v>138.91131844600795</v>
      </c>
      <c r="S461" s="1">
        <f t="shared" si="50"/>
        <v>92.790431669394437</v>
      </c>
    </row>
    <row r="462" spans="1:19" x14ac:dyDescent="0.3">
      <c r="A462">
        <v>8735.4</v>
      </c>
      <c r="B462">
        <v>128.58066600000001</v>
      </c>
      <c r="C462">
        <v>132.087288</v>
      </c>
      <c r="D462">
        <v>135.445842</v>
      </c>
      <c r="E462">
        <v>89.921728999999999</v>
      </c>
      <c r="F462">
        <v>65.067926999999997</v>
      </c>
      <c r="G462">
        <v>40.027405999999999</v>
      </c>
      <c r="H462">
        <v>41.954832000000003</v>
      </c>
      <c r="I462"/>
      <c r="N462"/>
      <c r="O462"/>
      <c r="P462" s="1">
        <f t="shared" si="47"/>
        <v>131.46253455284551</v>
      </c>
      <c r="Q462" s="1">
        <f t="shared" si="48"/>
        <v>135.05227743902438</v>
      </c>
      <c r="R462" s="1">
        <f t="shared" si="49"/>
        <v>138.9266177220353</v>
      </c>
      <c r="S462" s="1">
        <f t="shared" si="50"/>
        <v>92.770667962356796</v>
      </c>
    </row>
    <row r="463" spans="1:19" x14ac:dyDescent="0.3">
      <c r="A463">
        <v>8735.6</v>
      </c>
      <c r="B463">
        <v>128.58066600000001</v>
      </c>
      <c r="C463">
        <v>132.087288</v>
      </c>
      <c r="D463">
        <v>135.445842</v>
      </c>
      <c r="E463">
        <v>89.921728999999999</v>
      </c>
      <c r="F463">
        <v>65.067926999999997</v>
      </c>
      <c r="G463">
        <v>40.021636999999998</v>
      </c>
      <c r="H463">
        <v>41.943258999999998</v>
      </c>
      <c r="I463"/>
      <c r="N463"/>
      <c r="O463"/>
      <c r="P463" s="1">
        <f t="shared" si="47"/>
        <v>131.46253455284551</v>
      </c>
      <c r="Q463" s="1">
        <f t="shared" si="48"/>
        <v>135.05227743902438</v>
      </c>
      <c r="R463" s="1">
        <f t="shared" si="49"/>
        <v>138.9266177220353</v>
      </c>
      <c r="S463" s="1">
        <f t="shared" si="50"/>
        <v>92.770667962356796</v>
      </c>
    </row>
    <row r="464" spans="1:19" x14ac:dyDescent="0.3">
      <c r="A464">
        <v>8735.7999999999993</v>
      </c>
      <c r="B464">
        <v>128.56901999999999</v>
      </c>
      <c r="C464">
        <v>132.07489799999999</v>
      </c>
      <c r="D464">
        <v>135.451967</v>
      </c>
      <c r="E464">
        <v>89.967671999999993</v>
      </c>
      <c r="F464">
        <v>65.102614000000003</v>
      </c>
      <c r="G464">
        <v>40.021636999999998</v>
      </c>
      <c r="H464">
        <v>41.943258999999998</v>
      </c>
      <c r="I464"/>
      <c r="N464"/>
      <c r="P464" s="1">
        <f t="shared" si="47"/>
        <v>131.45069004065041</v>
      </c>
      <c r="Q464" s="1">
        <f t="shared" si="48"/>
        <v>135.01730691056909</v>
      </c>
      <c r="R464" s="1">
        <f t="shared" si="49"/>
        <v>138.96558070765781</v>
      </c>
      <c r="S464" s="1">
        <f t="shared" si="50"/>
        <v>92.798352086743037</v>
      </c>
    </row>
    <row r="465" spans="1:19" x14ac:dyDescent="0.3">
      <c r="A465">
        <v>8736</v>
      </c>
      <c r="B465">
        <v>128.56901999999999</v>
      </c>
      <c r="C465">
        <v>132.07489799999999</v>
      </c>
      <c r="D465">
        <v>135.451967</v>
      </c>
      <c r="E465">
        <v>89.967671999999993</v>
      </c>
      <c r="F465">
        <v>65.102614000000003</v>
      </c>
      <c r="G465">
        <v>40.059472</v>
      </c>
      <c r="H465">
        <v>41.955452999999999</v>
      </c>
      <c r="I465" t="s">
        <v>60</v>
      </c>
      <c r="N465"/>
      <c r="O465" s="26"/>
      <c r="P465" s="1">
        <f t="shared" si="47"/>
        <v>131.45069004065041</v>
      </c>
      <c r="Q465" s="1">
        <f t="shared" si="48"/>
        <v>135.01730691056909</v>
      </c>
      <c r="R465" s="1">
        <f t="shared" si="49"/>
        <v>138.96558070765781</v>
      </c>
      <c r="S465" s="1">
        <f t="shared" si="50"/>
        <v>92.798352086743037</v>
      </c>
    </row>
    <row r="466" spans="1:19" x14ac:dyDescent="0.3">
      <c r="A466">
        <v>8736.2000000000007</v>
      </c>
      <c r="B466">
        <v>128.588807</v>
      </c>
      <c r="C466">
        <v>132.09754899999999</v>
      </c>
      <c r="D466">
        <v>135.450525</v>
      </c>
      <c r="E466">
        <v>89.908989000000005</v>
      </c>
      <c r="F466">
        <v>64.731368000000003</v>
      </c>
      <c r="G466">
        <v>40.059472</v>
      </c>
      <c r="H466">
        <v>41.955452999999999</v>
      </c>
      <c r="I466"/>
      <c r="N466"/>
      <c r="O466" s="26"/>
      <c r="P466" s="1">
        <f t="shared" si="47"/>
        <v>131.4427794715447</v>
      </c>
      <c r="Q466" s="1">
        <f t="shared" si="48"/>
        <v>135.0147794715447</v>
      </c>
      <c r="R466" s="1">
        <f t="shared" si="49"/>
        <v>138.90796064035894</v>
      </c>
      <c r="S466" s="1">
        <f t="shared" si="50"/>
        <v>92.927773117839607</v>
      </c>
    </row>
    <row r="467" spans="1:19" x14ac:dyDescent="0.3">
      <c r="A467">
        <v>8736.4</v>
      </c>
      <c r="B467">
        <v>128.588807</v>
      </c>
      <c r="C467">
        <v>132.09754899999999</v>
      </c>
      <c r="D467">
        <v>135.450525</v>
      </c>
      <c r="E467">
        <v>89.908989000000005</v>
      </c>
      <c r="F467">
        <v>64.731368000000003</v>
      </c>
      <c r="G467">
        <v>40.044150000000002</v>
      </c>
      <c r="H467">
        <v>41.938761</v>
      </c>
      <c r="I467"/>
      <c r="N467"/>
      <c r="O467" s="26"/>
      <c r="P467" s="1">
        <f t="shared" si="47"/>
        <v>131.4427794715447</v>
      </c>
      <c r="Q467" s="1">
        <f t="shared" si="48"/>
        <v>135.0147794715447</v>
      </c>
      <c r="R467" s="1">
        <f t="shared" si="49"/>
        <v>138.90796064035894</v>
      </c>
      <c r="S467" s="1">
        <f t="shared" si="50"/>
        <v>92.927773117839607</v>
      </c>
    </row>
    <row r="468" spans="1:19" x14ac:dyDescent="0.3">
      <c r="A468">
        <v>8736.6</v>
      </c>
      <c r="B468">
        <v>128.58554599999999</v>
      </c>
      <c r="C468">
        <v>132.098445</v>
      </c>
      <c r="D468">
        <v>135.451188</v>
      </c>
      <c r="E468">
        <v>89.964892000000006</v>
      </c>
      <c r="F468">
        <v>65.377206000000001</v>
      </c>
      <c r="G468">
        <v>40.044150000000002</v>
      </c>
      <c r="H468">
        <v>41.938761</v>
      </c>
      <c r="I468"/>
      <c r="N468"/>
      <c r="O468" s="26"/>
      <c r="P468" s="1">
        <f t="shared" si="47"/>
        <v>131.4369400406504</v>
      </c>
      <c r="Q468" s="1">
        <f t="shared" si="48"/>
        <v>134.99996646341464</v>
      </c>
      <c r="R468" s="1">
        <f t="shared" si="49"/>
        <v>138.93081982257573</v>
      </c>
      <c r="S468" s="1">
        <f t="shared" si="50"/>
        <v>93.225137070376434</v>
      </c>
    </row>
    <row r="469" spans="1:19" x14ac:dyDescent="0.3">
      <c r="A469">
        <v>8736.7999999999993</v>
      </c>
      <c r="B469">
        <v>128.58554599999999</v>
      </c>
      <c r="C469">
        <v>132.098445</v>
      </c>
      <c r="D469">
        <v>135.451188</v>
      </c>
      <c r="E469">
        <v>89.964892000000006</v>
      </c>
      <c r="F469">
        <v>65.377206000000001</v>
      </c>
      <c r="G469">
        <v>40.037602</v>
      </c>
      <c r="H469">
        <v>41.965010999999997</v>
      </c>
      <c r="I469"/>
      <c r="N469"/>
      <c r="O469"/>
      <c r="P469" s="1">
        <f t="shared" si="47"/>
        <v>131.4369400406504</v>
      </c>
      <c r="Q469" s="1">
        <f t="shared" si="48"/>
        <v>134.99996646341464</v>
      </c>
      <c r="R469" s="1">
        <f t="shared" si="49"/>
        <v>138.93081982257573</v>
      </c>
      <c r="S469" s="1">
        <f t="shared" si="50"/>
        <v>93.225137070376434</v>
      </c>
    </row>
    <row r="470" spans="1:19" x14ac:dyDescent="0.3">
      <c r="A470">
        <v>8737</v>
      </c>
      <c r="B470">
        <v>128.56804099999999</v>
      </c>
      <c r="C470">
        <v>132.08642699999999</v>
      </c>
      <c r="D470">
        <v>135.451449</v>
      </c>
      <c r="E470">
        <v>90.119022000000001</v>
      </c>
      <c r="F470">
        <v>65.179399000000004</v>
      </c>
      <c r="G470">
        <v>40.037602</v>
      </c>
      <c r="H470">
        <v>41.965010999999997</v>
      </c>
      <c r="I470" t="s">
        <v>60</v>
      </c>
      <c r="N470"/>
      <c r="O470"/>
      <c r="P470" s="1">
        <f t="shared" si="47"/>
        <v>131.45539735772357</v>
      </c>
      <c r="Q470" s="1">
        <f t="shared" si="48"/>
        <v>134.9926006097561</v>
      </c>
      <c r="R470" s="1">
        <f t="shared" si="49"/>
        <v>138.94393800346694</v>
      </c>
      <c r="S470" s="1">
        <f t="shared" si="50"/>
        <v>93.253107610474629</v>
      </c>
    </row>
    <row r="471" spans="1:19" x14ac:dyDescent="0.3">
      <c r="A471">
        <v>8737.2000000000007</v>
      </c>
      <c r="B471">
        <v>128.56804099999999</v>
      </c>
      <c r="C471">
        <v>132.08642699999999</v>
      </c>
      <c r="D471">
        <v>135.451449</v>
      </c>
      <c r="E471">
        <v>90.119022000000001</v>
      </c>
      <c r="F471">
        <v>65.179399000000004</v>
      </c>
      <c r="G471">
        <v>40.059550000000002</v>
      </c>
      <c r="H471">
        <v>41.949950000000001</v>
      </c>
      <c r="I471"/>
      <c r="N471"/>
      <c r="O471"/>
      <c r="P471" s="1">
        <f t="shared" si="47"/>
        <v>131.45539735772357</v>
      </c>
      <c r="Q471" s="1">
        <f t="shared" si="48"/>
        <v>134.9926006097561</v>
      </c>
      <c r="R471" s="1">
        <f t="shared" si="49"/>
        <v>138.94393800346694</v>
      </c>
      <c r="S471" s="1">
        <f t="shared" si="50"/>
        <v>93.253107610474629</v>
      </c>
    </row>
    <row r="472" spans="1:19" x14ac:dyDescent="0.3">
      <c r="A472">
        <v>8737.4</v>
      </c>
      <c r="B472">
        <v>128.56707900000001</v>
      </c>
      <c r="C472">
        <v>132.10283899999999</v>
      </c>
      <c r="D472">
        <v>135.44402099999999</v>
      </c>
      <c r="E472">
        <v>89.926697000000004</v>
      </c>
      <c r="F472">
        <v>65.143835999999993</v>
      </c>
      <c r="G472">
        <v>40.059550000000002</v>
      </c>
      <c r="H472">
        <v>41.949950000000001</v>
      </c>
      <c r="I472"/>
      <c r="N472"/>
      <c r="O472"/>
      <c r="P472" s="1">
        <f t="shared" si="47"/>
        <v>131.4542388211382</v>
      </c>
      <c r="Q472" s="1">
        <f t="shared" si="48"/>
        <v>135.01192276422765</v>
      </c>
      <c r="R472" s="1">
        <f t="shared" si="49"/>
        <v>138.92605791781381</v>
      </c>
      <c r="S472" s="1">
        <f t="shared" si="50"/>
        <v>93.063541325695567</v>
      </c>
    </row>
    <row r="473" spans="1:19" x14ac:dyDescent="0.3">
      <c r="A473">
        <v>8737.6</v>
      </c>
      <c r="B473">
        <v>128.56707900000001</v>
      </c>
      <c r="C473">
        <v>132.10283899999999</v>
      </c>
      <c r="D473">
        <v>135.44402099999999</v>
      </c>
      <c r="E473">
        <v>89.926697000000004</v>
      </c>
      <c r="F473">
        <v>65.143835999999993</v>
      </c>
      <c r="G473">
        <v>40.040283000000002</v>
      </c>
      <c r="H473">
        <v>41.937922999999998</v>
      </c>
      <c r="I473"/>
      <c r="N473"/>
      <c r="O473"/>
      <c r="P473" s="1">
        <f t="shared" si="47"/>
        <v>131.4542388211382</v>
      </c>
      <c r="Q473" s="1">
        <f t="shared" si="48"/>
        <v>135.01192276422765</v>
      </c>
      <c r="R473" s="1">
        <f t="shared" si="49"/>
        <v>138.92605791781381</v>
      </c>
      <c r="S473" s="1">
        <f t="shared" si="50"/>
        <v>93.063541325695567</v>
      </c>
    </row>
    <row r="474" spans="1:19" x14ac:dyDescent="0.3">
      <c r="A474">
        <v>8737.7999999999993</v>
      </c>
      <c r="B474">
        <v>128.58983900000001</v>
      </c>
      <c r="C474">
        <v>132.10460900000001</v>
      </c>
      <c r="D474">
        <v>135.44924900000001</v>
      </c>
      <c r="E474">
        <v>89.898538000000002</v>
      </c>
      <c r="F474">
        <v>65.204176000000004</v>
      </c>
      <c r="G474">
        <v>40.040283000000002</v>
      </c>
      <c r="H474">
        <v>41.937922999999998</v>
      </c>
      <c r="I474"/>
      <c r="N474"/>
      <c r="O474"/>
      <c r="P474" s="1">
        <f t="shared" si="47"/>
        <v>131.48234654471543</v>
      </c>
      <c r="Q474" s="1">
        <f t="shared" si="48"/>
        <v>135.03214227642275</v>
      </c>
      <c r="R474" s="1">
        <f t="shared" si="49"/>
        <v>138.91849291322526</v>
      </c>
      <c r="S474" s="1">
        <f t="shared" si="50"/>
        <v>93.029963175122745</v>
      </c>
    </row>
    <row r="475" spans="1:19" x14ac:dyDescent="0.3">
      <c r="A475">
        <v>9164</v>
      </c>
      <c r="B475">
        <v>137.86268899999999</v>
      </c>
      <c r="C475">
        <v>141.88838200000001</v>
      </c>
      <c r="D475">
        <v>145.78068400000001</v>
      </c>
      <c r="E475">
        <v>93.207089999999994</v>
      </c>
      <c r="F475">
        <v>65.815966000000003</v>
      </c>
      <c r="G475">
        <v>40.075189999999999</v>
      </c>
      <c r="H475">
        <v>42.289437999999997</v>
      </c>
      <c r="I475" t="s">
        <v>60</v>
      </c>
      <c r="N475"/>
      <c r="O475"/>
      <c r="P475" s="1">
        <f t="shared" si="47"/>
        <v>131.48234654471543</v>
      </c>
      <c r="Q475" s="1">
        <f t="shared" si="48"/>
        <v>135.03214227642275</v>
      </c>
      <c r="R475" s="1">
        <f t="shared" si="49"/>
        <v>138.91849291322526</v>
      </c>
      <c r="S475" s="1">
        <f t="shared" si="50"/>
        <v>93.029963175122745</v>
      </c>
    </row>
    <row r="476" spans="1:19" x14ac:dyDescent="0.3">
      <c r="A476">
        <v>9164.2000000000007</v>
      </c>
      <c r="B476">
        <v>137.85086999999999</v>
      </c>
      <c r="C476">
        <v>141.881404</v>
      </c>
      <c r="D476">
        <v>145.78069199999999</v>
      </c>
      <c r="E476">
        <v>93.186408</v>
      </c>
      <c r="F476">
        <v>65.853347999999997</v>
      </c>
      <c r="G476">
        <v>40.075189999999999</v>
      </c>
      <c r="H476">
        <v>42.289437999999997</v>
      </c>
      <c r="I476"/>
      <c r="N476"/>
      <c r="O476"/>
      <c r="P476" s="1">
        <f t="shared" si="47"/>
        <v>131.46822357723579</v>
      </c>
      <c r="Q476" s="1">
        <f t="shared" si="48"/>
        <v>135.03114735772357</v>
      </c>
      <c r="R476" s="1">
        <f t="shared" si="49"/>
        <v>138.93491995513409</v>
      </c>
      <c r="S476" s="1">
        <f t="shared" si="50"/>
        <v>93.108268207855971</v>
      </c>
    </row>
    <row r="477" spans="1:19" x14ac:dyDescent="0.3">
      <c r="A477">
        <v>9164.4</v>
      </c>
      <c r="B477">
        <v>137.85086999999999</v>
      </c>
      <c r="C477">
        <v>141.881404</v>
      </c>
      <c r="D477">
        <v>145.78069199999999</v>
      </c>
      <c r="E477">
        <v>93.186408</v>
      </c>
      <c r="F477">
        <v>65.853347999999997</v>
      </c>
      <c r="G477">
        <v>40.068849999999998</v>
      </c>
      <c r="H477">
        <v>42.288455999999996</v>
      </c>
      <c r="I477"/>
      <c r="N477"/>
      <c r="O477"/>
      <c r="P477" s="1">
        <f t="shared" si="47"/>
        <v>131.46822357723579</v>
      </c>
      <c r="Q477" s="1">
        <f t="shared" si="48"/>
        <v>135.03114735772357</v>
      </c>
      <c r="R477" s="1">
        <f t="shared" si="49"/>
        <v>138.93491995513409</v>
      </c>
      <c r="S477" s="1">
        <f t="shared" si="50"/>
        <v>93.108268207855971</v>
      </c>
    </row>
    <row r="478" spans="1:19" x14ac:dyDescent="0.3">
      <c r="A478">
        <v>9164.6</v>
      </c>
      <c r="B478">
        <v>137.858768</v>
      </c>
      <c r="C478">
        <v>141.89096499999999</v>
      </c>
      <c r="D478">
        <v>145.77002999999999</v>
      </c>
      <c r="E478">
        <v>93.159656999999996</v>
      </c>
      <c r="F478">
        <v>66.258420999999998</v>
      </c>
      <c r="G478">
        <v>40.068849999999998</v>
      </c>
      <c r="H478">
        <v>42.288455999999996</v>
      </c>
      <c r="I478"/>
      <c r="N478"/>
      <c r="O478"/>
      <c r="P478" s="1">
        <f t="shared" si="47"/>
        <v>131.47892174796749</v>
      </c>
      <c r="Q478" s="1">
        <f t="shared" si="48"/>
        <v>135.03506097560975</v>
      </c>
      <c r="R478" s="1">
        <f t="shared" si="49"/>
        <v>138.92729682879576</v>
      </c>
      <c r="S478" s="1">
        <f t="shared" si="50"/>
        <v>93.043381751227486</v>
      </c>
    </row>
    <row r="479" spans="1:19" x14ac:dyDescent="0.3">
      <c r="A479">
        <v>9164.7999999999993</v>
      </c>
      <c r="B479">
        <v>137.858768</v>
      </c>
      <c r="C479">
        <v>141.89096499999999</v>
      </c>
      <c r="D479">
        <v>145.77002999999999</v>
      </c>
      <c r="E479">
        <v>93.159656999999996</v>
      </c>
      <c r="F479">
        <v>66.258420999999998</v>
      </c>
      <c r="G479">
        <v>40.086903</v>
      </c>
      <c r="H479">
        <v>42.309961999999999</v>
      </c>
      <c r="I479"/>
      <c r="N479"/>
      <c r="O479"/>
      <c r="P479" s="1">
        <f t="shared" si="47"/>
        <v>131.47892174796749</v>
      </c>
      <c r="Q479" s="1">
        <f t="shared" si="48"/>
        <v>135.03506097560975</v>
      </c>
      <c r="R479" s="1">
        <f t="shared" si="49"/>
        <v>138.92729682879576</v>
      </c>
      <c r="S479" s="1">
        <f t="shared" si="50"/>
        <v>93.043381751227486</v>
      </c>
    </row>
    <row r="480" spans="1:19" x14ac:dyDescent="0.3">
      <c r="A480">
        <v>9165</v>
      </c>
      <c r="B480">
        <v>137.87459000000001</v>
      </c>
      <c r="C480">
        <v>141.87215399999999</v>
      </c>
      <c r="D480">
        <v>145.77774099999999</v>
      </c>
      <c r="E480">
        <v>93.299150999999995</v>
      </c>
      <c r="F480">
        <v>66.209738999999999</v>
      </c>
      <c r="G480">
        <v>40.086903</v>
      </c>
      <c r="H480">
        <v>42.309961999999999</v>
      </c>
      <c r="I480" t="s">
        <v>60</v>
      </c>
      <c r="N480"/>
      <c r="O480"/>
      <c r="P480" s="1">
        <f t="shared" si="47"/>
        <v>131.47069715447154</v>
      </c>
      <c r="Q480" s="1">
        <f t="shared" si="48"/>
        <v>135.03433739837396</v>
      </c>
      <c r="R480" s="1">
        <f t="shared" si="49"/>
        <v>138.93763842153564</v>
      </c>
      <c r="S480" s="1">
        <f t="shared" si="50"/>
        <v>92.927095949263503</v>
      </c>
    </row>
    <row r="481" spans="1:19" x14ac:dyDescent="0.3">
      <c r="A481">
        <v>9165.2000000000007</v>
      </c>
      <c r="B481">
        <v>137.87459000000001</v>
      </c>
      <c r="C481">
        <v>141.87215399999999</v>
      </c>
      <c r="D481">
        <v>145.77774099999999</v>
      </c>
      <c r="E481">
        <v>93.299150999999995</v>
      </c>
      <c r="F481">
        <v>66.209738999999999</v>
      </c>
      <c r="G481">
        <v>40.082242999999998</v>
      </c>
      <c r="H481">
        <v>42.313214000000002</v>
      </c>
      <c r="I481"/>
      <c r="N481"/>
      <c r="O481"/>
      <c r="P481" s="1">
        <f t="shared" si="47"/>
        <v>131.47069715447154</v>
      </c>
      <c r="Q481" s="1">
        <f t="shared" si="48"/>
        <v>135.03433739837396</v>
      </c>
      <c r="R481" s="1">
        <f t="shared" si="49"/>
        <v>138.93763842153564</v>
      </c>
      <c r="S481" s="1">
        <f t="shared" si="50"/>
        <v>92.927095949263503</v>
      </c>
    </row>
    <row r="482" spans="1:19" x14ac:dyDescent="0.3">
      <c r="A482">
        <v>9165.4</v>
      </c>
      <c r="B482">
        <v>137.85148699999999</v>
      </c>
      <c r="C482">
        <v>141.894599</v>
      </c>
      <c r="D482">
        <v>145.77156299999999</v>
      </c>
      <c r="E482">
        <v>93.179584000000006</v>
      </c>
      <c r="F482">
        <v>66.251497999999998</v>
      </c>
      <c r="G482">
        <v>40.082242999999998</v>
      </c>
      <c r="H482">
        <v>42.313214000000002</v>
      </c>
      <c r="I482"/>
      <c r="N482"/>
      <c r="O482"/>
      <c r="P482" s="1">
        <f t="shared" si="47"/>
        <v>131.45886178861787</v>
      </c>
      <c r="Q482" s="1">
        <f t="shared" si="48"/>
        <v>135.02174593495934</v>
      </c>
      <c r="R482" s="1">
        <f t="shared" si="49"/>
        <v>138.94388396043644</v>
      </c>
      <c r="S482" s="1">
        <f t="shared" si="50"/>
        <v>92.974091653027813</v>
      </c>
    </row>
    <row r="483" spans="1:19" x14ac:dyDescent="0.3">
      <c r="A483">
        <v>9165.6</v>
      </c>
      <c r="B483">
        <v>137.85148699999999</v>
      </c>
      <c r="C483">
        <v>141.894599</v>
      </c>
      <c r="D483">
        <v>145.77156299999999</v>
      </c>
      <c r="E483">
        <v>93.179584000000006</v>
      </c>
      <c r="F483">
        <v>66.251497999999998</v>
      </c>
      <c r="G483">
        <v>40.079279999999997</v>
      </c>
      <c r="H483">
        <v>42.327925</v>
      </c>
      <c r="I483"/>
      <c r="N483"/>
      <c r="O483"/>
      <c r="P483" s="1">
        <f t="shared" si="47"/>
        <v>131.45886178861787</v>
      </c>
      <c r="Q483" s="1">
        <f t="shared" si="48"/>
        <v>135.02174593495934</v>
      </c>
      <c r="R483" s="1">
        <f t="shared" si="49"/>
        <v>138.94388396043644</v>
      </c>
      <c r="S483" s="1">
        <f t="shared" si="50"/>
        <v>92.974091653027813</v>
      </c>
    </row>
    <row r="484" spans="1:19" x14ac:dyDescent="0.3">
      <c r="A484">
        <v>9165.7999999999993</v>
      </c>
      <c r="B484">
        <v>137.86817099999999</v>
      </c>
      <c r="C484">
        <v>141.900409</v>
      </c>
      <c r="D484">
        <v>145.78222500000001</v>
      </c>
      <c r="E484">
        <v>93.022143999999997</v>
      </c>
      <c r="F484">
        <v>66.149252000000004</v>
      </c>
      <c r="G484">
        <v>40.079279999999997</v>
      </c>
      <c r="H484">
        <v>42.327925</v>
      </c>
      <c r="I484"/>
      <c r="N484"/>
      <c r="O484"/>
      <c r="P484" s="1">
        <f t="shared" si="47"/>
        <v>131.47897052845528</v>
      </c>
      <c r="Q484" s="1">
        <f t="shared" si="48"/>
        <v>135.04476524390242</v>
      </c>
      <c r="R484" s="1">
        <f t="shared" si="49"/>
        <v>138.94241358213523</v>
      </c>
      <c r="S484" s="1">
        <f t="shared" si="50"/>
        <v>92.914064034369886</v>
      </c>
    </row>
    <row r="485" spans="1:19" x14ac:dyDescent="0.3">
      <c r="A485">
        <v>9166</v>
      </c>
      <c r="B485">
        <v>137.86817099999999</v>
      </c>
      <c r="C485">
        <v>141.900409</v>
      </c>
      <c r="D485">
        <v>145.78222500000001</v>
      </c>
      <c r="E485">
        <v>93.022143999999997</v>
      </c>
      <c r="F485">
        <v>66.149252000000004</v>
      </c>
      <c r="G485">
        <v>40.075878000000003</v>
      </c>
      <c r="H485">
        <v>42.322668999999998</v>
      </c>
      <c r="I485" t="s">
        <v>60</v>
      </c>
      <c r="N485"/>
      <c r="O485"/>
      <c r="P485" s="1">
        <f t="shared" si="47"/>
        <v>131.47897052845528</v>
      </c>
      <c r="Q485" s="1">
        <f t="shared" si="48"/>
        <v>135.04476524390242</v>
      </c>
      <c r="R485" s="1">
        <f t="shared" si="49"/>
        <v>138.94241358213523</v>
      </c>
      <c r="S485" s="1">
        <f t="shared" si="50"/>
        <v>92.914064034369886</v>
      </c>
    </row>
    <row r="486" spans="1:19" x14ac:dyDescent="0.3">
      <c r="A486">
        <v>9166.2000000000007</v>
      </c>
      <c r="B486">
        <v>137.84171599999999</v>
      </c>
      <c r="C486">
        <v>141.86312799999999</v>
      </c>
      <c r="D486">
        <v>145.77478099999999</v>
      </c>
      <c r="E486">
        <v>92.998739</v>
      </c>
      <c r="F486">
        <v>65.969004999999996</v>
      </c>
      <c r="G486">
        <v>40.075878000000003</v>
      </c>
      <c r="H486">
        <v>42.322668999999998</v>
      </c>
      <c r="I486"/>
      <c r="N486"/>
      <c r="O486"/>
      <c r="P486" s="1">
        <f t="shared" si="47"/>
        <v>131.47565650406503</v>
      </c>
      <c r="Q486" s="1">
        <f t="shared" si="48"/>
        <v>135.04567581300813</v>
      </c>
      <c r="R486" s="1">
        <f t="shared" si="49"/>
        <v>138.94308962985625</v>
      </c>
      <c r="S486" s="1">
        <f t="shared" si="50"/>
        <v>92.971247954173492</v>
      </c>
    </row>
    <row r="487" spans="1:19" x14ac:dyDescent="0.3">
      <c r="A487">
        <v>9166.4</v>
      </c>
      <c r="B487">
        <v>137.84171599999999</v>
      </c>
      <c r="C487">
        <v>141.86312799999999</v>
      </c>
      <c r="D487">
        <v>145.77478099999999</v>
      </c>
      <c r="E487">
        <v>92.998739</v>
      </c>
      <c r="F487">
        <v>65.969004999999996</v>
      </c>
      <c r="G487">
        <v>40.080896000000003</v>
      </c>
      <c r="H487">
        <v>42.307684999999999</v>
      </c>
      <c r="I487"/>
      <c r="N487"/>
      <c r="O487"/>
      <c r="P487" s="1">
        <f t="shared" si="47"/>
        <v>131.47565650406503</v>
      </c>
      <c r="Q487" s="1">
        <f t="shared" si="48"/>
        <v>135.04567581300813</v>
      </c>
      <c r="R487" s="1">
        <f t="shared" si="49"/>
        <v>138.94308962985625</v>
      </c>
      <c r="S487" s="1">
        <f t="shared" si="50"/>
        <v>92.971247954173492</v>
      </c>
    </row>
    <row r="488" spans="1:19" x14ac:dyDescent="0.3">
      <c r="A488">
        <v>9166.6</v>
      </c>
      <c r="B488">
        <v>137.84255200000001</v>
      </c>
      <c r="C488">
        <v>141.89796999999999</v>
      </c>
      <c r="D488">
        <v>145.77329700000001</v>
      </c>
      <c r="E488">
        <v>93.327455999999998</v>
      </c>
      <c r="F488">
        <v>66.058017000000007</v>
      </c>
      <c r="G488">
        <v>40.080896000000003</v>
      </c>
      <c r="H488">
        <v>42.307684999999999</v>
      </c>
      <c r="I488"/>
      <c r="N488"/>
      <c r="O488"/>
      <c r="P488" s="1">
        <f t="shared" si="47"/>
        <v>131.45786686991869</v>
      </c>
      <c r="Q488" s="1">
        <f t="shared" si="48"/>
        <v>135.03346239837396</v>
      </c>
      <c r="R488" s="1">
        <f t="shared" si="49"/>
        <v>138.94335576628939</v>
      </c>
      <c r="S488" s="1">
        <f t="shared" si="50"/>
        <v>93.128909574468082</v>
      </c>
    </row>
    <row r="489" spans="1:19" x14ac:dyDescent="0.3">
      <c r="A489">
        <v>9166.7999999999993</v>
      </c>
      <c r="B489">
        <v>137.84255200000001</v>
      </c>
      <c r="C489">
        <v>141.89796999999999</v>
      </c>
      <c r="D489">
        <v>145.77329700000001</v>
      </c>
      <c r="E489">
        <v>93.327455999999998</v>
      </c>
      <c r="F489">
        <v>66.058017000000007</v>
      </c>
      <c r="G489">
        <v>40.079901</v>
      </c>
      <c r="H489">
        <v>42.331333000000001</v>
      </c>
      <c r="I489"/>
      <c r="N489"/>
      <c r="O489"/>
      <c r="P489" s="1">
        <f t="shared" si="47"/>
        <v>131.45786686991869</v>
      </c>
      <c r="Q489" s="1">
        <f t="shared" si="48"/>
        <v>135.03346239837396</v>
      </c>
      <c r="R489" s="1">
        <f t="shared" si="49"/>
        <v>138.94335576628939</v>
      </c>
      <c r="S489" s="1">
        <f t="shared" si="50"/>
        <v>93.128909574468082</v>
      </c>
    </row>
    <row r="490" spans="1:19" x14ac:dyDescent="0.3">
      <c r="A490">
        <v>9167</v>
      </c>
      <c r="B490">
        <v>137.838684</v>
      </c>
      <c r="C490">
        <v>141.87755000000001</v>
      </c>
      <c r="D490">
        <v>145.77313899999999</v>
      </c>
      <c r="E490">
        <v>93.351819000000006</v>
      </c>
      <c r="F490">
        <v>66.031715000000005</v>
      </c>
      <c r="G490">
        <v>40.079901</v>
      </c>
      <c r="H490">
        <v>42.331333000000001</v>
      </c>
      <c r="I490" t="s">
        <v>60</v>
      </c>
      <c r="N490"/>
      <c r="O490"/>
      <c r="P490" s="1">
        <f t="shared" si="47"/>
        <v>131.45688922764228</v>
      </c>
      <c r="Q490" s="1">
        <f t="shared" si="48"/>
        <v>135.05014126016258</v>
      </c>
      <c r="R490" s="1">
        <f t="shared" si="49"/>
        <v>138.93578158458246</v>
      </c>
      <c r="S490" s="1">
        <f t="shared" si="50"/>
        <v>92.932177782324061</v>
      </c>
    </row>
    <row r="491" spans="1:19" x14ac:dyDescent="0.3">
      <c r="A491">
        <v>9167.2000000000007</v>
      </c>
      <c r="B491">
        <v>137.838684</v>
      </c>
      <c r="C491">
        <v>141.87755000000001</v>
      </c>
      <c r="D491">
        <v>145.77313899999999</v>
      </c>
      <c r="E491">
        <v>93.351819000000006</v>
      </c>
      <c r="F491">
        <v>66.031715000000005</v>
      </c>
      <c r="G491">
        <v>40.087045000000003</v>
      </c>
      <c r="H491">
        <v>42.327537999999997</v>
      </c>
      <c r="I491"/>
      <c r="N491"/>
      <c r="O491"/>
      <c r="P491" s="1">
        <f t="shared" si="47"/>
        <v>131.45688922764228</v>
      </c>
      <c r="Q491" s="1">
        <f t="shared" si="48"/>
        <v>135.05014126016258</v>
      </c>
      <c r="R491" s="1">
        <f t="shared" si="49"/>
        <v>138.93578158458246</v>
      </c>
      <c r="S491" s="1">
        <f t="shared" si="50"/>
        <v>92.932177782324061</v>
      </c>
    </row>
    <row r="492" spans="1:19" x14ac:dyDescent="0.3">
      <c r="A492">
        <v>9167.4</v>
      </c>
      <c r="B492">
        <v>137.85961699999999</v>
      </c>
      <c r="C492">
        <v>141.875516</v>
      </c>
      <c r="D492">
        <v>145.76670300000001</v>
      </c>
      <c r="E492">
        <v>93.470864000000006</v>
      </c>
      <c r="F492">
        <v>65.972842</v>
      </c>
      <c r="G492">
        <v>40.087045000000003</v>
      </c>
      <c r="H492">
        <v>42.327537999999997</v>
      </c>
      <c r="I492"/>
      <c r="N492"/>
      <c r="O492"/>
      <c r="P492" s="1">
        <f t="shared" ref="P492:P555" si="51">(B474+Q$36)/P$36</f>
        <v>131.4800193089431</v>
      </c>
      <c r="Q492" s="1">
        <f t="shared" ref="Q492:Q555" si="52">(C474+Q$36)/P$36</f>
        <v>135.05194004065041</v>
      </c>
      <c r="R492" s="1">
        <f t="shared" ref="R492:R555" si="53">(D474+Q$38)/P$38</f>
        <v>138.94111247068423</v>
      </c>
      <c r="S492" s="1">
        <f t="shared" ref="S492:S555" si="54">(E474+Q$39)/P$39</f>
        <v>92.903373567921435</v>
      </c>
    </row>
    <row r="493" spans="1:19" x14ac:dyDescent="0.3">
      <c r="A493">
        <v>9167.6</v>
      </c>
      <c r="B493">
        <v>137.85961699999999</v>
      </c>
      <c r="C493">
        <v>141.875516</v>
      </c>
      <c r="D493">
        <v>145.76670300000001</v>
      </c>
      <c r="E493">
        <v>93.470864000000006</v>
      </c>
      <c r="F493">
        <v>65.972842</v>
      </c>
      <c r="G493">
        <v>40.088856</v>
      </c>
      <c r="H493">
        <v>42.345849999999999</v>
      </c>
      <c r="I493"/>
      <c r="N493"/>
      <c r="O493"/>
      <c r="P493" s="1">
        <f t="shared" si="51"/>
        <v>140.90364735772357</v>
      </c>
      <c r="Q493" s="1">
        <f t="shared" si="52"/>
        <v>144.9947987804878</v>
      </c>
      <c r="R493" s="1">
        <f t="shared" si="53"/>
        <v>149.47586825736721</v>
      </c>
      <c r="S493" s="1">
        <f t="shared" si="54"/>
        <v>96.287735270049097</v>
      </c>
    </row>
    <row r="494" spans="1:19" x14ac:dyDescent="0.3">
      <c r="A494">
        <v>9167.7999999999993</v>
      </c>
      <c r="B494">
        <v>137.845922</v>
      </c>
      <c r="C494">
        <v>141.879695</v>
      </c>
      <c r="D494">
        <v>145.790593</v>
      </c>
      <c r="E494">
        <v>93.505716000000007</v>
      </c>
      <c r="F494">
        <v>65.809781000000001</v>
      </c>
      <c r="G494">
        <v>40.088856</v>
      </c>
      <c r="H494">
        <v>42.345849999999999</v>
      </c>
      <c r="I494"/>
      <c r="N494"/>
      <c r="O494"/>
      <c r="P494" s="1">
        <f t="shared" si="51"/>
        <v>140.89163617886177</v>
      </c>
      <c r="Q494" s="1">
        <f t="shared" si="52"/>
        <v>144.98770731707316</v>
      </c>
      <c r="R494" s="1">
        <f t="shared" si="53"/>
        <v>149.47587641480575</v>
      </c>
      <c r="S494" s="1">
        <f t="shared" si="54"/>
        <v>96.266579378068741</v>
      </c>
    </row>
    <row r="495" spans="1:19" x14ac:dyDescent="0.3">
      <c r="A495">
        <v>9168</v>
      </c>
      <c r="B495">
        <v>137.845922</v>
      </c>
      <c r="C495">
        <v>141.879695</v>
      </c>
      <c r="D495">
        <v>145.790593</v>
      </c>
      <c r="E495">
        <v>93.505716000000007</v>
      </c>
      <c r="F495">
        <v>65.809781000000001</v>
      </c>
      <c r="G495">
        <v>40.085146000000002</v>
      </c>
      <c r="H495">
        <v>42.319831999999998</v>
      </c>
      <c r="I495" t="s">
        <v>60</v>
      </c>
      <c r="N495"/>
      <c r="O495"/>
      <c r="P495" s="1">
        <f t="shared" si="51"/>
        <v>140.89163617886177</v>
      </c>
      <c r="Q495" s="1">
        <f t="shared" si="52"/>
        <v>144.98770731707316</v>
      </c>
      <c r="R495" s="1">
        <f t="shared" si="53"/>
        <v>149.47587641480575</v>
      </c>
      <c r="S495" s="1">
        <f t="shared" si="54"/>
        <v>96.266579378068741</v>
      </c>
    </row>
    <row r="496" spans="1:19" x14ac:dyDescent="0.3">
      <c r="A496">
        <v>9168.2000000000007</v>
      </c>
      <c r="B496">
        <v>137.853171</v>
      </c>
      <c r="C496">
        <v>141.89186599999999</v>
      </c>
      <c r="D496">
        <v>145.795062</v>
      </c>
      <c r="E496">
        <v>93.544687999999994</v>
      </c>
      <c r="F496">
        <v>66.160191999999995</v>
      </c>
      <c r="G496">
        <v>40.085146000000002</v>
      </c>
      <c r="H496">
        <v>42.319831999999998</v>
      </c>
      <c r="I496"/>
      <c r="N496"/>
      <c r="O496"/>
      <c r="P496" s="1">
        <f t="shared" si="51"/>
        <v>140.89966260162601</v>
      </c>
      <c r="Q496" s="1">
        <f t="shared" si="52"/>
        <v>144.99742378048779</v>
      </c>
      <c r="R496" s="1">
        <f t="shared" si="53"/>
        <v>149.4650045885592</v>
      </c>
      <c r="S496" s="1">
        <f t="shared" si="54"/>
        <v>96.23921542553191</v>
      </c>
    </row>
    <row r="497" spans="1:19" x14ac:dyDescent="0.3">
      <c r="A497">
        <v>9168.4</v>
      </c>
      <c r="B497">
        <v>137.853171</v>
      </c>
      <c r="C497">
        <v>141.89186599999999</v>
      </c>
      <c r="D497">
        <v>145.795062</v>
      </c>
      <c r="E497">
        <v>93.544687999999994</v>
      </c>
      <c r="F497">
        <v>66.160191999999995</v>
      </c>
      <c r="G497">
        <v>40.092725999999999</v>
      </c>
      <c r="H497">
        <v>42.327164000000003</v>
      </c>
      <c r="I497"/>
      <c r="N497"/>
      <c r="O497"/>
      <c r="P497" s="1">
        <f t="shared" si="51"/>
        <v>140.89966260162601</v>
      </c>
      <c r="Q497" s="1">
        <f t="shared" si="52"/>
        <v>144.99742378048779</v>
      </c>
      <c r="R497" s="1">
        <f t="shared" si="53"/>
        <v>149.4650045885592</v>
      </c>
      <c r="S497" s="1">
        <f t="shared" si="54"/>
        <v>96.23921542553191</v>
      </c>
    </row>
    <row r="498" spans="1:19" x14ac:dyDescent="0.3">
      <c r="A498">
        <v>9168.6</v>
      </c>
      <c r="B498">
        <v>137.87739099999999</v>
      </c>
      <c r="C498">
        <v>141.93691699999999</v>
      </c>
      <c r="D498">
        <v>145.77450999999999</v>
      </c>
      <c r="E498">
        <v>93.245188999999996</v>
      </c>
      <c r="F498">
        <v>66.108976999999996</v>
      </c>
      <c r="G498">
        <v>40.092725999999999</v>
      </c>
      <c r="H498">
        <v>42.327164000000003</v>
      </c>
      <c r="I498"/>
      <c r="N498"/>
      <c r="O498"/>
      <c r="P498" s="1">
        <f t="shared" si="51"/>
        <v>140.91574186991869</v>
      </c>
      <c r="Q498" s="1">
        <f t="shared" si="52"/>
        <v>144.9783069105691</v>
      </c>
      <c r="R498" s="1">
        <f t="shared" si="53"/>
        <v>149.47286733965535</v>
      </c>
      <c r="S498" s="1">
        <f t="shared" si="54"/>
        <v>96.381905687397705</v>
      </c>
    </row>
    <row r="499" spans="1:19" x14ac:dyDescent="0.3">
      <c r="A499">
        <v>9168.7999999999993</v>
      </c>
      <c r="B499">
        <v>137.87739099999999</v>
      </c>
      <c r="C499">
        <v>141.93691699999999</v>
      </c>
      <c r="D499">
        <v>145.77450999999999</v>
      </c>
      <c r="E499">
        <v>93.245188999999996</v>
      </c>
      <c r="F499">
        <v>66.108976999999996</v>
      </c>
      <c r="G499">
        <v>40.098149999999997</v>
      </c>
      <c r="H499">
        <v>42.305844999999998</v>
      </c>
      <c r="I499"/>
      <c r="N499"/>
      <c r="O499"/>
      <c r="P499" s="1">
        <f t="shared" si="51"/>
        <v>140.91574186991869</v>
      </c>
      <c r="Q499" s="1">
        <f t="shared" si="52"/>
        <v>144.9783069105691</v>
      </c>
      <c r="R499" s="1">
        <f t="shared" si="53"/>
        <v>149.47286733965535</v>
      </c>
      <c r="S499" s="1">
        <f t="shared" si="54"/>
        <v>96.381905687397705</v>
      </c>
    </row>
    <row r="500" spans="1:19" x14ac:dyDescent="0.3">
      <c r="A500">
        <v>9169</v>
      </c>
      <c r="B500">
        <v>137.88137699999999</v>
      </c>
      <c r="C500">
        <v>141.91623200000001</v>
      </c>
      <c r="D500">
        <v>145.78685300000001</v>
      </c>
      <c r="E500">
        <v>93.360837000000004</v>
      </c>
      <c r="F500">
        <v>66.103239000000002</v>
      </c>
      <c r="G500">
        <v>40.098149999999997</v>
      </c>
      <c r="H500">
        <v>42.305844999999998</v>
      </c>
      <c r="I500" t="s">
        <v>60</v>
      </c>
      <c r="N500"/>
      <c r="O500"/>
      <c r="P500" s="1">
        <f t="shared" si="51"/>
        <v>140.8922632113821</v>
      </c>
      <c r="Q500" s="1">
        <f t="shared" si="52"/>
        <v>145.00111686991869</v>
      </c>
      <c r="R500" s="1">
        <f t="shared" si="53"/>
        <v>149.46656775772408</v>
      </c>
      <c r="S500" s="1">
        <f t="shared" si="54"/>
        <v>96.259599018003271</v>
      </c>
    </row>
    <row r="501" spans="1:19" x14ac:dyDescent="0.3">
      <c r="A501">
        <v>9169.2000000000007</v>
      </c>
      <c r="B501">
        <v>137.88137699999999</v>
      </c>
      <c r="C501">
        <v>141.91623200000001</v>
      </c>
      <c r="D501">
        <v>145.78685300000001</v>
      </c>
      <c r="E501">
        <v>93.360837000000004</v>
      </c>
      <c r="F501">
        <v>66.103239000000002</v>
      </c>
      <c r="G501">
        <v>40.093530999999999</v>
      </c>
      <c r="H501">
        <v>42.300769000000003</v>
      </c>
      <c r="I501"/>
      <c r="N501"/>
      <c r="O501"/>
      <c r="P501" s="1">
        <f t="shared" si="51"/>
        <v>140.8922632113821</v>
      </c>
      <c r="Q501" s="1">
        <f t="shared" si="52"/>
        <v>145.00111686991869</v>
      </c>
      <c r="R501" s="1">
        <f t="shared" si="53"/>
        <v>149.46656775772408</v>
      </c>
      <c r="S501" s="1">
        <f t="shared" si="54"/>
        <v>96.259599018003271</v>
      </c>
    </row>
    <row r="502" spans="1:19" x14ac:dyDescent="0.3">
      <c r="A502">
        <v>9169.4</v>
      </c>
      <c r="B502">
        <v>137.880135</v>
      </c>
      <c r="C502">
        <v>141.91544999999999</v>
      </c>
      <c r="D502">
        <v>145.793036</v>
      </c>
      <c r="E502">
        <v>93.461973</v>
      </c>
      <c r="F502">
        <v>66.177170000000004</v>
      </c>
      <c r="G502">
        <v>40.093530999999999</v>
      </c>
      <c r="H502">
        <v>42.300769000000003</v>
      </c>
      <c r="I502"/>
      <c r="N502"/>
      <c r="O502"/>
      <c r="P502" s="1">
        <f t="shared" si="51"/>
        <v>140.90921849593494</v>
      </c>
      <c r="Q502" s="1">
        <f t="shared" si="52"/>
        <v>145.0070213414634</v>
      </c>
      <c r="R502" s="1">
        <f t="shared" si="53"/>
        <v>149.47743958397066</v>
      </c>
      <c r="S502" s="1">
        <f t="shared" si="54"/>
        <v>96.098551554828148</v>
      </c>
    </row>
    <row r="503" spans="1:19" x14ac:dyDescent="0.3">
      <c r="A503">
        <v>9169.6</v>
      </c>
      <c r="B503">
        <v>137.880135</v>
      </c>
      <c r="C503">
        <v>141.91544999999999</v>
      </c>
      <c r="D503">
        <v>145.793036</v>
      </c>
      <c r="E503">
        <v>93.461973</v>
      </c>
      <c r="F503">
        <v>66.177170000000004</v>
      </c>
      <c r="G503">
        <v>40.091470000000001</v>
      </c>
      <c r="H503">
        <v>42.287320999999999</v>
      </c>
      <c r="I503"/>
      <c r="N503"/>
      <c r="O503"/>
      <c r="P503" s="1">
        <f t="shared" si="51"/>
        <v>140.90921849593494</v>
      </c>
      <c r="Q503" s="1">
        <f t="shared" si="52"/>
        <v>145.0070213414634</v>
      </c>
      <c r="R503" s="1">
        <f t="shared" si="53"/>
        <v>149.47743958397066</v>
      </c>
      <c r="S503" s="1">
        <f t="shared" si="54"/>
        <v>96.098551554828148</v>
      </c>
    </row>
    <row r="504" spans="1:19" x14ac:dyDescent="0.3">
      <c r="A504">
        <v>9169.7999999999993</v>
      </c>
      <c r="B504">
        <v>137.87933799999999</v>
      </c>
      <c r="C504">
        <v>141.90486899999999</v>
      </c>
      <c r="D504">
        <v>145.79455899999999</v>
      </c>
      <c r="E504">
        <v>93.716508000000005</v>
      </c>
      <c r="F504">
        <v>65.951367000000005</v>
      </c>
      <c r="G504">
        <v>40.091470000000001</v>
      </c>
      <c r="H504">
        <v>42.287320999999999</v>
      </c>
      <c r="I504"/>
      <c r="N504"/>
      <c r="O504"/>
      <c r="P504" s="1">
        <f t="shared" si="51"/>
        <v>140.88233333333332</v>
      </c>
      <c r="Q504" s="1">
        <f t="shared" si="52"/>
        <v>144.96913414634145</v>
      </c>
      <c r="R504" s="1">
        <f t="shared" si="53"/>
        <v>149.46984908738656</v>
      </c>
      <c r="S504" s="1">
        <f t="shared" si="54"/>
        <v>96.074610270049092</v>
      </c>
    </row>
    <row r="505" spans="1:19" x14ac:dyDescent="0.3">
      <c r="A505">
        <v>9170</v>
      </c>
      <c r="B505">
        <v>137.87933799999999</v>
      </c>
      <c r="C505">
        <v>141.90486899999999</v>
      </c>
      <c r="D505">
        <v>145.79455899999999</v>
      </c>
      <c r="E505">
        <v>93.716508000000005</v>
      </c>
      <c r="F505">
        <v>65.951367000000005</v>
      </c>
      <c r="G505">
        <v>40.089540999999997</v>
      </c>
      <c r="H505">
        <v>42.285629</v>
      </c>
      <c r="I505" t="s">
        <v>60</v>
      </c>
      <c r="N505"/>
      <c r="O505"/>
      <c r="P505" s="1">
        <f t="shared" si="51"/>
        <v>140.88233333333332</v>
      </c>
      <c r="Q505" s="1">
        <f t="shared" si="52"/>
        <v>144.96913414634145</v>
      </c>
      <c r="R505" s="1">
        <f t="shared" si="53"/>
        <v>149.46984908738656</v>
      </c>
      <c r="S505" s="1">
        <f t="shared" si="54"/>
        <v>96.074610270049092</v>
      </c>
    </row>
    <row r="506" spans="1:19" x14ac:dyDescent="0.3">
      <c r="A506">
        <v>9170.2000000000007</v>
      </c>
      <c r="B506">
        <v>137.89446100000001</v>
      </c>
      <c r="C506">
        <v>141.91982300000001</v>
      </c>
      <c r="D506">
        <v>145.79344699999999</v>
      </c>
      <c r="E506">
        <v>93.278161999999995</v>
      </c>
      <c r="F506">
        <v>66.029544000000001</v>
      </c>
      <c r="G506">
        <v>40.089540999999997</v>
      </c>
      <c r="H506">
        <v>42.285629</v>
      </c>
      <c r="I506"/>
      <c r="N506"/>
      <c r="O506"/>
      <c r="P506" s="1">
        <f t="shared" si="51"/>
        <v>140.88318292682928</v>
      </c>
      <c r="Q506" s="1">
        <f t="shared" si="52"/>
        <v>145.0045426829268</v>
      </c>
      <c r="R506" s="1">
        <f t="shared" si="53"/>
        <v>149.4683358825329</v>
      </c>
      <c r="S506" s="1">
        <f t="shared" si="54"/>
        <v>96.410859247135832</v>
      </c>
    </row>
    <row r="507" spans="1:19" x14ac:dyDescent="0.3">
      <c r="A507">
        <v>9170.4</v>
      </c>
      <c r="B507">
        <v>137.89446100000001</v>
      </c>
      <c r="C507">
        <v>141.91982300000001</v>
      </c>
      <c r="D507">
        <v>145.79344699999999</v>
      </c>
      <c r="E507">
        <v>93.278161999999995</v>
      </c>
      <c r="F507">
        <v>66.029544000000001</v>
      </c>
      <c r="G507">
        <v>40.087319000000001</v>
      </c>
      <c r="H507">
        <v>42.312004000000002</v>
      </c>
      <c r="I507"/>
      <c r="N507"/>
      <c r="O507"/>
      <c r="P507" s="1">
        <f t="shared" si="51"/>
        <v>140.88318292682928</v>
      </c>
      <c r="Q507" s="1">
        <f t="shared" si="52"/>
        <v>145.0045426829268</v>
      </c>
      <c r="R507" s="1">
        <f t="shared" si="53"/>
        <v>149.4683358825329</v>
      </c>
      <c r="S507" s="1">
        <f t="shared" si="54"/>
        <v>96.410859247135832</v>
      </c>
    </row>
    <row r="508" spans="1:19" x14ac:dyDescent="0.3">
      <c r="A508">
        <v>9170.6</v>
      </c>
      <c r="B508">
        <v>137.87028900000001</v>
      </c>
      <c r="C508">
        <v>141.917441</v>
      </c>
      <c r="D508">
        <v>145.80453399999999</v>
      </c>
      <c r="E508">
        <v>93.117754000000005</v>
      </c>
      <c r="F508">
        <v>65.886705000000006</v>
      </c>
      <c r="G508">
        <v>40.087319000000001</v>
      </c>
      <c r="H508">
        <v>42.312004000000002</v>
      </c>
      <c r="I508"/>
      <c r="N508"/>
      <c r="O508"/>
      <c r="P508" s="1">
        <f t="shared" si="51"/>
        <v>140.87925203252033</v>
      </c>
      <c r="Q508" s="1">
        <f t="shared" si="52"/>
        <v>144.98379065040652</v>
      </c>
      <c r="R508" s="1">
        <f t="shared" si="53"/>
        <v>149.46817477312123</v>
      </c>
      <c r="S508" s="1">
        <f t="shared" si="54"/>
        <v>96.435780482815062</v>
      </c>
    </row>
    <row r="509" spans="1:19" x14ac:dyDescent="0.3">
      <c r="A509">
        <v>9170.7999999999993</v>
      </c>
      <c r="B509">
        <v>137.87028900000001</v>
      </c>
      <c r="C509">
        <v>141.917441</v>
      </c>
      <c r="D509">
        <v>145.80453399999999</v>
      </c>
      <c r="E509">
        <v>93.117754000000005</v>
      </c>
      <c r="F509">
        <v>65.886705000000006</v>
      </c>
      <c r="G509">
        <v>40.092182000000001</v>
      </c>
      <c r="H509">
        <v>42.30198</v>
      </c>
      <c r="I509"/>
      <c r="N509"/>
      <c r="O509"/>
      <c r="P509" s="1">
        <f t="shared" si="51"/>
        <v>140.87925203252033</v>
      </c>
      <c r="Q509" s="1">
        <f t="shared" si="52"/>
        <v>144.98379065040652</v>
      </c>
      <c r="R509" s="1">
        <f t="shared" si="53"/>
        <v>149.46817477312123</v>
      </c>
      <c r="S509" s="1">
        <f t="shared" si="54"/>
        <v>96.435780482815062</v>
      </c>
    </row>
    <row r="510" spans="1:19" x14ac:dyDescent="0.3">
      <c r="A510">
        <v>9171</v>
      </c>
      <c r="B510">
        <v>137.880616</v>
      </c>
      <c r="C510">
        <v>141.93316799999999</v>
      </c>
      <c r="D510">
        <v>145.79421400000001</v>
      </c>
      <c r="E510">
        <v>93.253489999999999</v>
      </c>
      <c r="F510">
        <v>65.872930999999994</v>
      </c>
      <c r="G510">
        <v>40.092182000000001</v>
      </c>
      <c r="H510">
        <v>42.30198</v>
      </c>
      <c r="I510" t="s">
        <v>60</v>
      </c>
      <c r="N510"/>
      <c r="O510"/>
      <c r="P510" s="1">
        <f t="shared" si="51"/>
        <v>140.90052540650404</v>
      </c>
      <c r="Q510" s="1">
        <f t="shared" si="52"/>
        <v>144.98172357723575</v>
      </c>
      <c r="R510" s="1">
        <f t="shared" si="53"/>
        <v>149.46161211379629</v>
      </c>
      <c r="S510" s="1">
        <f t="shared" si="54"/>
        <v>96.557553191489362</v>
      </c>
    </row>
    <row r="511" spans="1:19" x14ac:dyDescent="0.3">
      <c r="A511">
        <v>9171.2000000000007</v>
      </c>
      <c r="B511">
        <v>137.880616</v>
      </c>
      <c r="C511">
        <v>141.93316799999999</v>
      </c>
      <c r="D511">
        <v>145.79421400000001</v>
      </c>
      <c r="E511">
        <v>93.253489999999999</v>
      </c>
      <c r="F511">
        <v>65.872930999999994</v>
      </c>
      <c r="G511">
        <v>40.087800000000001</v>
      </c>
      <c r="H511">
        <v>42.302720000000001</v>
      </c>
      <c r="I511"/>
      <c r="N511"/>
      <c r="O511"/>
      <c r="P511" s="1">
        <f t="shared" si="51"/>
        <v>140.90052540650404</v>
      </c>
      <c r="Q511" s="1">
        <f t="shared" si="52"/>
        <v>144.98172357723575</v>
      </c>
      <c r="R511" s="1">
        <f t="shared" si="53"/>
        <v>149.46161211379629</v>
      </c>
      <c r="S511" s="1">
        <f t="shared" si="54"/>
        <v>96.557553191489362</v>
      </c>
    </row>
    <row r="512" spans="1:19" x14ac:dyDescent="0.3">
      <c r="A512">
        <v>9171.4</v>
      </c>
      <c r="B512">
        <v>137.888982</v>
      </c>
      <c r="C512">
        <v>141.90873099999999</v>
      </c>
      <c r="D512">
        <v>145.79817600000001</v>
      </c>
      <c r="E512">
        <v>93.119687999999996</v>
      </c>
      <c r="F512">
        <v>66.100892000000002</v>
      </c>
      <c r="G512">
        <v>40.087800000000001</v>
      </c>
      <c r="H512">
        <v>42.302720000000001</v>
      </c>
      <c r="I512"/>
      <c r="N512"/>
      <c r="O512"/>
      <c r="P512" s="1">
        <f t="shared" si="51"/>
        <v>140.88660772357724</v>
      </c>
      <c r="Q512" s="1">
        <f t="shared" si="52"/>
        <v>144.98597052845528</v>
      </c>
      <c r="R512" s="1">
        <f t="shared" si="53"/>
        <v>149.48597226470889</v>
      </c>
      <c r="S512" s="1">
        <f t="shared" si="54"/>
        <v>96.593203764320791</v>
      </c>
    </row>
    <row r="513" spans="1:19" x14ac:dyDescent="0.3">
      <c r="A513">
        <v>9171.6</v>
      </c>
      <c r="B513">
        <v>137.888982</v>
      </c>
      <c r="C513">
        <v>141.90873099999999</v>
      </c>
      <c r="D513">
        <v>145.79817600000001</v>
      </c>
      <c r="E513">
        <v>93.119687999999996</v>
      </c>
      <c r="F513">
        <v>66.100892000000002</v>
      </c>
      <c r="G513">
        <v>40.068868999999999</v>
      </c>
      <c r="H513">
        <v>42.329621000000003</v>
      </c>
      <c r="I513"/>
      <c r="N513"/>
      <c r="O513"/>
      <c r="P513" s="1">
        <f t="shared" si="51"/>
        <v>140.88660772357724</v>
      </c>
      <c r="Q513" s="1">
        <f t="shared" si="52"/>
        <v>144.98597052845528</v>
      </c>
      <c r="R513" s="1">
        <f t="shared" si="53"/>
        <v>149.48597226470889</v>
      </c>
      <c r="S513" s="1">
        <f t="shared" si="54"/>
        <v>96.593203764320791</v>
      </c>
    </row>
    <row r="514" spans="1:19" x14ac:dyDescent="0.3">
      <c r="A514">
        <v>9171.7999999999993</v>
      </c>
      <c r="B514">
        <v>137.89129299999999</v>
      </c>
      <c r="C514">
        <v>141.90639400000001</v>
      </c>
      <c r="D514">
        <v>145.80072000000001</v>
      </c>
      <c r="E514">
        <v>93.078749000000002</v>
      </c>
      <c r="F514">
        <v>66.202237999999994</v>
      </c>
      <c r="G514">
        <v>40.068868999999999</v>
      </c>
      <c r="H514">
        <v>42.329621000000003</v>
      </c>
      <c r="I514"/>
      <c r="N514"/>
      <c r="O514"/>
      <c r="P514" s="1">
        <f t="shared" si="51"/>
        <v>140.89397459349593</v>
      </c>
      <c r="Q514" s="1">
        <f t="shared" si="52"/>
        <v>144.9983394308943</v>
      </c>
      <c r="R514" s="1">
        <f t="shared" si="53"/>
        <v>149.49052921382687</v>
      </c>
      <c r="S514" s="1">
        <f t="shared" si="54"/>
        <v>96.633068739770863</v>
      </c>
    </row>
    <row r="515" spans="1:19" x14ac:dyDescent="0.3">
      <c r="A515">
        <v>9172</v>
      </c>
      <c r="B515">
        <v>137.89129299999999</v>
      </c>
      <c r="C515">
        <v>141.90639400000001</v>
      </c>
      <c r="D515">
        <v>145.80072000000001</v>
      </c>
      <c r="E515">
        <v>93.078749000000002</v>
      </c>
      <c r="F515">
        <v>66.202237999999994</v>
      </c>
      <c r="G515">
        <v>40.085728000000003</v>
      </c>
      <c r="H515">
        <v>42.307394000000002</v>
      </c>
      <c r="I515" t="s">
        <v>60</v>
      </c>
      <c r="N515"/>
      <c r="O515"/>
      <c r="P515" s="1">
        <f t="shared" si="51"/>
        <v>140.89397459349593</v>
      </c>
      <c r="Q515" s="1">
        <f t="shared" si="52"/>
        <v>144.9983394308943</v>
      </c>
      <c r="R515" s="1">
        <f t="shared" si="53"/>
        <v>149.49052921382687</v>
      </c>
      <c r="S515" s="1">
        <f t="shared" si="54"/>
        <v>96.633068739770863</v>
      </c>
    </row>
    <row r="516" spans="1:19" x14ac:dyDescent="0.3">
      <c r="A516">
        <v>9172.2000000000007</v>
      </c>
      <c r="B516">
        <v>137.87605199999999</v>
      </c>
      <c r="C516">
        <v>141.90110300000001</v>
      </c>
      <c r="D516">
        <v>145.80426700000001</v>
      </c>
      <c r="E516">
        <v>93.148081000000005</v>
      </c>
      <c r="F516">
        <v>65.999263999999997</v>
      </c>
      <c r="G516">
        <v>40.085728000000003</v>
      </c>
      <c r="H516">
        <v>42.307394000000002</v>
      </c>
      <c r="I516"/>
      <c r="N516"/>
      <c r="O516"/>
      <c r="P516" s="1">
        <f t="shared" si="51"/>
        <v>140.91858841463412</v>
      </c>
      <c r="Q516" s="1">
        <f t="shared" si="52"/>
        <v>145.04412296747967</v>
      </c>
      <c r="R516" s="1">
        <f t="shared" si="53"/>
        <v>149.46957275415519</v>
      </c>
      <c r="S516" s="1">
        <f t="shared" si="54"/>
        <v>96.326707242225851</v>
      </c>
    </row>
    <row r="517" spans="1:19" x14ac:dyDescent="0.3">
      <c r="A517">
        <v>9172.4</v>
      </c>
      <c r="B517">
        <v>137.87605199999999</v>
      </c>
      <c r="C517">
        <v>141.90110300000001</v>
      </c>
      <c r="D517">
        <v>145.80426700000001</v>
      </c>
      <c r="E517">
        <v>93.148081000000005</v>
      </c>
      <c r="F517">
        <v>65.999263999999997</v>
      </c>
      <c r="G517">
        <v>40.088424000000003</v>
      </c>
      <c r="H517">
        <v>42.324497999999998</v>
      </c>
      <c r="I517"/>
      <c r="N517"/>
      <c r="O517"/>
      <c r="P517" s="1">
        <f t="shared" si="51"/>
        <v>140.91858841463412</v>
      </c>
      <c r="Q517" s="1">
        <f t="shared" si="52"/>
        <v>145.04412296747967</v>
      </c>
      <c r="R517" s="1">
        <f t="shared" si="53"/>
        <v>149.46957275415519</v>
      </c>
      <c r="S517" s="1">
        <f t="shared" si="54"/>
        <v>96.326707242225851</v>
      </c>
    </row>
    <row r="518" spans="1:19" x14ac:dyDescent="0.3">
      <c r="A518">
        <v>9172.6</v>
      </c>
      <c r="B518">
        <v>137.89474000000001</v>
      </c>
      <c r="C518">
        <v>141.91707600000001</v>
      </c>
      <c r="D518">
        <v>145.813221</v>
      </c>
      <c r="E518">
        <v>93.213883999999993</v>
      </c>
      <c r="F518">
        <v>66.033652000000004</v>
      </c>
      <c r="G518">
        <v>40.088424000000003</v>
      </c>
      <c r="H518">
        <v>42.324497999999998</v>
      </c>
      <c r="I518"/>
      <c r="N518"/>
      <c r="O518"/>
      <c r="P518" s="1">
        <f t="shared" si="51"/>
        <v>140.92263922764226</v>
      </c>
      <c r="Q518" s="1">
        <f t="shared" si="52"/>
        <v>145.02310162601626</v>
      </c>
      <c r="R518" s="1">
        <f t="shared" si="53"/>
        <v>149.4821586621801</v>
      </c>
      <c r="S518" s="1">
        <f t="shared" si="54"/>
        <v>96.445005114566285</v>
      </c>
    </row>
    <row r="519" spans="1:19" x14ac:dyDescent="0.3">
      <c r="A519">
        <v>9172.7999999999993</v>
      </c>
      <c r="B519">
        <v>137.89474000000001</v>
      </c>
      <c r="C519">
        <v>141.91707600000001</v>
      </c>
      <c r="D519">
        <v>145.813221</v>
      </c>
      <c r="E519">
        <v>93.213883999999993</v>
      </c>
      <c r="F519">
        <v>66.033652000000004</v>
      </c>
      <c r="G519">
        <v>40.090319999999998</v>
      </c>
      <c r="H519">
        <v>42.329877000000003</v>
      </c>
      <c r="I519"/>
      <c r="N519"/>
      <c r="O519"/>
      <c r="P519" s="1">
        <f t="shared" si="51"/>
        <v>140.92263922764226</v>
      </c>
      <c r="Q519" s="1">
        <f t="shared" si="52"/>
        <v>145.02310162601626</v>
      </c>
      <c r="R519" s="1">
        <f t="shared" si="53"/>
        <v>149.4821586621801</v>
      </c>
      <c r="S519" s="1">
        <f t="shared" si="54"/>
        <v>96.445005114566285</v>
      </c>
    </row>
    <row r="520" spans="1:19" x14ac:dyDescent="0.3">
      <c r="A520">
        <v>9173</v>
      </c>
      <c r="B520">
        <v>137.87257299999999</v>
      </c>
      <c r="C520">
        <v>141.91368</v>
      </c>
      <c r="D520">
        <v>145.79150300000001</v>
      </c>
      <c r="E520">
        <v>92.963894999999994</v>
      </c>
      <c r="F520">
        <v>66.390854000000004</v>
      </c>
      <c r="G520">
        <v>40.090319999999998</v>
      </c>
      <c r="H520">
        <v>42.329877000000003</v>
      </c>
      <c r="I520" t="s">
        <v>60</v>
      </c>
      <c r="N520"/>
      <c r="O520"/>
      <c r="P520" s="1">
        <f t="shared" si="51"/>
        <v>140.92137703252033</v>
      </c>
      <c r="Q520" s="1">
        <f t="shared" si="52"/>
        <v>145.02230691056909</v>
      </c>
      <c r="R520" s="1">
        <f t="shared" si="53"/>
        <v>149.48846334251047</v>
      </c>
      <c r="S520" s="1">
        <f t="shared" si="54"/>
        <v>96.548458469721766</v>
      </c>
    </row>
    <row r="521" spans="1:19" x14ac:dyDescent="0.3">
      <c r="A521">
        <v>9173.2000000000007</v>
      </c>
      <c r="B521">
        <v>137.87257299999999</v>
      </c>
      <c r="C521">
        <v>141.91368</v>
      </c>
      <c r="D521">
        <v>145.79150300000001</v>
      </c>
      <c r="E521">
        <v>92.963894999999994</v>
      </c>
      <c r="F521">
        <v>66.390854000000004</v>
      </c>
      <c r="G521">
        <v>40.103807000000003</v>
      </c>
      <c r="H521">
        <v>42.317767000000003</v>
      </c>
      <c r="I521"/>
      <c r="N521"/>
      <c r="O521"/>
      <c r="P521" s="1">
        <f t="shared" si="51"/>
        <v>140.92137703252033</v>
      </c>
      <c r="Q521" s="1">
        <f t="shared" si="52"/>
        <v>145.02230691056909</v>
      </c>
      <c r="R521" s="1">
        <f t="shared" si="53"/>
        <v>149.48846334251047</v>
      </c>
      <c r="S521" s="1">
        <f t="shared" si="54"/>
        <v>96.548458469721766</v>
      </c>
    </row>
    <row r="522" spans="1:19" x14ac:dyDescent="0.3">
      <c r="A522">
        <v>9173.4</v>
      </c>
      <c r="B522">
        <v>137.894544</v>
      </c>
      <c r="C522">
        <v>141.89428799999999</v>
      </c>
      <c r="D522">
        <v>145.78726499999999</v>
      </c>
      <c r="E522">
        <v>93.034450000000007</v>
      </c>
      <c r="F522">
        <v>66.326195999999996</v>
      </c>
      <c r="G522">
        <v>40.103807000000003</v>
      </c>
      <c r="H522">
        <v>42.317767000000003</v>
      </c>
      <c r="I522"/>
      <c r="N522"/>
      <c r="O522"/>
      <c r="P522" s="1">
        <f t="shared" si="51"/>
        <v>140.9205670731707</v>
      </c>
      <c r="Q522" s="1">
        <f t="shared" si="52"/>
        <v>145.0115538617886</v>
      </c>
      <c r="R522" s="1">
        <f t="shared" si="53"/>
        <v>149.49001631487712</v>
      </c>
      <c r="S522" s="1">
        <f t="shared" si="54"/>
        <v>96.808825695581021</v>
      </c>
    </row>
    <row r="523" spans="1:19" x14ac:dyDescent="0.3">
      <c r="A523">
        <v>9173.6</v>
      </c>
      <c r="B523">
        <v>137.894544</v>
      </c>
      <c r="C523">
        <v>141.89428799999999</v>
      </c>
      <c r="D523">
        <v>145.78726499999999</v>
      </c>
      <c r="E523">
        <v>93.034450000000007</v>
      </c>
      <c r="F523">
        <v>66.326195999999996</v>
      </c>
      <c r="G523">
        <v>40.086002000000001</v>
      </c>
      <c r="H523">
        <v>42.319290000000002</v>
      </c>
      <c r="I523"/>
      <c r="N523"/>
      <c r="O523"/>
      <c r="P523" s="1">
        <f t="shared" si="51"/>
        <v>140.9205670731707</v>
      </c>
      <c r="Q523" s="1">
        <f t="shared" si="52"/>
        <v>145.0115538617886</v>
      </c>
      <c r="R523" s="1">
        <f t="shared" si="53"/>
        <v>149.49001631487712</v>
      </c>
      <c r="S523" s="1">
        <f t="shared" si="54"/>
        <v>96.808825695581021</v>
      </c>
    </row>
    <row r="524" spans="1:19" x14ac:dyDescent="0.3">
      <c r="A524">
        <v>9173.7999999999993</v>
      </c>
      <c r="B524">
        <v>137.87784199999999</v>
      </c>
      <c r="C524">
        <v>141.89754400000001</v>
      </c>
      <c r="D524">
        <v>145.79654300000001</v>
      </c>
      <c r="E524">
        <v>93.005883999999995</v>
      </c>
      <c r="F524">
        <v>66.261899</v>
      </c>
      <c r="G524">
        <v>40.086002000000001</v>
      </c>
      <c r="H524">
        <v>42.319290000000002</v>
      </c>
      <c r="I524"/>
      <c r="N524"/>
      <c r="O524"/>
      <c r="P524" s="1">
        <f t="shared" si="51"/>
        <v>140.93593597560977</v>
      </c>
      <c r="Q524" s="1">
        <f t="shared" si="52"/>
        <v>145.02675101626016</v>
      </c>
      <c r="R524" s="1">
        <f t="shared" si="53"/>
        <v>149.48888243091668</v>
      </c>
      <c r="S524" s="1">
        <f t="shared" si="54"/>
        <v>96.360435761047455</v>
      </c>
    </row>
    <row r="525" spans="1:19" x14ac:dyDescent="0.3">
      <c r="A525">
        <v>9913</v>
      </c>
      <c r="B525">
        <v>147.162856</v>
      </c>
      <c r="C525">
        <v>151.792745</v>
      </c>
      <c r="D525">
        <v>156.31265300000001</v>
      </c>
      <c r="E525">
        <v>95.036591000000001</v>
      </c>
      <c r="F525">
        <v>67.386422999999994</v>
      </c>
      <c r="G525">
        <v>40.024701</v>
      </c>
      <c r="H525">
        <v>42.603746000000001</v>
      </c>
      <c r="I525" t="s">
        <v>60</v>
      </c>
      <c r="N525"/>
      <c r="O525"/>
      <c r="P525" s="1">
        <f t="shared" si="51"/>
        <v>140.93593597560977</v>
      </c>
      <c r="Q525" s="1">
        <f t="shared" si="52"/>
        <v>145.02675101626016</v>
      </c>
      <c r="R525" s="1">
        <f t="shared" si="53"/>
        <v>149.48888243091668</v>
      </c>
      <c r="S525" s="1">
        <f t="shared" si="54"/>
        <v>96.360435761047455</v>
      </c>
    </row>
    <row r="526" spans="1:19" x14ac:dyDescent="0.3">
      <c r="A526">
        <v>9913.2000000000007</v>
      </c>
      <c r="B526">
        <v>147.162856</v>
      </c>
      <c r="C526">
        <v>151.792745</v>
      </c>
      <c r="D526">
        <v>156.31265300000001</v>
      </c>
      <c r="E526">
        <v>95.036591000000001</v>
      </c>
      <c r="F526">
        <v>67.386422999999994</v>
      </c>
      <c r="G526">
        <v>40.045459000000001</v>
      </c>
      <c r="H526">
        <v>42.595640000000003</v>
      </c>
      <c r="I526"/>
      <c r="N526"/>
      <c r="O526"/>
      <c r="P526" s="1">
        <f t="shared" si="51"/>
        <v>140.91137093495936</v>
      </c>
      <c r="Q526" s="1">
        <f t="shared" si="52"/>
        <v>145.02433028455283</v>
      </c>
      <c r="R526" s="1">
        <f t="shared" si="53"/>
        <v>149.50018762108698</v>
      </c>
      <c r="S526" s="1">
        <f t="shared" si="54"/>
        <v>96.196352291325695</v>
      </c>
    </row>
    <row r="527" spans="1:19" x14ac:dyDescent="0.3">
      <c r="A527">
        <v>9913.4</v>
      </c>
      <c r="B527">
        <v>147.15927400000001</v>
      </c>
      <c r="C527">
        <v>151.789616</v>
      </c>
      <c r="D527">
        <v>156.30907099999999</v>
      </c>
      <c r="E527">
        <v>95.150623999999993</v>
      </c>
      <c r="F527">
        <v>67.147963000000004</v>
      </c>
      <c r="G527">
        <v>40.045459000000001</v>
      </c>
      <c r="H527">
        <v>42.595640000000003</v>
      </c>
      <c r="I527"/>
      <c r="N527"/>
      <c r="O527"/>
      <c r="P527" s="1">
        <f t="shared" si="51"/>
        <v>140.91137093495936</v>
      </c>
      <c r="Q527" s="1">
        <f t="shared" si="52"/>
        <v>145.02433028455283</v>
      </c>
      <c r="R527" s="1">
        <f t="shared" si="53"/>
        <v>149.50018762108698</v>
      </c>
      <c r="S527" s="1">
        <f t="shared" si="54"/>
        <v>96.196352291325695</v>
      </c>
    </row>
    <row r="528" spans="1:19" x14ac:dyDescent="0.3">
      <c r="A528">
        <v>9913.6</v>
      </c>
      <c r="B528">
        <v>147.15927400000001</v>
      </c>
      <c r="C528">
        <v>151.789616</v>
      </c>
      <c r="D528">
        <v>156.30907099999999</v>
      </c>
      <c r="E528">
        <v>95.150623999999993</v>
      </c>
      <c r="F528">
        <v>67.147963000000004</v>
      </c>
      <c r="G528">
        <v>40.003936000000003</v>
      </c>
      <c r="H528">
        <v>42.626719999999999</v>
      </c>
      <c r="I528"/>
      <c r="N528"/>
      <c r="O528"/>
      <c r="P528" s="1">
        <f t="shared" si="51"/>
        <v>140.92186585365855</v>
      </c>
      <c r="Q528" s="1">
        <f t="shared" si="52"/>
        <v>145.04031300813006</v>
      </c>
      <c r="R528" s="1">
        <f t="shared" si="53"/>
        <v>149.48966452533907</v>
      </c>
      <c r="S528" s="1">
        <f t="shared" si="54"/>
        <v>96.335198445171841</v>
      </c>
    </row>
    <row r="529" spans="1:19" x14ac:dyDescent="0.3">
      <c r="A529">
        <v>9913.7999999999993</v>
      </c>
      <c r="B529">
        <v>147.161305</v>
      </c>
      <c r="C529">
        <v>151.80756</v>
      </c>
      <c r="D529">
        <v>156.31949</v>
      </c>
      <c r="E529">
        <v>95.010334</v>
      </c>
      <c r="F529">
        <v>67.306562999999997</v>
      </c>
      <c r="G529">
        <v>40.003936000000003</v>
      </c>
      <c r="H529">
        <v>42.626719999999999</v>
      </c>
      <c r="I529"/>
      <c r="N529"/>
      <c r="O529"/>
      <c r="P529" s="1">
        <f t="shared" si="51"/>
        <v>140.92186585365855</v>
      </c>
      <c r="Q529" s="1">
        <f t="shared" si="52"/>
        <v>145.04031300813006</v>
      </c>
      <c r="R529" s="1">
        <f t="shared" si="53"/>
        <v>149.48966452533907</v>
      </c>
      <c r="S529" s="1">
        <f t="shared" si="54"/>
        <v>96.335198445171841</v>
      </c>
    </row>
    <row r="530" spans="1:19" x14ac:dyDescent="0.3">
      <c r="A530">
        <v>9914</v>
      </c>
      <c r="B530">
        <v>147.161305</v>
      </c>
      <c r="C530">
        <v>151.80756</v>
      </c>
      <c r="D530">
        <v>156.31949</v>
      </c>
      <c r="E530">
        <v>95.010334</v>
      </c>
      <c r="F530">
        <v>67.306562999999997</v>
      </c>
      <c r="G530">
        <v>40.013165999999998</v>
      </c>
      <c r="H530">
        <v>42.619196000000002</v>
      </c>
      <c r="I530" t="s">
        <v>60</v>
      </c>
      <c r="N530"/>
      <c r="O530"/>
      <c r="P530" s="1">
        <f t="shared" si="51"/>
        <v>140.93036788617886</v>
      </c>
      <c r="Q530" s="1">
        <f t="shared" si="52"/>
        <v>145.01547865853655</v>
      </c>
      <c r="R530" s="1">
        <f t="shared" si="53"/>
        <v>149.49370449678804</v>
      </c>
      <c r="S530" s="1">
        <f t="shared" si="54"/>
        <v>96.198330605564635</v>
      </c>
    </row>
    <row r="531" spans="1:19" x14ac:dyDescent="0.3">
      <c r="A531">
        <v>9914.2000000000007</v>
      </c>
      <c r="B531">
        <v>147.190586</v>
      </c>
      <c r="C531">
        <v>151.81404000000001</v>
      </c>
      <c r="D531">
        <v>156.308469</v>
      </c>
      <c r="E531">
        <v>95.061134999999993</v>
      </c>
      <c r="F531">
        <v>67.303329000000005</v>
      </c>
      <c r="G531">
        <v>40.013165999999998</v>
      </c>
      <c r="H531">
        <v>42.619196000000002</v>
      </c>
      <c r="I531"/>
      <c r="N531"/>
      <c r="O531"/>
      <c r="P531" s="1">
        <f t="shared" si="51"/>
        <v>140.93036788617886</v>
      </c>
      <c r="Q531" s="1">
        <f t="shared" si="52"/>
        <v>145.01547865853655</v>
      </c>
      <c r="R531" s="1">
        <f t="shared" si="53"/>
        <v>149.49370449678804</v>
      </c>
      <c r="S531" s="1">
        <f t="shared" si="54"/>
        <v>96.198330605564635</v>
      </c>
    </row>
    <row r="532" spans="1:19" x14ac:dyDescent="0.3">
      <c r="A532">
        <v>9914.4</v>
      </c>
      <c r="B532">
        <v>147.190586</v>
      </c>
      <c r="C532">
        <v>151.81404000000001</v>
      </c>
      <c r="D532">
        <v>156.308469</v>
      </c>
      <c r="E532">
        <v>95.061134999999993</v>
      </c>
      <c r="F532">
        <v>67.303329000000005</v>
      </c>
      <c r="G532">
        <v>40.018497000000004</v>
      </c>
      <c r="H532">
        <v>42.611500999999997</v>
      </c>
      <c r="I532"/>
      <c r="N532"/>
      <c r="O532"/>
      <c r="P532" s="1">
        <f t="shared" si="51"/>
        <v>140.93271646341461</v>
      </c>
      <c r="Q532" s="1">
        <f t="shared" si="52"/>
        <v>145.01310365853658</v>
      </c>
      <c r="R532" s="1">
        <f t="shared" si="53"/>
        <v>149.49629856225147</v>
      </c>
      <c r="S532" s="1">
        <f t="shared" si="54"/>
        <v>96.156453559738139</v>
      </c>
    </row>
    <row r="533" spans="1:19" x14ac:dyDescent="0.3">
      <c r="A533">
        <v>9914.6</v>
      </c>
      <c r="B533">
        <v>147.15951699999999</v>
      </c>
      <c r="C533">
        <v>151.802491</v>
      </c>
      <c r="D533">
        <v>156.30884800000001</v>
      </c>
      <c r="E533">
        <v>95.160313000000002</v>
      </c>
      <c r="F533">
        <v>66.95693</v>
      </c>
      <c r="G533">
        <v>40.018497000000004</v>
      </c>
      <c r="H533">
        <v>42.611500999999997</v>
      </c>
      <c r="I533"/>
      <c r="N533"/>
      <c r="O533"/>
      <c r="P533" s="1">
        <f t="shared" si="51"/>
        <v>140.93271646341461</v>
      </c>
      <c r="Q533" s="1">
        <f t="shared" si="52"/>
        <v>145.01310365853658</v>
      </c>
      <c r="R533" s="1">
        <f t="shared" si="53"/>
        <v>149.49629856225147</v>
      </c>
      <c r="S533" s="1">
        <f t="shared" si="54"/>
        <v>96.156453559738139</v>
      </c>
    </row>
    <row r="534" spans="1:19" x14ac:dyDescent="0.3">
      <c r="A534">
        <v>9914.7999999999993</v>
      </c>
      <c r="B534">
        <v>147.15951699999999</v>
      </c>
      <c r="C534">
        <v>151.802491</v>
      </c>
      <c r="D534">
        <v>156.30884800000001</v>
      </c>
      <c r="E534">
        <v>95.160313000000002</v>
      </c>
      <c r="F534">
        <v>66.95693</v>
      </c>
      <c r="G534">
        <v>40.010475999999997</v>
      </c>
      <c r="H534">
        <v>42.593967999999997</v>
      </c>
      <c r="I534"/>
      <c r="N534"/>
      <c r="O534"/>
      <c r="P534" s="1">
        <f t="shared" si="51"/>
        <v>140.9172276422764</v>
      </c>
      <c r="Q534" s="1">
        <f t="shared" si="52"/>
        <v>145.00772662601625</v>
      </c>
      <c r="R534" s="1">
        <f t="shared" si="53"/>
        <v>149.49991536657492</v>
      </c>
      <c r="S534" s="1">
        <f t="shared" si="54"/>
        <v>96.22737418166939</v>
      </c>
    </row>
    <row r="535" spans="1:19" x14ac:dyDescent="0.3">
      <c r="A535">
        <v>9915</v>
      </c>
      <c r="B535">
        <v>147.147514</v>
      </c>
      <c r="C535">
        <v>151.81756999999999</v>
      </c>
      <c r="D535">
        <v>156.31338400000001</v>
      </c>
      <c r="E535">
        <v>95.049901000000006</v>
      </c>
      <c r="F535">
        <v>67.187472</v>
      </c>
      <c r="G535">
        <v>40.010475999999997</v>
      </c>
      <c r="H535">
        <v>42.593967999999997</v>
      </c>
      <c r="I535" t="s">
        <v>60</v>
      </c>
      <c r="N535"/>
      <c r="O535"/>
      <c r="P535" s="1">
        <f t="shared" si="51"/>
        <v>140.9172276422764</v>
      </c>
      <c r="Q535" s="1">
        <f t="shared" si="52"/>
        <v>145.00772662601625</v>
      </c>
      <c r="R535" s="1">
        <f t="shared" si="53"/>
        <v>149.49991536657492</v>
      </c>
      <c r="S535" s="1">
        <f t="shared" si="54"/>
        <v>96.22737418166939</v>
      </c>
    </row>
    <row r="536" spans="1:19" x14ac:dyDescent="0.3">
      <c r="A536">
        <v>9915.2000000000007</v>
      </c>
      <c r="B536">
        <v>147.147514</v>
      </c>
      <c r="C536">
        <v>151.81756999999999</v>
      </c>
      <c r="D536">
        <v>156.31338400000001</v>
      </c>
      <c r="E536">
        <v>95.049901000000006</v>
      </c>
      <c r="F536">
        <v>67.187472</v>
      </c>
      <c r="G536">
        <v>40.009405000000001</v>
      </c>
      <c r="H536">
        <v>42.59104</v>
      </c>
      <c r="I536"/>
      <c r="N536"/>
      <c r="O536"/>
      <c r="P536" s="1">
        <f t="shared" si="51"/>
        <v>140.93621951219512</v>
      </c>
      <c r="Q536" s="1">
        <f t="shared" si="52"/>
        <v>145.0239593495935</v>
      </c>
      <c r="R536" s="1">
        <f t="shared" si="53"/>
        <v>149.50904557968798</v>
      </c>
      <c r="S536" s="1">
        <f t="shared" si="54"/>
        <v>96.294684942716842</v>
      </c>
    </row>
    <row r="537" spans="1:19" x14ac:dyDescent="0.3">
      <c r="A537">
        <v>9915.4</v>
      </c>
      <c r="B537">
        <v>147.19204400000001</v>
      </c>
      <c r="C537">
        <v>151.792115</v>
      </c>
      <c r="D537">
        <v>156.30200600000001</v>
      </c>
      <c r="E537">
        <v>95.026757000000003</v>
      </c>
      <c r="F537">
        <v>66.964302000000004</v>
      </c>
      <c r="G537">
        <v>40.009405000000001</v>
      </c>
      <c r="H537">
        <v>42.59104</v>
      </c>
      <c r="I537"/>
      <c r="N537"/>
      <c r="O537"/>
      <c r="P537" s="1">
        <f t="shared" si="51"/>
        <v>140.93621951219512</v>
      </c>
      <c r="Q537" s="1">
        <f t="shared" si="52"/>
        <v>145.0239593495935</v>
      </c>
      <c r="R537" s="1">
        <f t="shared" si="53"/>
        <v>149.50904557968798</v>
      </c>
      <c r="S537" s="1">
        <f t="shared" si="54"/>
        <v>96.294684942716842</v>
      </c>
    </row>
    <row r="538" spans="1:19" x14ac:dyDescent="0.3">
      <c r="A538">
        <v>9915.6</v>
      </c>
      <c r="B538">
        <v>147.19204400000001</v>
      </c>
      <c r="C538">
        <v>151.792115</v>
      </c>
      <c r="D538">
        <v>156.30200600000001</v>
      </c>
      <c r="E538">
        <v>95.026757000000003</v>
      </c>
      <c r="F538">
        <v>66.964302000000004</v>
      </c>
      <c r="G538">
        <v>40.004860000000001</v>
      </c>
      <c r="H538">
        <v>42.613232000000004</v>
      </c>
      <c r="I538"/>
      <c r="N538"/>
      <c r="O538"/>
      <c r="P538" s="1">
        <f t="shared" si="51"/>
        <v>140.91369207317072</v>
      </c>
      <c r="Q538" s="1">
        <f t="shared" si="52"/>
        <v>145.02050813008128</v>
      </c>
      <c r="R538" s="1">
        <f t="shared" si="53"/>
        <v>149.48690017334559</v>
      </c>
      <c r="S538" s="1">
        <f t="shared" si="54"/>
        <v>96.038967880523728</v>
      </c>
    </row>
    <row r="539" spans="1:19" x14ac:dyDescent="0.3">
      <c r="A539">
        <v>9915.7999999999993</v>
      </c>
      <c r="B539">
        <v>147.165931</v>
      </c>
      <c r="C539">
        <v>151.798405</v>
      </c>
      <c r="D539">
        <v>156.30617599999999</v>
      </c>
      <c r="E539">
        <v>94.861756999999997</v>
      </c>
      <c r="F539">
        <v>66.970603999999994</v>
      </c>
      <c r="G539">
        <v>40.004860000000001</v>
      </c>
      <c r="H539">
        <v>42.613232000000004</v>
      </c>
      <c r="I539"/>
      <c r="N539"/>
      <c r="O539"/>
      <c r="P539" s="1">
        <f t="shared" si="51"/>
        <v>140.91369207317072</v>
      </c>
      <c r="Q539" s="1">
        <f t="shared" si="52"/>
        <v>145.02050813008128</v>
      </c>
      <c r="R539" s="1">
        <f t="shared" si="53"/>
        <v>149.48690017334559</v>
      </c>
      <c r="S539" s="1">
        <f t="shared" si="54"/>
        <v>96.038967880523728</v>
      </c>
    </row>
    <row r="540" spans="1:19" x14ac:dyDescent="0.3">
      <c r="A540">
        <v>9916</v>
      </c>
      <c r="B540">
        <v>147.165931</v>
      </c>
      <c r="C540">
        <v>151.798405</v>
      </c>
      <c r="D540">
        <v>156.30617599999999</v>
      </c>
      <c r="E540">
        <v>94.861756999999997</v>
      </c>
      <c r="F540">
        <v>66.970603999999994</v>
      </c>
      <c r="G540">
        <v>39.999575999999998</v>
      </c>
      <c r="H540">
        <v>42.614002999999997</v>
      </c>
      <c r="I540" t="s">
        <v>60</v>
      </c>
      <c r="N540"/>
      <c r="O540"/>
      <c r="P540" s="1">
        <f t="shared" si="51"/>
        <v>140.93602032520323</v>
      </c>
      <c r="Q540" s="1">
        <f t="shared" si="52"/>
        <v>145.00080081300811</v>
      </c>
      <c r="R540" s="1">
        <f t="shared" si="53"/>
        <v>149.48257877026614</v>
      </c>
      <c r="S540" s="1">
        <f t="shared" si="54"/>
        <v>96.111139525368259</v>
      </c>
    </row>
    <row r="541" spans="1:19" x14ac:dyDescent="0.3">
      <c r="A541">
        <v>9916.2000000000007</v>
      </c>
      <c r="B541">
        <v>147.16709399999999</v>
      </c>
      <c r="C541">
        <v>151.79746800000001</v>
      </c>
      <c r="D541">
        <v>156.307805</v>
      </c>
      <c r="E541">
        <v>94.920271999999997</v>
      </c>
      <c r="F541">
        <v>67.433341999999996</v>
      </c>
      <c r="G541">
        <v>39.999575999999998</v>
      </c>
      <c r="H541">
        <v>42.614002999999997</v>
      </c>
      <c r="I541"/>
      <c r="N541"/>
      <c r="O541"/>
      <c r="P541" s="1">
        <f t="shared" si="51"/>
        <v>140.93602032520323</v>
      </c>
      <c r="Q541" s="1">
        <f t="shared" si="52"/>
        <v>145.00080081300811</v>
      </c>
      <c r="R541" s="1">
        <f t="shared" si="53"/>
        <v>149.48257877026614</v>
      </c>
      <c r="S541" s="1">
        <f t="shared" si="54"/>
        <v>96.111139525368259</v>
      </c>
    </row>
    <row r="542" spans="1:19" x14ac:dyDescent="0.3">
      <c r="A542">
        <v>9916.4</v>
      </c>
      <c r="B542">
        <v>147.16709399999999</v>
      </c>
      <c r="C542">
        <v>151.79746800000001</v>
      </c>
      <c r="D542">
        <v>156.307805</v>
      </c>
      <c r="E542">
        <v>94.920271999999997</v>
      </c>
      <c r="F542">
        <v>67.433341999999996</v>
      </c>
      <c r="G542">
        <v>40.006307</v>
      </c>
      <c r="H542">
        <v>42.643493999999997</v>
      </c>
      <c r="I542"/>
      <c r="N542"/>
      <c r="O542"/>
      <c r="P542" s="1">
        <f t="shared" si="51"/>
        <v>140.91904674796746</v>
      </c>
      <c r="Q542" s="1">
        <f t="shared" si="52"/>
        <v>145.00410975609756</v>
      </c>
      <c r="R542" s="1">
        <f t="shared" si="53"/>
        <v>149.4920393596411</v>
      </c>
      <c r="S542" s="1">
        <f t="shared" si="54"/>
        <v>96.081918985270036</v>
      </c>
    </row>
    <row r="543" spans="1:19" x14ac:dyDescent="0.3">
      <c r="A543">
        <v>9916.6</v>
      </c>
      <c r="B543">
        <v>147.16348600000001</v>
      </c>
      <c r="C543">
        <v>151.790336</v>
      </c>
      <c r="D543">
        <v>156.30559400000001</v>
      </c>
      <c r="E543">
        <v>94.923987999999994</v>
      </c>
      <c r="F543">
        <v>67.361706999999996</v>
      </c>
      <c r="G543">
        <v>40.006307</v>
      </c>
      <c r="H543">
        <v>42.643493999999997</v>
      </c>
      <c r="I543"/>
      <c r="N543"/>
      <c r="O543"/>
      <c r="P543" s="1">
        <f t="shared" si="51"/>
        <v>150.35503658536584</v>
      </c>
      <c r="Q543" s="1">
        <f t="shared" si="52"/>
        <v>155.06020833333332</v>
      </c>
      <c r="R543" s="1">
        <f t="shared" si="53"/>
        <v>160.21510451718163</v>
      </c>
      <c r="S543" s="1">
        <f t="shared" si="54"/>
        <v>98.159156096563009</v>
      </c>
    </row>
    <row r="544" spans="1:19" x14ac:dyDescent="0.3">
      <c r="A544">
        <v>9916.7999999999993</v>
      </c>
      <c r="B544">
        <v>147.16348600000001</v>
      </c>
      <c r="C544">
        <v>151.790336</v>
      </c>
      <c r="D544">
        <v>156.30559400000001</v>
      </c>
      <c r="E544">
        <v>94.923987999999994</v>
      </c>
      <c r="F544">
        <v>67.361706999999996</v>
      </c>
      <c r="G544">
        <v>40.020881000000003</v>
      </c>
      <c r="H544">
        <v>42.639443999999997</v>
      </c>
      <c r="I544"/>
      <c r="N544"/>
      <c r="O544"/>
      <c r="P544" s="1">
        <f t="shared" si="51"/>
        <v>150.35503658536584</v>
      </c>
      <c r="Q544" s="1">
        <f t="shared" si="52"/>
        <v>155.06020833333332</v>
      </c>
      <c r="R544" s="1">
        <f t="shared" si="53"/>
        <v>160.21510451718163</v>
      </c>
      <c r="S544" s="1">
        <f t="shared" si="54"/>
        <v>98.159156096563009</v>
      </c>
    </row>
    <row r="545" spans="1:19" x14ac:dyDescent="0.3">
      <c r="A545">
        <v>9917</v>
      </c>
      <c r="B545">
        <v>147.137238</v>
      </c>
      <c r="C545">
        <v>151.795323</v>
      </c>
      <c r="D545">
        <v>156.30077499999999</v>
      </c>
      <c r="E545">
        <v>94.896602000000001</v>
      </c>
      <c r="F545">
        <v>67.238056</v>
      </c>
      <c r="G545">
        <v>40.020881000000003</v>
      </c>
      <c r="H545">
        <v>42.639443999999997</v>
      </c>
      <c r="I545" t="s">
        <v>60</v>
      </c>
      <c r="N545"/>
      <c r="O545"/>
      <c r="P545" s="1">
        <f t="shared" si="51"/>
        <v>150.35139634146341</v>
      </c>
      <c r="Q545" s="1">
        <f t="shared" si="52"/>
        <v>155.05702845528455</v>
      </c>
      <c r="R545" s="1">
        <f t="shared" si="53"/>
        <v>160.21145202406444</v>
      </c>
      <c r="S545" s="1">
        <f t="shared" si="54"/>
        <v>98.275801963993445</v>
      </c>
    </row>
    <row r="546" spans="1:19" x14ac:dyDescent="0.3">
      <c r="A546">
        <v>9917.2000000000007</v>
      </c>
      <c r="B546">
        <v>147.137238</v>
      </c>
      <c r="C546">
        <v>151.795323</v>
      </c>
      <c r="D546">
        <v>156.30077499999999</v>
      </c>
      <c r="E546">
        <v>94.896602000000001</v>
      </c>
      <c r="F546">
        <v>67.238056</v>
      </c>
      <c r="G546">
        <v>40.009596000000002</v>
      </c>
      <c r="H546">
        <v>42.63167</v>
      </c>
      <c r="I546"/>
      <c r="N546"/>
      <c r="O546"/>
      <c r="P546" s="1">
        <f t="shared" si="51"/>
        <v>150.35139634146341</v>
      </c>
      <c r="Q546" s="1">
        <f t="shared" si="52"/>
        <v>155.05702845528455</v>
      </c>
      <c r="R546" s="1">
        <f t="shared" si="53"/>
        <v>160.21145202406444</v>
      </c>
      <c r="S546" s="1">
        <f t="shared" si="54"/>
        <v>98.275801963993445</v>
      </c>
    </row>
    <row r="547" spans="1:19" x14ac:dyDescent="0.3">
      <c r="A547">
        <v>9917.4</v>
      </c>
      <c r="B547">
        <v>147.157702</v>
      </c>
      <c r="C547">
        <v>151.79154600000001</v>
      </c>
      <c r="D547">
        <v>156.299575</v>
      </c>
      <c r="E547">
        <v>94.826348999999993</v>
      </c>
      <c r="F547">
        <v>67.234860999999995</v>
      </c>
      <c r="G547">
        <v>40.009596000000002</v>
      </c>
      <c r="H547">
        <v>42.63167</v>
      </c>
      <c r="I547"/>
      <c r="N547"/>
      <c r="O547"/>
      <c r="P547" s="1">
        <f t="shared" si="51"/>
        <v>150.35346036585364</v>
      </c>
      <c r="Q547" s="1">
        <f t="shared" si="52"/>
        <v>155.07526422764226</v>
      </c>
      <c r="R547" s="1">
        <f t="shared" si="53"/>
        <v>160.22207606811463</v>
      </c>
      <c r="S547" s="1">
        <f t="shared" si="54"/>
        <v>98.132297463175121</v>
      </c>
    </row>
    <row r="548" spans="1:19" x14ac:dyDescent="0.3">
      <c r="A548">
        <v>9917.6</v>
      </c>
      <c r="B548">
        <v>147.157702</v>
      </c>
      <c r="C548">
        <v>151.79154600000001</v>
      </c>
      <c r="D548">
        <v>156.299575</v>
      </c>
      <c r="E548">
        <v>94.826348999999993</v>
      </c>
      <c r="F548">
        <v>67.234860999999995</v>
      </c>
      <c r="G548">
        <v>40.006079</v>
      </c>
      <c r="H548">
        <v>42.645823</v>
      </c>
      <c r="I548"/>
      <c r="N548"/>
      <c r="O548"/>
      <c r="P548" s="1">
        <f t="shared" si="51"/>
        <v>150.35346036585364</v>
      </c>
      <c r="Q548" s="1">
        <f t="shared" si="52"/>
        <v>155.07526422764226</v>
      </c>
      <c r="R548" s="1">
        <f t="shared" si="53"/>
        <v>160.22207606811463</v>
      </c>
      <c r="S548" s="1">
        <f t="shared" si="54"/>
        <v>98.132297463175121</v>
      </c>
    </row>
    <row r="549" spans="1:19" x14ac:dyDescent="0.3">
      <c r="A549">
        <v>9917.7999999999993</v>
      </c>
      <c r="B549">
        <v>147.119922</v>
      </c>
      <c r="C549">
        <v>151.80109100000001</v>
      </c>
      <c r="D549">
        <v>156.29207400000001</v>
      </c>
      <c r="E549">
        <v>94.833732999999995</v>
      </c>
      <c r="F549">
        <v>67.518006999999997</v>
      </c>
      <c r="G549">
        <v>40.006079</v>
      </c>
      <c r="H549">
        <v>42.645823</v>
      </c>
      <c r="I549"/>
      <c r="N549"/>
      <c r="O549"/>
      <c r="P549" s="1">
        <f t="shared" si="51"/>
        <v>150.38321747967478</v>
      </c>
      <c r="Q549" s="1">
        <f t="shared" si="52"/>
        <v>155.08184959349595</v>
      </c>
      <c r="R549" s="1">
        <f t="shared" si="53"/>
        <v>160.2108381768125</v>
      </c>
      <c r="S549" s="1">
        <f t="shared" si="54"/>
        <v>98.184262479541729</v>
      </c>
    </row>
    <row r="550" spans="1:19" x14ac:dyDescent="0.3">
      <c r="A550">
        <v>9918</v>
      </c>
      <c r="B550">
        <v>147.119922</v>
      </c>
      <c r="C550">
        <v>151.80109100000001</v>
      </c>
      <c r="D550">
        <v>156.29207400000001</v>
      </c>
      <c r="E550">
        <v>94.833732999999995</v>
      </c>
      <c r="F550">
        <v>67.518006999999997</v>
      </c>
      <c r="G550">
        <v>40.020339</v>
      </c>
      <c r="H550">
        <v>42.626120999999998</v>
      </c>
      <c r="I550" t="s">
        <v>60</v>
      </c>
      <c r="N550"/>
      <c r="O550"/>
      <c r="P550" s="1">
        <f t="shared" si="51"/>
        <v>150.38321747967478</v>
      </c>
      <c r="Q550" s="1">
        <f t="shared" si="52"/>
        <v>155.08184959349595</v>
      </c>
      <c r="R550" s="1">
        <f t="shared" si="53"/>
        <v>160.2108381768125</v>
      </c>
      <c r="S550" s="1">
        <f t="shared" si="54"/>
        <v>98.184262479541729</v>
      </c>
    </row>
    <row r="551" spans="1:19" x14ac:dyDescent="0.3">
      <c r="A551">
        <v>9918.2000000000007</v>
      </c>
      <c r="B551">
        <v>147.144948</v>
      </c>
      <c r="C551">
        <v>151.78739400000001</v>
      </c>
      <c r="D551">
        <v>156.29450700000001</v>
      </c>
      <c r="E551">
        <v>94.907426999999998</v>
      </c>
      <c r="F551">
        <v>67.357450999999998</v>
      </c>
      <c r="G551">
        <v>40.020339</v>
      </c>
      <c r="H551">
        <v>42.626120999999998</v>
      </c>
      <c r="I551"/>
      <c r="N551"/>
      <c r="O551"/>
      <c r="P551" s="1">
        <f t="shared" si="51"/>
        <v>150.35164329268292</v>
      </c>
      <c r="Q551" s="1">
        <f t="shared" si="52"/>
        <v>155.07011280487805</v>
      </c>
      <c r="R551" s="1">
        <f t="shared" si="53"/>
        <v>160.21122463546448</v>
      </c>
      <c r="S551" s="1">
        <f t="shared" si="54"/>
        <v>98.285712970540104</v>
      </c>
    </row>
    <row r="552" spans="1:19" x14ac:dyDescent="0.3">
      <c r="A552">
        <v>9918.4</v>
      </c>
      <c r="B552">
        <v>147.144948</v>
      </c>
      <c r="C552">
        <v>151.78739400000001</v>
      </c>
      <c r="D552">
        <v>156.29450700000001</v>
      </c>
      <c r="E552">
        <v>94.907426999999998</v>
      </c>
      <c r="F552">
        <v>67.357450999999998</v>
      </c>
      <c r="G552">
        <v>39.995922</v>
      </c>
      <c r="H552">
        <v>42.625463000000003</v>
      </c>
      <c r="I552"/>
      <c r="N552"/>
      <c r="O552"/>
      <c r="P552" s="1">
        <f t="shared" si="51"/>
        <v>150.35164329268292</v>
      </c>
      <c r="Q552" s="1">
        <f t="shared" si="52"/>
        <v>155.07011280487805</v>
      </c>
      <c r="R552" s="1">
        <f t="shared" si="53"/>
        <v>160.21122463546448</v>
      </c>
      <c r="S552" s="1">
        <f t="shared" si="54"/>
        <v>98.285712970540104</v>
      </c>
    </row>
    <row r="553" spans="1:19" x14ac:dyDescent="0.3">
      <c r="A553">
        <v>9918.6</v>
      </c>
      <c r="B553">
        <v>147.13561799999999</v>
      </c>
      <c r="C553">
        <v>151.772177</v>
      </c>
      <c r="D553">
        <v>156.29239699999999</v>
      </c>
      <c r="E553">
        <v>94.884682999999995</v>
      </c>
      <c r="F553">
        <v>67.176207000000005</v>
      </c>
      <c r="G553">
        <v>39.995922</v>
      </c>
      <c r="H553">
        <v>42.625463000000003</v>
      </c>
      <c r="I553"/>
      <c r="N553"/>
      <c r="O553"/>
      <c r="P553" s="1">
        <f t="shared" si="51"/>
        <v>150.3394451219512</v>
      </c>
      <c r="Q553" s="1">
        <f t="shared" si="52"/>
        <v>155.0854369918699</v>
      </c>
      <c r="R553" s="1">
        <f t="shared" si="53"/>
        <v>160.21584990313045</v>
      </c>
      <c r="S553" s="1">
        <f t="shared" si="54"/>
        <v>98.172771072013091</v>
      </c>
    </row>
    <row r="554" spans="1:19" x14ac:dyDescent="0.3">
      <c r="A554">
        <v>9918.7999999999993</v>
      </c>
      <c r="B554">
        <v>147.13561799999999</v>
      </c>
      <c r="C554">
        <v>151.772177</v>
      </c>
      <c r="D554">
        <v>156.29239699999999</v>
      </c>
      <c r="E554">
        <v>94.884682999999995</v>
      </c>
      <c r="F554">
        <v>67.176207000000005</v>
      </c>
      <c r="G554">
        <v>40.026446999999997</v>
      </c>
      <c r="H554">
        <v>42.633842000000001</v>
      </c>
      <c r="I554"/>
      <c r="N554"/>
      <c r="O554"/>
      <c r="P554" s="1">
        <f t="shared" si="51"/>
        <v>150.3394451219512</v>
      </c>
      <c r="Q554" s="1">
        <f t="shared" si="52"/>
        <v>155.0854369918699</v>
      </c>
      <c r="R554" s="1">
        <f t="shared" si="53"/>
        <v>160.21584990313045</v>
      </c>
      <c r="S554" s="1">
        <f t="shared" si="54"/>
        <v>98.172771072013091</v>
      </c>
    </row>
    <row r="555" spans="1:19" x14ac:dyDescent="0.3">
      <c r="A555">
        <v>9919</v>
      </c>
      <c r="B555">
        <v>147.144218</v>
      </c>
      <c r="C555">
        <v>151.78595899999999</v>
      </c>
      <c r="D555">
        <v>156.29331099999999</v>
      </c>
      <c r="E555">
        <v>94.820747999999995</v>
      </c>
      <c r="F555">
        <v>67.336468999999994</v>
      </c>
      <c r="G555">
        <v>40.026446999999997</v>
      </c>
      <c r="H555">
        <v>42.633842000000001</v>
      </c>
      <c r="I555" t="s">
        <v>60</v>
      </c>
      <c r="N555"/>
      <c r="O555"/>
      <c r="P555" s="1">
        <f t="shared" si="51"/>
        <v>150.38469918699187</v>
      </c>
      <c r="Q555" s="1">
        <f t="shared" si="52"/>
        <v>155.05956808943088</v>
      </c>
      <c r="R555" s="1">
        <f t="shared" si="53"/>
        <v>160.20424798613237</v>
      </c>
      <c r="S555" s="1">
        <f t="shared" si="54"/>
        <v>98.149096767594102</v>
      </c>
    </row>
    <row r="556" spans="1:19" x14ac:dyDescent="0.3">
      <c r="A556">
        <v>9919.2000000000007</v>
      </c>
      <c r="B556">
        <v>147.144218</v>
      </c>
      <c r="C556">
        <v>151.78595899999999</v>
      </c>
      <c r="D556">
        <v>156.29331099999999</v>
      </c>
      <c r="E556">
        <v>94.820747999999995</v>
      </c>
      <c r="F556">
        <v>67.336468999999994</v>
      </c>
      <c r="G556">
        <v>40.021787000000003</v>
      </c>
      <c r="H556">
        <v>42.645228000000003</v>
      </c>
      <c r="I556"/>
      <c r="N556"/>
      <c r="O556"/>
      <c r="P556" s="1">
        <f t="shared" ref="P556:P619" si="55">(B538+Q$36)/P$36</f>
        <v>150.38469918699187</v>
      </c>
      <c r="Q556" s="1">
        <f t="shared" ref="Q556:Q619" si="56">(C538+Q$36)/P$36</f>
        <v>155.05956808943088</v>
      </c>
      <c r="R556" s="1">
        <f t="shared" ref="R556:R619" si="57">(D538+Q$38)/P$38</f>
        <v>160.20424798613237</v>
      </c>
      <c r="S556" s="1">
        <f t="shared" ref="S556:S619" si="58">(E538+Q$39)/P$39</f>
        <v>98.149096767594102</v>
      </c>
    </row>
    <row r="557" spans="1:19" x14ac:dyDescent="0.3">
      <c r="A557">
        <v>9919.4</v>
      </c>
      <c r="B557">
        <v>147.12131600000001</v>
      </c>
      <c r="C557">
        <v>151.78822299999999</v>
      </c>
      <c r="D557">
        <v>156.296964</v>
      </c>
      <c r="E557">
        <v>94.762612000000004</v>
      </c>
      <c r="F557">
        <v>67.563320000000004</v>
      </c>
      <c r="G557">
        <v>40.021787000000003</v>
      </c>
      <c r="H557">
        <v>42.645228000000003</v>
      </c>
      <c r="I557"/>
      <c r="N557"/>
      <c r="O557"/>
      <c r="P557" s="1">
        <f t="shared" si="55"/>
        <v>150.35816158536585</v>
      </c>
      <c r="Q557" s="1">
        <f t="shared" si="56"/>
        <v>155.06596036585364</v>
      </c>
      <c r="R557" s="1">
        <f t="shared" si="57"/>
        <v>160.20850005098399</v>
      </c>
      <c r="S557" s="1">
        <f t="shared" si="58"/>
        <v>97.980316080196388</v>
      </c>
    </row>
    <row r="558" spans="1:19" x14ac:dyDescent="0.3">
      <c r="A558">
        <v>9919.6</v>
      </c>
      <c r="B558">
        <v>147.12131600000001</v>
      </c>
      <c r="C558">
        <v>151.78822299999999</v>
      </c>
      <c r="D558">
        <v>156.296964</v>
      </c>
      <c r="E558">
        <v>94.762612000000004</v>
      </c>
      <c r="F558">
        <v>67.563320000000004</v>
      </c>
      <c r="G558">
        <v>40.022435999999999</v>
      </c>
      <c r="H558">
        <v>42.629142000000002</v>
      </c>
      <c r="I558"/>
      <c r="N558"/>
      <c r="O558"/>
      <c r="P558" s="1">
        <f t="shared" si="55"/>
        <v>150.35816158536585</v>
      </c>
      <c r="Q558" s="1">
        <f t="shared" si="56"/>
        <v>155.06596036585364</v>
      </c>
      <c r="R558" s="1">
        <f t="shared" si="57"/>
        <v>160.20850005098399</v>
      </c>
      <c r="S558" s="1">
        <f t="shared" si="58"/>
        <v>97.980316080196388</v>
      </c>
    </row>
    <row r="559" spans="1:19" x14ac:dyDescent="0.3">
      <c r="A559">
        <v>9919.7999999999993</v>
      </c>
      <c r="B559">
        <v>147.12805</v>
      </c>
      <c r="C559">
        <v>151.76902200000001</v>
      </c>
      <c r="D559">
        <v>156.26665199999999</v>
      </c>
      <c r="E559">
        <v>94.936113000000006</v>
      </c>
      <c r="F559">
        <v>67.545856000000001</v>
      </c>
      <c r="G559">
        <v>40.022435999999999</v>
      </c>
      <c r="H559">
        <v>42.629142000000002</v>
      </c>
      <c r="I559"/>
      <c r="N559"/>
      <c r="O559"/>
      <c r="P559" s="1">
        <f t="shared" si="55"/>
        <v>150.35934349593495</v>
      </c>
      <c r="Q559" s="1">
        <f t="shared" si="56"/>
        <v>155.06500813008131</v>
      </c>
      <c r="R559" s="1">
        <f t="shared" si="57"/>
        <v>160.21016110941164</v>
      </c>
      <c r="S559" s="1">
        <f t="shared" si="58"/>
        <v>98.040171849427168</v>
      </c>
    </row>
    <row r="560" spans="1:19" x14ac:dyDescent="0.3">
      <c r="A560">
        <v>9920</v>
      </c>
      <c r="B560">
        <v>147.12805</v>
      </c>
      <c r="C560">
        <v>151.76902200000001</v>
      </c>
      <c r="D560">
        <v>156.26665199999999</v>
      </c>
      <c r="E560">
        <v>94.936113000000006</v>
      </c>
      <c r="F560">
        <v>67.545856000000001</v>
      </c>
      <c r="G560">
        <v>40.033771999999999</v>
      </c>
      <c r="H560">
        <v>42.621862</v>
      </c>
      <c r="I560" t="s">
        <v>60</v>
      </c>
      <c r="N560"/>
      <c r="O560"/>
      <c r="P560" s="1">
        <f t="shared" si="55"/>
        <v>150.35934349593495</v>
      </c>
      <c r="Q560" s="1">
        <f t="shared" si="56"/>
        <v>155.06500813008131</v>
      </c>
      <c r="R560" s="1">
        <f t="shared" si="57"/>
        <v>160.21016110941164</v>
      </c>
      <c r="S560" s="1">
        <f t="shared" si="58"/>
        <v>98.040171849427168</v>
      </c>
    </row>
    <row r="561" spans="1:19" x14ac:dyDescent="0.3">
      <c r="A561">
        <v>9920.2000000000007</v>
      </c>
      <c r="B561">
        <v>147.13222400000001</v>
      </c>
      <c r="C561">
        <v>151.76970499999999</v>
      </c>
      <c r="D561">
        <v>156.297391</v>
      </c>
      <c r="E561">
        <v>94.891756999999998</v>
      </c>
      <c r="F561">
        <v>67.432991999999999</v>
      </c>
      <c r="G561">
        <v>40.033771999999999</v>
      </c>
      <c r="H561">
        <v>42.621862</v>
      </c>
      <c r="I561"/>
      <c r="N561"/>
      <c r="O561"/>
      <c r="P561" s="1">
        <f t="shared" si="55"/>
        <v>150.35567682926828</v>
      </c>
      <c r="Q561" s="1">
        <f t="shared" si="56"/>
        <v>155.05776016260162</v>
      </c>
      <c r="R561" s="1">
        <f t="shared" si="57"/>
        <v>160.20790659732847</v>
      </c>
      <c r="S561" s="1">
        <f t="shared" si="58"/>
        <v>98.043972995090002</v>
      </c>
    </row>
    <row r="562" spans="1:19" x14ac:dyDescent="0.3">
      <c r="A562">
        <v>9920.4</v>
      </c>
      <c r="B562">
        <v>147.13222400000001</v>
      </c>
      <c r="C562">
        <v>151.76970499999999</v>
      </c>
      <c r="D562">
        <v>156.297391</v>
      </c>
      <c r="E562">
        <v>94.891756999999998</v>
      </c>
      <c r="F562">
        <v>67.432991999999999</v>
      </c>
      <c r="G562">
        <v>40.017676999999999</v>
      </c>
      <c r="H562">
        <v>42.621605000000002</v>
      </c>
      <c r="I562"/>
      <c r="N562"/>
      <c r="O562"/>
      <c r="P562" s="1">
        <f t="shared" si="55"/>
        <v>150.35567682926828</v>
      </c>
      <c r="Q562" s="1">
        <f t="shared" si="56"/>
        <v>155.05776016260162</v>
      </c>
      <c r="R562" s="1">
        <f t="shared" si="57"/>
        <v>160.20790659732847</v>
      </c>
      <c r="S562" s="1">
        <f t="shared" si="58"/>
        <v>98.043972995090002</v>
      </c>
    </row>
    <row r="563" spans="1:19" x14ac:dyDescent="0.3">
      <c r="A563">
        <v>9920.6</v>
      </c>
      <c r="B563">
        <v>147.11339699999999</v>
      </c>
      <c r="C563">
        <v>151.774891</v>
      </c>
      <c r="D563">
        <v>156.27785800000001</v>
      </c>
      <c r="E563">
        <v>94.983624000000006</v>
      </c>
      <c r="F563">
        <v>67.126351999999997</v>
      </c>
      <c r="G563">
        <v>40.017676999999999</v>
      </c>
      <c r="H563">
        <v>42.621605000000002</v>
      </c>
      <c r="I563"/>
      <c r="N563"/>
      <c r="O563"/>
      <c r="P563" s="1">
        <f t="shared" si="55"/>
        <v>150.32900203252032</v>
      </c>
      <c r="Q563" s="1">
        <f t="shared" si="56"/>
        <v>155.06282825203252</v>
      </c>
      <c r="R563" s="1">
        <f t="shared" si="57"/>
        <v>160.20299276027328</v>
      </c>
      <c r="S563" s="1">
        <f t="shared" si="58"/>
        <v>98.01595949263502</v>
      </c>
    </row>
    <row r="564" spans="1:19" x14ac:dyDescent="0.3">
      <c r="A564">
        <v>9920.7999999999993</v>
      </c>
      <c r="B564">
        <v>147.11339699999999</v>
      </c>
      <c r="C564">
        <v>151.774891</v>
      </c>
      <c r="D564">
        <v>156.27785800000001</v>
      </c>
      <c r="E564">
        <v>94.983624000000006</v>
      </c>
      <c r="F564">
        <v>67.126351999999997</v>
      </c>
      <c r="G564">
        <v>40.024921999999997</v>
      </c>
      <c r="H564">
        <v>42.621862</v>
      </c>
      <c r="I564"/>
      <c r="N564"/>
      <c r="O564"/>
      <c r="P564" s="1">
        <f t="shared" si="55"/>
        <v>150.32900203252032</v>
      </c>
      <c r="Q564" s="1">
        <f t="shared" si="56"/>
        <v>155.06282825203252</v>
      </c>
      <c r="R564" s="1">
        <f t="shared" si="57"/>
        <v>160.20299276027328</v>
      </c>
      <c r="S564" s="1">
        <f t="shared" si="58"/>
        <v>98.01595949263502</v>
      </c>
    </row>
    <row r="565" spans="1:19" x14ac:dyDescent="0.3">
      <c r="A565">
        <v>9921</v>
      </c>
      <c r="B565">
        <v>147.13059899999999</v>
      </c>
      <c r="C565">
        <v>151.76783900000001</v>
      </c>
      <c r="D565">
        <v>156.278988</v>
      </c>
      <c r="E565">
        <v>94.921470999999997</v>
      </c>
      <c r="F565">
        <v>67.163421999999997</v>
      </c>
      <c r="G565">
        <v>40.024921999999997</v>
      </c>
      <c r="H565">
        <v>42.621862</v>
      </c>
      <c r="I565" t="s">
        <v>60</v>
      </c>
      <c r="N565"/>
      <c r="O565"/>
      <c r="P565" s="1">
        <f t="shared" si="55"/>
        <v>150.34979878048779</v>
      </c>
      <c r="Q565" s="1">
        <f t="shared" si="56"/>
        <v>155.05898983739837</v>
      </c>
      <c r="R565" s="1">
        <f t="shared" si="57"/>
        <v>160.20176914448865</v>
      </c>
      <c r="S565" s="1">
        <f t="shared" si="58"/>
        <v>97.944096767594104</v>
      </c>
    </row>
    <row r="566" spans="1:19" x14ac:dyDescent="0.3">
      <c r="A566">
        <v>9921.2000000000007</v>
      </c>
      <c r="B566">
        <v>147.13059899999999</v>
      </c>
      <c r="C566">
        <v>151.76783900000001</v>
      </c>
      <c r="D566">
        <v>156.278988</v>
      </c>
      <c r="E566">
        <v>94.921470999999997</v>
      </c>
      <c r="F566">
        <v>67.163421999999997</v>
      </c>
      <c r="G566">
        <v>40.009357000000001</v>
      </c>
      <c r="H566">
        <v>42.584485000000001</v>
      </c>
      <c r="I566"/>
      <c r="N566"/>
      <c r="O566"/>
      <c r="P566" s="1">
        <f t="shared" si="55"/>
        <v>150.34979878048779</v>
      </c>
      <c r="Q566" s="1">
        <f t="shared" si="56"/>
        <v>155.05898983739837</v>
      </c>
      <c r="R566" s="1">
        <f t="shared" si="57"/>
        <v>160.20176914448865</v>
      </c>
      <c r="S566" s="1">
        <f t="shared" si="58"/>
        <v>97.944096767594104</v>
      </c>
    </row>
    <row r="567" spans="1:19" x14ac:dyDescent="0.3">
      <c r="A567">
        <v>9921.4</v>
      </c>
      <c r="B567">
        <v>147.12999300000001</v>
      </c>
      <c r="C567">
        <v>151.75881000000001</v>
      </c>
      <c r="D567">
        <v>156.287702</v>
      </c>
      <c r="E567">
        <v>94.917283999999995</v>
      </c>
      <c r="F567">
        <v>67.099309000000005</v>
      </c>
      <c r="G567">
        <v>40.009357000000001</v>
      </c>
      <c r="H567">
        <v>42.584485000000001</v>
      </c>
      <c r="I567"/>
      <c r="N567"/>
      <c r="O567"/>
      <c r="P567" s="1">
        <f t="shared" si="55"/>
        <v>150.31140447154471</v>
      </c>
      <c r="Q567" s="1">
        <f t="shared" si="56"/>
        <v>155.06869004065041</v>
      </c>
      <c r="R567" s="1">
        <f t="shared" si="57"/>
        <v>160.19412052615482</v>
      </c>
      <c r="S567" s="1">
        <f t="shared" si="58"/>
        <v>97.951649959083468</v>
      </c>
    </row>
    <row r="568" spans="1:19" x14ac:dyDescent="0.3">
      <c r="A568">
        <v>9921.6</v>
      </c>
      <c r="B568">
        <v>147.12999300000001</v>
      </c>
      <c r="C568">
        <v>151.75881000000001</v>
      </c>
      <c r="D568">
        <v>156.287702</v>
      </c>
      <c r="E568">
        <v>94.917283999999995</v>
      </c>
      <c r="F568">
        <v>67.099309000000005</v>
      </c>
      <c r="G568">
        <v>40.016731999999998</v>
      </c>
      <c r="H568">
        <v>42.62229</v>
      </c>
      <c r="I568"/>
      <c r="N568"/>
      <c r="O568"/>
      <c r="P568" s="1">
        <f t="shared" si="55"/>
        <v>150.31140447154471</v>
      </c>
      <c r="Q568" s="1">
        <f t="shared" si="56"/>
        <v>155.06869004065041</v>
      </c>
      <c r="R568" s="1">
        <f t="shared" si="57"/>
        <v>160.19412052615482</v>
      </c>
      <c r="S568" s="1">
        <f t="shared" si="58"/>
        <v>97.951649959083468</v>
      </c>
    </row>
    <row r="569" spans="1:19" x14ac:dyDescent="0.3">
      <c r="A569">
        <v>9921.7999999999993</v>
      </c>
      <c r="B569">
        <v>147.12122099999999</v>
      </c>
      <c r="C569">
        <v>151.760527</v>
      </c>
      <c r="D569">
        <v>156.29826700000001</v>
      </c>
      <c r="E569">
        <v>94.986007000000001</v>
      </c>
      <c r="F569">
        <v>67.613573000000002</v>
      </c>
      <c r="G569">
        <v>40.016731999999998</v>
      </c>
      <c r="H569">
        <v>42.62229</v>
      </c>
      <c r="I569"/>
      <c r="N569"/>
      <c r="O569"/>
      <c r="P569" s="1">
        <f t="shared" si="55"/>
        <v>150.33683739837397</v>
      </c>
      <c r="Q569" s="1">
        <f t="shared" si="56"/>
        <v>155.05477032520324</v>
      </c>
      <c r="R569" s="1">
        <f t="shared" si="57"/>
        <v>160.19660140715817</v>
      </c>
      <c r="S569" s="1">
        <f t="shared" si="58"/>
        <v>98.02703252864157</v>
      </c>
    </row>
    <row r="570" spans="1:19" x14ac:dyDescent="0.3">
      <c r="A570">
        <v>9922</v>
      </c>
      <c r="B570">
        <v>147.12122099999999</v>
      </c>
      <c r="C570">
        <v>151.760527</v>
      </c>
      <c r="D570">
        <v>156.29826700000001</v>
      </c>
      <c r="E570">
        <v>94.986007000000001</v>
      </c>
      <c r="F570">
        <v>67.613573000000002</v>
      </c>
      <c r="G570">
        <v>40.023373999999997</v>
      </c>
      <c r="H570">
        <v>42.594521</v>
      </c>
      <c r="I570" t="s">
        <v>60</v>
      </c>
      <c r="N570"/>
      <c r="O570"/>
      <c r="P570" s="1">
        <f t="shared" si="55"/>
        <v>150.33683739837397</v>
      </c>
      <c r="Q570" s="1">
        <f t="shared" si="56"/>
        <v>155.05477032520324</v>
      </c>
      <c r="R570" s="1">
        <f t="shared" si="57"/>
        <v>160.19660140715817</v>
      </c>
      <c r="S570" s="1">
        <f t="shared" si="58"/>
        <v>98.02703252864157</v>
      </c>
    </row>
    <row r="571" spans="1:19" x14ac:dyDescent="0.3">
      <c r="A571">
        <v>9922.2000000000007</v>
      </c>
      <c r="B571">
        <v>147.11526499999999</v>
      </c>
      <c r="C571">
        <v>151.77208899999999</v>
      </c>
      <c r="D571">
        <v>156.279494</v>
      </c>
      <c r="E571">
        <v>95.014464000000004</v>
      </c>
      <c r="F571">
        <v>67.378822999999997</v>
      </c>
      <c r="G571">
        <v>40.023373999999997</v>
      </c>
      <c r="H571">
        <v>42.594521</v>
      </c>
      <c r="I571"/>
      <c r="N571"/>
      <c r="O571"/>
      <c r="P571" s="1">
        <f t="shared" si="55"/>
        <v>150.32735569105691</v>
      </c>
      <c r="Q571" s="1">
        <f t="shared" si="56"/>
        <v>155.03930589430894</v>
      </c>
      <c r="R571" s="1">
        <f t="shared" si="57"/>
        <v>160.19444988273682</v>
      </c>
      <c r="S571" s="1">
        <f t="shared" si="58"/>
        <v>98.003767389525365</v>
      </c>
    </row>
    <row r="572" spans="1:19" x14ac:dyDescent="0.3">
      <c r="A572">
        <v>9922.4</v>
      </c>
      <c r="B572">
        <v>147.11526499999999</v>
      </c>
      <c r="C572">
        <v>151.77208899999999</v>
      </c>
      <c r="D572">
        <v>156.279494</v>
      </c>
      <c r="E572">
        <v>95.014464000000004</v>
      </c>
      <c r="F572">
        <v>67.378822999999997</v>
      </c>
      <c r="G572">
        <v>40.006833999999998</v>
      </c>
      <c r="H572">
        <v>42.624034000000002</v>
      </c>
      <c r="I572"/>
      <c r="N572"/>
      <c r="O572"/>
      <c r="P572" s="1">
        <f t="shared" si="55"/>
        <v>150.32735569105691</v>
      </c>
      <c r="Q572" s="1">
        <f t="shared" si="56"/>
        <v>155.03930589430894</v>
      </c>
      <c r="R572" s="1">
        <f t="shared" si="57"/>
        <v>160.19444988273682</v>
      </c>
      <c r="S572" s="1">
        <f t="shared" si="58"/>
        <v>98.003767389525365</v>
      </c>
    </row>
    <row r="573" spans="1:19" x14ac:dyDescent="0.3">
      <c r="A573">
        <v>9922.6</v>
      </c>
      <c r="B573">
        <v>147.13744199999999</v>
      </c>
      <c r="C573">
        <v>151.77307300000001</v>
      </c>
      <c r="D573">
        <v>156.28606600000001</v>
      </c>
      <c r="E573">
        <v>95.045345999999995</v>
      </c>
      <c r="F573">
        <v>67.096737000000005</v>
      </c>
      <c r="G573">
        <v>40.006833999999998</v>
      </c>
      <c r="H573">
        <v>42.624034000000002</v>
      </c>
      <c r="I573"/>
      <c r="N573"/>
      <c r="O573"/>
      <c r="P573" s="1">
        <f t="shared" si="55"/>
        <v>150.33609552845527</v>
      </c>
      <c r="Q573" s="1">
        <f t="shared" si="56"/>
        <v>155.05331199186989</v>
      </c>
      <c r="R573" s="1">
        <f t="shared" si="57"/>
        <v>160.1953818700928</v>
      </c>
      <c r="S573" s="1">
        <f t="shared" si="58"/>
        <v>97.938367430441886</v>
      </c>
    </row>
    <row r="574" spans="1:19" x14ac:dyDescent="0.3">
      <c r="A574">
        <v>9922.7999999999993</v>
      </c>
      <c r="B574">
        <v>147.13744199999999</v>
      </c>
      <c r="C574">
        <v>151.77307300000001</v>
      </c>
      <c r="D574">
        <v>156.28606600000001</v>
      </c>
      <c r="E574">
        <v>95.045345999999995</v>
      </c>
      <c r="F574">
        <v>67.096737000000005</v>
      </c>
      <c r="G574">
        <v>40.019694999999999</v>
      </c>
      <c r="H574">
        <v>42.605724000000002</v>
      </c>
      <c r="I574"/>
      <c r="N574"/>
      <c r="O574"/>
      <c r="P574" s="1">
        <f t="shared" si="55"/>
        <v>150.33609552845527</v>
      </c>
      <c r="Q574" s="1">
        <f t="shared" si="56"/>
        <v>155.05331199186989</v>
      </c>
      <c r="R574" s="1">
        <f t="shared" si="57"/>
        <v>160.1953818700928</v>
      </c>
      <c r="S574" s="1">
        <f t="shared" si="58"/>
        <v>97.938367430441886</v>
      </c>
    </row>
    <row r="575" spans="1:19" x14ac:dyDescent="0.3">
      <c r="A575">
        <v>10598</v>
      </c>
      <c r="B575">
        <v>156.42635300000001</v>
      </c>
      <c r="C575">
        <v>161.655632</v>
      </c>
      <c r="D575">
        <v>166.64996400000001</v>
      </c>
      <c r="E575">
        <v>97.215028000000004</v>
      </c>
      <c r="F575">
        <v>68.473966000000004</v>
      </c>
      <c r="G575">
        <v>40.015431</v>
      </c>
      <c r="H575">
        <v>43.016013000000001</v>
      </c>
      <c r="I575" t="s">
        <v>60</v>
      </c>
      <c r="N575"/>
      <c r="O575"/>
      <c r="P575" s="1">
        <f t="shared" si="55"/>
        <v>150.31282113821138</v>
      </c>
      <c r="Q575" s="1">
        <f t="shared" si="56"/>
        <v>155.05561280487802</v>
      </c>
      <c r="R575" s="1">
        <f t="shared" si="57"/>
        <v>160.19910676047724</v>
      </c>
      <c r="S575" s="1">
        <f t="shared" si="58"/>
        <v>97.878899345335512</v>
      </c>
    </row>
    <row r="576" spans="1:19" x14ac:dyDescent="0.3">
      <c r="A576">
        <v>10598.2</v>
      </c>
      <c r="B576">
        <v>156.42635300000001</v>
      </c>
      <c r="C576">
        <v>161.655632</v>
      </c>
      <c r="D576">
        <v>166.64996400000001</v>
      </c>
      <c r="E576">
        <v>97.215028000000004</v>
      </c>
      <c r="F576">
        <v>68.473966000000004</v>
      </c>
      <c r="G576">
        <v>40.015431</v>
      </c>
      <c r="H576">
        <v>43.016013000000001</v>
      </c>
      <c r="I576"/>
      <c r="N576"/>
      <c r="O576"/>
      <c r="P576" s="1">
        <f t="shared" si="55"/>
        <v>150.31282113821138</v>
      </c>
      <c r="Q576" s="1">
        <f t="shared" si="56"/>
        <v>155.05561280487802</v>
      </c>
      <c r="R576" s="1">
        <f t="shared" si="57"/>
        <v>160.19910676047724</v>
      </c>
      <c r="S576" s="1">
        <f t="shared" si="58"/>
        <v>97.878899345335512</v>
      </c>
    </row>
    <row r="577" spans="1:19" x14ac:dyDescent="0.3">
      <c r="A577">
        <v>10598.4</v>
      </c>
      <c r="B577">
        <v>156.421404</v>
      </c>
      <c r="C577">
        <v>161.64808300000001</v>
      </c>
      <c r="D577">
        <v>166.6567</v>
      </c>
      <c r="E577">
        <v>97.317953000000003</v>
      </c>
      <c r="F577">
        <v>68.382453999999996</v>
      </c>
      <c r="G577">
        <v>40.013596</v>
      </c>
      <c r="H577">
        <v>43.013719000000002</v>
      </c>
      <c r="I577"/>
      <c r="N577"/>
      <c r="O577"/>
      <c r="P577" s="1">
        <f t="shared" si="55"/>
        <v>150.31966463414633</v>
      </c>
      <c r="Q577" s="1">
        <f t="shared" si="56"/>
        <v>155.03609959349595</v>
      </c>
      <c r="R577" s="1">
        <f t="shared" si="57"/>
        <v>160.16819822575712</v>
      </c>
      <c r="S577" s="1">
        <f t="shared" si="58"/>
        <v>98.056375818330608</v>
      </c>
    </row>
    <row r="578" spans="1:19" x14ac:dyDescent="0.3">
      <c r="A578">
        <v>10598.6</v>
      </c>
      <c r="B578">
        <v>156.421404</v>
      </c>
      <c r="C578">
        <v>161.64808300000001</v>
      </c>
      <c r="D578">
        <v>166.6567</v>
      </c>
      <c r="E578">
        <v>97.317953000000003</v>
      </c>
      <c r="F578">
        <v>68.382453999999996</v>
      </c>
      <c r="G578">
        <v>40.013596</v>
      </c>
      <c r="H578">
        <v>43.013719000000002</v>
      </c>
      <c r="I578"/>
      <c r="N578"/>
      <c r="O578"/>
      <c r="P578" s="1">
        <f t="shared" si="55"/>
        <v>150.31966463414633</v>
      </c>
      <c r="Q578" s="1">
        <f t="shared" si="56"/>
        <v>155.03609959349595</v>
      </c>
      <c r="R578" s="1">
        <f t="shared" si="57"/>
        <v>160.16819822575712</v>
      </c>
      <c r="S578" s="1">
        <f t="shared" si="58"/>
        <v>98.056375818330608</v>
      </c>
    </row>
    <row r="579" spans="1:19" x14ac:dyDescent="0.3">
      <c r="A579">
        <v>10598.8</v>
      </c>
      <c r="B579">
        <v>156.431363</v>
      </c>
      <c r="C579">
        <v>161.636492</v>
      </c>
      <c r="D579">
        <v>166.65894299999999</v>
      </c>
      <c r="E579">
        <v>97.365629999999996</v>
      </c>
      <c r="F579">
        <v>68.540124000000006</v>
      </c>
      <c r="G579">
        <v>40.028968999999996</v>
      </c>
      <c r="H579">
        <v>42.978403999999998</v>
      </c>
      <c r="I579"/>
      <c r="N579"/>
      <c r="O579"/>
      <c r="P579" s="1">
        <f t="shared" si="55"/>
        <v>150.32390650406504</v>
      </c>
      <c r="Q579" s="1">
        <f t="shared" si="56"/>
        <v>155.03679369918697</v>
      </c>
      <c r="R579" s="1">
        <f t="shared" si="57"/>
        <v>160.19954216376058</v>
      </c>
      <c r="S579" s="1">
        <f t="shared" si="58"/>
        <v>98.011003477905064</v>
      </c>
    </row>
    <row r="580" spans="1:19" x14ac:dyDescent="0.3">
      <c r="A580">
        <v>10599</v>
      </c>
      <c r="B580">
        <v>156.431363</v>
      </c>
      <c r="C580">
        <v>161.636492</v>
      </c>
      <c r="D580">
        <v>166.65894299999999</v>
      </c>
      <c r="E580">
        <v>97.365629999999996</v>
      </c>
      <c r="F580">
        <v>68.540124000000006</v>
      </c>
      <c r="G580">
        <v>40.028968999999996</v>
      </c>
      <c r="H580">
        <v>42.978403999999998</v>
      </c>
      <c r="I580" t="s">
        <v>60</v>
      </c>
      <c r="N580"/>
      <c r="O580"/>
      <c r="P580" s="1">
        <f t="shared" si="55"/>
        <v>150.32390650406504</v>
      </c>
      <c r="Q580" s="1">
        <f t="shared" si="56"/>
        <v>155.03679369918697</v>
      </c>
      <c r="R580" s="1">
        <f t="shared" si="57"/>
        <v>160.19954216376058</v>
      </c>
      <c r="S580" s="1">
        <f t="shared" si="58"/>
        <v>98.011003477905064</v>
      </c>
    </row>
    <row r="581" spans="1:19" x14ac:dyDescent="0.3">
      <c r="A581">
        <v>10599.2</v>
      </c>
      <c r="B581">
        <v>156.42379500000001</v>
      </c>
      <c r="C581">
        <v>161.64227</v>
      </c>
      <c r="D581">
        <v>166.67497800000001</v>
      </c>
      <c r="E581">
        <v>97.445082999999997</v>
      </c>
      <c r="F581">
        <v>68.510954999999996</v>
      </c>
      <c r="G581">
        <v>40.011839999999999</v>
      </c>
      <c r="H581">
        <v>42.988501999999997</v>
      </c>
      <c r="I581"/>
      <c r="N581"/>
      <c r="O581"/>
      <c r="P581" s="1">
        <f t="shared" si="55"/>
        <v>150.30477337398372</v>
      </c>
      <c r="Q581" s="1">
        <f t="shared" si="56"/>
        <v>155.04206402439024</v>
      </c>
      <c r="R581" s="1">
        <f t="shared" si="57"/>
        <v>160.17962475782605</v>
      </c>
      <c r="S581" s="1">
        <f t="shared" si="58"/>
        <v>98.104975450081838</v>
      </c>
    </row>
    <row r="582" spans="1:19" x14ac:dyDescent="0.3">
      <c r="A582">
        <v>10599.4</v>
      </c>
      <c r="B582">
        <v>156.42379500000001</v>
      </c>
      <c r="C582">
        <v>161.64227</v>
      </c>
      <c r="D582">
        <v>166.67497800000001</v>
      </c>
      <c r="E582">
        <v>97.445082999999997</v>
      </c>
      <c r="F582">
        <v>68.510954999999996</v>
      </c>
      <c r="G582">
        <v>40.011839999999999</v>
      </c>
      <c r="H582">
        <v>42.988501999999997</v>
      </c>
      <c r="I582"/>
      <c r="N582"/>
      <c r="O582"/>
      <c r="P582" s="1">
        <f t="shared" si="55"/>
        <v>150.30477337398372</v>
      </c>
      <c r="Q582" s="1">
        <f t="shared" si="56"/>
        <v>155.04206402439024</v>
      </c>
      <c r="R582" s="1">
        <f t="shared" si="57"/>
        <v>160.17962475782605</v>
      </c>
      <c r="S582" s="1">
        <f t="shared" si="58"/>
        <v>98.104975450081838</v>
      </c>
    </row>
    <row r="583" spans="1:19" x14ac:dyDescent="0.3">
      <c r="A583">
        <v>10599.6</v>
      </c>
      <c r="B583">
        <v>156.42839799999999</v>
      </c>
      <c r="C583">
        <v>161.62459899999999</v>
      </c>
      <c r="D583">
        <v>166.677243</v>
      </c>
      <c r="E583">
        <v>97.499317000000005</v>
      </c>
      <c r="F583">
        <v>68.559741000000002</v>
      </c>
      <c r="G583">
        <v>40.042631999999998</v>
      </c>
      <c r="H583">
        <v>43.007134999999998</v>
      </c>
      <c r="I583"/>
      <c r="N583"/>
      <c r="O583"/>
      <c r="P583" s="1">
        <f t="shared" si="55"/>
        <v>150.3222550813008</v>
      </c>
      <c r="Q583" s="1">
        <f t="shared" si="56"/>
        <v>155.03489735772357</v>
      </c>
      <c r="R583" s="1">
        <f t="shared" si="57"/>
        <v>160.18077699602327</v>
      </c>
      <c r="S583" s="1">
        <f t="shared" si="58"/>
        <v>98.041398322422253</v>
      </c>
    </row>
    <row r="584" spans="1:19" x14ac:dyDescent="0.3">
      <c r="A584">
        <v>10599.8</v>
      </c>
      <c r="B584">
        <v>156.42839799999999</v>
      </c>
      <c r="C584">
        <v>161.62459899999999</v>
      </c>
      <c r="D584">
        <v>166.677243</v>
      </c>
      <c r="E584">
        <v>97.499317000000005</v>
      </c>
      <c r="F584">
        <v>68.559741000000002</v>
      </c>
      <c r="G584">
        <v>40.042631999999998</v>
      </c>
      <c r="H584">
        <v>43.007134999999998</v>
      </c>
      <c r="I584"/>
      <c r="N584"/>
      <c r="O584"/>
      <c r="P584" s="1">
        <f t="shared" si="55"/>
        <v>150.3222550813008</v>
      </c>
      <c r="Q584" s="1">
        <f t="shared" si="56"/>
        <v>155.03489735772357</v>
      </c>
      <c r="R584" s="1">
        <f t="shared" si="57"/>
        <v>160.18077699602327</v>
      </c>
      <c r="S584" s="1">
        <f t="shared" si="58"/>
        <v>98.041398322422253</v>
      </c>
    </row>
    <row r="585" spans="1:19" x14ac:dyDescent="0.3">
      <c r="A585">
        <v>10600</v>
      </c>
      <c r="B585">
        <v>156.42204699999999</v>
      </c>
      <c r="C585">
        <v>161.66750200000001</v>
      </c>
      <c r="D585">
        <v>166.66832400000001</v>
      </c>
      <c r="E585">
        <v>97.582200999999998</v>
      </c>
      <c r="F585">
        <v>68.442631000000006</v>
      </c>
      <c r="G585">
        <v>40.032671999999998</v>
      </c>
      <c r="H585">
        <v>43.011372000000001</v>
      </c>
      <c r="I585" t="s">
        <v>60</v>
      </c>
      <c r="N585"/>
      <c r="O585"/>
      <c r="P585" s="1">
        <f t="shared" si="55"/>
        <v>150.32163922764229</v>
      </c>
      <c r="Q585" s="1">
        <f t="shared" si="56"/>
        <v>155.02572154471545</v>
      </c>
      <c r="R585" s="1">
        <f t="shared" si="57"/>
        <v>160.1896624859794</v>
      </c>
      <c r="S585" s="1">
        <f t="shared" si="58"/>
        <v>98.037115384615376</v>
      </c>
    </row>
    <row r="586" spans="1:19" x14ac:dyDescent="0.3">
      <c r="A586">
        <v>10600.2</v>
      </c>
      <c r="B586">
        <v>156.42204699999999</v>
      </c>
      <c r="C586">
        <v>161.66750200000001</v>
      </c>
      <c r="D586">
        <v>166.66832400000001</v>
      </c>
      <c r="E586">
        <v>97.582200999999998</v>
      </c>
      <c r="F586">
        <v>68.442631000000006</v>
      </c>
      <c r="G586">
        <v>40.032671999999998</v>
      </c>
      <c r="H586">
        <v>43.011372000000001</v>
      </c>
      <c r="I586"/>
      <c r="N586"/>
      <c r="O586"/>
      <c r="P586" s="1">
        <f t="shared" si="55"/>
        <v>150.32163922764229</v>
      </c>
      <c r="Q586" s="1">
        <f t="shared" si="56"/>
        <v>155.02572154471545</v>
      </c>
      <c r="R586" s="1">
        <f t="shared" si="57"/>
        <v>160.1896624859794</v>
      </c>
      <c r="S586" s="1">
        <f t="shared" si="58"/>
        <v>98.037115384615376</v>
      </c>
    </row>
    <row r="587" spans="1:19" x14ac:dyDescent="0.3">
      <c r="A587">
        <v>10600.4</v>
      </c>
      <c r="B587">
        <v>156.44560899999999</v>
      </c>
      <c r="C587">
        <v>161.67120800000001</v>
      </c>
      <c r="D587">
        <v>166.65355600000001</v>
      </c>
      <c r="E587">
        <v>97.501261</v>
      </c>
      <c r="F587">
        <v>68.135109999999997</v>
      </c>
      <c r="G587">
        <v>40.016342000000002</v>
      </c>
      <c r="H587">
        <v>42.977193</v>
      </c>
      <c r="I587"/>
      <c r="N587"/>
      <c r="O587"/>
      <c r="P587" s="1">
        <f t="shared" si="55"/>
        <v>150.31272459349591</v>
      </c>
      <c r="Q587" s="1">
        <f t="shared" si="56"/>
        <v>155.02746646341461</v>
      </c>
      <c r="R587" s="1">
        <f t="shared" si="57"/>
        <v>160.20043540328339</v>
      </c>
      <c r="S587" s="1">
        <f t="shared" si="58"/>
        <v>98.107413052373161</v>
      </c>
    </row>
    <row r="588" spans="1:19" x14ac:dyDescent="0.3">
      <c r="A588">
        <v>10600.6</v>
      </c>
      <c r="B588">
        <v>156.44560899999999</v>
      </c>
      <c r="C588">
        <v>161.67120800000001</v>
      </c>
      <c r="D588">
        <v>166.65355600000001</v>
      </c>
      <c r="E588">
        <v>97.501261</v>
      </c>
      <c r="F588">
        <v>68.135109999999997</v>
      </c>
      <c r="G588">
        <v>40.016342000000002</v>
      </c>
      <c r="H588">
        <v>42.977193</v>
      </c>
      <c r="I588"/>
      <c r="N588"/>
      <c r="O588"/>
      <c r="P588" s="1">
        <f t="shared" si="55"/>
        <v>150.31272459349591</v>
      </c>
      <c r="Q588" s="1">
        <f t="shared" si="56"/>
        <v>155.02746646341461</v>
      </c>
      <c r="R588" s="1">
        <f t="shared" si="57"/>
        <v>160.20043540328339</v>
      </c>
      <c r="S588" s="1">
        <f t="shared" si="58"/>
        <v>98.107413052373161</v>
      </c>
    </row>
    <row r="589" spans="1:19" x14ac:dyDescent="0.3">
      <c r="A589">
        <v>10600.8</v>
      </c>
      <c r="B589">
        <v>156.447227</v>
      </c>
      <c r="C589">
        <v>161.65687500000001</v>
      </c>
      <c r="D589">
        <v>166.66779099999999</v>
      </c>
      <c r="E589">
        <v>97.482315</v>
      </c>
      <c r="F589">
        <v>68.002279000000001</v>
      </c>
      <c r="G589">
        <v>40.027887999999997</v>
      </c>
      <c r="H589">
        <v>42.975003000000001</v>
      </c>
      <c r="I589"/>
      <c r="N589"/>
      <c r="O589"/>
      <c r="P589" s="1">
        <f t="shared" si="55"/>
        <v>150.30667174796747</v>
      </c>
      <c r="Q589" s="1">
        <f t="shared" si="56"/>
        <v>155.03921646341462</v>
      </c>
      <c r="R589" s="1">
        <f t="shared" si="57"/>
        <v>160.18129295401246</v>
      </c>
      <c r="S589" s="1">
        <f t="shared" si="58"/>
        <v>98.136522094926349</v>
      </c>
    </row>
    <row r="590" spans="1:19" x14ac:dyDescent="0.3">
      <c r="A590">
        <v>10601</v>
      </c>
      <c r="B590">
        <v>156.447227</v>
      </c>
      <c r="C590">
        <v>161.65687500000001</v>
      </c>
      <c r="D590">
        <v>166.66779099999999</v>
      </c>
      <c r="E590">
        <v>97.482315</v>
      </c>
      <c r="F590">
        <v>68.002279000000001</v>
      </c>
      <c r="G590">
        <v>40.027887999999997</v>
      </c>
      <c r="H590">
        <v>42.975003000000001</v>
      </c>
      <c r="I590" t="s">
        <v>60</v>
      </c>
      <c r="N590"/>
      <c r="O590"/>
      <c r="P590" s="1">
        <f t="shared" si="55"/>
        <v>150.30667174796747</v>
      </c>
      <c r="Q590" s="1">
        <f t="shared" si="56"/>
        <v>155.03921646341462</v>
      </c>
      <c r="R590" s="1">
        <f t="shared" si="57"/>
        <v>160.18129295401246</v>
      </c>
      <c r="S590" s="1">
        <f t="shared" si="58"/>
        <v>98.136522094926349</v>
      </c>
    </row>
    <row r="591" spans="1:19" x14ac:dyDescent="0.3">
      <c r="A591">
        <v>10601.2</v>
      </c>
      <c r="B591">
        <v>156.43146400000001</v>
      </c>
      <c r="C591">
        <v>161.671558</v>
      </c>
      <c r="D591">
        <v>166.65694199999999</v>
      </c>
      <c r="E591">
        <v>97.400200999999996</v>
      </c>
      <c r="F591">
        <v>68.070158000000006</v>
      </c>
      <c r="G591">
        <v>40.033394000000001</v>
      </c>
      <c r="H591">
        <v>42.986767999999998</v>
      </c>
      <c r="I591"/>
      <c r="N591"/>
      <c r="O591"/>
      <c r="P591" s="1">
        <f t="shared" si="55"/>
        <v>150.32920934959347</v>
      </c>
      <c r="Q591" s="1">
        <f t="shared" si="56"/>
        <v>155.04021646341462</v>
      </c>
      <c r="R591" s="1">
        <f t="shared" si="57"/>
        <v>160.18799428979301</v>
      </c>
      <c r="S591" s="1">
        <f t="shared" si="58"/>
        <v>98.168111702127646</v>
      </c>
    </row>
    <row r="592" spans="1:19" x14ac:dyDescent="0.3">
      <c r="A592">
        <v>10601.4</v>
      </c>
      <c r="B592">
        <v>156.43146400000001</v>
      </c>
      <c r="C592">
        <v>161.671558</v>
      </c>
      <c r="D592">
        <v>166.65694199999999</v>
      </c>
      <c r="E592">
        <v>97.400200999999996</v>
      </c>
      <c r="F592">
        <v>68.070158000000006</v>
      </c>
      <c r="G592">
        <v>40.033394000000001</v>
      </c>
      <c r="H592">
        <v>42.986767999999998</v>
      </c>
      <c r="I592"/>
      <c r="N592"/>
      <c r="O592"/>
      <c r="P592" s="1">
        <f t="shared" si="55"/>
        <v>150.32920934959347</v>
      </c>
      <c r="Q592" s="1">
        <f t="shared" si="56"/>
        <v>155.04021646341462</v>
      </c>
      <c r="R592" s="1">
        <f t="shared" si="57"/>
        <v>160.18799428979301</v>
      </c>
      <c r="S592" s="1">
        <f t="shared" si="58"/>
        <v>98.168111702127646</v>
      </c>
    </row>
    <row r="593" spans="1:19" x14ac:dyDescent="0.3">
      <c r="A593">
        <v>10601.6</v>
      </c>
      <c r="B593">
        <v>156.439165</v>
      </c>
      <c r="C593">
        <v>161.64408900000001</v>
      </c>
      <c r="D593">
        <v>166.68029300000001</v>
      </c>
      <c r="E593">
        <v>97.555662999999996</v>
      </c>
      <c r="F593">
        <v>68.412163000000007</v>
      </c>
      <c r="G593">
        <v>40.017843999999997</v>
      </c>
      <c r="H593">
        <v>43.000065999999997</v>
      </c>
      <c r="I593"/>
      <c r="N593"/>
      <c r="O593"/>
      <c r="P593" s="1">
        <f t="shared" si="55"/>
        <v>159.76915955284554</v>
      </c>
      <c r="Q593" s="1">
        <f t="shared" si="56"/>
        <v>165.08346747967479</v>
      </c>
      <c r="R593" s="1">
        <f t="shared" si="57"/>
        <v>170.75585194249007</v>
      </c>
      <c r="S593" s="1">
        <f t="shared" si="58"/>
        <v>100.38750818330605</v>
      </c>
    </row>
    <row r="594" spans="1:19" x14ac:dyDescent="0.3">
      <c r="A594">
        <v>10601.8</v>
      </c>
      <c r="B594">
        <v>156.439165</v>
      </c>
      <c r="C594">
        <v>161.64408900000001</v>
      </c>
      <c r="D594">
        <v>166.68029300000001</v>
      </c>
      <c r="E594">
        <v>97.555662999999996</v>
      </c>
      <c r="F594">
        <v>68.412163000000007</v>
      </c>
      <c r="G594">
        <v>40.017843999999997</v>
      </c>
      <c r="H594">
        <v>43.000065999999997</v>
      </c>
      <c r="I594"/>
      <c r="N594"/>
      <c r="O594"/>
      <c r="P594" s="1">
        <f t="shared" si="55"/>
        <v>159.76915955284554</v>
      </c>
      <c r="Q594" s="1">
        <f t="shared" si="56"/>
        <v>165.08346747967479</v>
      </c>
      <c r="R594" s="1">
        <f t="shared" si="57"/>
        <v>170.75585194249007</v>
      </c>
      <c r="S594" s="1">
        <f t="shared" si="58"/>
        <v>100.38750818330605</v>
      </c>
    </row>
    <row r="595" spans="1:19" x14ac:dyDescent="0.3">
      <c r="A595">
        <v>10602</v>
      </c>
      <c r="B595">
        <v>156.45799400000001</v>
      </c>
      <c r="C595">
        <v>161.656654</v>
      </c>
      <c r="D595">
        <v>166.693973</v>
      </c>
      <c r="E595">
        <v>97.613923</v>
      </c>
      <c r="F595">
        <v>68.365046000000007</v>
      </c>
      <c r="G595">
        <v>40.010261999999997</v>
      </c>
      <c r="H595">
        <v>42.996918000000001</v>
      </c>
      <c r="I595" t="s">
        <v>60</v>
      </c>
      <c r="N595"/>
      <c r="O595"/>
      <c r="P595" s="1">
        <f t="shared" si="55"/>
        <v>159.76413008130081</v>
      </c>
      <c r="Q595" s="1">
        <f t="shared" si="56"/>
        <v>165.07579573170733</v>
      </c>
      <c r="R595" s="1">
        <f t="shared" si="57"/>
        <v>170.76272050576119</v>
      </c>
      <c r="S595" s="1">
        <f t="shared" si="58"/>
        <v>100.49279153027824</v>
      </c>
    </row>
    <row r="596" spans="1:19" x14ac:dyDescent="0.3">
      <c r="A596">
        <v>10602.2</v>
      </c>
      <c r="B596">
        <v>156.45799400000001</v>
      </c>
      <c r="C596">
        <v>161.656654</v>
      </c>
      <c r="D596">
        <v>166.693973</v>
      </c>
      <c r="E596">
        <v>97.613923</v>
      </c>
      <c r="F596">
        <v>68.365046000000007</v>
      </c>
      <c r="G596">
        <v>40.010261999999997</v>
      </c>
      <c r="H596">
        <v>42.996918000000001</v>
      </c>
      <c r="I596"/>
      <c r="N596"/>
      <c r="O596"/>
      <c r="P596" s="1">
        <f t="shared" si="55"/>
        <v>159.76413008130081</v>
      </c>
      <c r="Q596" s="1">
        <f t="shared" si="56"/>
        <v>165.07579573170733</v>
      </c>
      <c r="R596" s="1">
        <f t="shared" si="57"/>
        <v>170.76272050576119</v>
      </c>
      <c r="S596" s="1">
        <f t="shared" si="58"/>
        <v>100.49279153027824</v>
      </c>
    </row>
    <row r="597" spans="1:19" x14ac:dyDescent="0.3">
      <c r="A597">
        <v>10602.4</v>
      </c>
      <c r="B597">
        <v>156.446178</v>
      </c>
      <c r="C597">
        <v>161.65159800000001</v>
      </c>
      <c r="D597">
        <v>166.67468600000001</v>
      </c>
      <c r="E597">
        <v>97.650305000000003</v>
      </c>
      <c r="F597">
        <v>68.060188999999994</v>
      </c>
      <c r="G597">
        <v>40.038136999999999</v>
      </c>
      <c r="H597">
        <v>43.027045000000001</v>
      </c>
      <c r="I597"/>
      <c r="N597"/>
      <c r="O597"/>
      <c r="P597" s="1">
        <f t="shared" si="55"/>
        <v>159.77425101626017</v>
      </c>
      <c r="Q597" s="1">
        <f t="shared" si="56"/>
        <v>165.06401626016259</v>
      </c>
      <c r="R597" s="1">
        <f t="shared" si="57"/>
        <v>170.76500764759865</v>
      </c>
      <c r="S597" s="1">
        <f t="shared" si="58"/>
        <v>100.54156096563011</v>
      </c>
    </row>
    <row r="598" spans="1:19" x14ac:dyDescent="0.3">
      <c r="A598">
        <v>10602.6</v>
      </c>
      <c r="B598">
        <v>156.446178</v>
      </c>
      <c r="C598">
        <v>161.65159800000001</v>
      </c>
      <c r="D598">
        <v>166.67468600000001</v>
      </c>
      <c r="E598">
        <v>97.650305000000003</v>
      </c>
      <c r="F598">
        <v>68.060188999999994</v>
      </c>
      <c r="G598">
        <v>40.038136999999999</v>
      </c>
      <c r="H598">
        <v>43.027045000000001</v>
      </c>
      <c r="I598"/>
      <c r="N598"/>
      <c r="O598"/>
      <c r="P598" s="1">
        <f t="shared" si="55"/>
        <v>159.77425101626017</v>
      </c>
      <c r="Q598" s="1">
        <f t="shared" si="56"/>
        <v>165.06401626016259</v>
      </c>
      <c r="R598" s="1">
        <f t="shared" si="57"/>
        <v>170.76500764759865</v>
      </c>
      <c r="S598" s="1">
        <f t="shared" si="58"/>
        <v>100.54156096563011</v>
      </c>
    </row>
    <row r="599" spans="1:19" x14ac:dyDescent="0.3">
      <c r="A599">
        <v>10602.8</v>
      </c>
      <c r="B599">
        <v>156.46283600000001</v>
      </c>
      <c r="C599">
        <v>161.65823</v>
      </c>
      <c r="D599">
        <v>166.674046</v>
      </c>
      <c r="E599">
        <v>97.521021000000005</v>
      </c>
      <c r="F599">
        <v>68.021676999999997</v>
      </c>
      <c r="G599">
        <v>40.032285000000002</v>
      </c>
      <c r="H599">
        <v>43.023764</v>
      </c>
      <c r="I599"/>
      <c r="N599"/>
      <c r="O599"/>
      <c r="P599" s="1">
        <f t="shared" si="55"/>
        <v>159.76655995934959</v>
      </c>
      <c r="Q599" s="1">
        <f t="shared" si="56"/>
        <v>165.06988821138211</v>
      </c>
      <c r="R599" s="1">
        <f t="shared" si="57"/>
        <v>170.78135821352097</v>
      </c>
      <c r="S599" s="1">
        <f t="shared" si="58"/>
        <v>100.62283449263502</v>
      </c>
    </row>
    <row r="600" spans="1:19" x14ac:dyDescent="0.3">
      <c r="A600">
        <v>10603</v>
      </c>
      <c r="B600">
        <v>156.46283600000001</v>
      </c>
      <c r="C600">
        <v>161.65823</v>
      </c>
      <c r="D600">
        <v>166.674046</v>
      </c>
      <c r="E600">
        <v>97.521021000000005</v>
      </c>
      <c r="F600">
        <v>68.021676999999997</v>
      </c>
      <c r="G600">
        <v>40.032285000000002</v>
      </c>
      <c r="H600">
        <v>43.023764</v>
      </c>
      <c r="I600" t="s">
        <v>60</v>
      </c>
      <c r="N600"/>
      <c r="O600"/>
      <c r="P600" s="1">
        <f t="shared" si="55"/>
        <v>159.76655995934959</v>
      </c>
      <c r="Q600" s="1">
        <f t="shared" si="56"/>
        <v>165.06988821138211</v>
      </c>
      <c r="R600" s="1">
        <f t="shared" si="57"/>
        <v>170.78135821352097</v>
      </c>
      <c r="S600" s="1">
        <f t="shared" si="58"/>
        <v>100.62283449263502</v>
      </c>
    </row>
    <row r="601" spans="1:19" x14ac:dyDescent="0.3">
      <c r="A601">
        <v>10603.2</v>
      </c>
      <c r="B601">
        <v>156.45461499999999</v>
      </c>
      <c r="C601">
        <v>161.63378599999999</v>
      </c>
      <c r="D601">
        <v>166.66980100000001</v>
      </c>
      <c r="E601">
        <v>97.538557999999995</v>
      </c>
      <c r="F601">
        <v>68.019705999999999</v>
      </c>
      <c r="G601">
        <v>40.041960000000003</v>
      </c>
      <c r="H601">
        <v>43.002979000000003</v>
      </c>
      <c r="I601"/>
      <c r="N601"/>
      <c r="O601"/>
      <c r="P601" s="1">
        <f t="shared" si="55"/>
        <v>159.77123780487804</v>
      </c>
      <c r="Q601" s="1">
        <f t="shared" si="56"/>
        <v>165.05192987804875</v>
      </c>
      <c r="R601" s="1">
        <f t="shared" si="57"/>
        <v>170.78366778831449</v>
      </c>
      <c r="S601" s="1">
        <f t="shared" si="58"/>
        <v>100.67831117021277</v>
      </c>
    </row>
    <row r="602" spans="1:19" x14ac:dyDescent="0.3">
      <c r="A602">
        <v>10603.4</v>
      </c>
      <c r="B602">
        <v>156.45461499999999</v>
      </c>
      <c r="C602">
        <v>161.63378599999999</v>
      </c>
      <c r="D602">
        <v>166.66980100000001</v>
      </c>
      <c r="E602">
        <v>97.538557999999995</v>
      </c>
      <c r="F602">
        <v>68.019705999999999</v>
      </c>
      <c r="G602">
        <v>40.041960000000003</v>
      </c>
      <c r="H602">
        <v>43.002979000000003</v>
      </c>
      <c r="I602"/>
      <c r="N602"/>
      <c r="O602"/>
      <c r="P602" s="1">
        <f t="shared" si="55"/>
        <v>159.77123780487804</v>
      </c>
      <c r="Q602" s="1">
        <f t="shared" si="56"/>
        <v>165.05192987804875</v>
      </c>
      <c r="R602" s="1">
        <f t="shared" si="57"/>
        <v>170.78366778831449</v>
      </c>
      <c r="S602" s="1">
        <f t="shared" si="58"/>
        <v>100.67831117021277</v>
      </c>
    </row>
    <row r="603" spans="1:19" x14ac:dyDescent="0.3">
      <c r="A603">
        <v>10603.6</v>
      </c>
      <c r="B603">
        <v>156.448643</v>
      </c>
      <c r="C603">
        <v>161.66205099999999</v>
      </c>
      <c r="D603">
        <v>166.681589</v>
      </c>
      <c r="E603">
        <v>97.621584999999996</v>
      </c>
      <c r="F603">
        <v>68.142152999999993</v>
      </c>
      <c r="G603">
        <v>40.006486000000002</v>
      </c>
      <c r="H603">
        <v>42.995707000000003</v>
      </c>
      <c r="I603"/>
      <c r="N603"/>
      <c r="O603"/>
      <c r="P603" s="1">
        <f t="shared" si="55"/>
        <v>159.76478353658536</v>
      </c>
      <c r="Q603" s="1">
        <f t="shared" si="56"/>
        <v>165.09553048780489</v>
      </c>
      <c r="R603" s="1">
        <f t="shared" si="57"/>
        <v>170.77457326399514</v>
      </c>
      <c r="S603" s="1">
        <f t="shared" si="58"/>
        <v>100.76309431260229</v>
      </c>
    </row>
    <row r="604" spans="1:19" x14ac:dyDescent="0.3">
      <c r="A604">
        <v>10603.8</v>
      </c>
      <c r="B604">
        <v>156.448643</v>
      </c>
      <c r="C604">
        <v>161.66205099999999</v>
      </c>
      <c r="D604">
        <v>166.681589</v>
      </c>
      <c r="E604">
        <v>97.621584999999996</v>
      </c>
      <c r="F604">
        <v>68.142152999999993</v>
      </c>
      <c r="G604">
        <v>40.006486000000002</v>
      </c>
      <c r="H604">
        <v>42.995707000000003</v>
      </c>
      <c r="I604"/>
      <c r="N604"/>
      <c r="O604"/>
      <c r="P604" s="1">
        <f t="shared" si="55"/>
        <v>159.76478353658536</v>
      </c>
      <c r="Q604" s="1">
        <f t="shared" si="56"/>
        <v>165.09553048780489</v>
      </c>
      <c r="R604" s="1">
        <f t="shared" si="57"/>
        <v>170.77457326399514</v>
      </c>
      <c r="S604" s="1">
        <f t="shared" si="58"/>
        <v>100.76309431260229</v>
      </c>
    </row>
    <row r="605" spans="1:19" x14ac:dyDescent="0.3">
      <c r="A605">
        <v>10604</v>
      </c>
      <c r="B605">
        <v>156.45120299999999</v>
      </c>
      <c r="C605">
        <v>161.667202</v>
      </c>
      <c r="D605">
        <v>166.69045700000001</v>
      </c>
      <c r="E605">
        <v>97.533692000000002</v>
      </c>
      <c r="F605">
        <v>68.605743000000004</v>
      </c>
      <c r="G605">
        <v>40.028458999999998</v>
      </c>
      <c r="H605">
        <v>42.998804999999997</v>
      </c>
      <c r="I605" t="s">
        <v>60</v>
      </c>
      <c r="N605"/>
      <c r="O605"/>
      <c r="P605" s="1">
        <f t="shared" si="55"/>
        <v>159.78872865853657</v>
      </c>
      <c r="Q605" s="1">
        <f t="shared" si="56"/>
        <v>165.09929674796749</v>
      </c>
      <c r="R605" s="1">
        <f t="shared" si="57"/>
        <v>170.75951463240546</v>
      </c>
      <c r="S605" s="1">
        <f t="shared" si="58"/>
        <v>100.68029971358429</v>
      </c>
    </row>
    <row r="606" spans="1:19" x14ac:dyDescent="0.3">
      <c r="A606">
        <v>10604.2</v>
      </c>
      <c r="B606">
        <v>156.45120299999999</v>
      </c>
      <c r="C606">
        <v>161.667202</v>
      </c>
      <c r="D606">
        <v>166.69045700000001</v>
      </c>
      <c r="E606">
        <v>97.533692000000002</v>
      </c>
      <c r="F606">
        <v>68.605743000000004</v>
      </c>
      <c r="G606">
        <v>40.028458999999998</v>
      </c>
      <c r="H606">
        <v>42.998804999999997</v>
      </c>
      <c r="I606"/>
      <c r="N606"/>
      <c r="O606"/>
      <c r="P606" s="1">
        <f t="shared" si="55"/>
        <v>159.78872865853657</v>
      </c>
      <c r="Q606" s="1">
        <f t="shared" si="56"/>
        <v>165.09929674796749</v>
      </c>
      <c r="R606" s="1">
        <f t="shared" si="57"/>
        <v>170.75951463240546</v>
      </c>
      <c r="S606" s="1">
        <f t="shared" si="58"/>
        <v>100.68029971358429</v>
      </c>
    </row>
    <row r="607" spans="1:19" x14ac:dyDescent="0.3">
      <c r="A607">
        <v>10604.4</v>
      </c>
      <c r="B607">
        <v>156.46533299999999</v>
      </c>
      <c r="C607">
        <v>161.67599000000001</v>
      </c>
      <c r="D607">
        <v>166.68425199999999</v>
      </c>
      <c r="E607">
        <v>97.418425999999997</v>
      </c>
      <c r="F607">
        <v>68.126468000000003</v>
      </c>
      <c r="G607">
        <v>40.032215000000001</v>
      </c>
      <c r="H607">
        <v>43.003016000000002</v>
      </c>
      <c r="I607"/>
      <c r="N607"/>
      <c r="O607"/>
      <c r="P607" s="1">
        <f t="shared" si="55"/>
        <v>159.79037296747967</v>
      </c>
      <c r="Q607" s="1">
        <f t="shared" si="56"/>
        <v>165.0847306910569</v>
      </c>
      <c r="R607" s="1">
        <f t="shared" si="57"/>
        <v>170.77402977465076</v>
      </c>
      <c r="S607" s="1">
        <f t="shared" si="58"/>
        <v>100.660919599018</v>
      </c>
    </row>
    <row r="608" spans="1:19" x14ac:dyDescent="0.3">
      <c r="A608">
        <v>10604.6</v>
      </c>
      <c r="B608">
        <v>156.46533299999999</v>
      </c>
      <c r="C608">
        <v>161.67599000000001</v>
      </c>
      <c r="D608">
        <v>166.68425199999999</v>
      </c>
      <c r="E608">
        <v>97.418425999999997</v>
      </c>
      <c r="F608">
        <v>68.126468000000003</v>
      </c>
      <c r="G608">
        <v>40.032215000000001</v>
      </c>
      <c r="H608">
        <v>43.003016000000002</v>
      </c>
      <c r="I608"/>
      <c r="N608"/>
      <c r="O608"/>
      <c r="P608" s="1">
        <f t="shared" si="55"/>
        <v>159.79037296747967</v>
      </c>
      <c r="Q608" s="1">
        <f t="shared" si="56"/>
        <v>165.0847306910569</v>
      </c>
      <c r="R608" s="1">
        <f t="shared" si="57"/>
        <v>170.77402977465076</v>
      </c>
      <c r="S608" s="1">
        <f t="shared" si="58"/>
        <v>100.660919599018</v>
      </c>
    </row>
    <row r="609" spans="1:19" x14ac:dyDescent="0.3">
      <c r="A609">
        <v>10604.8</v>
      </c>
      <c r="B609">
        <v>156.46478099999999</v>
      </c>
      <c r="C609">
        <v>161.66158999999999</v>
      </c>
      <c r="D609">
        <v>166.67341999999999</v>
      </c>
      <c r="E609">
        <v>97.267386000000002</v>
      </c>
      <c r="F609">
        <v>68.172667000000004</v>
      </c>
      <c r="G609">
        <v>40.027399000000003</v>
      </c>
      <c r="H609">
        <v>43.019123</v>
      </c>
      <c r="I609"/>
      <c r="N609"/>
      <c r="O609"/>
      <c r="P609" s="1">
        <f t="shared" si="55"/>
        <v>159.77435365853657</v>
      </c>
      <c r="Q609" s="1">
        <f t="shared" si="56"/>
        <v>165.0996524390244</v>
      </c>
      <c r="R609" s="1">
        <f t="shared" si="57"/>
        <v>170.76296726827775</v>
      </c>
      <c r="S609" s="1">
        <f t="shared" si="58"/>
        <v>100.57692409983633</v>
      </c>
    </row>
    <row r="610" spans="1:19" x14ac:dyDescent="0.3">
      <c r="A610">
        <v>10605</v>
      </c>
      <c r="B610">
        <v>156.46478099999999</v>
      </c>
      <c r="C610">
        <v>161.66158999999999</v>
      </c>
      <c r="D610">
        <v>166.67341999999999</v>
      </c>
      <c r="E610">
        <v>97.267386000000002</v>
      </c>
      <c r="F610">
        <v>68.172667000000004</v>
      </c>
      <c r="G610">
        <v>40.027399000000003</v>
      </c>
      <c r="H610">
        <v>43.019123</v>
      </c>
      <c r="I610" t="s">
        <v>60</v>
      </c>
      <c r="N610"/>
      <c r="O610"/>
      <c r="P610" s="1">
        <f t="shared" si="55"/>
        <v>159.77435365853657</v>
      </c>
      <c r="Q610" s="1">
        <f t="shared" si="56"/>
        <v>165.0996524390244</v>
      </c>
      <c r="R610" s="1">
        <f t="shared" si="57"/>
        <v>170.76296726827775</v>
      </c>
      <c r="S610" s="1">
        <f t="shared" si="58"/>
        <v>100.57692409983633</v>
      </c>
    </row>
    <row r="611" spans="1:19" x14ac:dyDescent="0.3">
      <c r="A611">
        <v>10605.2</v>
      </c>
      <c r="B611">
        <v>156.452564</v>
      </c>
      <c r="C611">
        <v>161.65941699999999</v>
      </c>
      <c r="D611">
        <v>166.68410600000001</v>
      </c>
      <c r="E611">
        <v>97.303601</v>
      </c>
      <c r="F611">
        <v>68.244309000000001</v>
      </c>
      <c r="G611">
        <v>40.021681000000001</v>
      </c>
      <c r="H611">
        <v>43.005752000000001</v>
      </c>
      <c r="I611"/>
      <c r="N611"/>
      <c r="O611"/>
      <c r="P611" s="1">
        <f t="shared" si="55"/>
        <v>159.78217987804877</v>
      </c>
      <c r="Q611" s="1">
        <f t="shared" si="56"/>
        <v>165.0717367886179</v>
      </c>
      <c r="R611" s="1">
        <f t="shared" si="57"/>
        <v>170.78677781176711</v>
      </c>
      <c r="S611" s="1">
        <f t="shared" si="58"/>
        <v>100.7359482405892</v>
      </c>
    </row>
    <row r="612" spans="1:19" x14ac:dyDescent="0.3">
      <c r="A612">
        <v>10605.4</v>
      </c>
      <c r="B612">
        <v>156.452564</v>
      </c>
      <c r="C612">
        <v>161.65941699999999</v>
      </c>
      <c r="D612">
        <v>166.68410600000001</v>
      </c>
      <c r="E612">
        <v>97.303601</v>
      </c>
      <c r="F612">
        <v>68.244309000000001</v>
      </c>
      <c r="G612">
        <v>40.021681000000001</v>
      </c>
      <c r="H612">
        <v>43.005752000000001</v>
      </c>
      <c r="I612"/>
      <c r="N612"/>
      <c r="O612"/>
      <c r="P612" s="1">
        <f t="shared" si="55"/>
        <v>159.78217987804877</v>
      </c>
      <c r="Q612" s="1">
        <f t="shared" si="56"/>
        <v>165.0717367886179</v>
      </c>
      <c r="R612" s="1">
        <f t="shared" si="57"/>
        <v>170.78677781176711</v>
      </c>
      <c r="S612" s="1">
        <f t="shared" si="58"/>
        <v>100.7359482405892</v>
      </c>
    </row>
    <row r="613" spans="1:19" x14ac:dyDescent="0.3">
      <c r="A613">
        <v>10605.6</v>
      </c>
      <c r="B613">
        <v>156.44160400000001</v>
      </c>
      <c r="C613">
        <v>161.65803500000001</v>
      </c>
      <c r="D613">
        <v>166.693479</v>
      </c>
      <c r="E613">
        <v>97.481176000000005</v>
      </c>
      <c r="F613">
        <v>68.464845999999994</v>
      </c>
      <c r="G613">
        <v>40.011200000000002</v>
      </c>
      <c r="H613">
        <v>42.995064999999997</v>
      </c>
      <c r="I613"/>
      <c r="N613"/>
      <c r="O613"/>
      <c r="P613" s="1">
        <f t="shared" si="55"/>
        <v>159.80131504065042</v>
      </c>
      <c r="Q613" s="1">
        <f t="shared" si="56"/>
        <v>165.08450609756096</v>
      </c>
      <c r="R613" s="1">
        <f t="shared" si="57"/>
        <v>170.80072703171206</v>
      </c>
      <c r="S613" s="1">
        <f t="shared" si="58"/>
        <v>100.79554316693944</v>
      </c>
    </row>
    <row r="614" spans="1:19" x14ac:dyDescent="0.3">
      <c r="A614">
        <v>10605.8</v>
      </c>
      <c r="B614">
        <v>156.44160400000001</v>
      </c>
      <c r="C614">
        <v>161.65803500000001</v>
      </c>
      <c r="D614">
        <v>166.693479</v>
      </c>
      <c r="E614">
        <v>97.481176000000005</v>
      </c>
      <c r="F614">
        <v>68.464845999999994</v>
      </c>
      <c r="G614">
        <v>40.011200000000002</v>
      </c>
      <c r="H614">
        <v>42.995064999999997</v>
      </c>
      <c r="I614"/>
      <c r="N614"/>
      <c r="O614"/>
      <c r="P614" s="1">
        <f t="shared" si="55"/>
        <v>159.80131504065042</v>
      </c>
      <c r="Q614" s="1">
        <f t="shared" si="56"/>
        <v>165.08450609756096</v>
      </c>
      <c r="R614" s="1">
        <f t="shared" si="57"/>
        <v>170.80072703171206</v>
      </c>
      <c r="S614" s="1">
        <f t="shared" si="58"/>
        <v>100.79554316693944</v>
      </c>
    </row>
    <row r="615" spans="1:19" x14ac:dyDescent="0.3">
      <c r="A615">
        <v>10606</v>
      </c>
      <c r="B615">
        <v>156.43024700000001</v>
      </c>
      <c r="C615">
        <v>161.65062499999999</v>
      </c>
      <c r="D615">
        <v>166.681894</v>
      </c>
      <c r="E615">
        <v>97.603851000000006</v>
      </c>
      <c r="F615">
        <v>68.211391000000006</v>
      </c>
      <c r="G615">
        <v>40.014975999999997</v>
      </c>
      <c r="H615">
        <v>43.024388000000002</v>
      </c>
      <c r="I615" t="s">
        <v>60</v>
      </c>
      <c r="N615"/>
      <c r="O615"/>
      <c r="P615" s="1">
        <f t="shared" si="55"/>
        <v>159.78930691056911</v>
      </c>
      <c r="Q615" s="1">
        <f t="shared" si="56"/>
        <v>165.07936788617886</v>
      </c>
      <c r="R615" s="1">
        <f t="shared" si="57"/>
        <v>170.78106046701339</v>
      </c>
      <c r="S615" s="1">
        <f t="shared" si="58"/>
        <v>100.83275879705401</v>
      </c>
    </row>
    <row r="616" spans="1:19" x14ac:dyDescent="0.3">
      <c r="A616">
        <v>10606.2</v>
      </c>
      <c r="B616">
        <v>156.43024700000001</v>
      </c>
      <c r="C616">
        <v>161.65062499999999</v>
      </c>
      <c r="D616">
        <v>166.681894</v>
      </c>
      <c r="E616">
        <v>97.603851000000006</v>
      </c>
      <c r="F616">
        <v>68.211391000000006</v>
      </c>
      <c r="G616">
        <v>40.014975999999997</v>
      </c>
      <c r="H616">
        <v>43.024388000000002</v>
      </c>
      <c r="I616"/>
      <c r="N616"/>
      <c r="O616"/>
      <c r="P616" s="1">
        <f t="shared" si="55"/>
        <v>159.78930691056911</v>
      </c>
      <c r="Q616" s="1">
        <f t="shared" si="56"/>
        <v>165.07936788617886</v>
      </c>
      <c r="R616" s="1">
        <f t="shared" si="57"/>
        <v>170.78106046701339</v>
      </c>
      <c r="S616" s="1">
        <f t="shared" si="58"/>
        <v>100.83275879705401</v>
      </c>
    </row>
    <row r="617" spans="1:19" x14ac:dyDescent="0.3">
      <c r="A617">
        <v>10606.4</v>
      </c>
      <c r="B617">
        <v>156.45300499999999</v>
      </c>
      <c r="C617">
        <v>161.64976899999999</v>
      </c>
      <c r="D617">
        <v>166.66492099999999</v>
      </c>
      <c r="E617">
        <v>97.589284000000006</v>
      </c>
      <c r="F617">
        <v>68.577714</v>
      </c>
      <c r="G617">
        <v>40.018087999999999</v>
      </c>
      <c r="H617">
        <v>42.987996000000003</v>
      </c>
      <c r="I617"/>
      <c r="N617"/>
      <c r="O617"/>
      <c r="P617" s="1">
        <f t="shared" si="55"/>
        <v>159.80623577235772</v>
      </c>
      <c r="Q617" s="1">
        <f t="shared" si="56"/>
        <v>165.08610772357724</v>
      </c>
      <c r="R617" s="1">
        <f t="shared" si="57"/>
        <v>170.78040787192822</v>
      </c>
      <c r="S617" s="1">
        <f t="shared" si="58"/>
        <v>100.70051247954174</v>
      </c>
    </row>
    <row r="618" spans="1:19" x14ac:dyDescent="0.3">
      <c r="A618">
        <v>10606.6</v>
      </c>
      <c r="B618">
        <v>156.45300499999999</v>
      </c>
      <c r="C618">
        <v>161.64976899999999</v>
      </c>
      <c r="D618">
        <v>166.66492099999999</v>
      </c>
      <c r="E618">
        <v>97.589284000000006</v>
      </c>
      <c r="F618">
        <v>68.577714</v>
      </c>
      <c r="G618">
        <v>40.018087999999999</v>
      </c>
      <c r="H618">
        <v>42.987996000000003</v>
      </c>
      <c r="I618"/>
      <c r="N618"/>
      <c r="O618"/>
      <c r="P618" s="1">
        <f t="shared" si="55"/>
        <v>159.80623577235772</v>
      </c>
      <c r="Q618" s="1">
        <f t="shared" si="56"/>
        <v>165.08610772357724</v>
      </c>
      <c r="R618" s="1">
        <f t="shared" si="57"/>
        <v>170.78040787192822</v>
      </c>
      <c r="S618" s="1">
        <f t="shared" si="58"/>
        <v>100.70051247954174</v>
      </c>
    </row>
    <row r="619" spans="1:19" x14ac:dyDescent="0.3">
      <c r="A619">
        <v>10606.8</v>
      </c>
      <c r="B619">
        <v>156.449817</v>
      </c>
      <c r="C619">
        <v>161.66675000000001</v>
      </c>
      <c r="D619">
        <v>166.698184</v>
      </c>
      <c r="E619">
        <v>97.58869</v>
      </c>
      <c r="F619">
        <v>68.423787000000004</v>
      </c>
      <c r="G619">
        <v>40.030945000000003</v>
      </c>
      <c r="H619">
        <v>42.979911000000001</v>
      </c>
      <c r="I619"/>
      <c r="N619"/>
      <c r="O619"/>
      <c r="P619" s="1">
        <f t="shared" si="55"/>
        <v>159.79788109756095</v>
      </c>
      <c r="Q619" s="1">
        <f t="shared" si="56"/>
        <v>165.06126626016257</v>
      </c>
      <c r="R619" s="1">
        <f t="shared" si="57"/>
        <v>170.77607933109005</v>
      </c>
      <c r="S619" s="1">
        <f t="shared" si="58"/>
        <v>100.71845130932896</v>
      </c>
    </row>
    <row r="620" spans="1:19" x14ac:dyDescent="0.3">
      <c r="A620">
        <v>10607</v>
      </c>
      <c r="B620">
        <v>156.449817</v>
      </c>
      <c r="C620">
        <v>161.66675000000001</v>
      </c>
      <c r="D620">
        <v>166.698184</v>
      </c>
      <c r="E620">
        <v>97.58869</v>
      </c>
      <c r="F620">
        <v>68.423787000000004</v>
      </c>
      <c r="G620">
        <v>40.030945000000003</v>
      </c>
      <c r="H620">
        <v>42.979911000000001</v>
      </c>
      <c r="I620" t="s">
        <v>60</v>
      </c>
      <c r="N620"/>
      <c r="O620"/>
      <c r="P620" s="1">
        <f t="shared" ref="P620:P683" si="59">(B602+Q$36)/P$36</f>
        <v>159.79788109756095</v>
      </c>
      <c r="Q620" s="1">
        <f t="shared" ref="Q620:Q683" si="60">(C602+Q$36)/P$36</f>
        <v>165.06126626016257</v>
      </c>
      <c r="R620" s="1">
        <f t="shared" ref="R620:R683" si="61">(D602+Q$38)/P$38</f>
        <v>170.77607933109005</v>
      </c>
      <c r="S620" s="1">
        <f t="shared" ref="S620:S683" si="62">(E602+Q$39)/P$39</f>
        <v>100.71845130932896</v>
      </c>
    </row>
    <row r="621" spans="1:19" x14ac:dyDescent="0.3">
      <c r="A621">
        <v>10607.2</v>
      </c>
      <c r="B621">
        <v>156.455082</v>
      </c>
      <c r="C621">
        <v>161.67015799999999</v>
      </c>
      <c r="D621">
        <v>166.67400599999999</v>
      </c>
      <c r="E621">
        <v>97.567626000000004</v>
      </c>
      <c r="F621">
        <v>68.436612999999994</v>
      </c>
      <c r="G621">
        <v>40.019039999999997</v>
      </c>
      <c r="H621">
        <v>42.974075999999997</v>
      </c>
      <c r="I621"/>
      <c r="N621"/>
      <c r="O621"/>
      <c r="P621" s="1">
        <f t="shared" si="59"/>
        <v>159.79181199186991</v>
      </c>
      <c r="Q621" s="1">
        <f t="shared" si="60"/>
        <v>165.08999085365852</v>
      </c>
      <c r="R621" s="1">
        <f t="shared" si="61"/>
        <v>170.78809931681454</v>
      </c>
      <c r="S621" s="1">
        <f t="shared" si="62"/>
        <v>100.80338072831424</v>
      </c>
    </row>
    <row r="622" spans="1:19" x14ac:dyDescent="0.3">
      <c r="A622">
        <v>10607.4</v>
      </c>
      <c r="B622">
        <v>156.455082</v>
      </c>
      <c r="C622">
        <v>161.67015799999999</v>
      </c>
      <c r="D622">
        <v>166.67400599999999</v>
      </c>
      <c r="E622">
        <v>97.567626000000004</v>
      </c>
      <c r="F622">
        <v>68.436612999999994</v>
      </c>
      <c r="G622">
        <v>40.019039999999997</v>
      </c>
      <c r="H622">
        <v>42.974075999999997</v>
      </c>
      <c r="I622"/>
      <c r="N622"/>
      <c r="O622"/>
      <c r="P622" s="1">
        <f t="shared" si="59"/>
        <v>159.79181199186991</v>
      </c>
      <c r="Q622" s="1">
        <f t="shared" si="60"/>
        <v>165.08999085365852</v>
      </c>
      <c r="R622" s="1">
        <f t="shared" si="61"/>
        <v>170.78809931681454</v>
      </c>
      <c r="S622" s="1">
        <f t="shared" si="62"/>
        <v>100.80338072831424</v>
      </c>
    </row>
    <row r="623" spans="1:19" x14ac:dyDescent="0.3">
      <c r="A623">
        <v>10607.6</v>
      </c>
      <c r="B623">
        <v>156.43057200000001</v>
      </c>
      <c r="C623">
        <v>161.64461499999999</v>
      </c>
      <c r="D623">
        <v>166.687827</v>
      </c>
      <c r="E623">
        <v>97.411958999999996</v>
      </c>
      <c r="F623">
        <v>68.346974000000003</v>
      </c>
      <c r="G623">
        <v>40.027276999999998</v>
      </c>
      <c r="H623">
        <v>42.98903</v>
      </c>
      <c r="I623"/>
      <c r="N623"/>
      <c r="O623"/>
      <c r="P623" s="1">
        <f t="shared" si="59"/>
        <v>159.79441361788616</v>
      </c>
      <c r="Q623" s="1">
        <f t="shared" si="60"/>
        <v>165.09522560975608</v>
      </c>
      <c r="R623" s="1">
        <f t="shared" si="61"/>
        <v>170.79714183746304</v>
      </c>
      <c r="S623" s="1">
        <f t="shared" si="62"/>
        <v>100.71347381342062</v>
      </c>
    </row>
    <row r="624" spans="1:19" x14ac:dyDescent="0.3">
      <c r="A624">
        <v>10607.8</v>
      </c>
      <c r="B624">
        <v>156.43057200000001</v>
      </c>
      <c r="C624">
        <v>161.64461499999999</v>
      </c>
      <c r="D624">
        <v>166.687827</v>
      </c>
      <c r="E624">
        <v>97.411958999999996</v>
      </c>
      <c r="F624">
        <v>68.346974000000003</v>
      </c>
      <c r="G624">
        <v>40.027276999999998</v>
      </c>
      <c r="H624">
        <v>42.98903</v>
      </c>
      <c r="I624"/>
      <c r="N624"/>
      <c r="O624"/>
      <c r="P624" s="1">
        <f t="shared" si="59"/>
        <v>159.79441361788616</v>
      </c>
      <c r="Q624" s="1">
        <f t="shared" si="60"/>
        <v>165.09522560975608</v>
      </c>
      <c r="R624" s="1">
        <f t="shared" si="61"/>
        <v>170.79714183746304</v>
      </c>
      <c r="S624" s="1">
        <f t="shared" si="62"/>
        <v>100.71347381342062</v>
      </c>
    </row>
    <row r="625" spans="1:19" x14ac:dyDescent="0.3">
      <c r="A625">
        <v>11139</v>
      </c>
      <c r="B625">
        <v>166.78445300000001</v>
      </c>
      <c r="C625">
        <v>172.60414700000001</v>
      </c>
      <c r="D625">
        <v>178.181467</v>
      </c>
      <c r="E625">
        <v>99.955258999999998</v>
      </c>
      <c r="F625">
        <v>69.159381999999994</v>
      </c>
      <c r="G625">
        <v>40.283132000000002</v>
      </c>
      <c r="H625">
        <v>43.600749</v>
      </c>
      <c r="I625" t="s">
        <v>60</v>
      </c>
      <c r="N625"/>
      <c r="O625"/>
      <c r="P625" s="1">
        <f t="shared" si="59"/>
        <v>159.80877337398371</v>
      </c>
      <c r="Q625" s="1">
        <f t="shared" si="60"/>
        <v>165.10415650406506</v>
      </c>
      <c r="R625" s="1">
        <f t="shared" si="61"/>
        <v>170.79081472417661</v>
      </c>
      <c r="S625" s="1">
        <f t="shared" si="62"/>
        <v>100.59556669394435</v>
      </c>
    </row>
    <row r="626" spans="1:19" x14ac:dyDescent="0.3">
      <c r="A626">
        <v>11139.2</v>
      </c>
      <c r="B626">
        <v>166.78445300000001</v>
      </c>
      <c r="C626">
        <v>172.60414700000001</v>
      </c>
      <c r="D626">
        <v>178.181467</v>
      </c>
      <c r="E626">
        <v>99.955258999999998</v>
      </c>
      <c r="F626">
        <v>69.159381999999994</v>
      </c>
      <c r="G626">
        <v>40.259234999999997</v>
      </c>
      <c r="H626">
        <v>43.585510999999997</v>
      </c>
      <c r="I626"/>
      <c r="N626"/>
      <c r="O626"/>
      <c r="P626" s="1">
        <f t="shared" si="59"/>
        <v>159.80877337398371</v>
      </c>
      <c r="Q626" s="1">
        <f t="shared" si="60"/>
        <v>165.10415650406506</v>
      </c>
      <c r="R626" s="1">
        <f t="shared" si="61"/>
        <v>170.79081472417661</v>
      </c>
      <c r="S626" s="1">
        <f t="shared" si="62"/>
        <v>100.59556669394435</v>
      </c>
    </row>
    <row r="627" spans="1:19" x14ac:dyDescent="0.3">
      <c r="A627">
        <v>11139.4</v>
      </c>
      <c r="B627">
        <v>166.77874700000001</v>
      </c>
      <c r="C627">
        <v>172.59348399999999</v>
      </c>
      <c r="D627">
        <v>178.18536599999999</v>
      </c>
      <c r="E627">
        <v>99.936909</v>
      </c>
      <c r="F627">
        <v>69.544138000000004</v>
      </c>
      <c r="G627">
        <v>40.259234999999997</v>
      </c>
      <c r="H627">
        <v>43.585510999999997</v>
      </c>
      <c r="I627"/>
      <c r="N627"/>
      <c r="O627"/>
      <c r="P627" s="1">
        <f t="shared" si="59"/>
        <v>159.80821239837397</v>
      </c>
      <c r="Q627" s="1">
        <f t="shared" si="60"/>
        <v>165.08952235772355</v>
      </c>
      <c r="R627" s="1">
        <f t="shared" si="61"/>
        <v>170.77976955236056</v>
      </c>
      <c r="S627" s="1">
        <f t="shared" si="62"/>
        <v>100.44106587561375</v>
      </c>
    </row>
    <row r="628" spans="1:19" x14ac:dyDescent="0.3">
      <c r="A628">
        <v>11139.6</v>
      </c>
      <c r="B628">
        <v>166.77874700000001</v>
      </c>
      <c r="C628">
        <v>172.59348399999999</v>
      </c>
      <c r="D628">
        <v>178.18536599999999</v>
      </c>
      <c r="E628">
        <v>99.936909</v>
      </c>
      <c r="F628">
        <v>69.544138000000004</v>
      </c>
      <c r="G628">
        <v>40.280341</v>
      </c>
      <c r="H628">
        <v>43.595643000000003</v>
      </c>
      <c r="I628"/>
      <c r="N628"/>
      <c r="O628"/>
      <c r="P628" s="1">
        <f t="shared" si="59"/>
        <v>159.80821239837397</v>
      </c>
      <c r="Q628" s="1">
        <f t="shared" si="60"/>
        <v>165.08952235772355</v>
      </c>
      <c r="R628" s="1">
        <f t="shared" si="61"/>
        <v>170.77976955236056</v>
      </c>
      <c r="S628" s="1">
        <f t="shared" si="62"/>
        <v>100.44106587561375</v>
      </c>
    </row>
    <row r="629" spans="1:19" x14ac:dyDescent="0.3">
      <c r="A629">
        <v>11139.8</v>
      </c>
      <c r="B629">
        <v>166.78742600000001</v>
      </c>
      <c r="C629">
        <v>172.57632000000001</v>
      </c>
      <c r="D629">
        <v>178.184201</v>
      </c>
      <c r="E629">
        <v>100.152141</v>
      </c>
      <c r="F629">
        <v>69.611151000000007</v>
      </c>
      <c r="G629">
        <v>40.280341</v>
      </c>
      <c r="H629">
        <v>43.595643000000003</v>
      </c>
      <c r="I629"/>
      <c r="N629"/>
      <c r="O629"/>
      <c r="P629" s="1">
        <f t="shared" si="59"/>
        <v>159.79579674796747</v>
      </c>
      <c r="Q629" s="1">
        <f t="shared" si="60"/>
        <v>165.08731402439022</v>
      </c>
      <c r="R629" s="1">
        <f t="shared" si="61"/>
        <v>170.79066585092284</v>
      </c>
      <c r="S629" s="1">
        <f t="shared" si="62"/>
        <v>100.4781106792144</v>
      </c>
    </row>
    <row r="630" spans="1:19" x14ac:dyDescent="0.3">
      <c r="A630">
        <v>11140</v>
      </c>
      <c r="B630">
        <v>166.78742600000001</v>
      </c>
      <c r="C630">
        <v>172.57632000000001</v>
      </c>
      <c r="D630">
        <v>178.184201</v>
      </c>
      <c r="E630">
        <v>100.152141</v>
      </c>
      <c r="F630">
        <v>69.611151000000007</v>
      </c>
      <c r="G630">
        <v>40.286596000000003</v>
      </c>
      <c r="H630">
        <v>43.585625</v>
      </c>
      <c r="I630" t="s">
        <v>60</v>
      </c>
      <c r="N630"/>
      <c r="O630"/>
      <c r="P630" s="1">
        <f t="shared" si="59"/>
        <v>159.79579674796747</v>
      </c>
      <c r="Q630" s="1">
        <f t="shared" si="60"/>
        <v>165.08731402439022</v>
      </c>
      <c r="R630" s="1">
        <f t="shared" si="61"/>
        <v>170.79066585092284</v>
      </c>
      <c r="S630" s="1">
        <f t="shared" si="62"/>
        <v>100.4781106792144</v>
      </c>
    </row>
    <row r="631" spans="1:19" x14ac:dyDescent="0.3">
      <c r="A631">
        <v>11140.2</v>
      </c>
      <c r="B631">
        <v>166.781781</v>
      </c>
      <c r="C631">
        <v>172.59441100000001</v>
      </c>
      <c r="D631">
        <v>178.18277800000001</v>
      </c>
      <c r="E631">
        <v>100.093012</v>
      </c>
      <c r="F631">
        <v>69.682271</v>
      </c>
      <c r="G631">
        <v>40.286596000000003</v>
      </c>
      <c r="H631">
        <v>43.585625</v>
      </c>
      <c r="I631"/>
      <c r="N631"/>
      <c r="O631"/>
      <c r="P631" s="1">
        <f t="shared" si="59"/>
        <v>159.78465853658537</v>
      </c>
      <c r="Q631" s="1">
        <f t="shared" si="60"/>
        <v>165.08590955284552</v>
      </c>
      <c r="R631" s="1">
        <f t="shared" si="61"/>
        <v>170.80022330988069</v>
      </c>
      <c r="S631" s="1">
        <f t="shared" si="62"/>
        <v>100.65975450081834</v>
      </c>
    </row>
    <row r="632" spans="1:19" x14ac:dyDescent="0.3">
      <c r="A632">
        <v>11140.4</v>
      </c>
      <c r="B632">
        <v>166.781781</v>
      </c>
      <c r="C632">
        <v>172.59441100000001</v>
      </c>
      <c r="D632">
        <v>178.18277800000001</v>
      </c>
      <c r="E632">
        <v>100.093012</v>
      </c>
      <c r="F632">
        <v>69.682271</v>
      </c>
      <c r="G632">
        <v>40.271569999999997</v>
      </c>
      <c r="H632">
        <v>43.611511999999998</v>
      </c>
      <c r="I632"/>
      <c r="N632"/>
      <c r="O632"/>
      <c r="P632" s="1">
        <f t="shared" si="59"/>
        <v>159.78465853658537</v>
      </c>
      <c r="Q632" s="1">
        <f t="shared" si="60"/>
        <v>165.08590955284552</v>
      </c>
      <c r="R632" s="1">
        <f t="shared" si="61"/>
        <v>170.80022330988069</v>
      </c>
      <c r="S632" s="1">
        <f t="shared" si="62"/>
        <v>100.65975450081834</v>
      </c>
    </row>
    <row r="633" spans="1:19" x14ac:dyDescent="0.3">
      <c r="A633">
        <v>11140.6</v>
      </c>
      <c r="B633">
        <v>166.80520200000001</v>
      </c>
      <c r="C633">
        <v>172.58874499999999</v>
      </c>
      <c r="D633">
        <v>178.191181</v>
      </c>
      <c r="E633">
        <v>99.978836000000001</v>
      </c>
      <c r="F633">
        <v>69.540242000000006</v>
      </c>
      <c r="G633">
        <v>40.271569999999997</v>
      </c>
      <c r="H633">
        <v>43.611511999999998</v>
      </c>
      <c r="I633"/>
      <c r="N633"/>
      <c r="O633"/>
      <c r="P633" s="1">
        <f t="shared" si="59"/>
        <v>159.77311686991871</v>
      </c>
      <c r="Q633" s="1">
        <f t="shared" si="60"/>
        <v>165.07837906504062</v>
      </c>
      <c r="R633" s="1">
        <f t="shared" si="61"/>
        <v>170.78841031915979</v>
      </c>
      <c r="S633" s="1">
        <f t="shared" si="62"/>
        <v>100.78524038461539</v>
      </c>
    </row>
    <row r="634" spans="1:19" x14ac:dyDescent="0.3">
      <c r="A634">
        <v>11140.8</v>
      </c>
      <c r="B634">
        <v>166.80520200000001</v>
      </c>
      <c r="C634">
        <v>172.58874499999999</v>
      </c>
      <c r="D634">
        <v>178.191181</v>
      </c>
      <c r="E634">
        <v>99.978836000000001</v>
      </c>
      <c r="F634">
        <v>69.540242000000006</v>
      </c>
      <c r="G634">
        <v>40.268386</v>
      </c>
      <c r="H634">
        <v>43.596260999999998</v>
      </c>
      <c r="I634"/>
      <c r="N634"/>
      <c r="O634"/>
      <c r="P634" s="1">
        <f t="shared" si="59"/>
        <v>159.77311686991871</v>
      </c>
      <c r="Q634" s="1">
        <f t="shared" si="60"/>
        <v>165.07837906504062</v>
      </c>
      <c r="R634" s="1">
        <f t="shared" si="61"/>
        <v>170.78841031915979</v>
      </c>
      <c r="S634" s="1">
        <f t="shared" si="62"/>
        <v>100.78524038461539</v>
      </c>
    </row>
    <row r="635" spans="1:19" x14ac:dyDescent="0.3">
      <c r="A635">
        <v>11141</v>
      </c>
      <c r="B635">
        <v>166.80834999999999</v>
      </c>
      <c r="C635">
        <v>172.607662</v>
      </c>
      <c r="D635">
        <v>178.193622</v>
      </c>
      <c r="E635">
        <v>100.10617499999999</v>
      </c>
      <c r="F635">
        <v>69.282353000000001</v>
      </c>
      <c r="G635">
        <v>40.268386</v>
      </c>
      <c r="H635">
        <v>43.596260999999998</v>
      </c>
      <c r="I635" t="s">
        <v>60</v>
      </c>
      <c r="N635"/>
      <c r="O635"/>
      <c r="P635" s="1">
        <f t="shared" si="59"/>
        <v>159.79624491869916</v>
      </c>
      <c r="Q635" s="1">
        <f t="shared" si="60"/>
        <v>165.07750914634144</v>
      </c>
      <c r="R635" s="1">
        <f t="shared" si="61"/>
        <v>170.77110329356583</v>
      </c>
      <c r="S635" s="1">
        <f t="shared" si="62"/>
        <v>100.77033960720131</v>
      </c>
    </row>
    <row r="636" spans="1:19" x14ac:dyDescent="0.3">
      <c r="A636">
        <v>11141.2</v>
      </c>
      <c r="B636">
        <v>166.80834999999999</v>
      </c>
      <c r="C636">
        <v>172.607662</v>
      </c>
      <c r="D636">
        <v>178.193622</v>
      </c>
      <c r="E636">
        <v>100.10617499999999</v>
      </c>
      <c r="F636">
        <v>69.282353000000001</v>
      </c>
      <c r="G636">
        <v>40.271546999999998</v>
      </c>
      <c r="H636">
        <v>43.608935000000002</v>
      </c>
      <c r="I636"/>
      <c r="N636"/>
      <c r="O636"/>
      <c r="P636" s="1">
        <f t="shared" si="59"/>
        <v>159.79624491869916</v>
      </c>
      <c r="Q636" s="1">
        <f t="shared" si="60"/>
        <v>165.07750914634144</v>
      </c>
      <c r="R636" s="1">
        <f t="shared" si="61"/>
        <v>170.77110329356583</v>
      </c>
      <c r="S636" s="1">
        <f t="shared" si="62"/>
        <v>100.77033960720131</v>
      </c>
    </row>
    <row r="637" spans="1:19" x14ac:dyDescent="0.3">
      <c r="A637">
        <v>11141.4</v>
      </c>
      <c r="B637">
        <v>166.81744499999999</v>
      </c>
      <c r="C637">
        <v>172.604556</v>
      </c>
      <c r="D637">
        <v>178.195446</v>
      </c>
      <c r="E637">
        <v>100.112897</v>
      </c>
      <c r="F637">
        <v>69.217421999999999</v>
      </c>
      <c r="G637">
        <v>40.271546999999998</v>
      </c>
      <c r="H637">
        <v>43.608935000000002</v>
      </c>
      <c r="I637"/>
      <c r="N637"/>
      <c r="O637"/>
      <c r="P637" s="1">
        <f t="shared" si="59"/>
        <v>159.79300508130081</v>
      </c>
      <c r="Q637" s="1">
        <f t="shared" si="60"/>
        <v>165.0947662601626</v>
      </c>
      <c r="R637" s="1">
        <f t="shared" si="61"/>
        <v>170.80502090343631</v>
      </c>
      <c r="S637" s="1">
        <f t="shared" si="62"/>
        <v>100.76973199672668</v>
      </c>
    </row>
    <row r="638" spans="1:19" x14ac:dyDescent="0.3">
      <c r="A638">
        <v>11141.6</v>
      </c>
      <c r="B638">
        <v>166.81744499999999</v>
      </c>
      <c r="C638">
        <v>172.604556</v>
      </c>
      <c r="D638">
        <v>178.195446</v>
      </c>
      <c r="E638">
        <v>100.112897</v>
      </c>
      <c r="F638">
        <v>69.217421999999999</v>
      </c>
      <c r="G638">
        <v>40.270015999999998</v>
      </c>
      <c r="H638">
        <v>43.612284000000002</v>
      </c>
      <c r="I638"/>
      <c r="N638"/>
      <c r="O638"/>
      <c r="P638" s="1">
        <f t="shared" si="59"/>
        <v>159.79300508130081</v>
      </c>
      <c r="Q638" s="1">
        <f t="shared" si="60"/>
        <v>165.0947662601626</v>
      </c>
      <c r="R638" s="1">
        <f t="shared" si="61"/>
        <v>170.80502090343631</v>
      </c>
      <c r="S638" s="1">
        <f t="shared" si="62"/>
        <v>100.76973199672668</v>
      </c>
    </row>
    <row r="639" spans="1:19" x14ac:dyDescent="0.3">
      <c r="A639">
        <v>11141.8</v>
      </c>
      <c r="B639">
        <v>166.80529799999999</v>
      </c>
      <c r="C639">
        <v>172.58084500000001</v>
      </c>
      <c r="D639">
        <v>178.20087100000001</v>
      </c>
      <c r="E639">
        <v>100.34578399999999</v>
      </c>
      <c r="F639">
        <v>69.241405999999998</v>
      </c>
      <c r="G639">
        <v>40.270015999999998</v>
      </c>
      <c r="H639">
        <v>43.612284000000002</v>
      </c>
      <c r="I639"/>
      <c r="N639"/>
      <c r="O639"/>
      <c r="P639" s="1">
        <f t="shared" si="59"/>
        <v>159.79835569105691</v>
      </c>
      <c r="Q639" s="1">
        <f t="shared" si="60"/>
        <v>165.09822967479673</v>
      </c>
      <c r="R639" s="1">
        <f t="shared" si="61"/>
        <v>170.78036708473539</v>
      </c>
      <c r="S639" s="1">
        <f t="shared" si="62"/>
        <v>100.74818535188216</v>
      </c>
    </row>
    <row r="640" spans="1:19" x14ac:dyDescent="0.3">
      <c r="A640">
        <v>11142</v>
      </c>
      <c r="B640">
        <v>166.80529799999999</v>
      </c>
      <c r="C640">
        <v>172.58084500000001</v>
      </c>
      <c r="D640">
        <v>178.20087100000001</v>
      </c>
      <c r="E640">
        <v>100.34578399999999</v>
      </c>
      <c r="F640">
        <v>69.241405999999998</v>
      </c>
      <c r="G640">
        <v>40.278815000000002</v>
      </c>
      <c r="H640">
        <v>43.607357999999998</v>
      </c>
      <c r="I640" t="s">
        <v>60</v>
      </c>
      <c r="N640"/>
      <c r="O640"/>
      <c r="P640" s="1">
        <f t="shared" si="59"/>
        <v>159.79835569105691</v>
      </c>
      <c r="Q640" s="1">
        <f t="shared" si="60"/>
        <v>165.09822967479673</v>
      </c>
      <c r="R640" s="1">
        <f t="shared" si="61"/>
        <v>170.78036708473539</v>
      </c>
      <c r="S640" s="1">
        <f t="shared" si="62"/>
        <v>100.74818535188216</v>
      </c>
    </row>
    <row r="641" spans="1:19" x14ac:dyDescent="0.3">
      <c r="A641">
        <v>11142.2</v>
      </c>
      <c r="B641">
        <v>166.82933299999999</v>
      </c>
      <c r="C641">
        <v>172.60496000000001</v>
      </c>
      <c r="D641">
        <v>178.17525599999999</v>
      </c>
      <c r="E641">
        <v>100.25655399999999</v>
      </c>
      <c r="F641">
        <v>69.475570000000005</v>
      </c>
      <c r="G641">
        <v>40.278815000000002</v>
      </c>
      <c r="H641">
        <v>43.607357999999998</v>
      </c>
      <c r="I641"/>
      <c r="N641"/>
      <c r="O641"/>
      <c r="P641" s="1">
        <f t="shared" si="59"/>
        <v>159.77344715447154</v>
      </c>
      <c r="Q641" s="1">
        <f t="shared" si="60"/>
        <v>165.07227134146339</v>
      </c>
      <c r="R641" s="1">
        <f t="shared" si="61"/>
        <v>170.79446007953504</v>
      </c>
      <c r="S641" s="1">
        <f t="shared" si="62"/>
        <v>100.58895151391161</v>
      </c>
    </row>
    <row r="642" spans="1:19" x14ac:dyDescent="0.3">
      <c r="A642">
        <v>11142.4</v>
      </c>
      <c r="B642">
        <v>166.82933299999999</v>
      </c>
      <c r="C642">
        <v>172.60496000000001</v>
      </c>
      <c r="D642">
        <v>178.17525599999999</v>
      </c>
      <c r="E642">
        <v>100.25655399999999</v>
      </c>
      <c r="F642">
        <v>69.475570000000005</v>
      </c>
      <c r="G642">
        <v>40.277855000000002</v>
      </c>
      <c r="H642">
        <v>43.601058999999999</v>
      </c>
      <c r="I642"/>
      <c r="N642"/>
      <c r="O642"/>
      <c r="P642" s="1">
        <f t="shared" si="59"/>
        <v>159.77344715447154</v>
      </c>
      <c r="Q642" s="1">
        <f t="shared" si="60"/>
        <v>165.07227134146339</v>
      </c>
      <c r="R642" s="1">
        <f t="shared" si="61"/>
        <v>170.79446007953504</v>
      </c>
      <c r="S642" s="1">
        <f t="shared" si="62"/>
        <v>100.58895151391161</v>
      </c>
    </row>
    <row r="643" spans="1:19" x14ac:dyDescent="0.3">
      <c r="A643">
        <v>11142.6</v>
      </c>
      <c r="B643">
        <v>166.82667000000001</v>
      </c>
      <c r="C643">
        <v>172.59523100000001</v>
      </c>
      <c r="D643">
        <v>178.21518499999999</v>
      </c>
      <c r="E643">
        <v>100.154039</v>
      </c>
      <c r="F643">
        <v>69.346611999999993</v>
      </c>
      <c r="G643">
        <v>40.277855000000002</v>
      </c>
      <c r="H643">
        <v>43.601058999999999</v>
      </c>
      <c r="I643"/>
      <c r="N643"/>
      <c r="O643"/>
      <c r="P643" s="1">
        <f t="shared" si="59"/>
        <v>170.29568394308944</v>
      </c>
      <c r="Q643" s="1">
        <f t="shared" si="60"/>
        <v>176.21000711382115</v>
      </c>
      <c r="R643" s="1">
        <f t="shared" si="61"/>
        <v>182.51429285204446</v>
      </c>
      <c r="S643" s="1">
        <f t="shared" si="62"/>
        <v>103.19052680032733</v>
      </c>
    </row>
    <row r="644" spans="1:19" x14ac:dyDescent="0.3">
      <c r="A644">
        <v>11142.8</v>
      </c>
      <c r="B644">
        <v>166.82667000000001</v>
      </c>
      <c r="C644">
        <v>172.59523100000001</v>
      </c>
      <c r="D644">
        <v>178.21518499999999</v>
      </c>
      <c r="E644">
        <v>100.154039</v>
      </c>
      <c r="F644">
        <v>69.346611999999993</v>
      </c>
      <c r="G644">
        <v>40.263905999999999</v>
      </c>
      <c r="H644">
        <v>43.596206000000002</v>
      </c>
      <c r="I644"/>
      <c r="N644"/>
      <c r="O644"/>
      <c r="P644" s="1">
        <f t="shared" si="59"/>
        <v>170.29568394308944</v>
      </c>
      <c r="Q644" s="1">
        <f t="shared" si="60"/>
        <v>176.21000711382115</v>
      </c>
      <c r="R644" s="1">
        <f t="shared" si="61"/>
        <v>182.51429285204446</v>
      </c>
      <c r="S644" s="1">
        <f t="shared" si="62"/>
        <v>103.19052680032733</v>
      </c>
    </row>
    <row r="645" spans="1:19" x14ac:dyDescent="0.3">
      <c r="A645">
        <v>11143</v>
      </c>
      <c r="B645">
        <v>166.803675</v>
      </c>
      <c r="C645">
        <v>172.601325</v>
      </c>
      <c r="D645">
        <v>178.20322999999999</v>
      </c>
      <c r="E645">
        <v>100.173196</v>
      </c>
      <c r="F645">
        <v>69.426525999999996</v>
      </c>
      <c r="G645">
        <v>40.263905999999999</v>
      </c>
      <c r="H645">
        <v>43.596206000000002</v>
      </c>
      <c r="I645" t="s">
        <v>60</v>
      </c>
      <c r="N645"/>
      <c r="O645"/>
      <c r="P645" s="1">
        <f t="shared" si="59"/>
        <v>170.28988516260162</v>
      </c>
      <c r="Q645" s="1">
        <f t="shared" si="60"/>
        <v>176.19917073170731</v>
      </c>
      <c r="R645" s="1">
        <f t="shared" si="61"/>
        <v>182.51826858366474</v>
      </c>
      <c r="S645" s="1">
        <f t="shared" si="62"/>
        <v>103.1717563420622</v>
      </c>
    </row>
    <row r="646" spans="1:19" x14ac:dyDescent="0.3">
      <c r="A646">
        <v>11143.2</v>
      </c>
      <c r="B646">
        <v>166.803675</v>
      </c>
      <c r="C646">
        <v>172.601325</v>
      </c>
      <c r="D646">
        <v>178.20322999999999</v>
      </c>
      <c r="E646">
        <v>100.173196</v>
      </c>
      <c r="F646">
        <v>69.426525999999996</v>
      </c>
      <c r="G646">
        <v>40.272764000000002</v>
      </c>
      <c r="H646">
        <v>43.603414000000001</v>
      </c>
      <c r="I646"/>
      <c r="N646"/>
      <c r="O646"/>
      <c r="P646" s="1">
        <f t="shared" si="59"/>
        <v>170.28988516260162</v>
      </c>
      <c r="Q646" s="1">
        <f t="shared" si="60"/>
        <v>176.19917073170731</v>
      </c>
      <c r="R646" s="1">
        <f t="shared" si="61"/>
        <v>182.51826858366474</v>
      </c>
      <c r="S646" s="1">
        <f t="shared" si="62"/>
        <v>103.1717563420622</v>
      </c>
    </row>
    <row r="647" spans="1:19" x14ac:dyDescent="0.3">
      <c r="A647">
        <v>11143.4</v>
      </c>
      <c r="B647">
        <v>166.829736</v>
      </c>
      <c r="C647">
        <v>172.60395199999999</v>
      </c>
      <c r="D647">
        <v>178.18080499999999</v>
      </c>
      <c r="E647">
        <v>100.140745</v>
      </c>
      <c r="F647">
        <v>69.659609000000003</v>
      </c>
      <c r="G647">
        <v>40.272764000000002</v>
      </c>
      <c r="H647">
        <v>43.603414000000001</v>
      </c>
      <c r="I647"/>
      <c r="N647"/>
      <c r="O647"/>
      <c r="P647" s="1">
        <f t="shared" si="59"/>
        <v>170.29870528455285</v>
      </c>
      <c r="Q647" s="1">
        <f t="shared" si="60"/>
        <v>176.18172764227643</v>
      </c>
      <c r="R647" s="1">
        <f t="shared" si="61"/>
        <v>182.51708065667381</v>
      </c>
      <c r="S647" s="1">
        <f t="shared" si="62"/>
        <v>103.39192000818331</v>
      </c>
    </row>
    <row r="648" spans="1:19" x14ac:dyDescent="0.3">
      <c r="A648">
        <v>11143.6</v>
      </c>
      <c r="B648">
        <v>166.829736</v>
      </c>
      <c r="C648">
        <v>172.60395199999999</v>
      </c>
      <c r="D648">
        <v>178.18080499999999</v>
      </c>
      <c r="E648">
        <v>100.140745</v>
      </c>
      <c r="F648">
        <v>69.659609000000003</v>
      </c>
      <c r="G648">
        <v>40.278894000000001</v>
      </c>
      <c r="H648">
        <v>43.614170999999999</v>
      </c>
      <c r="I648"/>
      <c r="N648"/>
      <c r="O648"/>
      <c r="P648" s="1">
        <f t="shared" si="59"/>
        <v>170.29870528455285</v>
      </c>
      <c r="Q648" s="1">
        <f t="shared" si="60"/>
        <v>176.18172764227643</v>
      </c>
      <c r="R648" s="1">
        <f t="shared" si="61"/>
        <v>182.51708065667381</v>
      </c>
      <c r="S648" s="1">
        <f t="shared" si="62"/>
        <v>103.39192000818331</v>
      </c>
    </row>
    <row r="649" spans="1:19" x14ac:dyDescent="0.3">
      <c r="A649">
        <v>11143.8</v>
      </c>
      <c r="B649">
        <v>166.829869</v>
      </c>
      <c r="C649">
        <v>172.57798</v>
      </c>
      <c r="D649">
        <v>178.22563299999999</v>
      </c>
      <c r="E649">
        <v>100.177423</v>
      </c>
      <c r="F649">
        <v>69.312791000000004</v>
      </c>
      <c r="G649">
        <v>40.278894000000001</v>
      </c>
      <c r="H649">
        <v>43.614170999999999</v>
      </c>
      <c r="I649"/>
      <c r="N649"/>
      <c r="O649"/>
      <c r="P649" s="1">
        <f t="shared" si="59"/>
        <v>170.29296849593496</v>
      </c>
      <c r="Q649" s="1">
        <f t="shared" si="60"/>
        <v>176.20011280487805</v>
      </c>
      <c r="R649" s="1">
        <f t="shared" si="61"/>
        <v>182.51562965228919</v>
      </c>
      <c r="S649" s="1">
        <f t="shared" si="62"/>
        <v>103.33143617021277</v>
      </c>
    </row>
    <row r="650" spans="1:19" x14ac:dyDescent="0.3">
      <c r="A650">
        <v>11144</v>
      </c>
      <c r="B650">
        <v>166.829869</v>
      </c>
      <c r="C650">
        <v>172.57798</v>
      </c>
      <c r="D650">
        <v>178.22563299999999</v>
      </c>
      <c r="E650">
        <v>100.177423</v>
      </c>
      <c r="F650">
        <v>69.312791000000004</v>
      </c>
      <c r="G650">
        <v>40.284522000000003</v>
      </c>
      <c r="H650">
        <v>43.585880000000003</v>
      </c>
      <c r="I650" t="s">
        <v>60</v>
      </c>
      <c r="N650"/>
      <c r="O650"/>
      <c r="P650" s="1">
        <f t="shared" si="59"/>
        <v>170.29296849593496</v>
      </c>
      <c r="Q650" s="1">
        <f t="shared" si="60"/>
        <v>176.20011280487805</v>
      </c>
      <c r="R650" s="1">
        <f t="shared" si="61"/>
        <v>182.51562965228919</v>
      </c>
      <c r="S650" s="1">
        <f t="shared" si="62"/>
        <v>103.33143617021277</v>
      </c>
    </row>
    <row r="651" spans="1:19" x14ac:dyDescent="0.3">
      <c r="A651">
        <v>11144.2</v>
      </c>
      <c r="B651">
        <v>166.82402400000001</v>
      </c>
      <c r="C651">
        <v>172.60057399999999</v>
      </c>
      <c r="D651">
        <v>178.19288800000001</v>
      </c>
      <c r="E651">
        <v>100.192104</v>
      </c>
      <c r="F651">
        <v>69.565033</v>
      </c>
      <c r="G651">
        <v>40.284522000000003</v>
      </c>
      <c r="H651">
        <v>43.585880000000003</v>
      </c>
      <c r="I651"/>
      <c r="N651"/>
      <c r="O651"/>
      <c r="P651" s="1">
        <f t="shared" si="59"/>
        <v>170.31677032520327</v>
      </c>
      <c r="Q651" s="1">
        <f t="shared" si="60"/>
        <v>176.19435467479673</v>
      </c>
      <c r="R651" s="1">
        <f t="shared" si="61"/>
        <v>182.52419802182115</v>
      </c>
      <c r="S651" s="1">
        <f t="shared" si="62"/>
        <v>103.21464402618658</v>
      </c>
    </row>
    <row r="652" spans="1:19" x14ac:dyDescent="0.3">
      <c r="A652">
        <v>11144.4</v>
      </c>
      <c r="B652">
        <v>166.82402400000001</v>
      </c>
      <c r="C652">
        <v>172.60057399999999</v>
      </c>
      <c r="D652">
        <v>178.19288800000001</v>
      </c>
      <c r="E652">
        <v>100.192104</v>
      </c>
      <c r="F652">
        <v>69.565033</v>
      </c>
      <c r="G652">
        <v>40.266810999999997</v>
      </c>
      <c r="H652">
        <v>43.608856000000003</v>
      </c>
      <c r="I652"/>
      <c r="N652"/>
      <c r="O652"/>
      <c r="P652" s="1">
        <f t="shared" si="59"/>
        <v>170.31677032520327</v>
      </c>
      <c r="Q652" s="1">
        <f t="shared" si="60"/>
        <v>176.19435467479673</v>
      </c>
      <c r="R652" s="1">
        <f t="shared" si="61"/>
        <v>182.52419802182115</v>
      </c>
      <c r="S652" s="1">
        <f t="shared" si="62"/>
        <v>103.21464402618658</v>
      </c>
    </row>
    <row r="653" spans="1:19" x14ac:dyDescent="0.3">
      <c r="A653">
        <v>11144.6</v>
      </c>
      <c r="B653">
        <v>166.84074000000001</v>
      </c>
      <c r="C653">
        <v>172.593355</v>
      </c>
      <c r="D653">
        <v>178.21425500000001</v>
      </c>
      <c r="E653">
        <v>100.042366</v>
      </c>
      <c r="F653">
        <v>69.555897000000002</v>
      </c>
      <c r="G653">
        <v>40.266810999999997</v>
      </c>
      <c r="H653">
        <v>43.608856000000003</v>
      </c>
      <c r="I653"/>
      <c r="N653"/>
      <c r="O653"/>
      <c r="P653" s="1">
        <f t="shared" si="59"/>
        <v>170.31996951219512</v>
      </c>
      <c r="Q653" s="1">
        <f t="shared" si="60"/>
        <v>176.21357926829268</v>
      </c>
      <c r="R653" s="1">
        <f t="shared" si="61"/>
        <v>182.5266870602631</v>
      </c>
      <c r="S653" s="1">
        <f t="shared" si="62"/>
        <v>103.34490077741407</v>
      </c>
    </row>
    <row r="654" spans="1:19" x14ac:dyDescent="0.3">
      <c r="A654">
        <v>11144.8</v>
      </c>
      <c r="B654">
        <v>166.84074000000001</v>
      </c>
      <c r="C654">
        <v>172.593355</v>
      </c>
      <c r="D654">
        <v>178.21425500000001</v>
      </c>
      <c r="E654">
        <v>100.042366</v>
      </c>
      <c r="F654">
        <v>69.555897000000002</v>
      </c>
      <c r="G654">
        <v>40.279319999999998</v>
      </c>
      <c r="H654">
        <v>43.608327000000003</v>
      </c>
      <c r="I654"/>
      <c r="N654"/>
      <c r="O654"/>
      <c r="P654" s="1">
        <f t="shared" si="59"/>
        <v>170.31996951219512</v>
      </c>
      <c r="Q654" s="1">
        <f t="shared" si="60"/>
        <v>176.21357926829268</v>
      </c>
      <c r="R654" s="1">
        <f t="shared" si="61"/>
        <v>182.5266870602631</v>
      </c>
      <c r="S654" s="1">
        <f t="shared" si="62"/>
        <v>103.34490077741407</v>
      </c>
    </row>
    <row r="655" spans="1:19" x14ac:dyDescent="0.3">
      <c r="A655">
        <v>11145</v>
      </c>
      <c r="B655">
        <v>166.82207399999999</v>
      </c>
      <c r="C655">
        <v>172.59838199999999</v>
      </c>
      <c r="D655">
        <v>178.18649600000001</v>
      </c>
      <c r="E655">
        <v>100.16383</v>
      </c>
      <c r="F655">
        <v>69.697907999999998</v>
      </c>
      <c r="G655">
        <v>40.279319999999998</v>
      </c>
      <c r="H655">
        <v>43.608327000000003</v>
      </c>
      <c r="I655" t="s">
        <v>60</v>
      </c>
      <c r="N655"/>
      <c r="O655"/>
      <c r="P655" s="1">
        <f t="shared" si="59"/>
        <v>170.32921239837395</v>
      </c>
      <c r="Q655" s="1">
        <f t="shared" si="60"/>
        <v>176.21042276422764</v>
      </c>
      <c r="R655" s="1">
        <f t="shared" si="61"/>
        <v>182.52854695625575</v>
      </c>
      <c r="S655" s="1">
        <f t="shared" si="62"/>
        <v>103.35177680032733</v>
      </c>
    </row>
    <row r="656" spans="1:19" x14ac:dyDescent="0.3">
      <c r="A656">
        <v>11145.2</v>
      </c>
      <c r="B656">
        <v>166.82207399999999</v>
      </c>
      <c r="C656">
        <v>172.59838199999999</v>
      </c>
      <c r="D656">
        <v>178.18649600000001</v>
      </c>
      <c r="E656">
        <v>100.16383</v>
      </c>
      <c r="F656">
        <v>69.697907999999998</v>
      </c>
      <c r="G656">
        <v>40.276490000000003</v>
      </c>
      <c r="H656">
        <v>43.614559999999997</v>
      </c>
      <c r="I656"/>
      <c r="N656"/>
      <c r="O656"/>
      <c r="P656" s="1">
        <f t="shared" si="59"/>
        <v>170.32921239837395</v>
      </c>
      <c r="Q656" s="1">
        <f t="shared" si="60"/>
        <v>176.21042276422764</v>
      </c>
      <c r="R656" s="1">
        <f t="shared" si="61"/>
        <v>182.52854695625575</v>
      </c>
      <c r="S656" s="1">
        <f t="shared" si="62"/>
        <v>103.35177680032733</v>
      </c>
    </row>
    <row r="657" spans="1:19" x14ac:dyDescent="0.3">
      <c r="A657">
        <v>11145.4</v>
      </c>
      <c r="B657">
        <v>166.836534</v>
      </c>
      <c r="C657">
        <v>172.612889</v>
      </c>
      <c r="D657">
        <v>178.20116400000001</v>
      </c>
      <c r="E657">
        <v>100.199406</v>
      </c>
      <c r="F657">
        <v>69.437118999999996</v>
      </c>
      <c r="G657">
        <v>40.276490000000003</v>
      </c>
      <c r="H657">
        <v>43.614559999999997</v>
      </c>
      <c r="I657"/>
      <c r="N657"/>
      <c r="O657"/>
      <c r="P657" s="1">
        <f t="shared" si="59"/>
        <v>170.31686788617884</v>
      </c>
      <c r="Q657" s="1">
        <f t="shared" si="60"/>
        <v>176.18632621951221</v>
      </c>
      <c r="R657" s="1">
        <f t="shared" si="61"/>
        <v>182.53407871928215</v>
      </c>
      <c r="S657" s="1">
        <f t="shared" si="62"/>
        <v>103.58999999999999</v>
      </c>
    </row>
    <row r="658" spans="1:19" x14ac:dyDescent="0.3">
      <c r="A658">
        <v>11145.6</v>
      </c>
      <c r="B658">
        <v>166.836534</v>
      </c>
      <c r="C658">
        <v>172.612889</v>
      </c>
      <c r="D658">
        <v>178.20116400000001</v>
      </c>
      <c r="E658">
        <v>100.199406</v>
      </c>
      <c r="F658">
        <v>69.437118999999996</v>
      </c>
      <c r="G658">
        <v>40.283833000000001</v>
      </c>
      <c r="H658">
        <v>43.614452999999997</v>
      </c>
      <c r="I658"/>
      <c r="N658"/>
      <c r="O658"/>
      <c r="P658" s="1">
        <f t="shared" si="59"/>
        <v>170.31686788617884</v>
      </c>
      <c r="Q658" s="1">
        <f t="shared" si="60"/>
        <v>176.18632621951221</v>
      </c>
      <c r="R658" s="1">
        <f t="shared" si="61"/>
        <v>182.53407871928215</v>
      </c>
      <c r="S658" s="1">
        <f t="shared" si="62"/>
        <v>103.58999999999999</v>
      </c>
    </row>
    <row r="659" spans="1:19" x14ac:dyDescent="0.3">
      <c r="A659">
        <v>11145.8</v>
      </c>
      <c r="B659">
        <v>166.81588600000001</v>
      </c>
      <c r="C659">
        <v>172.60652099999999</v>
      </c>
      <c r="D659">
        <v>178.20839899999999</v>
      </c>
      <c r="E659">
        <v>100.031306</v>
      </c>
      <c r="F659">
        <v>69.323516999999995</v>
      </c>
      <c r="G659">
        <v>40.283833000000001</v>
      </c>
      <c r="H659">
        <v>43.614452999999997</v>
      </c>
      <c r="I659"/>
      <c r="N659"/>
      <c r="O659"/>
      <c r="P659" s="1">
        <f t="shared" si="59"/>
        <v>170.34129369918696</v>
      </c>
      <c r="Q659" s="1">
        <f t="shared" si="60"/>
        <v>176.21083333333334</v>
      </c>
      <c r="R659" s="1">
        <f t="shared" si="61"/>
        <v>182.50795962067912</v>
      </c>
      <c r="S659" s="1">
        <f t="shared" si="62"/>
        <v>103.49872545008182</v>
      </c>
    </row>
    <row r="660" spans="1:19" x14ac:dyDescent="0.3">
      <c r="A660">
        <v>11146</v>
      </c>
      <c r="B660">
        <v>166.81588600000001</v>
      </c>
      <c r="C660">
        <v>172.60652099999999</v>
      </c>
      <c r="D660">
        <v>178.20839899999999</v>
      </c>
      <c r="E660">
        <v>100.031306</v>
      </c>
      <c r="F660">
        <v>69.323516999999995</v>
      </c>
      <c r="G660">
        <v>40.267847000000003</v>
      </c>
      <c r="H660">
        <v>43.630324999999999</v>
      </c>
      <c r="I660" t="s">
        <v>60</v>
      </c>
      <c r="N660"/>
      <c r="O660"/>
      <c r="P660" s="1">
        <f t="shared" si="59"/>
        <v>170.34129369918696</v>
      </c>
      <c r="Q660" s="1">
        <f t="shared" si="60"/>
        <v>176.21083333333334</v>
      </c>
      <c r="R660" s="1">
        <f t="shared" si="61"/>
        <v>182.50795962067912</v>
      </c>
      <c r="S660" s="1">
        <f t="shared" si="62"/>
        <v>103.49872545008182</v>
      </c>
    </row>
    <row r="661" spans="1:19" x14ac:dyDescent="0.3">
      <c r="A661">
        <v>11146.2</v>
      </c>
      <c r="B661">
        <v>166.83467999999999</v>
      </c>
      <c r="C661">
        <v>172.601857</v>
      </c>
      <c r="D661">
        <v>178.19580300000001</v>
      </c>
      <c r="E661">
        <v>100.15836400000001</v>
      </c>
      <c r="F661">
        <v>69.371668999999997</v>
      </c>
      <c r="G661">
        <v>40.267847000000003</v>
      </c>
      <c r="H661">
        <v>43.630324999999999</v>
      </c>
      <c r="I661"/>
      <c r="N661"/>
      <c r="O661"/>
      <c r="P661" s="1">
        <f t="shared" si="59"/>
        <v>170.33858739837399</v>
      </c>
      <c r="Q661" s="1">
        <f t="shared" si="60"/>
        <v>176.20094613821138</v>
      </c>
      <c r="R661" s="1">
        <f t="shared" si="61"/>
        <v>182.5486744162333</v>
      </c>
      <c r="S661" s="1">
        <f t="shared" si="62"/>
        <v>103.393861497545</v>
      </c>
    </row>
    <row r="662" spans="1:19" x14ac:dyDescent="0.3">
      <c r="A662">
        <v>11146.4</v>
      </c>
      <c r="B662">
        <v>166.83467999999999</v>
      </c>
      <c r="C662">
        <v>172.601857</v>
      </c>
      <c r="D662">
        <v>178.19580300000001</v>
      </c>
      <c r="E662">
        <v>100.15836400000001</v>
      </c>
      <c r="F662">
        <v>69.371668999999997</v>
      </c>
      <c r="G662">
        <v>40.262749999999997</v>
      </c>
      <c r="H662">
        <v>43.651249999999997</v>
      </c>
      <c r="I662"/>
      <c r="N662"/>
      <c r="O662"/>
      <c r="P662" s="1">
        <f t="shared" si="59"/>
        <v>170.33858739837399</v>
      </c>
      <c r="Q662" s="1">
        <f t="shared" si="60"/>
        <v>176.20094613821138</v>
      </c>
      <c r="R662" s="1">
        <f t="shared" si="61"/>
        <v>182.5486744162333</v>
      </c>
      <c r="S662" s="1">
        <f t="shared" si="62"/>
        <v>103.393861497545</v>
      </c>
    </row>
    <row r="663" spans="1:19" x14ac:dyDescent="0.3">
      <c r="A663">
        <v>11146.6</v>
      </c>
      <c r="B663">
        <v>166.834914</v>
      </c>
      <c r="C663">
        <v>172.59832900000001</v>
      </c>
      <c r="D663">
        <v>178.20914099999999</v>
      </c>
      <c r="E663">
        <v>100.11775299999999</v>
      </c>
      <c r="F663">
        <v>69.133264999999994</v>
      </c>
      <c r="G663">
        <v>40.262749999999997</v>
      </c>
      <c r="H663">
        <v>43.651249999999997</v>
      </c>
      <c r="I663"/>
      <c r="N663"/>
      <c r="O663"/>
      <c r="P663" s="1">
        <f t="shared" si="59"/>
        <v>170.31521849593494</v>
      </c>
      <c r="Q663" s="1">
        <f t="shared" si="60"/>
        <v>176.20713922764227</v>
      </c>
      <c r="R663" s="1">
        <f t="shared" si="61"/>
        <v>182.53648414397878</v>
      </c>
      <c r="S663" s="1">
        <f t="shared" si="62"/>
        <v>103.41345744680851</v>
      </c>
    </row>
    <row r="664" spans="1:19" x14ac:dyDescent="0.3">
      <c r="A664">
        <v>11146.8</v>
      </c>
      <c r="B664">
        <v>166.834914</v>
      </c>
      <c r="C664">
        <v>172.59832900000001</v>
      </c>
      <c r="D664">
        <v>178.20914099999999</v>
      </c>
      <c r="E664">
        <v>100.11775299999999</v>
      </c>
      <c r="F664">
        <v>69.133264999999994</v>
      </c>
      <c r="G664">
        <v>40.272360999999997</v>
      </c>
      <c r="H664">
        <v>43.615783999999998</v>
      </c>
      <c r="I664"/>
      <c r="N664"/>
      <c r="O664"/>
      <c r="P664" s="1">
        <f t="shared" si="59"/>
        <v>170.31521849593494</v>
      </c>
      <c r="Q664" s="1">
        <f t="shared" si="60"/>
        <v>176.20713922764227</v>
      </c>
      <c r="R664" s="1">
        <f t="shared" si="61"/>
        <v>182.53648414397878</v>
      </c>
      <c r="S664" s="1">
        <f t="shared" si="62"/>
        <v>103.41345744680851</v>
      </c>
    </row>
    <row r="665" spans="1:19" x14ac:dyDescent="0.3">
      <c r="A665">
        <v>11147</v>
      </c>
      <c r="B665">
        <v>166.83950899999999</v>
      </c>
      <c r="C665">
        <v>172.60905399999999</v>
      </c>
      <c r="D665">
        <v>178.211388</v>
      </c>
      <c r="E665">
        <v>100.251456</v>
      </c>
      <c r="F665">
        <v>69.537661999999997</v>
      </c>
      <c r="G665">
        <v>40.272360999999997</v>
      </c>
      <c r="H665">
        <v>43.615783999999998</v>
      </c>
      <c r="I665" t="s">
        <v>60</v>
      </c>
      <c r="N665"/>
      <c r="O665"/>
      <c r="P665" s="1">
        <f t="shared" si="59"/>
        <v>170.34170325203252</v>
      </c>
      <c r="Q665" s="1">
        <f t="shared" si="60"/>
        <v>176.20980894308943</v>
      </c>
      <c r="R665" s="1">
        <f t="shared" si="61"/>
        <v>182.51361782400326</v>
      </c>
      <c r="S665" s="1">
        <f t="shared" si="62"/>
        <v>103.38026288870704</v>
      </c>
    </row>
    <row r="666" spans="1:19" x14ac:dyDescent="0.3">
      <c r="A666">
        <v>11147.2</v>
      </c>
      <c r="B666">
        <v>166.83950899999999</v>
      </c>
      <c r="C666">
        <v>172.60905399999999</v>
      </c>
      <c r="D666">
        <v>178.211388</v>
      </c>
      <c r="E666">
        <v>100.251456</v>
      </c>
      <c r="F666">
        <v>69.537661999999997</v>
      </c>
      <c r="G666">
        <v>40.261094</v>
      </c>
      <c r="H666">
        <v>43.607103000000002</v>
      </c>
      <c r="I666"/>
      <c r="N666"/>
      <c r="O666"/>
      <c r="P666" s="1">
        <f t="shared" si="59"/>
        <v>170.34170325203252</v>
      </c>
      <c r="Q666" s="1">
        <f t="shared" si="60"/>
        <v>176.20980894308943</v>
      </c>
      <c r="R666" s="1">
        <f t="shared" si="61"/>
        <v>182.51361782400326</v>
      </c>
      <c r="S666" s="1">
        <f t="shared" si="62"/>
        <v>103.38026288870704</v>
      </c>
    </row>
    <row r="667" spans="1:19" x14ac:dyDescent="0.3">
      <c r="A667">
        <v>11147.4</v>
      </c>
      <c r="B667">
        <v>166.82281800000001</v>
      </c>
      <c r="C667">
        <v>172.62782100000001</v>
      </c>
      <c r="D667">
        <v>178.20783</v>
      </c>
      <c r="E667">
        <v>100.213279</v>
      </c>
      <c r="F667">
        <v>69.651446000000007</v>
      </c>
      <c r="G667">
        <v>40.261094</v>
      </c>
      <c r="H667">
        <v>43.607103000000002</v>
      </c>
      <c r="I667"/>
      <c r="N667"/>
      <c r="O667"/>
      <c r="P667" s="1">
        <f t="shared" si="59"/>
        <v>170.34183841463414</v>
      </c>
      <c r="Q667" s="1">
        <f t="shared" si="60"/>
        <v>176.18341463414632</v>
      </c>
      <c r="R667" s="1">
        <f t="shared" si="61"/>
        <v>182.55932803099827</v>
      </c>
      <c r="S667" s="1">
        <f t="shared" si="62"/>
        <v>103.41778130114567</v>
      </c>
    </row>
    <row r="668" spans="1:19" x14ac:dyDescent="0.3">
      <c r="A668">
        <v>11147.6</v>
      </c>
      <c r="B668">
        <v>166.82281800000001</v>
      </c>
      <c r="C668">
        <v>172.62782100000001</v>
      </c>
      <c r="D668">
        <v>178.20783</v>
      </c>
      <c r="E668">
        <v>100.213279</v>
      </c>
      <c r="F668">
        <v>69.651446000000007</v>
      </c>
      <c r="G668">
        <v>40.275193999999999</v>
      </c>
      <c r="H668">
        <v>43.613267999999998</v>
      </c>
      <c r="I668"/>
      <c r="N668"/>
      <c r="O668"/>
      <c r="P668" s="1">
        <f t="shared" si="59"/>
        <v>170.34183841463414</v>
      </c>
      <c r="Q668" s="1">
        <f t="shared" si="60"/>
        <v>176.18341463414632</v>
      </c>
      <c r="R668" s="1">
        <f t="shared" si="61"/>
        <v>182.55932803099827</v>
      </c>
      <c r="S668" s="1">
        <f t="shared" si="62"/>
        <v>103.41778130114567</v>
      </c>
    </row>
    <row r="669" spans="1:19" x14ac:dyDescent="0.3">
      <c r="A669">
        <v>11147.8</v>
      </c>
      <c r="B669">
        <v>166.83668299999999</v>
      </c>
      <c r="C669">
        <v>172.59751700000001</v>
      </c>
      <c r="D669">
        <v>178.23477500000001</v>
      </c>
      <c r="E669">
        <v>100.135023</v>
      </c>
      <c r="F669">
        <v>69.363963999999996</v>
      </c>
      <c r="G669">
        <v>40.275193999999999</v>
      </c>
      <c r="H669">
        <v>43.613267999999998</v>
      </c>
      <c r="I669"/>
      <c r="N669"/>
      <c r="O669"/>
      <c r="P669" s="1">
        <f t="shared" si="59"/>
        <v>170.33589837398375</v>
      </c>
      <c r="Q669" s="1">
        <f t="shared" si="60"/>
        <v>176.20637601626015</v>
      </c>
      <c r="R669" s="1">
        <f t="shared" si="61"/>
        <v>182.52593861527481</v>
      </c>
      <c r="S669" s="1">
        <f t="shared" si="62"/>
        <v>103.43279869067104</v>
      </c>
    </row>
    <row r="670" spans="1:19" x14ac:dyDescent="0.3">
      <c r="A670">
        <v>11148</v>
      </c>
      <c r="B670">
        <v>166.83668299999999</v>
      </c>
      <c r="C670">
        <v>172.59751700000001</v>
      </c>
      <c r="D670">
        <v>178.23477500000001</v>
      </c>
      <c r="E670">
        <v>100.135023</v>
      </c>
      <c r="F670">
        <v>69.363963999999996</v>
      </c>
      <c r="G670">
        <v>40.265492000000002</v>
      </c>
      <c r="H670">
        <v>43.629370000000002</v>
      </c>
      <c r="I670" t="s">
        <v>60</v>
      </c>
      <c r="N670"/>
      <c r="O670"/>
      <c r="P670" s="1">
        <f t="shared" si="59"/>
        <v>170.33589837398375</v>
      </c>
      <c r="Q670" s="1">
        <f t="shared" si="60"/>
        <v>176.20637601626015</v>
      </c>
      <c r="R670" s="1">
        <f t="shared" si="61"/>
        <v>182.52593861527481</v>
      </c>
      <c r="S670" s="1">
        <f t="shared" si="62"/>
        <v>103.43279869067104</v>
      </c>
    </row>
    <row r="671" spans="1:19" x14ac:dyDescent="0.3">
      <c r="A671">
        <v>11148.2</v>
      </c>
      <c r="B671">
        <v>166.83005800000001</v>
      </c>
      <c r="C671">
        <v>172.595809</v>
      </c>
      <c r="D671">
        <v>178.21014400000001</v>
      </c>
      <c r="E671">
        <v>100.14646999999999</v>
      </c>
      <c r="F671">
        <v>69.421490000000006</v>
      </c>
      <c r="G671">
        <v>40.265492000000002</v>
      </c>
      <c r="H671">
        <v>43.629370000000002</v>
      </c>
      <c r="I671"/>
      <c r="N671"/>
      <c r="O671"/>
      <c r="P671" s="1">
        <f t="shared" si="59"/>
        <v>170.35288617886178</v>
      </c>
      <c r="Q671" s="1">
        <f t="shared" si="60"/>
        <v>176.19903963414635</v>
      </c>
      <c r="R671" s="1">
        <f t="shared" si="61"/>
        <v>182.54772611400023</v>
      </c>
      <c r="S671" s="1">
        <f t="shared" si="62"/>
        <v>103.27962970540098</v>
      </c>
    </row>
    <row r="672" spans="1:19" x14ac:dyDescent="0.3">
      <c r="A672">
        <v>11148.4</v>
      </c>
      <c r="B672">
        <v>166.83005800000001</v>
      </c>
      <c r="C672">
        <v>172.595809</v>
      </c>
      <c r="D672">
        <v>178.21014400000001</v>
      </c>
      <c r="E672">
        <v>100.14646999999999</v>
      </c>
      <c r="F672">
        <v>69.421490000000006</v>
      </c>
      <c r="G672">
        <v>40.269604999999999</v>
      </c>
      <c r="H672">
        <v>43.605373</v>
      </c>
      <c r="I672"/>
      <c r="N672"/>
      <c r="O672"/>
      <c r="P672" s="1">
        <f t="shared" si="59"/>
        <v>170.35288617886178</v>
      </c>
      <c r="Q672" s="1">
        <f t="shared" si="60"/>
        <v>176.19903963414635</v>
      </c>
      <c r="R672" s="1">
        <f t="shared" si="61"/>
        <v>182.54772611400023</v>
      </c>
      <c r="S672" s="1">
        <f t="shared" si="62"/>
        <v>103.27962970540098</v>
      </c>
    </row>
    <row r="673" spans="1:19" x14ac:dyDescent="0.3">
      <c r="A673">
        <v>11148.6</v>
      </c>
      <c r="B673">
        <v>166.82099299999999</v>
      </c>
      <c r="C673">
        <v>172.61470199999999</v>
      </c>
      <c r="D673">
        <v>178.196415</v>
      </c>
      <c r="E673">
        <v>100.10841600000001</v>
      </c>
      <c r="F673">
        <v>69.394454999999994</v>
      </c>
      <c r="G673">
        <v>40.269604999999999</v>
      </c>
      <c r="H673">
        <v>43.605373</v>
      </c>
      <c r="I673"/>
      <c r="N673"/>
      <c r="O673"/>
      <c r="P673" s="1">
        <f t="shared" si="59"/>
        <v>170.33391666666665</v>
      </c>
      <c r="Q673" s="1">
        <f t="shared" si="60"/>
        <v>176.20414837398371</v>
      </c>
      <c r="R673" s="1">
        <f t="shared" si="61"/>
        <v>182.51942082186196</v>
      </c>
      <c r="S673" s="1">
        <f t="shared" si="62"/>
        <v>103.40387684124387</v>
      </c>
    </row>
    <row r="674" spans="1:19" x14ac:dyDescent="0.3">
      <c r="A674">
        <v>11148.8</v>
      </c>
      <c r="B674">
        <v>166.82099299999999</v>
      </c>
      <c r="C674">
        <v>172.61470199999999</v>
      </c>
      <c r="D674">
        <v>178.196415</v>
      </c>
      <c r="E674">
        <v>100.10841600000001</v>
      </c>
      <c r="F674">
        <v>69.394454999999994</v>
      </c>
      <c r="G674">
        <v>40.271769999999997</v>
      </c>
      <c r="H674">
        <v>43.622858000000001</v>
      </c>
      <c r="I674"/>
      <c r="N674"/>
      <c r="O674"/>
      <c r="P674" s="1">
        <f t="shared" si="59"/>
        <v>170.33391666666665</v>
      </c>
      <c r="Q674" s="1">
        <f t="shared" si="60"/>
        <v>176.20414837398371</v>
      </c>
      <c r="R674" s="1">
        <f t="shared" si="61"/>
        <v>182.51942082186196</v>
      </c>
      <c r="S674" s="1">
        <f t="shared" si="62"/>
        <v>103.40387684124387</v>
      </c>
    </row>
    <row r="675" spans="1:19" x14ac:dyDescent="0.3">
      <c r="A675">
        <v>11639</v>
      </c>
      <c r="B675">
        <v>178.047628</v>
      </c>
      <c r="C675">
        <v>184.48034200000001</v>
      </c>
      <c r="D675">
        <v>190.70553000000001</v>
      </c>
      <c r="E675">
        <v>102.60490299999999</v>
      </c>
      <c r="F675">
        <v>70.733429000000001</v>
      </c>
      <c r="G675">
        <v>40.316119999999998</v>
      </c>
      <c r="H675">
        <v>44.078713</v>
      </c>
      <c r="I675" t="s">
        <v>60</v>
      </c>
      <c r="N675"/>
      <c r="O675"/>
      <c r="P675" s="1">
        <f t="shared" si="59"/>
        <v>170.34861178861789</v>
      </c>
      <c r="Q675" s="1">
        <f t="shared" si="60"/>
        <v>176.21889126016259</v>
      </c>
      <c r="R675" s="1">
        <f t="shared" si="61"/>
        <v>182.53437748546958</v>
      </c>
      <c r="S675" s="1">
        <f t="shared" si="62"/>
        <v>103.44026800327332</v>
      </c>
    </row>
    <row r="676" spans="1:19" x14ac:dyDescent="0.3">
      <c r="A676">
        <v>11639.2</v>
      </c>
      <c r="B676">
        <v>178.047628</v>
      </c>
      <c r="C676">
        <v>184.48034200000001</v>
      </c>
      <c r="D676">
        <v>190.70553000000001</v>
      </c>
      <c r="E676">
        <v>102.60490299999999</v>
      </c>
      <c r="F676">
        <v>70.733429000000001</v>
      </c>
      <c r="G676">
        <v>40.309528</v>
      </c>
      <c r="H676">
        <v>44.036392999999997</v>
      </c>
      <c r="I676"/>
      <c r="N676"/>
      <c r="O676"/>
      <c r="P676" s="1">
        <f t="shared" si="59"/>
        <v>170.34861178861789</v>
      </c>
      <c r="Q676" s="1">
        <f t="shared" si="60"/>
        <v>176.21889126016259</v>
      </c>
      <c r="R676" s="1">
        <f t="shared" si="61"/>
        <v>182.53437748546958</v>
      </c>
      <c r="S676" s="1">
        <f t="shared" si="62"/>
        <v>103.44026800327332</v>
      </c>
    </row>
    <row r="677" spans="1:19" x14ac:dyDescent="0.3">
      <c r="A677">
        <v>11639.4</v>
      </c>
      <c r="B677">
        <v>178.04069999999999</v>
      </c>
      <c r="C677">
        <v>184.51199700000001</v>
      </c>
      <c r="D677">
        <v>190.731146</v>
      </c>
      <c r="E677">
        <v>102.58242300000001</v>
      </c>
      <c r="F677">
        <v>70.610354999999998</v>
      </c>
      <c r="G677">
        <v>40.309528</v>
      </c>
      <c r="H677">
        <v>44.036392999999997</v>
      </c>
      <c r="I677"/>
      <c r="N677"/>
      <c r="O677"/>
      <c r="P677" s="1">
        <f t="shared" si="59"/>
        <v>170.3276280487805</v>
      </c>
      <c r="Q677" s="1">
        <f t="shared" si="60"/>
        <v>176.21241971544714</v>
      </c>
      <c r="R677" s="1">
        <f t="shared" si="61"/>
        <v>182.54175486897114</v>
      </c>
      <c r="S677" s="1">
        <f t="shared" si="62"/>
        <v>103.26831628477905</v>
      </c>
    </row>
    <row r="678" spans="1:19" x14ac:dyDescent="0.3">
      <c r="A678">
        <v>11639.6</v>
      </c>
      <c r="B678">
        <v>178.04069999999999</v>
      </c>
      <c r="C678">
        <v>184.51199700000001</v>
      </c>
      <c r="D678">
        <v>190.731146</v>
      </c>
      <c r="E678">
        <v>102.58242300000001</v>
      </c>
      <c r="F678">
        <v>70.610354999999998</v>
      </c>
      <c r="G678">
        <v>40.298383000000001</v>
      </c>
      <c r="H678">
        <v>44.043390000000002</v>
      </c>
      <c r="I678"/>
      <c r="N678"/>
      <c r="O678"/>
      <c r="P678" s="1">
        <f t="shared" si="59"/>
        <v>170.3276280487805</v>
      </c>
      <c r="Q678" s="1">
        <f t="shared" si="60"/>
        <v>176.21241971544714</v>
      </c>
      <c r="R678" s="1">
        <f t="shared" si="61"/>
        <v>182.54175486897114</v>
      </c>
      <c r="S678" s="1">
        <f t="shared" si="62"/>
        <v>103.26831628477905</v>
      </c>
    </row>
    <row r="679" spans="1:19" x14ac:dyDescent="0.3">
      <c r="A679">
        <v>11639.8</v>
      </c>
      <c r="B679">
        <v>178.04758799999999</v>
      </c>
      <c r="C679">
        <v>184.46335500000001</v>
      </c>
      <c r="D679">
        <v>190.72327100000001</v>
      </c>
      <c r="E679">
        <v>102.56759099999999</v>
      </c>
      <c r="F679">
        <v>70.815416999999997</v>
      </c>
      <c r="G679">
        <v>40.298383000000001</v>
      </c>
      <c r="H679">
        <v>44.043390000000002</v>
      </c>
      <c r="I679"/>
      <c r="N679"/>
      <c r="O679"/>
      <c r="P679" s="1">
        <f t="shared" si="59"/>
        <v>170.34672764227642</v>
      </c>
      <c r="Q679" s="1">
        <f t="shared" si="60"/>
        <v>176.20767987804876</v>
      </c>
      <c r="R679" s="1">
        <f t="shared" si="61"/>
        <v>182.5289109819517</v>
      </c>
      <c r="S679" s="1">
        <f t="shared" si="62"/>
        <v>103.39828559738135</v>
      </c>
    </row>
    <row r="680" spans="1:19" x14ac:dyDescent="0.3">
      <c r="A680">
        <v>11640</v>
      </c>
      <c r="B680">
        <v>178.04758799999999</v>
      </c>
      <c r="C680">
        <v>184.46335500000001</v>
      </c>
      <c r="D680">
        <v>190.72327100000001</v>
      </c>
      <c r="E680">
        <v>102.56759099999999</v>
      </c>
      <c r="F680">
        <v>70.815416999999997</v>
      </c>
      <c r="G680">
        <v>40.326293999999997</v>
      </c>
      <c r="H680">
        <v>44.019447</v>
      </c>
      <c r="I680" t="s">
        <v>60</v>
      </c>
      <c r="N680"/>
      <c r="O680"/>
      <c r="P680" s="1">
        <f t="shared" si="59"/>
        <v>170.34672764227642</v>
      </c>
      <c r="Q680" s="1">
        <f t="shared" si="60"/>
        <v>176.20767987804876</v>
      </c>
      <c r="R680" s="1">
        <f t="shared" si="61"/>
        <v>182.5289109819517</v>
      </c>
      <c r="S680" s="1">
        <f t="shared" si="62"/>
        <v>103.39828559738135</v>
      </c>
    </row>
    <row r="681" spans="1:19" x14ac:dyDescent="0.3">
      <c r="A681">
        <v>11640.2</v>
      </c>
      <c r="B681">
        <v>178.043589</v>
      </c>
      <c r="C681">
        <v>184.497005</v>
      </c>
      <c r="D681">
        <v>190.73425900000001</v>
      </c>
      <c r="E681">
        <v>102.675791</v>
      </c>
      <c r="F681">
        <v>71.085779000000002</v>
      </c>
      <c r="G681">
        <v>40.326293999999997</v>
      </c>
      <c r="H681">
        <v>44.019447</v>
      </c>
      <c r="I681"/>
      <c r="N681"/>
      <c r="O681"/>
      <c r="P681" s="1">
        <f t="shared" si="59"/>
        <v>170.34696544715447</v>
      </c>
      <c r="Q681" s="1">
        <f t="shared" si="60"/>
        <v>176.20409451219513</v>
      </c>
      <c r="R681" s="1">
        <f t="shared" si="61"/>
        <v>182.54251147139797</v>
      </c>
      <c r="S681" s="1">
        <f t="shared" si="62"/>
        <v>103.35674406710309</v>
      </c>
    </row>
    <row r="682" spans="1:19" x14ac:dyDescent="0.3">
      <c r="A682">
        <v>11640.4</v>
      </c>
      <c r="B682">
        <v>178.043589</v>
      </c>
      <c r="C682">
        <v>184.497005</v>
      </c>
      <c r="D682">
        <v>190.73425900000001</v>
      </c>
      <c r="E682">
        <v>102.675791</v>
      </c>
      <c r="F682">
        <v>71.085779000000002</v>
      </c>
      <c r="G682">
        <v>40.310147999999998</v>
      </c>
      <c r="H682">
        <v>44.049778000000003</v>
      </c>
      <c r="I682"/>
      <c r="N682"/>
      <c r="O682"/>
      <c r="P682" s="1">
        <f t="shared" si="59"/>
        <v>170.34696544715447</v>
      </c>
      <c r="Q682" s="1">
        <f t="shared" si="60"/>
        <v>176.20409451219513</v>
      </c>
      <c r="R682" s="1">
        <f t="shared" si="61"/>
        <v>182.54251147139797</v>
      </c>
      <c r="S682" s="1">
        <f t="shared" si="62"/>
        <v>103.35674406710309</v>
      </c>
    </row>
    <row r="683" spans="1:19" x14ac:dyDescent="0.3">
      <c r="A683">
        <v>11640.6</v>
      </c>
      <c r="B683">
        <v>178.06902600000001</v>
      </c>
      <c r="C683">
        <v>184.48414</v>
      </c>
      <c r="D683">
        <v>190.74299600000001</v>
      </c>
      <c r="E683">
        <v>102.72895800000001</v>
      </c>
      <c r="F683">
        <v>70.651401000000007</v>
      </c>
      <c r="G683">
        <v>40.310147999999998</v>
      </c>
      <c r="H683">
        <v>44.049778000000003</v>
      </c>
      <c r="I683"/>
      <c r="N683"/>
      <c r="O683"/>
      <c r="P683" s="1">
        <f t="shared" si="59"/>
        <v>170.35163516260161</v>
      </c>
      <c r="Q683" s="1">
        <f t="shared" si="60"/>
        <v>176.21499390243901</v>
      </c>
      <c r="R683" s="1">
        <f t="shared" si="61"/>
        <v>182.54480269195474</v>
      </c>
      <c r="S683" s="1">
        <f t="shared" si="62"/>
        <v>103.49351063829788</v>
      </c>
    </row>
    <row r="684" spans="1:19" x14ac:dyDescent="0.3">
      <c r="A684">
        <v>11640.8</v>
      </c>
      <c r="B684">
        <v>178.06902600000001</v>
      </c>
      <c r="C684">
        <v>184.48414</v>
      </c>
      <c r="D684">
        <v>190.74299600000001</v>
      </c>
      <c r="E684">
        <v>102.72895800000001</v>
      </c>
      <c r="F684">
        <v>70.651401000000007</v>
      </c>
      <c r="G684">
        <v>40.305683999999999</v>
      </c>
      <c r="H684">
        <v>44.072952000000001</v>
      </c>
      <c r="I684"/>
      <c r="N684"/>
      <c r="O684"/>
      <c r="P684" s="1">
        <f t="shared" ref="P684:P747" si="63">(B666+Q$36)/P$36</f>
        <v>170.35163516260161</v>
      </c>
      <c r="Q684" s="1">
        <f t="shared" ref="Q684:Q747" si="64">(C666+Q$36)/P$36</f>
        <v>176.21499390243901</v>
      </c>
      <c r="R684" s="1">
        <f t="shared" ref="R684:R747" si="65">(D666+Q$38)/P$38</f>
        <v>182.54480269195474</v>
      </c>
      <c r="S684" s="1">
        <f t="shared" ref="S684:S747" si="66">(E666+Q$39)/P$39</f>
        <v>103.49351063829788</v>
      </c>
    </row>
    <row r="685" spans="1:19" x14ac:dyDescent="0.3">
      <c r="A685">
        <v>11641</v>
      </c>
      <c r="B685">
        <v>178.05213499999999</v>
      </c>
      <c r="C685">
        <v>184.464617</v>
      </c>
      <c r="D685">
        <v>190.726632</v>
      </c>
      <c r="E685">
        <v>102.633411</v>
      </c>
      <c r="F685">
        <v>70.937460000000002</v>
      </c>
      <c r="G685">
        <v>40.305683999999999</v>
      </c>
      <c r="H685">
        <v>44.072952000000001</v>
      </c>
      <c r="I685" t="s">
        <v>60</v>
      </c>
      <c r="N685"/>
      <c r="O685"/>
      <c r="P685" s="1">
        <f t="shared" si="63"/>
        <v>170.33467276422763</v>
      </c>
      <c r="Q685" s="1">
        <f t="shared" si="64"/>
        <v>176.23406605691056</v>
      </c>
      <c r="R685" s="1">
        <f t="shared" si="65"/>
        <v>182.54117467115327</v>
      </c>
      <c r="S685" s="1">
        <f t="shared" si="66"/>
        <v>103.45445887888707</v>
      </c>
    </row>
    <row r="686" spans="1:19" x14ac:dyDescent="0.3">
      <c r="A686">
        <v>11641.2</v>
      </c>
      <c r="B686">
        <v>178.05213499999999</v>
      </c>
      <c r="C686">
        <v>184.464617</v>
      </c>
      <c r="D686">
        <v>190.726632</v>
      </c>
      <c r="E686">
        <v>102.633411</v>
      </c>
      <c r="F686">
        <v>70.937460000000002</v>
      </c>
      <c r="G686">
        <v>40.309193</v>
      </c>
      <c r="H686">
        <v>44.070647000000001</v>
      </c>
      <c r="I686"/>
      <c r="N686"/>
      <c r="O686"/>
      <c r="P686" s="1">
        <f t="shared" si="63"/>
        <v>170.33467276422763</v>
      </c>
      <c r="Q686" s="1">
        <f t="shared" si="64"/>
        <v>176.23406605691056</v>
      </c>
      <c r="R686" s="1">
        <f t="shared" si="65"/>
        <v>182.54117467115327</v>
      </c>
      <c r="S686" s="1">
        <f t="shared" si="66"/>
        <v>103.45445887888707</v>
      </c>
    </row>
    <row r="687" spans="1:19" x14ac:dyDescent="0.3">
      <c r="A687">
        <v>11641.4</v>
      </c>
      <c r="B687">
        <v>178.05186499999999</v>
      </c>
      <c r="C687">
        <v>184.492828</v>
      </c>
      <c r="D687">
        <v>190.72308799999999</v>
      </c>
      <c r="E687">
        <v>102.609658</v>
      </c>
      <c r="F687">
        <v>70.779655000000005</v>
      </c>
      <c r="G687">
        <v>40.309193</v>
      </c>
      <c r="H687">
        <v>44.070647000000001</v>
      </c>
      <c r="I687"/>
      <c r="N687"/>
      <c r="O687"/>
      <c r="P687" s="1">
        <f t="shared" si="63"/>
        <v>170.34876321138211</v>
      </c>
      <c r="Q687" s="1">
        <f t="shared" si="64"/>
        <v>176.20326930894308</v>
      </c>
      <c r="R687" s="1">
        <f t="shared" si="65"/>
        <v>182.56864994391762</v>
      </c>
      <c r="S687" s="1">
        <f t="shared" si="66"/>
        <v>103.37440977905074</v>
      </c>
    </row>
    <row r="688" spans="1:19" x14ac:dyDescent="0.3">
      <c r="A688">
        <v>11641.6</v>
      </c>
      <c r="B688">
        <v>178.05186499999999</v>
      </c>
      <c r="C688">
        <v>184.492828</v>
      </c>
      <c r="D688">
        <v>190.72308799999999</v>
      </c>
      <c r="E688">
        <v>102.609658</v>
      </c>
      <c r="F688">
        <v>70.779655000000005</v>
      </c>
      <c r="G688">
        <v>40.297091000000002</v>
      </c>
      <c r="H688">
        <v>44.077385</v>
      </c>
      <c r="I688"/>
      <c r="N688"/>
      <c r="O688"/>
      <c r="P688" s="1">
        <f t="shared" si="63"/>
        <v>170.34876321138211</v>
      </c>
      <c r="Q688" s="1">
        <f t="shared" si="64"/>
        <v>176.20326930894308</v>
      </c>
      <c r="R688" s="1">
        <f t="shared" si="65"/>
        <v>182.56864994391762</v>
      </c>
      <c r="S688" s="1">
        <f t="shared" si="66"/>
        <v>103.37440977905074</v>
      </c>
    </row>
    <row r="689" spans="1:19" x14ac:dyDescent="0.3">
      <c r="A689">
        <v>11641.8</v>
      </c>
      <c r="B689">
        <v>178.04344</v>
      </c>
      <c r="C689">
        <v>184.49497299999999</v>
      </c>
      <c r="D689">
        <v>190.73972599999999</v>
      </c>
      <c r="E689">
        <v>102.530619</v>
      </c>
      <c r="F689">
        <v>70.596699999999998</v>
      </c>
      <c r="G689">
        <v>40.297091000000002</v>
      </c>
      <c r="H689">
        <v>44.077385</v>
      </c>
      <c r="I689"/>
      <c r="N689"/>
      <c r="O689"/>
      <c r="P689" s="1">
        <f t="shared" si="63"/>
        <v>170.34203048780489</v>
      </c>
      <c r="Q689" s="1">
        <f t="shared" si="64"/>
        <v>176.20153353658537</v>
      </c>
      <c r="R689" s="1">
        <f t="shared" si="65"/>
        <v>182.543534210258</v>
      </c>
      <c r="S689" s="1">
        <f t="shared" si="66"/>
        <v>103.3861190671031</v>
      </c>
    </row>
    <row r="690" spans="1:19" x14ac:dyDescent="0.3">
      <c r="A690">
        <v>11642</v>
      </c>
      <c r="B690">
        <v>178.04344</v>
      </c>
      <c r="C690">
        <v>184.49497299999999</v>
      </c>
      <c r="D690">
        <v>190.73972599999999</v>
      </c>
      <c r="E690">
        <v>102.530619</v>
      </c>
      <c r="F690">
        <v>70.596699999999998</v>
      </c>
      <c r="G690">
        <v>40.317287</v>
      </c>
      <c r="H690">
        <v>44.087769000000002</v>
      </c>
      <c r="I690" t="s">
        <v>60</v>
      </c>
      <c r="N690"/>
      <c r="O690"/>
      <c r="P690" s="1">
        <f t="shared" si="63"/>
        <v>170.34203048780489</v>
      </c>
      <c r="Q690" s="1">
        <f t="shared" si="64"/>
        <v>176.20153353658537</v>
      </c>
      <c r="R690" s="1">
        <f t="shared" si="65"/>
        <v>182.543534210258</v>
      </c>
      <c r="S690" s="1">
        <f t="shared" si="66"/>
        <v>103.3861190671031</v>
      </c>
    </row>
    <row r="691" spans="1:19" x14ac:dyDescent="0.3">
      <c r="A691">
        <v>11642.2</v>
      </c>
      <c r="B691">
        <v>178.032094</v>
      </c>
      <c r="C691">
        <v>184.475595</v>
      </c>
      <c r="D691">
        <v>190.73309800000001</v>
      </c>
      <c r="E691">
        <v>102.61119100000001</v>
      </c>
      <c r="F691">
        <v>70.564813000000001</v>
      </c>
      <c r="G691">
        <v>40.317287</v>
      </c>
      <c r="H691">
        <v>44.087769000000002</v>
      </c>
      <c r="I691"/>
      <c r="N691"/>
      <c r="O691"/>
      <c r="P691" s="1">
        <f t="shared" si="63"/>
        <v>170.33281808943087</v>
      </c>
      <c r="Q691" s="1">
        <f t="shared" si="64"/>
        <v>176.22073373983739</v>
      </c>
      <c r="R691" s="1">
        <f t="shared" si="65"/>
        <v>182.52953502600184</v>
      </c>
      <c r="S691" s="1">
        <f t="shared" si="66"/>
        <v>103.34719312602292</v>
      </c>
    </row>
    <row r="692" spans="1:19" x14ac:dyDescent="0.3">
      <c r="A692">
        <v>11642.4</v>
      </c>
      <c r="B692">
        <v>178.032094</v>
      </c>
      <c r="C692">
        <v>184.475595</v>
      </c>
      <c r="D692">
        <v>190.73309800000001</v>
      </c>
      <c r="E692">
        <v>102.61119100000001</v>
      </c>
      <c r="F692">
        <v>70.564813000000001</v>
      </c>
      <c r="G692">
        <v>40.300876000000002</v>
      </c>
      <c r="H692">
        <v>44.057481000000003</v>
      </c>
      <c r="I692"/>
      <c r="N692"/>
      <c r="O692"/>
      <c r="P692" s="1">
        <f t="shared" si="63"/>
        <v>170.33281808943087</v>
      </c>
      <c r="Q692" s="1">
        <f t="shared" si="64"/>
        <v>176.22073373983739</v>
      </c>
      <c r="R692" s="1">
        <f t="shared" si="65"/>
        <v>182.52953502600184</v>
      </c>
      <c r="S692" s="1">
        <f t="shared" si="66"/>
        <v>103.34719312602292</v>
      </c>
    </row>
    <row r="693" spans="1:19" x14ac:dyDescent="0.3">
      <c r="A693">
        <v>11642.6</v>
      </c>
      <c r="B693">
        <v>178.04407800000001</v>
      </c>
      <c r="C693">
        <v>184.48195999999999</v>
      </c>
      <c r="D693">
        <v>190.73100299999999</v>
      </c>
      <c r="E693">
        <v>102.608941</v>
      </c>
      <c r="F693">
        <v>70.398067999999995</v>
      </c>
      <c r="G693">
        <v>40.300876000000002</v>
      </c>
      <c r="H693">
        <v>44.057481000000003</v>
      </c>
      <c r="I693"/>
      <c r="N693"/>
      <c r="O693"/>
      <c r="P693" s="1">
        <f t="shared" si="63"/>
        <v>181.74199999999999</v>
      </c>
      <c r="Q693" s="1">
        <f t="shared" si="64"/>
        <v>188.27931097560975</v>
      </c>
      <c r="R693" s="1">
        <f t="shared" si="65"/>
        <v>195.28482716427044</v>
      </c>
      <c r="S693" s="1">
        <f t="shared" si="66"/>
        <v>105.90088277414074</v>
      </c>
    </row>
    <row r="694" spans="1:19" x14ac:dyDescent="0.3">
      <c r="A694">
        <v>11642.8</v>
      </c>
      <c r="B694">
        <v>178.04407800000001</v>
      </c>
      <c r="C694">
        <v>184.48195999999999</v>
      </c>
      <c r="D694">
        <v>190.73100299999999</v>
      </c>
      <c r="E694">
        <v>102.608941</v>
      </c>
      <c r="F694">
        <v>70.398067999999995</v>
      </c>
      <c r="G694">
        <v>40.299728000000002</v>
      </c>
      <c r="H694">
        <v>44.067247000000002</v>
      </c>
      <c r="I694"/>
      <c r="N694"/>
      <c r="O694"/>
      <c r="P694" s="1">
        <f t="shared" si="63"/>
        <v>181.74199999999999</v>
      </c>
      <c r="Q694" s="1">
        <f t="shared" si="64"/>
        <v>188.27931097560975</v>
      </c>
      <c r="R694" s="1">
        <f t="shared" si="65"/>
        <v>195.28482716427044</v>
      </c>
      <c r="S694" s="1">
        <f t="shared" si="66"/>
        <v>105.90088277414074</v>
      </c>
    </row>
    <row r="695" spans="1:19" x14ac:dyDescent="0.3">
      <c r="A695">
        <v>11643</v>
      </c>
      <c r="B695">
        <v>178.046503</v>
      </c>
      <c r="C695">
        <v>184.48415700000001</v>
      </c>
      <c r="D695">
        <v>190.722891</v>
      </c>
      <c r="E695">
        <v>102.58755600000001</v>
      </c>
      <c r="F695">
        <v>70.319128000000006</v>
      </c>
      <c r="G695">
        <v>40.299728000000002</v>
      </c>
      <c r="H695">
        <v>44.067247000000002</v>
      </c>
      <c r="I695" t="s">
        <v>60</v>
      </c>
      <c r="N695"/>
      <c r="O695"/>
      <c r="P695" s="1">
        <f t="shared" si="63"/>
        <v>181.73495934959348</v>
      </c>
      <c r="Q695" s="1">
        <f t="shared" si="64"/>
        <v>188.31148069105691</v>
      </c>
      <c r="R695" s="1">
        <f t="shared" si="65"/>
        <v>195.31094728255329</v>
      </c>
      <c r="S695" s="1">
        <f t="shared" si="66"/>
        <v>105.87788768412439</v>
      </c>
    </row>
    <row r="696" spans="1:19" x14ac:dyDescent="0.3">
      <c r="A696">
        <v>11643.2</v>
      </c>
      <c r="B696">
        <v>178.046503</v>
      </c>
      <c r="C696">
        <v>184.48415700000001</v>
      </c>
      <c r="D696">
        <v>190.722891</v>
      </c>
      <c r="E696">
        <v>102.58755600000001</v>
      </c>
      <c r="F696">
        <v>70.319128000000006</v>
      </c>
      <c r="G696">
        <v>40.308242</v>
      </c>
      <c r="H696">
        <v>44.080609000000003</v>
      </c>
      <c r="I696"/>
      <c r="N696"/>
      <c r="O696"/>
      <c r="P696" s="1">
        <f t="shared" si="63"/>
        <v>181.73495934959348</v>
      </c>
      <c r="Q696" s="1">
        <f t="shared" si="64"/>
        <v>188.31148069105691</v>
      </c>
      <c r="R696" s="1">
        <f t="shared" si="65"/>
        <v>195.31094728255329</v>
      </c>
      <c r="S696" s="1">
        <f t="shared" si="66"/>
        <v>105.87788768412439</v>
      </c>
    </row>
    <row r="697" spans="1:19" x14ac:dyDescent="0.3">
      <c r="A697">
        <v>11643.4</v>
      </c>
      <c r="B697">
        <v>178.067252</v>
      </c>
      <c r="C697">
        <v>184.46259000000001</v>
      </c>
      <c r="D697">
        <v>190.73725099999999</v>
      </c>
      <c r="E697">
        <v>102.70917799999999</v>
      </c>
      <c r="F697">
        <v>70.384069999999994</v>
      </c>
      <c r="G697">
        <v>40.308242</v>
      </c>
      <c r="H697">
        <v>44.080609000000003</v>
      </c>
      <c r="I697"/>
      <c r="N697"/>
      <c r="O697"/>
      <c r="P697" s="1">
        <f t="shared" si="63"/>
        <v>181.74195934959349</v>
      </c>
      <c r="Q697" s="1">
        <f t="shared" si="64"/>
        <v>188.26204776422765</v>
      </c>
      <c r="R697" s="1">
        <f t="shared" si="65"/>
        <v>195.30291730396658</v>
      </c>
      <c r="S697" s="1">
        <f t="shared" si="66"/>
        <v>105.86271583469721</v>
      </c>
    </row>
    <row r="698" spans="1:19" x14ac:dyDescent="0.3">
      <c r="A698">
        <v>11643.6</v>
      </c>
      <c r="B698">
        <v>178.067252</v>
      </c>
      <c r="C698">
        <v>184.46259000000001</v>
      </c>
      <c r="D698">
        <v>190.73725099999999</v>
      </c>
      <c r="E698">
        <v>102.70917799999999</v>
      </c>
      <c r="F698">
        <v>70.384069999999994</v>
      </c>
      <c r="G698">
        <v>40.309429000000002</v>
      </c>
      <c r="H698">
        <v>44.083649999999999</v>
      </c>
      <c r="I698"/>
      <c r="N698"/>
      <c r="O698"/>
      <c r="P698" s="1">
        <f t="shared" si="63"/>
        <v>181.74195934959349</v>
      </c>
      <c r="Q698" s="1">
        <f t="shared" si="64"/>
        <v>188.26204776422765</v>
      </c>
      <c r="R698" s="1">
        <f t="shared" si="65"/>
        <v>195.30291730396658</v>
      </c>
      <c r="S698" s="1">
        <f t="shared" si="66"/>
        <v>105.86271583469721</v>
      </c>
    </row>
    <row r="699" spans="1:19" x14ac:dyDescent="0.3">
      <c r="A699">
        <v>11643.8</v>
      </c>
      <c r="B699">
        <v>178.05103099999999</v>
      </c>
      <c r="C699">
        <v>184.47716199999999</v>
      </c>
      <c r="D699">
        <v>190.73723000000001</v>
      </c>
      <c r="E699">
        <v>102.827314</v>
      </c>
      <c r="F699">
        <v>70.514312000000004</v>
      </c>
      <c r="G699">
        <v>40.309429000000002</v>
      </c>
      <c r="H699">
        <v>44.083649999999999</v>
      </c>
      <c r="I699"/>
      <c r="N699"/>
      <c r="O699"/>
      <c r="P699" s="1">
        <f t="shared" si="63"/>
        <v>181.73789532520325</v>
      </c>
      <c r="Q699" s="1">
        <f t="shared" si="64"/>
        <v>188.29624491869919</v>
      </c>
      <c r="R699" s="1">
        <f t="shared" si="65"/>
        <v>195.31412154583464</v>
      </c>
      <c r="S699" s="1">
        <f t="shared" si="66"/>
        <v>105.97339504909984</v>
      </c>
    </row>
    <row r="700" spans="1:19" x14ac:dyDescent="0.3">
      <c r="A700">
        <v>11644</v>
      </c>
      <c r="B700">
        <v>178.05103099999999</v>
      </c>
      <c r="C700">
        <v>184.47716199999999</v>
      </c>
      <c r="D700">
        <v>190.73723000000001</v>
      </c>
      <c r="E700">
        <v>102.827314</v>
      </c>
      <c r="F700">
        <v>70.514312000000004</v>
      </c>
      <c r="G700">
        <v>40.310386999999999</v>
      </c>
      <c r="H700">
        <v>44.106192</v>
      </c>
      <c r="I700" t="s">
        <v>60</v>
      </c>
      <c r="N700"/>
      <c r="O700"/>
      <c r="P700" s="1">
        <f t="shared" si="63"/>
        <v>181.73789532520325</v>
      </c>
      <c r="Q700" s="1">
        <f t="shared" si="64"/>
        <v>188.29624491869919</v>
      </c>
      <c r="R700" s="1">
        <f t="shared" si="65"/>
        <v>195.31412154583464</v>
      </c>
      <c r="S700" s="1">
        <f t="shared" si="66"/>
        <v>105.97339504909984</v>
      </c>
    </row>
    <row r="701" spans="1:19" x14ac:dyDescent="0.3">
      <c r="A701">
        <v>11644.2</v>
      </c>
      <c r="B701">
        <v>178.06148400000001</v>
      </c>
      <c r="C701">
        <v>184.480816</v>
      </c>
      <c r="D701">
        <v>190.73711800000001</v>
      </c>
      <c r="E701">
        <v>102.79151</v>
      </c>
      <c r="F701">
        <v>70.773375999999999</v>
      </c>
      <c r="G701">
        <v>40.310386999999999</v>
      </c>
      <c r="H701">
        <v>44.106192</v>
      </c>
      <c r="I701"/>
      <c r="N701"/>
      <c r="O701"/>
      <c r="P701" s="1">
        <f t="shared" si="63"/>
        <v>181.76374593495936</v>
      </c>
      <c r="Q701" s="1">
        <f t="shared" si="64"/>
        <v>188.28317073170732</v>
      </c>
      <c r="R701" s="1">
        <f t="shared" si="65"/>
        <v>195.32303048842664</v>
      </c>
      <c r="S701" s="1">
        <f t="shared" si="66"/>
        <v>106.02778027823241</v>
      </c>
    </row>
    <row r="702" spans="1:19" x14ac:dyDescent="0.3">
      <c r="A702">
        <v>11644.4</v>
      </c>
      <c r="B702">
        <v>178.06148400000001</v>
      </c>
      <c r="C702">
        <v>184.480816</v>
      </c>
      <c r="D702">
        <v>190.73711800000001</v>
      </c>
      <c r="E702">
        <v>102.79151</v>
      </c>
      <c r="F702">
        <v>70.773375999999999</v>
      </c>
      <c r="G702">
        <v>40.309364000000002</v>
      </c>
      <c r="H702">
        <v>44.081263</v>
      </c>
      <c r="I702"/>
      <c r="N702"/>
      <c r="O702"/>
      <c r="P702" s="1">
        <f t="shared" si="63"/>
        <v>181.76374593495936</v>
      </c>
      <c r="Q702" s="1">
        <f t="shared" si="64"/>
        <v>188.28317073170732</v>
      </c>
      <c r="R702" s="1">
        <f t="shared" si="65"/>
        <v>195.32303048842664</v>
      </c>
      <c r="S702" s="1">
        <f t="shared" si="66"/>
        <v>106.02778027823241</v>
      </c>
    </row>
    <row r="703" spans="1:19" x14ac:dyDescent="0.3">
      <c r="A703">
        <v>11644.6</v>
      </c>
      <c r="B703">
        <v>178.05348000000001</v>
      </c>
      <c r="C703">
        <v>184.477735</v>
      </c>
      <c r="D703">
        <v>190.71838</v>
      </c>
      <c r="E703">
        <v>102.683727</v>
      </c>
      <c r="F703">
        <v>70.614350000000002</v>
      </c>
      <c r="G703">
        <v>40.309364000000002</v>
      </c>
      <c r="H703">
        <v>44.081263</v>
      </c>
      <c r="I703"/>
      <c r="N703"/>
      <c r="O703"/>
      <c r="P703" s="1">
        <f t="shared" si="63"/>
        <v>181.74658028455283</v>
      </c>
      <c r="Q703" s="1">
        <f t="shared" si="64"/>
        <v>188.26333028455284</v>
      </c>
      <c r="R703" s="1">
        <f t="shared" si="65"/>
        <v>195.30634444784337</v>
      </c>
      <c r="S703" s="1">
        <f t="shared" si="66"/>
        <v>105.93004398527005</v>
      </c>
    </row>
    <row r="704" spans="1:19" x14ac:dyDescent="0.3">
      <c r="A704">
        <v>11644.8</v>
      </c>
      <c r="B704">
        <v>178.05348000000001</v>
      </c>
      <c r="C704">
        <v>184.477735</v>
      </c>
      <c r="D704">
        <v>190.71838</v>
      </c>
      <c r="E704">
        <v>102.683727</v>
      </c>
      <c r="F704">
        <v>70.614350000000002</v>
      </c>
      <c r="G704">
        <v>40.308884999999997</v>
      </c>
      <c r="H704">
        <v>44.074981999999999</v>
      </c>
      <c r="I704"/>
      <c r="N704"/>
      <c r="O704"/>
      <c r="P704" s="1">
        <f t="shared" si="63"/>
        <v>181.74658028455283</v>
      </c>
      <c r="Q704" s="1">
        <f t="shared" si="64"/>
        <v>188.26333028455284</v>
      </c>
      <c r="R704" s="1">
        <f t="shared" si="65"/>
        <v>195.30634444784337</v>
      </c>
      <c r="S704" s="1">
        <f t="shared" si="66"/>
        <v>105.93004398527005</v>
      </c>
    </row>
    <row r="705" spans="1:19" x14ac:dyDescent="0.3">
      <c r="A705">
        <v>11645</v>
      </c>
      <c r="B705">
        <v>178.037803</v>
      </c>
      <c r="C705">
        <v>184.47896499999999</v>
      </c>
      <c r="D705">
        <v>190.720539</v>
      </c>
      <c r="E705">
        <v>102.716987</v>
      </c>
      <c r="F705">
        <v>70.899213000000003</v>
      </c>
      <c r="G705">
        <v>40.308884999999997</v>
      </c>
      <c r="H705">
        <v>44.074981999999999</v>
      </c>
      <c r="I705" t="s">
        <v>60</v>
      </c>
      <c r="N705"/>
      <c r="O705"/>
      <c r="P705" s="1">
        <f t="shared" si="63"/>
        <v>181.74630589430893</v>
      </c>
      <c r="Q705" s="1">
        <f t="shared" si="64"/>
        <v>188.292</v>
      </c>
      <c r="R705" s="1">
        <f t="shared" si="65"/>
        <v>195.30273070255939</v>
      </c>
      <c r="S705" s="1">
        <f t="shared" si="66"/>
        <v>105.90574672667758</v>
      </c>
    </row>
    <row r="706" spans="1:19" x14ac:dyDescent="0.3">
      <c r="A706">
        <v>11645.2</v>
      </c>
      <c r="B706">
        <v>178.037803</v>
      </c>
      <c r="C706">
        <v>184.47896499999999</v>
      </c>
      <c r="D706">
        <v>190.720539</v>
      </c>
      <c r="E706">
        <v>102.716987</v>
      </c>
      <c r="F706">
        <v>70.899213000000003</v>
      </c>
      <c r="G706">
        <v>40.307825999999999</v>
      </c>
      <c r="H706">
        <v>44.084603999999999</v>
      </c>
      <c r="I706"/>
      <c r="N706"/>
      <c r="O706"/>
      <c r="P706" s="1">
        <f t="shared" si="63"/>
        <v>181.74630589430893</v>
      </c>
      <c r="Q706" s="1">
        <f t="shared" si="64"/>
        <v>188.292</v>
      </c>
      <c r="R706" s="1">
        <f t="shared" si="65"/>
        <v>195.30273070255939</v>
      </c>
      <c r="S706" s="1">
        <f t="shared" si="66"/>
        <v>105.90574672667758</v>
      </c>
    </row>
    <row r="707" spans="1:19" x14ac:dyDescent="0.3">
      <c r="A707">
        <v>11645.4</v>
      </c>
      <c r="B707">
        <v>178.04663099999999</v>
      </c>
      <c r="C707">
        <v>184.460983</v>
      </c>
      <c r="D707">
        <v>190.71810600000001</v>
      </c>
      <c r="E707">
        <v>102.718253</v>
      </c>
      <c r="F707">
        <v>70.863613999999998</v>
      </c>
      <c r="G707">
        <v>40.307825999999999</v>
      </c>
      <c r="H707">
        <v>44.084603999999999</v>
      </c>
      <c r="I707"/>
      <c r="N707"/>
      <c r="O707"/>
      <c r="P707" s="1">
        <f t="shared" si="63"/>
        <v>181.73774390243901</v>
      </c>
      <c r="Q707" s="1">
        <f t="shared" si="64"/>
        <v>188.29417987804877</v>
      </c>
      <c r="R707" s="1">
        <f t="shared" si="65"/>
        <v>195.31969613541347</v>
      </c>
      <c r="S707" s="1">
        <f t="shared" si="66"/>
        <v>105.82489668576105</v>
      </c>
    </row>
    <row r="708" spans="1:19" x14ac:dyDescent="0.3">
      <c r="A708">
        <v>11645.6</v>
      </c>
      <c r="B708">
        <v>178.04663099999999</v>
      </c>
      <c r="C708">
        <v>184.460983</v>
      </c>
      <c r="D708">
        <v>190.71810600000001</v>
      </c>
      <c r="E708">
        <v>102.718253</v>
      </c>
      <c r="F708">
        <v>70.863613999999998</v>
      </c>
      <c r="G708">
        <v>40.321255999999998</v>
      </c>
      <c r="H708">
        <v>44.062477000000001</v>
      </c>
      <c r="I708"/>
      <c r="N708"/>
      <c r="O708"/>
      <c r="P708" s="1">
        <f t="shared" si="63"/>
        <v>181.73774390243901</v>
      </c>
      <c r="Q708" s="1">
        <f t="shared" si="64"/>
        <v>188.29417987804877</v>
      </c>
      <c r="R708" s="1">
        <f t="shared" si="65"/>
        <v>195.31969613541347</v>
      </c>
      <c r="S708" s="1">
        <f t="shared" si="66"/>
        <v>105.82489668576105</v>
      </c>
    </row>
    <row r="709" spans="1:19" x14ac:dyDescent="0.3">
      <c r="A709">
        <v>11645.8</v>
      </c>
      <c r="B709">
        <v>178.068882</v>
      </c>
      <c r="C709">
        <v>184.46328299999999</v>
      </c>
      <c r="D709">
        <v>190.73232400000001</v>
      </c>
      <c r="E709">
        <v>102.736501</v>
      </c>
      <c r="F709">
        <v>70.792474999999996</v>
      </c>
      <c r="G709">
        <v>40.321255999999998</v>
      </c>
      <c r="H709">
        <v>44.062477000000001</v>
      </c>
      <c r="I709"/>
      <c r="N709"/>
      <c r="O709"/>
      <c r="P709" s="1">
        <f t="shared" si="63"/>
        <v>181.72621341463415</v>
      </c>
      <c r="Q709" s="1">
        <f t="shared" si="64"/>
        <v>188.27448678861788</v>
      </c>
      <c r="R709" s="1">
        <f t="shared" si="65"/>
        <v>195.312937697563</v>
      </c>
      <c r="S709" s="1">
        <f t="shared" si="66"/>
        <v>105.90731485270049</v>
      </c>
    </row>
    <row r="710" spans="1:19" x14ac:dyDescent="0.3">
      <c r="A710">
        <v>11646</v>
      </c>
      <c r="B710">
        <v>178.068882</v>
      </c>
      <c r="C710">
        <v>184.46328299999999</v>
      </c>
      <c r="D710">
        <v>190.73232400000001</v>
      </c>
      <c r="E710">
        <v>102.736501</v>
      </c>
      <c r="F710">
        <v>70.792474999999996</v>
      </c>
      <c r="G710">
        <v>40.304358999999998</v>
      </c>
      <c r="H710">
        <v>44.075344999999999</v>
      </c>
      <c r="I710" t="s">
        <v>60</v>
      </c>
      <c r="N710"/>
      <c r="O710"/>
      <c r="P710" s="1">
        <f t="shared" si="63"/>
        <v>181.72621341463415</v>
      </c>
      <c r="Q710" s="1">
        <f t="shared" si="64"/>
        <v>188.27448678861788</v>
      </c>
      <c r="R710" s="1">
        <f t="shared" si="65"/>
        <v>195.312937697563</v>
      </c>
      <c r="S710" s="1">
        <f t="shared" si="66"/>
        <v>105.90731485270049</v>
      </c>
    </row>
    <row r="711" spans="1:19" x14ac:dyDescent="0.3">
      <c r="A711">
        <v>11646.2</v>
      </c>
      <c r="B711">
        <v>178.05177499999999</v>
      </c>
      <c r="C711">
        <v>184.48544100000001</v>
      </c>
      <c r="D711">
        <v>190.705217</v>
      </c>
      <c r="E711">
        <v>102.698126</v>
      </c>
      <c r="F711">
        <v>70.849926999999994</v>
      </c>
      <c r="G711">
        <v>40.304358999999998</v>
      </c>
      <c r="H711">
        <v>44.075344999999999</v>
      </c>
      <c r="I711"/>
      <c r="N711"/>
      <c r="O711"/>
      <c r="P711" s="1">
        <f t="shared" si="63"/>
        <v>181.73839227642276</v>
      </c>
      <c r="Q711" s="1">
        <f t="shared" si="64"/>
        <v>188.28095528455282</v>
      </c>
      <c r="R711" s="1">
        <f t="shared" si="65"/>
        <v>195.31080146833895</v>
      </c>
      <c r="S711" s="1">
        <f t="shared" si="66"/>
        <v>105.90501329787234</v>
      </c>
    </row>
    <row r="712" spans="1:19" x14ac:dyDescent="0.3">
      <c r="A712">
        <v>11646.4</v>
      </c>
      <c r="B712">
        <v>178.05177499999999</v>
      </c>
      <c r="C712">
        <v>184.48544100000001</v>
      </c>
      <c r="D712">
        <v>190.705217</v>
      </c>
      <c r="E712">
        <v>102.698126</v>
      </c>
      <c r="F712">
        <v>70.849926999999994</v>
      </c>
      <c r="G712">
        <v>40.297347000000002</v>
      </c>
      <c r="H712">
        <v>44.108744999999999</v>
      </c>
      <c r="I712"/>
      <c r="N712"/>
      <c r="O712"/>
      <c r="P712" s="1">
        <f t="shared" si="63"/>
        <v>181.73839227642276</v>
      </c>
      <c r="Q712" s="1">
        <f t="shared" si="64"/>
        <v>188.28095528455282</v>
      </c>
      <c r="R712" s="1">
        <f t="shared" si="65"/>
        <v>195.31080146833895</v>
      </c>
      <c r="S712" s="1">
        <f t="shared" si="66"/>
        <v>105.90501329787234</v>
      </c>
    </row>
    <row r="713" spans="1:19" x14ac:dyDescent="0.3">
      <c r="A713">
        <v>11646.6</v>
      </c>
      <c r="B713">
        <v>178.053224</v>
      </c>
      <c r="C713">
        <v>184.49442500000001</v>
      </c>
      <c r="D713">
        <v>190.738011</v>
      </c>
      <c r="E713">
        <v>102.80525</v>
      </c>
      <c r="F713">
        <v>71.127526000000003</v>
      </c>
      <c r="G713">
        <v>40.297347000000002</v>
      </c>
      <c r="H713">
        <v>44.108744999999999</v>
      </c>
      <c r="I713"/>
      <c r="N713"/>
      <c r="O713"/>
      <c r="P713" s="1">
        <f t="shared" si="63"/>
        <v>181.74085670731708</v>
      </c>
      <c r="Q713" s="1">
        <f t="shared" si="64"/>
        <v>188.28318800813008</v>
      </c>
      <c r="R713" s="1">
        <f t="shared" si="65"/>
        <v>195.30252982563476</v>
      </c>
      <c r="S713" s="1">
        <f t="shared" si="66"/>
        <v>105.88313829787235</v>
      </c>
    </row>
    <row r="714" spans="1:19" x14ac:dyDescent="0.3">
      <c r="A714">
        <v>11646.8</v>
      </c>
      <c r="B714">
        <v>178.053224</v>
      </c>
      <c r="C714">
        <v>184.49442500000001</v>
      </c>
      <c r="D714">
        <v>190.738011</v>
      </c>
      <c r="E714">
        <v>102.80525</v>
      </c>
      <c r="F714">
        <v>71.127526000000003</v>
      </c>
      <c r="G714">
        <v>40.300947999999998</v>
      </c>
      <c r="H714">
        <v>44.063820999999997</v>
      </c>
      <c r="I714"/>
      <c r="N714"/>
      <c r="O714"/>
      <c r="P714" s="1">
        <f t="shared" si="63"/>
        <v>181.74085670731708</v>
      </c>
      <c r="Q714" s="1">
        <f t="shared" si="64"/>
        <v>188.28318800813008</v>
      </c>
      <c r="R714" s="1">
        <f t="shared" si="65"/>
        <v>195.30252982563476</v>
      </c>
      <c r="S714" s="1">
        <f t="shared" si="66"/>
        <v>105.88313829787235</v>
      </c>
    </row>
    <row r="715" spans="1:19" x14ac:dyDescent="0.3">
      <c r="A715">
        <v>11647</v>
      </c>
      <c r="B715">
        <v>178.076459</v>
      </c>
      <c r="C715">
        <v>184.517248</v>
      </c>
      <c r="D715">
        <v>190.73543000000001</v>
      </c>
      <c r="E715">
        <v>102.944643</v>
      </c>
      <c r="F715">
        <v>71.282453000000004</v>
      </c>
      <c r="G715">
        <v>40.300947999999998</v>
      </c>
      <c r="H715">
        <v>44.063820999999997</v>
      </c>
      <c r="I715" t="s">
        <v>60</v>
      </c>
      <c r="N715"/>
      <c r="O715"/>
      <c r="P715" s="1">
        <f t="shared" si="63"/>
        <v>181.76194308943087</v>
      </c>
      <c r="Q715" s="1">
        <f t="shared" si="64"/>
        <v>188.26127032520324</v>
      </c>
      <c r="R715" s="1">
        <f t="shared" si="65"/>
        <v>195.31717242785766</v>
      </c>
      <c r="S715" s="1">
        <f t="shared" si="66"/>
        <v>106.00754705400981</v>
      </c>
    </row>
    <row r="716" spans="1:19" x14ac:dyDescent="0.3">
      <c r="A716">
        <v>11647.2</v>
      </c>
      <c r="B716">
        <v>178.076459</v>
      </c>
      <c r="C716">
        <v>184.517248</v>
      </c>
      <c r="D716">
        <v>190.73543000000001</v>
      </c>
      <c r="E716">
        <v>102.944643</v>
      </c>
      <c r="F716">
        <v>71.282453000000004</v>
      </c>
      <c r="G716">
        <v>40.301673000000001</v>
      </c>
      <c r="H716">
        <v>44.084041999999997</v>
      </c>
      <c r="I716"/>
      <c r="N716"/>
      <c r="O716"/>
      <c r="P716" s="1">
        <f t="shared" si="63"/>
        <v>181.76194308943087</v>
      </c>
      <c r="Q716" s="1">
        <f t="shared" si="64"/>
        <v>188.26127032520324</v>
      </c>
      <c r="R716" s="1">
        <f t="shared" si="65"/>
        <v>195.31717242785766</v>
      </c>
      <c r="S716" s="1">
        <f t="shared" si="66"/>
        <v>106.00754705400981</v>
      </c>
    </row>
    <row r="717" spans="1:19" x14ac:dyDescent="0.3">
      <c r="A717">
        <v>11647.4</v>
      </c>
      <c r="B717">
        <v>178.075728</v>
      </c>
      <c r="C717">
        <v>184.48921200000001</v>
      </c>
      <c r="D717">
        <v>190.73633899999999</v>
      </c>
      <c r="E717">
        <v>102.91276000000001</v>
      </c>
      <c r="F717">
        <v>71.284873000000005</v>
      </c>
      <c r="G717">
        <v>40.301673000000001</v>
      </c>
      <c r="H717">
        <v>44.084041999999997</v>
      </c>
      <c r="I717"/>
      <c r="N717"/>
      <c r="O717"/>
      <c r="P717" s="1">
        <f t="shared" si="63"/>
        <v>181.74545833333332</v>
      </c>
      <c r="Q717" s="1">
        <f t="shared" si="64"/>
        <v>188.27607926829268</v>
      </c>
      <c r="R717" s="1">
        <f t="shared" si="65"/>
        <v>195.31715101458144</v>
      </c>
      <c r="S717" s="1">
        <f t="shared" si="66"/>
        <v>106.12838993453354</v>
      </c>
    </row>
    <row r="718" spans="1:19" x14ac:dyDescent="0.3">
      <c r="A718">
        <v>11647.6</v>
      </c>
      <c r="B718">
        <v>178.075728</v>
      </c>
      <c r="C718">
        <v>184.48921200000001</v>
      </c>
      <c r="D718">
        <v>190.73633899999999</v>
      </c>
      <c r="E718">
        <v>102.91276000000001</v>
      </c>
      <c r="F718">
        <v>71.284873000000005</v>
      </c>
      <c r="G718">
        <v>40.318277999999999</v>
      </c>
      <c r="H718">
        <v>44.070650000000001</v>
      </c>
      <c r="I718"/>
      <c r="N718"/>
      <c r="O718"/>
      <c r="P718" s="1">
        <f t="shared" si="63"/>
        <v>181.74545833333332</v>
      </c>
      <c r="Q718" s="1">
        <f t="shared" si="64"/>
        <v>188.27607926829268</v>
      </c>
      <c r="R718" s="1">
        <f t="shared" si="65"/>
        <v>195.31715101458144</v>
      </c>
      <c r="S718" s="1">
        <f t="shared" si="66"/>
        <v>106.12838993453354</v>
      </c>
    </row>
    <row r="719" spans="1:19" x14ac:dyDescent="0.3">
      <c r="A719">
        <v>11647.8</v>
      </c>
      <c r="B719">
        <v>178.06376599999999</v>
      </c>
      <c r="C719">
        <v>184.51346699999999</v>
      </c>
      <c r="D719">
        <v>190.73939200000001</v>
      </c>
      <c r="E719">
        <v>102.86464700000001</v>
      </c>
      <c r="F719">
        <v>70.709113000000002</v>
      </c>
      <c r="G719">
        <v>40.318277999999999</v>
      </c>
      <c r="H719">
        <v>44.070650000000001</v>
      </c>
      <c r="I719"/>
      <c r="N719"/>
      <c r="O719"/>
      <c r="P719" s="1">
        <f t="shared" si="63"/>
        <v>181.75608130081301</v>
      </c>
      <c r="Q719" s="1">
        <f t="shared" si="64"/>
        <v>188.27979268292682</v>
      </c>
      <c r="R719" s="1">
        <f t="shared" si="65"/>
        <v>195.31703681044155</v>
      </c>
      <c r="S719" s="1">
        <f t="shared" si="66"/>
        <v>106.0917655482815</v>
      </c>
    </row>
    <row r="720" spans="1:19" x14ac:dyDescent="0.3">
      <c r="A720">
        <v>11648</v>
      </c>
      <c r="B720">
        <v>178.06376599999999</v>
      </c>
      <c r="C720">
        <v>184.51346699999999</v>
      </c>
      <c r="D720">
        <v>190.73939200000001</v>
      </c>
      <c r="E720">
        <v>102.86464700000001</v>
      </c>
      <c r="F720">
        <v>70.709113000000002</v>
      </c>
      <c r="G720">
        <v>40.310912000000002</v>
      </c>
      <c r="H720">
        <v>44.082574000000001</v>
      </c>
      <c r="I720" t="s">
        <v>60</v>
      </c>
      <c r="N720"/>
      <c r="O720"/>
      <c r="P720" s="1">
        <f t="shared" si="63"/>
        <v>181.75608130081301</v>
      </c>
      <c r="Q720" s="1">
        <f t="shared" si="64"/>
        <v>188.27979268292682</v>
      </c>
      <c r="R720" s="1">
        <f t="shared" si="65"/>
        <v>195.31703681044155</v>
      </c>
      <c r="S720" s="1">
        <f t="shared" si="66"/>
        <v>106.0917655482815</v>
      </c>
    </row>
    <row r="721" spans="1:19" x14ac:dyDescent="0.3">
      <c r="A721">
        <v>11648.2</v>
      </c>
      <c r="B721">
        <v>178.06508299999999</v>
      </c>
      <c r="C721">
        <v>184.490073</v>
      </c>
      <c r="D721">
        <v>190.746554</v>
      </c>
      <c r="E721">
        <v>102.922624</v>
      </c>
      <c r="F721">
        <v>70.746460999999996</v>
      </c>
      <c r="G721">
        <v>40.310912000000002</v>
      </c>
      <c r="H721">
        <v>44.082574000000001</v>
      </c>
      <c r="I721"/>
      <c r="N721"/>
      <c r="O721"/>
      <c r="P721" s="1">
        <f t="shared" si="63"/>
        <v>181.74794715447155</v>
      </c>
      <c r="Q721" s="1">
        <f t="shared" si="64"/>
        <v>188.27666158536584</v>
      </c>
      <c r="R721" s="1">
        <f t="shared" si="65"/>
        <v>195.29793004996432</v>
      </c>
      <c r="S721" s="1">
        <f t="shared" si="66"/>
        <v>105.98151288870704</v>
      </c>
    </row>
    <row r="722" spans="1:19" x14ac:dyDescent="0.3">
      <c r="A722">
        <v>11648.4</v>
      </c>
      <c r="B722">
        <v>178.06508299999999</v>
      </c>
      <c r="C722">
        <v>184.490073</v>
      </c>
      <c r="D722">
        <v>190.746554</v>
      </c>
      <c r="E722">
        <v>102.922624</v>
      </c>
      <c r="F722">
        <v>70.746460999999996</v>
      </c>
      <c r="G722">
        <v>40.313509000000003</v>
      </c>
      <c r="H722">
        <v>44.074717999999997</v>
      </c>
      <c r="I722"/>
      <c r="N722"/>
      <c r="O722"/>
      <c r="P722" s="1">
        <f t="shared" si="63"/>
        <v>181.74794715447155</v>
      </c>
      <c r="Q722" s="1">
        <f t="shared" si="64"/>
        <v>188.27666158536584</v>
      </c>
      <c r="R722" s="1">
        <f t="shared" si="65"/>
        <v>195.29793004996432</v>
      </c>
      <c r="S722" s="1">
        <f t="shared" si="66"/>
        <v>105.98151288870704</v>
      </c>
    </row>
    <row r="723" spans="1:19" x14ac:dyDescent="0.3">
      <c r="A723">
        <v>11648.6</v>
      </c>
      <c r="B723">
        <v>178.07030700000001</v>
      </c>
      <c r="C723">
        <v>184.47530399999999</v>
      </c>
      <c r="D723">
        <v>190.72040899999999</v>
      </c>
      <c r="E723">
        <v>102.82959700000001</v>
      </c>
      <c r="F723">
        <v>70.660713999999999</v>
      </c>
      <c r="G723">
        <v>40.313509000000003</v>
      </c>
      <c r="H723">
        <v>44.074717999999997</v>
      </c>
      <c r="I723"/>
      <c r="N723"/>
      <c r="O723"/>
      <c r="P723" s="1">
        <f t="shared" si="63"/>
        <v>181.73201524390242</v>
      </c>
      <c r="Q723" s="1">
        <f t="shared" si="64"/>
        <v>188.27791158536584</v>
      </c>
      <c r="R723" s="1">
        <f t="shared" si="65"/>
        <v>195.30013153869686</v>
      </c>
      <c r="S723" s="1">
        <f t="shared" si="66"/>
        <v>106.01553498363339</v>
      </c>
    </row>
    <row r="724" spans="1:19" x14ac:dyDescent="0.3">
      <c r="A724">
        <v>11648.8</v>
      </c>
      <c r="B724">
        <v>178.07030700000001</v>
      </c>
      <c r="C724">
        <v>184.47530399999999</v>
      </c>
      <c r="D724">
        <v>190.72040899999999</v>
      </c>
      <c r="E724">
        <v>102.82959700000001</v>
      </c>
      <c r="F724">
        <v>70.660713999999999</v>
      </c>
      <c r="G724">
        <v>40.313496000000001</v>
      </c>
      <c r="H724">
        <v>44.072383000000002</v>
      </c>
      <c r="I724"/>
      <c r="N724"/>
      <c r="O724"/>
      <c r="P724" s="1">
        <f t="shared" si="63"/>
        <v>181.73201524390242</v>
      </c>
      <c r="Q724" s="1">
        <f t="shared" si="64"/>
        <v>188.27791158536584</v>
      </c>
      <c r="R724" s="1">
        <f t="shared" si="65"/>
        <v>195.30013153869686</v>
      </c>
      <c r="S724" s="1">
        <f t="shared" si="66"/>
        <v>106.01553498363339</v>
      </c>
    </row>
    <row r="725" spans="1:19" x14ac:dyDescent="0.3">
      <c r="A725">
        <v>12657</v>
      </c>
      <c r="B725">
        <v>190.90338499999999</v>
      </c>
      <c r="C725">
        <v>197.97156799999999</v>
      </c>
      <c r="D725">
        <v>204.92723899999999</v>
      </c>
      <c r="E725">
        <v>105.75758</v>
      </c>
      <c r="F725">
        <v>72.229191999999998</v>
      </c>
      <c r="G725">
        <v>40.512829000000004</v>
      </c>
      <c r="H725">
        <v>44.702241999999998</v>
      </c>
      <c r="I725" t="s">
        <v>60</v>
      </c>
      <c r="N725"/>
      <c r="O725"/>
      <c r="P725" s="1">
        <f t="shared" si="63"/>
        <v>181.74098678861787</v>
      </c>
      <c r="Q725" s="1">
        <f t="shared" si="64"/>
        <v>188.25963719512194</v>
      </c>
      <c r="R725" s="1">
        <f t="shared" si="65"/>
        <v>195.29765065769351</v>
      </c>
      <c r="S725" s="1">
        <f t="shared" si="66"/>
        <v>106.01682999181669</v>
      </c>
    </row>
    <row r="726" spans="1:19" x14ac:dyDescent="0.3">
      <c r="A726">
        <v>12657.2</v>
      </c>
      <c r="B726">
        <v>190.90338499999999</v>
      </c>
      <c r="C726">
        <v>197.97156799999999</v>
      </c>
      <c r="D726">
        <v>204.92723899999999</v>
      </c>
      <c r="E726">
        <v>105.75758</v>
      </c>
      <c r="F726">
        <v>72.229191999999998</v>
      </c>
      <c r="G726">
        <v>40.512445999999997</v>
      </c>
      <c r="H726">
        <v>44.681676000000003</v>
      </c>
      <c r="I726"/>
      <c r="N726"/>
      <c r="O726"/>
      <c r="P726" s="1">
        <f t="shared" si="63"/>
        <v>181.74098678861787</v>
      </c>
      <c r="Q726" s="1">
        <f t="shared" si="64"/>
        <v>188.25963719512194</v>
      </c>
      <c r="R726" s="1">
        <f t="shared" si="65"/>
        <v>195.29765065769351</v>
      </c>
      <c r="S726" s="1">
        <f t="shared" si="66"/>
        <v>106.01682999181669</v>
      </c>
    </row>
    <row r="727" spans="1:19" x14ac:dyDescent="0.3">
      <c r="A727">
        <v>12657.4</v>
      </c>
      <c r="B727">
        <v>190.87970100000001</v>
      </c>
      <c r="C727">
        <v>197.993696</v>
      </c>
      <c r="D727">
        <v>204.93356900000001</v>
      </c>
      <c r="E727">
        <v>105.694473</v>
      </c>
      <c r="F727">
        <v>72.074195000000003</v>
      </c>
      <c r="G727">
        <v>40.512445999999997</v>
      </c>
      <c r="H727">
        <v>44.681676000000003</v>
      </c>
      <c r="I727"/>
      <c r="N727"/>
      <c r="O727"/>
      <c r="P727" s="1">
        <f t="shared" si="63"/>
        <v>181.76359959349594</v>
      </c>
      <c r="Q727" s="1">
        <f t="shared" si="64"/>
        <v>188.26197459349592</v>
      </c>
      <c r="R727" s="1">
        <f t="shared" si="65"/>
        <v>195.31214846538188</v>
      </c>
      <c r="S727" s="1">
        <f t="shared" si="66"/>
        <v>106.03549611292962</v>
      </c>
    </row>
    <row r="728" spans="1:19" x14ac:dyDescent="0.3">
      <c r="A728">
        <v>12657.6</v>
      </c>
      <c r="B728">
        <v>190.87970100000001</v>
      </c>
      <c r="C728">
        <v>197.993696</v>
      </c>
      <c r="D728">
        <v>204.93356900000001</v>
      </c>
      <c r="E728">
        <v>105.694473</v>
      </c>
      <c r="F728">
        <v>72.074195000000003</v>
      </c>
      <c r="G728">
        <v>40.505254999999998</v>
      </c>
      <c r="H728">
        <v>44.683557999999998</v>
      </c>
      <c r="I728"/>
      <c r="N728"/>
      <c r="O728"/>
      <c r="P728" s="1">
        <f t="shared" si="63"/>
        <v>181.76359959349594</v>
      </c>
      <c r="Q728" s="1">
        <f t="shared" si="64"/>
        <v>188.26197459349592</v>
      </c>
      <c r="R728" s="1">
        <f t="shared" si="65"/>
        <v>195.31214846538188</v>
      </c>
      <c r="S728" s="1">
        <f t="shared" si="66"/>
        <v>106.03549611292962</v>
      </c>
    </row>
    <row r="729" spans="1:19" x14ac:dyDescent="0.3">
      <c r="A729">
        <v>12657.8</v>
      </c>
      <c r="B729">
        <v>190.90030100000001</v>
      </c>
      <c r="C729">
        <v>197.98611299999999</v>
      </c>
      <c r="D729">
        <v>204.93631099999999</v>
      </c>
      <c r="E729">
        <v>105.787645</v>
      </c>
      <c r="F729">
        <v>72.425274000000002</v>
      </c>
      <c r="G729">
        <v>40.505254999999998</v>
      </c>
      <c r="H729">
        <v>44.683557999999998</v>
      </c>
      <c r="I729"/>
      <c r="N729"/>
      <c r="O729"/>
      <c r="P729" s="1">
        <f t="shared" si="63"/>
        <v>181.7462144308943</v>
      </c>
      <c r="Q729" s="1">
        <f t="shared" si="64"/>
        <v>188.28449288617887</v>
      </c>
      <c r="R729" s="1">
        <f t="shared" si="65"/>
        <v>195.28450800448661</v>
      </c>
      <c r="S729" s="1">
        <f t="shared" si="66"/>
        <v>105.99624181669394</v>
      </c>
    </row>
    <row r="730" spans="1:19" x14ac:dyDescent="0.3">
      <c r="A730">
        <v>12658</v>
      </c>
      <c r="B730">
        <v>190.90030100000001</v>
      </c>
      <c r="C730">
        <v>197.98611299999999</v>
      </c>
      <c r="D730">
        <v>204.93631099999999</v>
      </c>
      <c r="E730">
        <v>105.787645</v>
      </c>
      <c r="F730">
        <v>72.425274000000002</v>
      </c>
      <c r="G730">
        <v>40.522765</v>
      </c>
      <c r="H730">
        <v>44.675485999999999</v>
      </c>
      <c r="I730" t="s">
        <v>60</v>
      </c>
      <c r="N730"/>
      <c r="O730"/>
      <c r="P730" s="1">
        <f t="shared" si="63"/>
        <v>181.7462144308943</v>
      </c>
      <c r="Q730" s="1">
        <f t="shared" si="64"/>
        <v>188.28449288617887</v>
      </c>
      <c r="R730" s="1">
        <f t="shared" si="65"/>
        <v>195.28450800448661</v>
      </c>
      <c r="S730" s="1">
        <f t="shared" si="66"/>
        <v>105.99624181669394</v>
      </c>
    </row>
    <row r="731" spans="1:19" x14ac:dyDescent="0.3">
      <c r="A731">
        <v>12658.2</v>
      </c>
      <c r="B731">
        <v>190.917486</v>
      </c>
      <c r="C731">
        <v>197.98239899999999</v>
      </c>
      <c r="D731">
        <v>204.94452899999999</v>
      </c>
      <c r="E731">
        <v>105.77864</v>
      </c>
      <c r="F731">
        <v>72.529069000000007</v>
      </c>
      <c r="G731">
        <v>40.522765</v>
      </c>
      <c r="H731">
        <v>44.675485999999999</v>
      </c>
      <c r="I731"/>
      <c r="N731"/>
      <c r="O731"/>
      <c r="P731" s="1">
        <f t="shared" si="63"/>
        <v>181.7476869918699</v>
      </c>
      <c r="Q731" s="1">
        <f t="shared" si="64"/>
        <v>188.29362296747968</v>
      </c>
      <c r="R731" s="1">
        <f t="shared" si="65"/>
        <v>195.31794738452126</v>
      </c>
      <c r="S731" s="1">
        <f t="shared" si="66"/>
        <v>106.10582037643208</v>
      </c>
    </row>
    <row r="732" spans="1:19" x14ac:dyDescent="0.3">
      <c r="A732">
        <v>12658.4</v>
      </c>
      <c r="B732">
        <v>190.917486</v>
      </c>
      <c r="C732">
        <v>197.98239899999999</v>
      </c>
      <c r="D732">
        <v>204.94452899999999</v>
      </c>
      <c r="E732">
        <v>105.77864</v>
      </c>
      <c r="F732">
        <v>72.529069000000007</v>
      </c>
      <c r="G732">
        <v>40.528058000000001</v>
      </c>
      <c r="H732">
        <v>44.679369000000001</v>
      </c>
      <c r="I732"/>
      <c r="N732"/>
      <c r="O732"/>
      <c r="P732" s="1">
        <f t="shared" si="63"/>
        <v>181.7476869918699</v>
      </c>
      <c r="Q732" s="1">
        <f t="shared" si="64"/>
        <v>188.29362296747968</v>
      </c>
      <c r="R732" s="1">
        <f t="shared" si="65"/>
        <v>195.31794738452126</v>
      </c>
      <c r="S732" s="1">
        <f t="shared" si="66"/>
        <v>106.10582037643208</v>
      </c>
    </row>
    <row r="733" spans="1:19" x14ac:dyDescent="0.3">
      <c r="A733">
        <v>12658.6</v>
      </c>
      <c r="B733">
        <v>190.902715</v>
      </c>
      <c r="C733">
        <v>197.96055200000001</v>
      </c>
      <c r="D733">
        <v>204.92493899999999</v>
      </c>
      <c r="E733">
        <v>105.791556</v>
      </c>
      <c r="F733">
        <v>72.393655999999993</v>
      </c>
      <c r="G733">
        <v>40.528058000000001</v>
      </c>
      <c r="H733">
        <v>44.679369000000001</v>
      </c>
      <c r="I733"/>
      <c r="N733"/>
      <c r="O733"/>
      <c r="P733" s="1">
        <f t="shared" si="63"/>
        <v>181.77129979674797</v>
      </c>
      <c r="Q733" s="1">
        <f t="shared" si="64"/>
        <v>188.31681707317071</v>
      </c>
      <c r="R733" s="1">
        <f t="shared" si="65"/>
        <v>195.31531559090448</v>
      </c>
      <c r="S733" s="1">
        <f t="shared" si="66"/>
        <v>106.24840732405892</v>
      </c>
    </row>
    <row r="734" spans="1:19" x14ac:dyDescent="0.3">
      <c r="A734">
        <v>12658.8</v>
      </c>
      <c r="B734">
        <v>190.902715</v>
      </c>
      <c r="C734">
        <v>197.96055200000001</v>
      </c>
      <c r="D734">
        <v>204.92493899999999</v>
      </c>
      <c r="E734">
        <v>105.791556</v>
      </c>
      <c r="F734">
        <v>72.393655999999993</v>
      </c>
      <c r="G734">
        <v>40.527790000000003</v>
      </c>
      <c r="H734">
        <v>44.692557999999998</v>
      </c>
      <c r="I734"/>
      <c r="N734"/>
      <c r="O734"/>
      <c r="P734" s="1">
        <f t="shared" si="63"/>
        <v>181.77129979674797</v>
      </c>
      <c r="Q734" s="1">
        <f t="shared" si="64"/>
        <v>188.31681707317071</v>
      </c>
      <c r="R734" s="1">
        <f t="shared" si="65"/>
        <v>195.31531559090448</v>
      </c>
      <c r="S734" s="1">
        <f t="shared" si="66"/>
        <v>106.24840732405892</v>
      </c>
    </row>
    <row r="735" spans="1:19" x14ac:dyDescent="0.3">
      <c r="A735">
        <v>12659</v>
      </c>
      <c r="B735">
        <v>190.91140100000001</v>
      </c>
      <c r="C735">
        <v>197.98994200000001</v>
      </c>
      <c r="D735">
        <v>204.91</v>
      </c>
      <c r="E735">
        <v>105.634744</v>
      </c>
      <c r="F735">
        <v>72.574054000000004</v>
      </c>
      <c r="G735">
        <v>40.527790000000003</v>
      </c>
      <c r="H735">
        <v>44.692557999999998</v>
      </c>
      <c r="I735" t="s">
        <v>60</v>
      </c>
      <c r="N735"/>
      <c r="O735"/>
      <c r="P735" s="1">
        <f t="shared" si="63"/>
        <v>181.7705569105691</v>
      </c>
      <c r="Q735" s="1">
        <f t="shared" si="64"/>
        <v>188.28832520325204</v>
      </c>
      <c r="R735" s="1">
        <f t="shared" si="65"/>
        <v>195.31624247986133</v>
      </c>
      <c r="S735" s="1">
        <f t="shared" si="66"/>
        <v>106.21579378068741</v>
      </c>
    </row>
    <row r="736" spans="1:19" x14ac:dyDescent="0.3">
      <c r="A736">
        <v>12659.2</v>
      </c>
      <c r="B736">
        <v>190.91140100000001</v>
      </c>
      <c r="C736">
        <v>197.98994200000001</v>
      </c>
      <c r="D736">
        <v>204.91</v>
      </c>
      <c r="E736">
        <v>105.634744</v>
      </c>
      <c r="F736">
        <v>72.574054000000004</v>
      </c>
      <c r="G736">
        <v>40.549177999999998</v>
      </c>
      <c r="H736">
        <v>44.672806999999999</v>
      </c>
      <c r="I736"/>
      <c r="N736"/>
      <c r="O736"/>
      <c r="P736" s="1">
        <f t="shared" si="63"/>
        <v>181.7705569105691</v>
      </c>
      <c r="Q736" s="1">
        <f t="shared" si="64"/>
        <v>188.28832520325204</v>
      </c>
      <c r="R736" s="1">
        <f t="shared" si="65"/>
        <v>195.31624247986133</v>
      </c>
      <c r="S736" s="1">
        <f t="shared" si="66"/>
        <v>106.21579378068741</v>
      </c>
    </row>
    <row r="737" spans="1:19" x14ac:dyDescent="0.3">
      <c r="A737">
        <v>12659.4</v>
      </c>
      <c r="B737">
        <v>190.90128799999999</v>
      </c>
      <c r="C737">
        <v>197.976991</v>
      </c>
      <c r="D737">
        <v>204.93845999999999</v>
      </c>
      <c r="E737">
        <v>105.582685</v>
      </c>
      <c r="F737">
        <v>72.380177000000003</v>
      </c>
      <c r="G737">
        <v>40.549177999999998</v>
      </c>
      <c r="H737">
        <v>44.672806999999999</v>
      </c>
      <c r="I737"/>
      <c r="N737"/>
      <c r="O737"/>
      <c r="P737" s="1">
        <f t="shared" si="63"/>
        <v>181.75840040650405</v>
      </c>
      <c r="Q737" s="1">
        <f t="shared" si="64"/>
        <v>188.31297459349591</v>
      </c>
      <c r="R737" s="1">
        <f t="shared" si="65"/>
        <v>195.31935556235345</v>
      </c>
      <c r="S737" s="1">
        <f t="shared" si="66"/>
        <v>106.16657835515548</v>
      </c>
    </row>
    <row r="738" spans="1:19" x14ac:dyDescent="0.3">
      <c r="A738">
        <v>12659.6</v>
      </c>
      <c r="B738">
        <v>190.90128799999999</v>
      </c>
      <c r="C738">
        <v>197.976991</v>
      </c>
      <c r="D738">
        <v>204.93845999999999</v>
      </c>
      <c r="E738">
        <v>105.582685</v>
      </c>
      <c r="F738">
        <v>72.380177000000003</v>
      </c>
      <c r="G738">
        <v>40.539606999999997</v>
      </c>
      <c r="H738">
        <v>44.681596999999996</v>
      </c>
      <c r="I738"/>
      <c r="N738"/>
      <c r="O738"/>
      <c r="P738" s="1">
        <f t="shared" si="63"/>
        <v>181.75840040650405</v>
      </c>
      <c r="Q738" s="1">
        <f t="shared" si="64"/>
        <v>188.31297459349591</v>
      </c>
      <c r="R738" s="1">
        <f t="shared" si="65"/>
        <v>195.31935556235345</v>
      </c>
      <c r="S738" s="1">
        <f t="shared" si="66"/>
        <v>106.16657835515548</v>
      </c>
    </row>
    <row r="739" spans="1:19" x14ac:dyDescent="0.3">
      <c r="A739">
        <v>12659.8</v>
      </c>
      <c r="B739">
        <v>190.90076999999999</v>
      </c>
      <c r="C739">
        <v>197.96894900000001</v>
      </c>
      <c r="D739">
        <v>204.944715</v>
      </c>
      <c r="E739">
        <v>105.57290999999999</v>
      </c>
      <c r="F739">
        <v>72.175867999999994</v>
      </c>
      <c r="G739">
        <v>40.539606999999997</v>
      </c>
      <c r="H739">
        <v>44.681596999999996</v>
      </c>
      <c r="I739"/>
      <c r="N739"/>
      <c r="O739"/>
      <c r="P739" s="1">
        <f t="shared" si="63"/>
        <v>181.7597388211382</v>
      </c>
      <c r="Q739" s="1">
        <f t="shared" si="64"/>
        <v>188.28920020325202</v>
      </c>
      <c r="R739" s="1">
        <f t="shared" si="65"/>
        <v>195.32665850922811</v>
      </c>
      <c r="S739" s="1">
        <f t="shared" si="66"/>
        <v>106.22588379705401</v>
      </c>
    </row>
    <row r="740" spans="1:19" x14ac:dyDescent="0.3">
      <c r="A740">
        <v>12660</v>
      </c>
      <c r="B740">
        <v>190.90076999999999</v>
      </c>
      <c r="C740">
        <v>197.96894900000001</v>
      </c>
      <c r="D740">
        <v>204.944715</v>
      </c>
      <c r="E740">
        <v>105.57290999999999</v>
      </c>
      <c r="F740">
        <v>72.175867999999994</v>
      </c>
      <c r="G740">
        <v>40.523591000000003</v>
      </c>
      <c r="H740">
        <v>44.685125999999997</v>
      </c>
      <c r="I740" t="s">
        <v>60</v>
      </c>
      <c r="N740"/>
      <c r="O740"/>
      <c r="P740" s="1">
        <f t="shared" si="63"/>
        <v>181.7597388211382</v>
      </c>
      <c r="Q740" s="1">
        <f t="shared" si="64"/>
        <v>188.28920020325202</v>
      </c>
      <c r="R740" s="1">
        <f t="shared" si="65"/>
        <v>195.32665850922811</v>
      </c>
      <c r="S740" s="1">
        <f t="shared" si="66"/>
        <v>106.22588379705401</v>
      </c>
    </row>
    <row r="741" spans="1:19" x14ac:dyDescent="0.3">
      <c r="A741">
        <v>12660.2</v>
      </c>
      <c r="B741">
        <v>190.912409</v>
      </c>
      <c r="C741">
        <v>197.97355300000001</v>
      </c>
      <c r="D741">
        <v>204.937847</v>
      </c>
      <c r="E741">
        <v>105.722832</v>
      </c>
      <c r="F741">
        <v>72.227692000000005</v>
      </c>
      <c r="G741">
        <v>40.523591000000003</v>
      </c>
      <c r="H741">
        <v>44.685125999999997</v>
      </c>
      <c r="I741"/>
      <c r="N741"/>
      <c r="O741"/>
      <c r="P741" s="1">
        <f t="shared" si="63"/>
        <v>181.76504776422766</v>
      </c>
      <c r="Q741" s="1">
        <f t="shared" si="64"/>
        <v>188.27419105691055</v>
      </c>
      <c r="R741" s="1">
        <f t="shared" si="65"/>
        <v>195.29999898032017</v>
      </c>
      <c r="S741" s="1">
        <f t="shared" si="66"/>
        <v>106.13072524549919</v>
      </c>
    </row>
    <row r="742" spans="1:19" x14ac:dyDescent="0.3">
      <c r="A742">
        <v>12660.4</v>
      </c>
      <c r="B742">
        <v>190.912409</v>
      </c>
      <c r="C742">
        <v>197.97355300000001</v>
      </c>
      <c r="D742">
        <v>204.937847</v>
      </c>
      <c r="E742">
        <v>105.722832</v>
      </c>
      <c r="F742">
        <v>72.227692000000005</v>
      </c>
      <c r="G742">
        <v>40.525796</v>
      </c>
      <c r="H742">
        <v>44.681289999999997</v>
      </c>
      <c r="I742"/>
      <c r="N742"/>
      <c r="O742"/>
      <c r="P742" s="1">
        <f t="shared" si="63"/>
        <v>181.76504776422766</v>
      </c>
      <c r="Q742" s="1">
        <f t="shared" si="64"/>
        <v>188.27419105691055</v>
      </c>
      <c r="R742" s="1">
        <f t="shared" si="65"/>
        <v>195.29999898032017</v>
      </c>
      <c r="S742" s="1">
        <f t="shared" si="66"/>
        <v>106.13072524549919</v>
      </c>
    </row>
    <row r="743" spans="1:19" x14ac:dyDescent="0.3">
      <c r="A743">
        <v>12660.6</v>
      </c>
      <c r="B743">
        <v>190.91283899999999</v>
      </c>
      <c r="C743">
        <v>197.99467300000001</v>
      </c>
      <c r="D743">
        <v>204.958349</v>
      </c>
      <c r="E743">
        <v>105.665998</v>
      </c>
      <c r="F743">
        <v>72.311914000000002</v>
      </c>
      <c r="G743">
        <v>40.525796</v>
      </c>
      <c r="H743">
        <v>44.681289999999997</v>
      </c>
      <c r="I743"/>
      <c r="N743"/>
      <c r="O743"/>
      <c r="P743" s="1">
        <f t="shared" si="63"/>
        <v>194.80679369918698</v>
      </c>
      <c r="Q743" s="1">
        <f t="shared" si="64"/>
        <v>201.98990650406503</v>
      </c>
      <c r="R743" s="1">
        <f t="shared" si="65"/>
        <v>209.78641684511064</v>
      </c>
      <c r="S743" s="1">
        <f t="shared" si="66"/>
        <v>109.12579787234043</v>
      </c>
    </row>
    <row r="744" spans="1:19" x14ac:dyDescent="0.3">
      <c r="A744">
        <v>12660.8</v>
      </c>
      <c r="B744">
        <v>190.91283899999999</v>
      </c>
      <c r="C744">
        <v>197.99467300000001</v>
      </c>
      <c r="D744">
        <v>204.958349</v>
      </c>
      <c r="E744">
        <v>105.665998</v>
      </c>
      <c r="F744">
        <v>72.311914000000002</v>
      </c>
      <c r="G744">
        <v>40.522272999999998</v>
      </c>
      <c r="H744">
        <v>44.68242</v>
      </c>
      <c r="I744"/>
      <c r="N744"/>
      <c r="O744"/>
      <c r="P744" s="1">
        <f t="shared" si="63"/>
        <v>194.80679369918698</v>
      </c>
      <c r="Q744" s="1">
        <f t="shared" si="64"/>
        <v>201.98990650406503</v>
      </c>
      <c r="R744" s="1">
        <f t="shared" si="65"/>
        <v>209.78641684511064</v>
      </c>
      <c r="S744" s="1">
        <f t="shared" si="66"/>
        <v>109.12579787234043</v>
      </c>
    </row>
    <row r="745" spans="1:19" x14ac:dyDescent="0.3">
      <c r="A745">
        <v>12661</v>
      </c>
      <c r="B745">
        <v>190.91017400000001</v>
      </c>
      <c r="C745">
        <v>197.98612600000001</v>
      </c>
      <c r="D745">
        <v>204.93655799999999</v>
      </c>
      <c r="E745">
        <v>105.750773</v>
      </c>
      <c r="F745">
        <v>72.229553999999993</v>
      </c>
      <c r="G745">
        <v>40.522272999999998</v>
      </c>
      <c r="H745">
        <v>44.68242</v>
      </c>
      <c r="I745" t="s">
        <v>60</v>
      </c>
      <c r="N745"/>
      <c r="O745"/>
      <c r="P745" s="1">
        <f t="shared" si="63"/>
        <v>194.78272459349594</v>
      </c>
      <c r="Q745" s="1">
        <f t="shared" si="64"/>
        <v>202.01239430894307</v>
      </c>
      <c r="R745" s="1">
        <f t="shared" si="65"/>
        <v>209.79287141837466</v>
      </c>
      <c r="S745" s="1">
        <f t="shared" si="66"/>
        <v>109.06124488543371</v>
      </c>
    </row>
    <row r="746" spans="1:19" x14ac:dyDescent="0.3">
      <c r="A746">
        <v>12661.2</v>
      </c>
      <c r="B746">
        <v>190.91017400000001</v>
      </c>
      <c r="C746">
        <v>197.98612600000001</v>
      </c>
      <c r="D746">
        <v>204.93655799999999</v>
      </c>
      <c r="E746">
        <v>105.750773</v>
      </c>
      <c r="F746">
        <v>72.229553999999993</v>
      </c>
      <c r="G746">
        <v>40.529375999999999</v>
      </c>
      <c r="H746">
        <v>44.713628</v>
      </c>
      <c r="I746"/>
      <c r="N746"/>
      <c r="O746"/>
      <c r="P746" s="1">
        <f t="shared" si="63"/>
        <v>194.78272459349594</v>
      </c>
      <c r="Q746" s="1">
        <f t="shared" si="64"/>
        <v>202.01239430894307</v>
      </c>
      <c r="R746" s="1">
        <f t="shared" si="65"/>
        <v>209.79287141837466</v>
      </c>
      <c r="S746" s="1">
        <f t="shared" si="66"/>
        <v>109.06124488543371</v>
      </c>
    </row>
    <row r="747" spans="1:19" x14ac:dyDescent="0.3">
      <c r="A747">
        <v>12661.4</v>
      </c>
      <c r="B747">
        <v>190.91152299999999</v>
      </c>
      <c r="C747">
        <v>198.00887399999999</v>
      </c>
      <c r="D747">
        <v>204.932298</v>
      </c>
      <c r="E747">
        <v>105.96321</v>
      </c>
      <c r="F747">
        <v>72.320312999999999</v>
      </c>
      <c r="G747">
        <v>40.529375999999999</v>
      </c>
      <c r="H747">
        <v>44.713628</v>
      </c>
      <c r="I747"/>
      <c r="N747"/>
      <c r="O747"/>
      <c r="P747" s="1">
        <f t="shared" si="63"/>
        <v>194.80365955284555</v>
      </c>
      <c r="Q747" s="1">
        <f t="shared" si="64"/>
        <v>202.00468800813007</v>
      </c>
      <c r="R747" s="1">
        <f t="shared" si="65"/>
        <v>209.79566738044255</v>
      </c>
      <c r="S747" s="1">
        <f t="shared" si="66"/>
        <v>109.1565517594108</v>
      </c>
    </row>
    <row r="748" spans="1:19" x14ac:dyDescent="0.3">
      <c r="A748">
        <v>12661.6</v>
      </c>
      <c r="B748">
        <v>190.91152299999999</v>
      </c>
      <c r="C748">
        <v>198.00887399999999</v>
      </c>
      <c r="D748">
        <v>204.932298</v>
      </c>
      <c r="E748">
        <v>105.96321</v>
      </c>
      <c r="F748">
        <v>72.320312999999999</v>
      </c>
      <c r="G748">
        <v>40.534072000000002</v>
      </c>
      <c r="H748">
        <v>44.682346000000003</v>
      </c>
      <c r="I748"/>
      <c r="N748"/>
      <c r="O748"/>
      <c r="P748" s="1">
        <f t="shared" ref="P748:P811" si="67">(B730+Q$36)/P$36</f>
        <v>194.80365955284555</v>
      </c>
      <c r="Q748" s="1">
        <f t="shared" ref="Q748:Q811" si="68">(C730+Q$36)/P$36</f>
        <v>202.00468800813007</v>
      </c>
      <c r="R748" s="1">
        <f t="shared" ref="R748:R811" si="69">(D730+Q$38)/P$38</f>
        <v>209.79566738044255</v>
      </c>
      <c r="S748" s="1">
        <f t="shared" ref="S748:S811" si="70">(E730+Q$39)/P$39</f>
        <v>109.1565517594108</v>
      </c>
    </row>
    <row r="749" spans="1:19" x14ac:dyDescent="0.3">
      <c r="A749">
        <v>12661.8</v>
      </c>
      <c r="B749">
        <v>190.933719</v>
      </c>
      <c r="C749">
        <v>197.99654100000001</v>
      </c>
      <c r="D749">
        <v>204.94969800000001</v>
      </c>
      <c r="E749">
        <v>105.760344</v>
      </c>
      <c r="F749">
        <v>72.367084000000006</v>
      </c>
      <c r="G749">
        <v>40.534072000000002</v>
      </c>
      <c r="H749">
        <v>44.682346000000003</v>
      </c>
      <c r="I749"/>
      <c r="N749"/>
      <c r="O749"/>
      <c r="P749" s="1">
        <f t="shared" si="67"/>
        <v>194.82112398373982</v>
      </c>
      <c r="Q749" s="1">
        <f t="shared" si="68"/>
        <v>202.00091361788617</v>
      </c>
      <c r="R749" s="1">
        <f t="shared" si="69"/>
        <v>209.80404710920772</v>
      </c>
      <c r="S749" s="1">
        <f t="shared" si="70"/>
        <v>109.14734042553191</v>
      </c>
    </row>
    <row r="750" spans="1:19" x14ac:dyDescent="0.3">
      <c r="A750">
        <v>12662</v>
      </c>
      <c r="B750">
        <v>190.933719</v>
      </c>
      <c r="C750">
        <v>197.99654100000001</v>
      </c>
      <c r="D750">
        <v>204.94969800000001</v>
      </c>
      <c r="E750">
        <v>105.760344</v>
      </c>
      <c r="F750">
        <v>72.367084000000006</v>
      </c>
      <c r="G750">
        <v>40.547136000000002</v>
      </c>
      <c r="H750">
        <v>44.658937999999999</v>
      </c>
      <c r="I750" t="s">
        <v>60</v>
      </c>
      <c r="N750"/>
      <c r="O750"/>
      <c r="P750" s="1">
        <f t="shared" si="67"/>
        <v>194.82112398373982</v>
      </c>
      <c r="Q750" s="1">
        <f t="shared" si="68"/>
        <v>202.00091361788617</v>
      </c>
      <c r="R750" s="1">
        <f t="shared" si="69"/>
        <v>209.80404710920772</v>
      </c>
      <c r="S750" s="1">
        <f t="shared" si="70"/>
        <v>109.14734042553191</v>
      </c>
    </row>
    <row r="751" spans="1:19" x14ac:dyDescent="0.3">
      <c r="A751">
        <v>12662.2</v>
      </c>
      <c r="B751">
        <v>190.923867</v>
      </c>
      <c r="C751">
        <v>197.993257</v>
      </c>
      <c r="D751">
        <v>204.94713899999999</v>
      </c>
      <c r="E751">
        <v>105.751752</v>
      </c>
      <c r="F751">
        <v>72.712885999999997</v>
      </c>
      <c r="G751">
        <v>40.547136000000002</v>
      </c>
      <c r="H751">
        <v>44.658937999999999</v>
      </c>
      <c r="I751"/>
      <c r="N751"/>
      <c r="O751"/>
      <c r="P751" s="1">
        <f t="shared" si="67"/>
        <v>194.80611280487804</v>
      </c>
      <c r="Q751" s="1">
        <f t="shared" si="68"/>
        <v>201.97871138211383</v>
      </c>
      <c r="R751" s="1">
        <f t="shared" si="69"/>
        <v>209.78407158152339</v>
      </c>
      <c r="S751" s="1">
        <f t="shared" si="70"/>
        <v>109.16055237315875</v>
      </c>
    </row>
    <row r="752" spans="1:19" x14ac:dyDescent="0.3">
      <c r="A752">
        <v>12662.4</v>
      </c>
      <c r="B752">
        <v>190.923867</v>
      </c>
      <c r="C752">
        <v>197.993257</v>
      </c>
      <c r="D752">
        <v>204.94713899999999</v>
      </c>
      <c r="E752">
        <v>105.751752</v>
      </c>
      <c r="F752">
        <v>72.712885999999997</v>
      </c>
      <c r="G752">
        <v>40.559320999999997</v>
      </c>
      <c r="H752">
        <v>44.699387000000002</v>
      </c>
      <c r="I752"/>
      <c r="N752"/>
      <c r="O752"/>
      <c r="P752" s="1">
        <f t="shared" si="67"/>
        <v>194.80611280487804</v>
      </c>
      <c r="Q752" s="1">
        <f t="shared" si="68"/>
        <v>201.97871138211383</v>
      </c>
      <c r="R752" s="1">
        <f t="shared" si="69"/>
        <v>209.78407158152339</v>
      </c>
      <c r="S752" s="1">
        <f t="shared" si="70"/>
        <v>109.16055237315875</v>
      </c>
    </row>
    <row r="753" spans="1:19" x14ac:dyDescent="0.3">
      <c r="A753">
        <v>12662.6</v>
      </c>
      <c r="B753">
        <v>190.91351599999999</v>
      </c>
      <c r="C753">
        <v>197.99182500000001</v>
      </c>
      <c r="D753">
        <v>204.945717</v>
      </c>
      <c r="E753">
        <v>105.824597</v>
      </c>
      <c r="F753">
        <v>72.476808000000005</v>
      </c>
      <c r="G753">
        <v>40.559320999999997</v>
      </c>
      <c r="H753">
        <v>44.699387000000002</v>
      </c>
      <c r="I753"/>
      <c r="N753"/>
      <c r="O753"/>
      <c r="P753" s="1">
        <f t="shared" si="67"/>
        <v>194.81494004065041</v>
      </c>
      <c r="Q753" s="1">
        <f t="shared" si="68"/>
        <v>202.00857926829269</v>
      </c>
      <c r="R753" s="1">
        <f t="shared" si="69"/>
        <v>209.7688385846844</v>
      </c>
      <c r="S753" s="1">
        <f t="shared" si="70"/>
        <v>109.000147299509</v>
      </c>
    </row>
    <row r="754" spans="1:19" x14ac:dyDescent="0.3">
      <c r="A754">
        <v>12662.8</v>
      </c>
      <c r="B754">
        <v>190.91351599999999</v>
      </c>
      <c r="C754">
        <v>197.99182500000001</v>
      </c>
      <c r="D754">
        <v>204.945717</v>
      </c>
      <c r="E754">
        <v>105.824597</v>
      </c>
      <c r="F754">
        <v>72.476808000000005</v>
      </c>
      <c r="G754">
        <v>40.556455999999997</v>
      </c>
      <c r="H754">
        <v>44.718805000000003</v>
      </c>
      <c r="I754"/>
      <c r="N754"/>
      <c r="O754"/>
      <c r="P754" s="1">
        <f t="shared" si="67"/>
        <v>194.81494004065041</v>
      </c>
      <c r="Q754" s="1">
        <f t="shared" si="68"/>
        <v>202.00857926829269</v>
      </c>
      <c r="R754" s="1">
        <f t="shared" si="69"/>
        <v>209.7688385846844</v>
      </c>
      <c r="S754" s="1">
        <f t="shared" si="70"/>
        <v>109.000147299509</v>
      </c>
    </row>
    <row r="755" spans="1:19" x14ac:dyDescent="0.3">
      <c r="A755">
        <v>12663</v>
      </c>
      <c r="B755">
        <v>190.91319300000001</v>
      </c>
      <c r="C755">
        <v>197.99644000000001</v>
      </c>
      <c r="D755">
        <v>204.93395799999999</v>
      </c>
      <c r="E755">
        <v>105.923631</v>
      </c>
      <c r="F755">
        <v>72.340292000000005</v>
      </c>
      <c r="G755">
        <v>40.556455999999997</v>
      </c>
      <c r="H755">
        <v>44.718805000000003</v>
      </c>
      <c r="I755" t="s">
        <v>60</v>
      </c>
      <c r="N755"/>
      <c r="O755"/>
      <c r="P755" s="1">
        <f t="shared" si="67"/>
        <v>194.80466260162601</v>
      </c>
      <c r="Q755" s="1">
        <f t="shared" si="68"/>
        <v>201.99541768292681</v>
      </c>
      <c r="R755" s="1">
        <f t="shared" si="69"/>
        <v>209.79785867237686</v>
      </c>
      <c r="S755" s="1">
        <f t="shared" si="70"/>
        <v>108.94689545826513</v>
      </c>
    </row>
    <row r="756" spans="1:19" x14ac:dyDescent="0.3">
      <c r="A756">
        <v>12663.2</v>
      </c>
      <c r="B756">
        <v>190.91319300000001</v>
      </c>
      <c r="C756">
        <v>197.99644000000001</v>
      </c>
      <c r="D756">
        <v>204.93395799999999</v>
      </c>
      <c r="E756">
        <v>105.923631</v>
      </c>
      <c r="F756">
        <v>72.340292000000005</v>
      </c>
      <c r="G756">
        <v>40.558205000000001</v>
      </c>
      <c r="H756">
        <v>44.741197</v>
      </c>
      <c r="I756"/>
      <c r="N756"/>
      <c r="O756"/>
      <c r="P756" s="1">
        <f t="shared" si="67"/>
        <v>194.80466260162601</v>
      </c>
      <c r="Q756" s="1">
        <f t="shared" si="68"/>
        <v>201.99541768292681</v>
      </c>
      <c r="R756" s="1">
        <f t="shared" si="69"/>
        <v>209.79785867237686</v>
      </c>
      <c r="S756" s="1">
        <f t="shared" si="70"/>
        <v>108.94689545826513</v>
      </c>
    </row>
    <row r="757" spans="1:19" x14ac:dyDescent="0.3">
      <c r="A757">
        <v>12663.4</v>
      </c>
      <c r="B757">
        <v>190.95600200000001</v>
      </c>
      <c r="C757">
        <v>198.004986</v>
      </c>
      <c r="D757">
        <v>204.95785000000001</v>
      </c>
      <c r="E757">
        <v>105.79834200000001</v>
      </c>
      <c r="F757">
        <v>72.207734000000002</v>
      </c>
      <c r="G757">
        <v>40.558205000000001</v>
      </c>
      <c r="H757">
        <v>44.741197</v>
      </c>
      <c r="I757"/>
      <c r="N757"/>
      <c r="O757"/>
      <c r="P757" s="1">
        <f t="shared" si="67"/>
        <v>194.80413617886177</v>
      </c>
      <c r="Q757" s="1">
        <f t="shared" si="68"/>
        <v>201.98724491869919</v>
      </c>
      <c r="R757" s="1">
        <f t="shared" si="69"/>
        <v>209.80423676965435</v>
      </c>
      <c r="S757" s="1">
        <f t="shared" si="70"/>
        <v>108.93689648117838</v>
      </c>
    </row>
    <row r="758" spans="1:19" x14ac:dyDescent="0.3">
      <c r="A758">
        <v>12663.6</v>
      </c>
      <c r="B758">
        <v>190.95600200000001</v>
      </c>
      <c r="C758">
        <v>198.004986</v>
      </c>
      <c r="D758">
        <v>204.95785000000001</v>
      </c>
      <c r="E758">
        <v>105.79834200000001</v>
      </c>
      <c r="F758">
        <v>72.207734000000002</v>
      </c>
      <c r="G758">
        <v>40.541012000000002</v>
      </c>
      <c r="H758">
        <v>44.747728000000002</v>
      </c>
      <c r="I758"/>
      <c r="N758"/>
      <c r="O758"/>
      <c r="P758" s="1">
        <f t="shared" si="67"/>
        <v>194.80413617886177</v>
      </c>
      <c r="Q758" s="1">
        <f t="shared" si="68"/>
        <v>201.98724491869919</v>
      </c>
      <c r="R758" s="1">
        <f t="shared" si="69"/>
        <v>209.80423676965435</v>
      </c>
      <c r="S758" s="1">
        <f t="shared" si="70"/>
        <v>108.93689648117838</v>
      </c>
    </row>
    <row r="759" spans="1:19" x14ac:dyDescent="0.3">
      <c r="A759">
        <v>12663.8</v>
      </c>
      <c r="B759">
        <v>190.93212299999999</v>
      </c>
      <c r="C759">
        <v>197.99494300000001</v>
      </c>
      <c r="D759">
        <v>204.94554400000001</v>
      </c>
      <c r="E759">
        <v>105.702009</v>
      </c>
      <c r="F759">
        <v>71.911615999999995</v>
      </c>
      <c r="G759">
        <v>40.541012000000002</v>
      </c>
      <c r="H759">
        <v>44.747728000000002</v>
      </c>
      <c r="I759"/>
      <c r="N759"/>
      <c r="O759"/>
      <c r="P759" s="1">
        <f t="shared" si="67"/>
        <v>194.8159644308943</v>
      </c>
      <c r="Q759" s="1">
        <f t="shared" si="68"/>
        <v>201.99192378048781</v>
      </c>
      <c r="R759" s="1">
        <f t="shared" si="69"/>
        <v>209.79723360864691</v>
      </c>
      <c r="S759" s="1">
        <f t="shared" si="70"/>
        <v>109.09025368248771</v>
      </c>
    </row>
    <row r="760" spans="1:19" x14ac:dyDescent="0.3">
      <c r="A760">
        <v>12664</v>
      </c>
      <c r="B760">
        <v>190.93212299999999</v>
      </c>
      <c r="C760">
        <v>197.99494300000001</v>
      </c>
      <c r="D760">
        <v>204.94554400000001</v>
      </c>
      <c r="E760">
        <v>105.702009</v>
      </c>
      <c r="F760">
        <v>71.911615999999995</v>
      </c>
      <c r="G760">
        <v>40.558574</v>
      </c>
      <c r="H760">
        <v>44.727643999999998</v>
      </c>
      <c r="I760" t="s">
        <v>60</v>
      </c>
      <c r="N760"/>
      <c r="O760"/>
      <c r="P760" s="1">
        <f t="shared" si="67"/>
        <v>194.8159644308943</v>
      </c>
      <c r="Q760" s="1">
        <f t="shared" si="68"/>
        <v>201.99192378048781</v>
      </c>
      <c r="R760" s="1">
        <f t="shared" si="69"/>
        <v>209.79723360864691</v>
      </c>
      <c r="S760" s="1">
        <f t="shared" si="70"/>
        <v>109.09025368248771</v>
      </c>
    </row>
    <row r="761" spans="1:19" x14ac:dyDescent="0.3">
      <c r="A761">
        <v>12664.2</v>
      </c>
      <c r="B761">
        <v>190.915738</v>
      </c>
      <c r="C761">
        <v>197.98582099999999</v>
      </c>
      <c r="D761">
        <v>204.94325799999999</v>
      </c>
      <c r="E761">
        <v>105.675128</v>
      </c>
      <c r="F761">
        <v>72.350072999999995</v>
      </c>
      <c r="G761">
        <v>40.558574</v>
      </c>
      <c r="H761">
        <v>44.727643999999998</v>
      </c>
      <c r="I761"/>
      <c r="N761"/>
      <c r="O761"/>
      <c r="P761" s="1">
        <f t="shared" si="67"/>
        <v>194.81640142276422</v>
      </c>
      <c r="Q761" s="1">
        <f t="shared" si="68"/>
        <v>202.01338719512194</v>
      </c>
      <c r="R761" s="1">
        <f t="shared" si="69"/>
        <v>209.81813908432753</v>
      </c>
      <c r="S761" s="1">
        <f t="shared" si="70"/>
        <v>109.0321174304419</v>
      </c>
    </row>
    <row r="762" spans="1:19" x14ac:dyDescent="0.3">
      <c r="A762">
        <v>12664.4</v>
      </c>
      <c r="B762">
        <v>190.915738</v>
      </c>
      <c r="C762">
        <v>197.98582099999999</v>
      </c>
      <c r="D762">
        <v>204.94325799999999</v>
      </c>
      <c r="E762">
        <v>105.675128</v>
      </c>
      <c r="F762">
        <v>72.350072999999995</v>
      </c>
      <c r="G762">
        <v>40.558731999999999</v>
      </c>
      <c r="H762">
        <v>44.763297999999999</v>
      </c>
      <c r="I762"/>
      <c r="N762"/>
      <c r="O762"/>
      <c r="P762" s="1">
        <f t="shared" si="67"/>
        <v>194.81640142276422</v>
      </c>
      <c r="Q762" s="1">
        <f t="shared" si="68"/>
        <v>202.01338719512194</v>
      </c>
      <c r="R762" s="1">
        <f t="shared" si="69"/>
        <v>209.81813908432753</v>
      </c>
      <c r="S762" s="1">
        <f t="shared" si="70"/>
        <v>109.0321174304419</v>
      </c>
    </row>
    <row r="763" spans="1:19" x14ac:dyDescent="0.3">
      <c r="A763">
        <v>12664.6</v>
      </c>
      <c r="B763">
        <v>190.92901800000001</v>
      </c>
      <c r="C763">
        <v>198.00476499999999</v>
      </c>
      <c r="D763">
        <v>204.94665800000001</v>
      </c>
      <c r="E763">
        <v>105.513704</v>
      </c>
      <c r="F763">
        <v>72.247257000000005</v>
      </c>
      <c r="G763">
        <v>40.558731999999999</v>
      </c>
      <c r="H763">
        <v>44.763297999999999</v>
      </c>
      <c r="I763"/>
      <c r="N763"/>
      <c r="O763"/>
      <c r="P763" s="1">
        <f t="shared" si="67"/>
        <v>194.8136930894309</v>
      </c>
      <c r="Q763" s="1">
        <f t="shared" si="68"/>
        <v>202.00470121951221</v>
      </c>
      <c r="R763" s="1">
        <f t="shared" si="69"/>
        <v>209.79591924135821</v>
      </c>
      <c r="S763" s="1">
        <f t="shared" si="70"/>
        <v>109.11883490180033</v>
      </c>
    </row>
    <row r="764" spans="1:19" x14ac:dyDescent="0.3">
      <c r="A764">
        <v>12664.8</v>
      </c>
      <c r="B764">
        <v>190.92901800000001</v>
      </c>
      <c r="C764">
        <v>198.00476499999999</v>
      </c>
      <c r="D764">
        <v>204.94665800000001</v>
      </c>
      <c r="E764">
        <v>105.513704</v>
      </c>
      <c r="F764">
        <v>72.247257000000005</v>
      </c>
      <c r="G764">
        <v>40.560586000000001</v>
      </c>
      <c r="H764">
        <v>44.744729999999997</v>
      </c>
      <c r="I764"/>
      <c r="N764"/>
      <c r="O764"/>
      <c r="P764" s="1">
        <f t="shared" si="67"/>
        <v>194.8136930894309</v>
      </c>
      <c r="Q764" s="1">
        <f t="shared" si="68"/>
        <v>202.00470121951221</v>
      </c>
      <c r="R764" s="1">
        <f t="shared" si="69"/>
        <v>209.79591924135821</v>
      </c>
      <c r="S764" s="1">
        <f t="shared" si="70"/>
        <v>109.11883490180033</v>
      </c>
    </row>
    <row r="765" spans="1:19" x14ac:dyDescent="0.3">
      <c r="A765">
        <v>12665</v>
      </c>
      <c r="B765">
        <v>190.91719399999999</v>
      </c>
      <c r="C765">
        <v>198.001857</v>
      </c>
      <c r="D765">
        <v>204.95124200000001</v>
      </c>
      <c r="E765">
        <v>105.57335399999999</v>
      </c>
      <c r="F765">
        <v>72.405188999999993</v>
      </c>
      <c r="G765">
        <v>40.560586000000001</v>
      </c>
      <c r="H765">
        <v>44.744729999999997</v>
      </c>
      <c r="I765" t="s">
        <v>60</v>
      </c>
      <c r="N765"/>
      <c r="O765"/>
      <c r="P765" s="1">
        <f t="shared" si="67"/>
        <v>194.81506402439021</v>
      </c>
      <c r="Q765" s="1">
        <f t="shared" si="68"/>
        <v>202.02781910569104</v>
      </c>
      <c r="R765" s="1">
        <f t="shared" si="69"/>
        <v>209.79157540532273</v>
      </c>
      <c r="S765" s="1">
        <f t="shared" si="70"/>
        <v>109.33613952536825</v>
      </c>
    </row>
    <row r="766" spans="1:19" x14ac:dyDescent="0.3">
      <c r="A766">
        <v>12665.2</v>
      </c>
      <c r="B766">
        <v>190.91719399999999</v>
      </c>
      <c r="C766">
        <v>198.001857</v>
      </c>
      <c r="D766">
        <v>204.95124200000001</v>
      </c>
      <c r="E766">
        <v>105.57335399999999</v>
      </c>
      <c r="F766">
        <v>72.405188999999993</v>
      </c>
      <c r="G766">
        <v>40.554541</v>
      </c>
      <c r="H766">
        <v>44.709009000000002</v>
      </c>
      <c r="I766"/>
      <c r="N766"/>
      <c r="O766"/>
      <c r="P766" s="1">
        <f t="shared" si="67"/>
        <v>194.81506402439021</v>
      </c>
      <c r="Q766" s="1">
        <f t="shared" si="68"/>
        <v>202.02781910569104</v>
      </c>
      <c r="R766" s="1">
        <f t="shared" si="69"/>
        <v>209.79157540532273</v>
      </c>
      <c r="S766" s="1">
        <f t="shared" si="70"/>
        <v>109.33613952536825</v>
      </c>
    </row>
    <row r="767" spans="1:19" x14ac:dyDescent="0.3">
      <c r="A767">
        <v>12665.4</v>
      </c>
      <c r="B767">
        <v>190.91681800000001</v>
      </c>
      <c r="C767">
        <v>198.00312700000001</v>
      </c>
      <c r="D767">
        <v>204.95086800000001</v>
      </c>
      <c r="E767">
        <v>105.74654200000001</v>
      </c>
      <c r="F767">
        <v>72.238866000000002</v>
      </c>
      <c r="G767">
        <v>40.554541</v>
      </c>
      <c r="H767">
        <v>44.709009000000002</v>
      </c>
      <c r="I767"/>
      <c r="N767"/>
      <c r="O767"/>
      <c r="P767" s="1">
        <f t="shared" si="67"/>
        <v>194.83762093495935</v>
      </c>
      <c r="Q767" s="1">
        <f t="shared" si="68"/>
        <v>202.01528556910569</v>
      </c>
      <c r="R767" s="1">
        <f t="shared" si="69"/>
        <v>209.80931783420007</v>
      </c>
      <c r="S767" s="1">
        <f t="shared" si="70"/>
        <v>109.12862520458265</v>
      </c>
    </row>
    <row r="768" spans="1:19" x14ac:dyDescent="0.3">
      <c r="A768">
        <v>12665.6</v>
      </c>
      <c r="B768">
        <v>190.91681800000001</v>
      </c>
      <c r="C768">
        <v>198.00312700000001</v>
      </c>
      <c r="D768">
        <v>204.95086800000001</v>
      </c>
      <c r="E768">
        <v>105.74654200000001</v>
      </c>
      <c r="F768">
        <v>72.238866000000002</v>
      </c>
      <c r="G768">
        <v>40.554074999999997</v>
      </c>
      <c r="H768">
        <v>44.738706000000001</v>
      </c>
      <c r="I768"/>
      <c r="N768"/>
      <c r="O768"/>
      <c r="P768" s="1">
        <f t="shared" si="67"/>
        <v>194.83762093495935</v>
      </c>
      <c r="Q768" s="1">
        <f t="shared" si="68"/>
        <v>202.01528556910569</v>
      </c>
      <c r="R768" s="1">
        <f t="shared" si="69"/>
        <v>209.80931783420007</v>
      </c>
      <c r="S768" s="1">
        <f t="shared" si="70"/>
        <v>109.12862520458265</v>
      </c>
    </row>
    <row r="769" spans="1:19" x14ac:dyDescent="0.3">
      <c r="A769">
        <v>12665.8</v>
      </c>
      <c r="B769">
        <v>190.92348000000001</v>
      </c>
      <c r="C769">
        <v>197.99028300000001</v>
      </c>
      <c r="D769">
        <v>204.94465299999999</v>
      </c>
      <c r="E769">
        <v>105.67127600000001</v>
      </c>
      <c r="F769">
        <v>72.165758999999994</v>
      </c>
      <c r="G769">
        <v>40.554074999999997</v>
      </c>
      <c r="H769">
        <v>44.738706000000001</v>
      </c>
      <c r="I769"/>
      <c r="N769"/>
      <c r="O769"/>
      <c r="P769" s="1">
        <f t="shared" si="67"/>
        <v>194.82760873983739</v>
      </c>
      <c r="Q769" s="1">
        <f t="shared" si="68"/>
        <v>202.0119481707317</v>
      </c>
      <c r="R769" s="1">
        <f t="shared" si="69"/>
        <v>209.80670847353932</v>
      </c>
      <c r="S769" s="1">
        <f t="shared" si="70"/>
        <v>109.11983633387888</v>
      </c>
    </row>
    <row r="770" spans="1:19" x14ac:dyDescent="0.3">
      <c r="A770">
        <v>12666</v>
      </c>
      <c r="B770">
        <v>190.92348000000001</v>
      </c>
      <c r="C770">
        <v>197.99028300000001</v>
      </c>
      <c r="D770">
        <v>204.94465299999999</v>
      </c>
      <c r="E770">
        <v>105.67127600000001</v>
      </c>
      <c r="F770">
        <v>72.165758999999994</v>
      </c>
      <c r="G770">
        <v>40.568474999999999</v>
      </c>
      <c r="H770">
        <v>44.735655999999999</v>
      </c>
      <c r="I770" t="s">
        <v>60</v>
      </c>
      <c r="N770"/>
      <c r="O770"/>
      <c r="P770" s="1">
        <f t="shared" si="67"/>
        <v>194.82760873983739</v>
      </c>
      <c r="Q770" s="1">
        <f t="shared" si="68"/>
        <v>202.0119481707317</v>
      </c>
      <c r="R770" s="1">
        <f t="shared" si="69"/>
        <v>209.80670847353932</v>
      </c>
      <c r="S770" s="1">
        <f t="shared" si="70"/>
        <v>109.11983633387888</v>
      </c>
    </row>
    <row r="771" spans="1:19" x14ac:dyDescent="0.3">
      <c r="A771">
        <v>12666.2</v>
      </c>
      <c r="B771">
        <v>190.91240400000001</v>
      </c>
      <c r="C771">
        <v>197.97872000000001</v>
      </c>
      <c r="D771">
        <v>204.95161300000001</v>
      </c>
      <c r="E771">
        <v>105.63186399999999</v>
      </c>
      <c r="F771">
        <v>72.538235</v>
      </c>
      <c r="G771">
        <v>40.568474999999999</v>
      </c>
      <c r="H771">
        <v>44.735655999999999</v>
      </c>
      <c r="I771"/>
      <c r="N771"/>
      <c r="O771"/>
      <c r="P771" s="1">
        <f t="shared" si="67"/>
        <v>194.8170894308943</v>
      </c>
      <c r="Q771" s="1">
        <f t="shared" si="68"/>
        <v>202.01049288617887</v>
      </c>
      <c r="R771" s="1">
        <f t="shared" si="69"/>
        <v>209.80525848883451</v>
      </c>
      <c r="S771" s="1">
        <f t="shared" si="70"/>
        <v>109.19435045008183</v>
      </c>
    </row>
    <row r="772" spans="1:19" x14ac:dyDescent="0.3">
      <c r="A772">
        <v>12666.4</v>
      </c>
      <c r="B772">
        <v>190.91240400000001</v>
      </c>
      <c r="C772">
        <v>197.97872000000001</v>
      </c>
      <c r="D772">
        <v>204.95161300000001</v>
      </c>
      <c r="E772">
        <v>105.63186399999999</v>
      </c>
      <c r="F772">
        <v>72.538235</v>
      </c>
      <c r="G772">
        <v>40.563774000000002</v>
      </c>
      <c r="H772">
        <v>44.692225000000001</v>
      </c>
      <c r="I772"/>
      <c r="N772"/>
      <c r="O772"/>
      <c r="P772" s="1">
        <f t="shared" si="67"/>
        <v>194.8170894308943</v>
      </c>
      <c r="Q772" s="1">
        <f t="shared" si="68"/>
        <v>202.01049288617887</v>
      </c>
      <c r="R772" s="1">
        <f t="shared" si="69"/>
        <v>209.80525848883451</v>
      </c>
      <c r="S772" s="1">
        <f t="shared" si="70"/>
        <v>109.19435045008183</v>
      </c>
    </row>
    <row r="773" spans="1:19" x14ac:dyDescent="0.3">
      <c r="A773">
        <v>12666.6</v>
      </c>
      <c r="B773">
        <v>190.95166900000001</v>
      </c>
      <c r="C773">
        <v>197.98395400000001</v>
      </c>
      <c r="D773">
        <v>204.96918099999999</v>
      </c>
      <c r="E773">
        <v>105.733068</v>
      </c>
      <c r="F773">
        <v>72.297471999999999</v>
      </c>
      <c r="G773">
        <v>40.563774000000002</v>
      </c>
      <c r="H773">
        <v>44.692225000000001</v>
      </c>
      <c r="I773"/>
      <c r="N773"/>
      <c r="O773"/>
      <c r="P773" s="1">
        <f t="shared" si="67"/>
        <v>194.81676117886178</v>
      </c>
      <c r="Q773" s="1">
        <f t="shared" si="68"/>
        <v>202.01518292682925</v>
      </c>
      <c r="R773" s="1">
        <f t="shared" si="69"/>
        <v>209.79326807382481</v>
      </c>
      <c r="S773" s="1">
        <f t="shared" si="70"/>
        <v>109.29565364157119</v>
      </c>
    </row>
    <row r="774" spans="1:19" x14ac:dyDescent="0.3">
      <c r="A774">
        <v>12666.8</v>
      </c>
      <c r="B774">
        <v>190.95166900000001</v>
      </c>
      <c r="C774">
        <v>197.98395400000001</v>
      </c>
      <c r="D774">
        <v>204.96918099999999</v>
      </c>
      <c r="E774">
        <v>105.733068</v>
      </c>
      <c r="F774">
        <v>72.297471999999999</v>
      </c>
      <c r="G774">
        <v>40.555157000000001</v>
      </c>
      <c r="H774">
        <v>44.697325999999997</v>
      </c>
      <c r="I774"/>
      <c r="N774"/>
      <c r="O774"/>
      <c r="P774" s="1">
        <f t="shared" si="67"/>
        <v>194.81676117886178</v>
      </c>
      <c r="Q774" s="1">
        <f t="shared" si="68"/>
        <v>202.01518292682925</v>
      </c>
      <c r="R774" s="1">
        <f t="shared" si="69"/>
        <v>209.79326807382481</v>
      </c>
      <c r="S774" s="1">
        <f t="shared" si="70"/>
        <v>109.29565364157119</v>
      </c>
    </row>
    <row r="775" spans="1:19" x14ac:dyDescent="0.3">
      <c r="A775">
        <v>13392</v>
      </c>
      <c r="B775">
        <v>203.80883399999999</v>
      </c>
      <c r="C775">
        <v>211.53588199999999</v>
      </c>
      <c r="D775">
        <v>219.27518699999999</v>
      </c>
      <c r="E775">
        <v>108.311092</v>
      </c>
      <c r="F775">
        <v>73.229529999999997</v>
      </c>
      <c r="G775">
        <v>39.963659</v>
      </c>
      <c r="H775">
        <v>44.768546999999998</v>
      </c>
      <c r="I775" t="s">
        <v>60</v>
      </c>
      <c r="N775"/>
      <c r="O775"/>
      <c r="P775" s="1">
        <f t="shared" si="67"/>
        <v>194.8602662601626</v>
      </c>
      <c r="Q775" s="1">
        <f t="shared" si="68"/>
        <v>202.02386788617886</v>
      </c>
      <c r="R775" s="1">
        <f t="shared" si="69"/>
        <v>209.81763026409709</v>
      </c>
      <c r="S775" s="1">
        <f t="shared" si="70"/>
        <v>109.16749386252046</v>
      </c>
    </row>
    <row r="776" spans="1:19" x14ac:dyDescent="0.3">
      <c r="A776">
        <v>13392.2</v>
      </c>
      <c r="B776">
        <v>203.810844</v>
      </c>
      <c r="C776">
        <v>211.51609099999999</v>
      </c>
      <c r="D776">
        <v>219.26206999999999</v>
      </c>
      <c r="E776">
        <v>108.187952</v>
      </c>
      <c r="F776">
        <v>73.316591000000003</v>
      </c>
      <c r="G776">
        <v>39.963659</v>
      </c>
      <c r="H776">
        <v>44.768546999999998</v>
      </c>
      <c r="I776"/>
      <c r="N776"/>
      <c r="O776"/>
      <c r="P776" s="1">
        <f t="shared" si="67"/>
        <v>194.8602662601626</v>
      </c>
      <c r="Q776" s="1">
        <f t="shared" si="68"/>
        <v>202.02386788617886</v>
      </c>
      <c r="R776" s="1">
        <f t="shared" si="69"/>
        <v>209.81763026409709</v>
      </c>
      <c r="S776" s="1">
        <f t="shared" si="70"/>
        <v>109.16749386252046</v>
      </c>
    </row>
    <row r="777" spans="1:19" x14ac:dyDescent="0.3">
      <c r="A777">
        <v>13392.4</v>
      </c>
      <c r="B777">
        <v>203.810844</v>
      </c>
      <c r="C777">
        <v>211.51609099999999</v>
      </c>
      <c r="D777">
        <v>219.26206999999999</v>
      </c>
      <c r="E777">
        <v>108.187952</v>
      </c>
      <c r="F777">
        <v>73.316591000000003</v>
      </c>
      <c r="G777">
        <v>39.965935999999999</v>
      </c>
      <c r="H777">
        <v>44.775454000000003</v>
      </c>
      <c r="I777"/>
      <c r="N777"/>
      <c r="O777"/>
      <c r="P777" s="1">
        <f t="shared" si="67"/>
        <v>194.83599898373981</v>
      </c>
      <c r="Q777" s="1">
        <f t="shared" si="68"/>
        <v>202.01366158536584</v>
      </c>
      <c r="R777" s="1">
        <f t="shared" si="69"/>
        <v>209.80508208422557</v>
      </c>
      <c r="S777" s="1">
        <f t="shared" si="70"/>
        <v>109.06895355973813</v>
      </c>
    </row>
    <row r="778" spans="1:19" x14ac:dyDescent="0.3">
      <c r="A778">
        <v>13392.6</v>
      </c>
      <c r="B778">
        <v>203.79064600000001</v>
      </c>
      <c r="C778">
        <v>211.52049700000001</v>
      </c>
      <c r="D778">
        <v>219.27015900000001</v>
      </c>
      <c r="E778">
        <v>108.087981</v>
      </c>
      <c r="F778">
        <v>73.270118999999994</v>
      </c>
      <c r="G778">
        <v>39.965935999999999</v>
      </c>
      <c r="H778">
        <v>44.775454000000003</v>
      </c>
      <c r="I778"/>
      <c r="N778"/>
      <c r="O778"/>
      <c r="P778" s="1">
        <f t="shared" si="67"/>
        <v>194.83599898373981</v>
      </c>
      <c r="Q778" s="1">
        <f t="shared" si="68"/>
        <v>202.01366158536584</v>
      </c>
      <c r="R778" s="1">
        <f t="shared" si="69"/>
        <v>209.80508208422557</v>
      </c>
      <c r="S778" s="1">
        <f t="shared" si="70"/>
        <v>109.06895355973813</v>
      </c>
    </row>
    <row r="779" spans="1:19" x14ac:dyDescent="0.3">
      <c r="A779">
        <v>13392.8</v>
      </c>
      <c r="B779">
        <v>203.79064600000001</v>
      </c>
      <c r="C779">
        <v>211.52049700000001</v>
      </c>
      <c r="D779">
        <v>219.27015900000001</v>
      </c>
      <c r="E779">
        <v>108.087981</v>
      </c>
      <c r="F779">
        <v>73.270118999999994</v>
      </c>
      <c r="G779">
        <v>39.970410000000001</v>
      </c>
      <c r="H779">
        <v>44.758102999999998</v>
      </c>
      <c r="I779"/>
      <c r="N779"/>
      <c r="O779"/>
      <c r="P779" s="1">
        <f t="shared" si="67"/>
        <v>194.81934756097561</v>
      </c>
      <c r="Q779" s="1">
        <f t="shared" si="68"/>
        <v>202.00439126016258</v>
      </c>
      <c r="R779" s="1">
        <f t="shared" si="69"/>
        <v>209.80275109615579</v>
      </c>
      <c r="S779" s="1">
        <f t="shared" si="70"/>
        <v>109.0414566284779</v>
      </c>
    </row>
    <row r="780" spans="1:19" x14ac:dyDescent="0.3">
      <c r="A780">
        <v>13393</v>
      </c>
      <c r="B780">
        <v>203.78630200000001</v>
      </c>
      <c r="C780">
        <v>211.53303099999999</v>
      </c>
      <c r="D780">
        <v>219.25097199999999</v>
      </c>
      <c r="E780">
        <v>108.252364</v>
      </c>
      <c r="F780">
        <v>73.188488000000007</v>
      </c>
      <c r="G780">
        <v>39.970410000000001</v>
      </c>
      <c r="H780">
        <v>44.758102999999998</v>
      </c>
      <c r="I780" t="s">
        <v>60</v>
      </c>
      <c r="N780"/>
      <c r="O780"/>
      <c r="P780" s="1">
        <f t="shared" si="67"/>
        <v>194.81934756097561</v>
      </c>
      <c r="Q780" s="1">
        <f t="shared" si="68"/>
        <v>202.00439126016258</v>
      </c>
      <c r="R780" s="1">
        <f t="shared" si="69"/>
        <v>209.80275109615579</v>
      </c>
      <c r="S780" s="1">
        <f t="shared" si="70"/>
        <v>109.0414566284779</v>
      </c>
    </row>
    <row r="781" spans="1:19" x14ac:dyDescent="0.3">
      <c r="A781">
        <v>13393.2</v>
      </c>
      <c r="B781">
        <v>203.78630200000001</v>
      </c>
      <c r="C781">
        <v>211.53303099999999</v>
      </c>
      <c r="D781">
        <v>219.25097199999999</v>
      </c>
      <c r="E781">
        <v>108.252364</v>
      </c>
      <c r="F781">
        <v>73.188488000000007</v>
      </c>
      <c r="G781">
        <v>39.965029999999999</v>
      </c>
      <c r="H781">
        <v>44.749496999999998</v>
      </c>
      <c r="I781"/>
      <c r="N781"/>
      <c r="O781"/>
      <c r="P781" s="1">
        <f t="shared" si="67"/>
        <v>194.83284349593495</v>
      </c>
      <c r="Q781" s="1">
        <f t="shared" si="68"/>
        <v>202.02364329268292</v>
      </c>
      <c r="R781" s="1">
        <f t="shared" si="69"/>
        <v>209.80621800754565</v>
      </c>
      <c r="S781" s="1">
        <f t="shared" si="70"/>
        <v>108.87633387888707</v>
      </c>
    </row>
    <row r="782" spans="1:19" x14ac:dyDescent="0.3">
      <c r="A782">
        <v>13393.4</v>
      </c>
      <c r="B782">
        <v>203.811004</v>
      </c>
      <c r="C782">
        <v>211.52445599999999</v>
      </c>
      <c r="D782">
        <v>219.281059</v>
      </c>
      <c r="E782">
        <v>108.344236</v>
      </c>
      <c r="F782">
        <v>73.488346000000007</v>
      </c>
      <c r="G782">
        <v>39.965029999999999</v>
      </c>
      <c r="H782">
        <v>44.749496999999998</v>
      </c>
      <c r="I782"/>
      <c r="N782"/>
      <c r="O782"/>
      <c r="P782" s="1">
        <f t="shared" si="67"/>
        <v>194.83284349593495</v>
      </c>
      <c r="Q782" s="1">
        <f t="shared" si="68"/>
        <v>202.02364329268292</v>
      </c>
      <c r="R782" s="1">
        <f t="shared" si="69"/>
        <v>209.80621800754565</v>
      </c>
      <c r="S782" s="1">
        <f t="shared" si="70"/>
        <v>108.87633387888707</v>
      </c>
    </row>
    <row r="783" spans="1:19" x14ac:dyDescent="0.3">
      <c r="A783">
        <v>13393.6</v>
      </c>
      <c r="B783">
        <v>203.811004</v>
      </c>
      <c r="C783">
        <v>211.52445599999999</v>
      </c>
      <c r="D783">
        <v>219.281059</v>
      </c>
      <c r="E783">
        <v>108.344236</v>
      </c>
      <c r="F783">
        <v>73.488346000000007</v>
      </c>
      <c r="G783">
        <v>39.975903000000002</v>
      </c>
      <c r="H783">
        <v>44.739677999999998</v>
      </c>
      <c r="I783"/>
      <c r="N783"/>
      <c r="O783"/>
      <c r="P783" s="1">
        <f t="shared" si="67"/>
        <v>194.82082723577236</v>
      </c>
      <c r="Q783" s="1">
        <f t="shared" si="68"/>
        <v>202.02068800813007</v>
      </c>
      <c r="R783" s="1">
        <f t="shared" si="69"/>
        <v>209.810892219843</v>
      </c>
      <c r="S783" s="1">
        <f t="shared" si="70"/>
        <v>108.93735065466447</v>
      </c>
    </row>
    <row r="784" spans="1:19" x14ac:dyDescent="0.3">
      <c r="A784">
        <v>13393.8</v>
      </c>
      <c r="B784">
        <v>203.78681700000001</v>
      </c>
      <c r="C784">
        <v>211.53846799999999</v>
      </c>
      <c r="D784">
        <v>219.27147500000001</v>
      </c>
      <c r="E784">
        <v>108.429846</v>
      </c>
      <c r="F784">
        <v>73.481846000000004</v>
      </c>
      <c r="G784">
        <v>39.975903000000002</v>
      </c>
      <c r="H784">
        <v>44.739677999999998</v>
      </c>
      <c r="I784"/>
      <c r="N784"/>
      <c r="O784"/>
      <c r="P784" s="1">
        <f t="shared" si="67"/>
        <v>194.82082723577236</v>
      </c>
      <c r="Q784" s="1">
        <f t="shared" si="68"/>
        <v>202.02068800813007</v>
      </c>
      <c r="R784" s="1">
        <f t="shared" si="69"/>
        <v>209.810892219843</v>
      </c>
      <c r="S784" s="1">
        <f t="shared" si="70"/>
        <v>108.93735065466447</v>
      </c>
    </row>
    <row r="785" spans="1:19" x14ac:dyDescent="0.3">
      <c r="A785">
        <v>13394</v>
      </c>
      <c r="B785">
        <v>203.78681700000001</v>
      </c>
      <c r="C785">
        <v>211.53846799999999</v>
      </c>
      <c r="D785">
        <v>219.27147500000001</v>
      </c>
      <c r="E785">
        <v>108.429846</v>
      </c>
      <c r="F785">
        <v>73.481846000000004</v>
      </c>
      <c r="G785">
        <v>39.975929000000001</v>
      </c>
      <c r="H785">
        <v>44.749679999999998</v>
      </c>
      <c r="I785" t="s">
        <v>60</v>
      </c>
      <c r="N785"/>
      <c r="O785"/>
      <c r="P785" s="1">
        <f t="shared" si="67"/>
        <v>194.82044512195122</v>
      </c>
      <c r="Q785" s="1">
        <f t="shared" si="68"/>
        <v>202.0219786585366</v>
      </c>
      <c r="R785" s="1">
        <f t="shared" si="69"/>
        <v>209.81051085959012</v>
      </c>
      <c r="S785" s="1">
        <f t="shared" si="70"/>
        <v>109.11450695581016</v>
      </c>
    </row>
    <row r="786" spans="1:19" x14ac:dyDescent="0.3">
      <c r="A786">
        <v>13394.2</v>
      </c>
      <c r="B786">
        <v>203.80110199999999</v>
      </c>
      <c r="C786">
        <v>211.53728899999999</v>
      </c>
      <c r="D786">
        <v>219.28843699999999</v>
      </c>
      <c r="E786">
        <v>108.36072</v>
      </c>
      <c r="F786">
        <v>73.588018000000005</v>
      </c>
      <c r="G786">
        <v>39.975929000000001</v>
      </c>
      <c r="H786">
        <v>44.749679999999998</v>
      </c>
      <c r="I786"/>
      <c r="N786"/>
      <c r="O786"/>
      <c r="P786" s="1">
        <f t="shared" si="67"/>
        <v>194.82044512195122</v>
      </c>
      <c r="Q786" s="1">
        <f t="shared" si="68"/>
        <v>202.0219786585366</v>
      </c>
      <c r="R786" s="1">
        <f t="shared" si="69"/>
        <v>209.81051085959012</v>
      </c>
      <c r="S786" s="1">
        <f t="shared" si="70"/>
        <v>109.11450695581016</v>
      </c>
    </row>
    <row r="787" spans="1:19" x14ac:dyDescent="0.3">
      <c r="A787">
        <v>13394.4</v>
      </c>
      <c r="B787">
        <v>203.80110199999999</v>
      </c>
      <c r="C787">
        <v>211.53728899999999</v>
      </c>
      <c r="D787">
        <v>219.28843699999999</v>
      </c>
      <c r="E787">
        <v>108.36072</v>
      </c>
      <c r="F787">
        <v>73.588018000000005</v>
      </c>
      <c r="G787">
        <v>40.005659999999999</v>
      </c>
      <c r="H787">
        <v>44.727787999999997</v>
      </c>
      <c r="I787"/>
      <c r="N787"/>
      <c r="O787"/>
      <c r="P787" s="1">
        <f t="shared" si="67"/>
        <v>194.82721544715449</v>
      </c>
      <c r="Q787" s="1">
        <f t="shared" si="68"/>
        <v>202.00892581300812</v>
      </c>
      <c r="R787" s="1">
        <f t="shared" si="69"/>
        <v>209.80417354950546</v>
      </c>
      <c r="S787" s="1">
        <f t="shared" si="70"/>
        <v>109.03751636661211</v>
      </c>
    </row>
    <row r="788" spans="1:19" x14ac:dyDescent="0.3">
      <c r="A788">
        <v>13394.6</v>
      </c>
      <c r="B788">
        <v>203.81157300000001</v>
      </c>
      <c r="C788">
        <v>211.53627800000001</v>
      </c>
      <c r="D788">
        <v>219.269071</v>
      </c>
      <c r="E788">
        <v>108.30943600000001</v>
      </c>
      <c r="F788">
        <v>73.508606</v>
      </c>
      <c r="G788">
        <v>40.005659999999999</v>
      </c>
      <c r="H788">
        <v>44.727787999999997</v>
      </c>
      <c r="I788"/>
      <c r="N788"/>
      <c r="O788"/>
      <c r="P788" s="1">
        <f t="shared" si="67"/>
        <v>194.82721544715449</v>
      </c>
      <c r="Q788" s="1">
        <f t="shared" si="68"/>
        <v>202.00892581300812</v>
      </c>
      <c r="R788" s="1">
        <f t="shared" si="69"/>
        <v>209.80417354950546</v>
      </c>
      <c r="S788" s="1">
        <f t="shared" si="70"/>
        <v>109.03751636661211</v>
      </c>
    </row>
    <row r="789" spans="1:19" x14ac:dyDescent="0.3">
      <c r="A789">
        <v>13394.8</v>
      </c>
      <c r="B789">
        <v>203.81157300000001</v>
      </c>
      <c r="C789">
        <v>211.53627800000001</v>
      </c>
      <c r="D789">
        <v>219.269071</v>
      </c>
      <c r="E789">
        <v>108.30943600000001</v>
      </c>
      <c r="F789">
        <v>73.508606</v>
      </c>
      <c r="G789">
        <v>39.970444000000001</v>
      </c>
      <c r="H789">
        <v>44.718463999999997</v>
      </c>
      <c r="I789"/>
      <c r="N789"/>
      <c r="O789"/>
      <c r="P789" s="1">
        <f t="shared" si="67"/>
        <v>194.8159593495935</v>
      </c>
      <c r="Q789" s="1">
        <f t="shared" si="68"/>
        <v>201.99717479674797</v>
      </c>
      <c r="R789" s="1">
        <f t="shared" si="69"/>
        <v>209.8112705210564</v>
      </c>
      <c r="S789" s="1">
        <f t="shared" si="70"/>
        <v>108.99720130932896</v>
      </c>
    </row>
    <row r="790" spans="1:19" x14ac:dyDescent="0.3">
      <c r="A790">
        <v>13395</v>
      </c>
      <c r="B790">
        <v>203.80187900000001</v>
      </c>
      <c r="C790">
        <v>211.55846199999999</v>
      </c>
      <c r="D790">
        <v>219.28618599999999</v>
      </c>
      <c r="E790">
        <v>108.293035</v>
      </c>
      <c r="F790">
        <v>73.317564000000004</v>
      </c>
      <c r="G790">
        <v>39.970444000000001</v>
      </c>
      <c r="H790">
        <v>44.718463999999997</v>
      </c>
      <c r="I790" t="s">
        <v>60</v>
      </c>
      <c r="N790"/>
      <c r="O790"/>
      <c r="P790" s="1">
        <f t="shared" si="67"/>
        <v>194.8159593495935</v>
      </c>
      <c r="Q790" s="1">
        <f t="shared" si="68"/>
        <v>201.99717479674797</v>
      </c>
      <c r="R790" s="1">
        <f t="shared" si="69"/>
        <v>209.8112705210564</v>
      </c>
      <c r="S790" s="1">
        <f t="shared" si="70"/>
        <v>108.99720130932896</v>
      </c>
    </row>
    <row r="791" spans="1:19" x14ac:dyDescent="0.3">
      <c r="A791">
        <v>13395.2</v>
      </c>
      <c r="B791">
        <v>203.80187900000001</v>
      </c>
      <c r="C791">
        <v>211.55846199999999</v>
      </c>
      <c r="D791">
        <v>219.28618599999999</v>
      </c>
      <c r="E791">
        <v>108.293035</v>
      </c>
      <c r="F791">
        <v>73.317564000000004</v>
      </c>
      <c r="G791">
        <v>39.989958000000001</v>
      </c>
      <c r="H791">
        <v>44.739524000000003</v>
      </c>
      <c r="I791"/>
      <c r="N791"/>
      <c r="O791"/>
      <c r="P791" s="1">
        <f t="shared" si="67"/>
        <v>194.85586280487806</v>
      </c>
      <c r="Q791" s="1">
        <f t="shared" si="68"/>
        <v>202.00249390243903</v>
      </c>
      <c r="R791" s="1">
        <f t="shared" si="69"/>
        <v>209.82918425614358</v>
      </c>
      <c r="S791" s="1">
        <f t="shared" si="70"/>
        <v>109.10072422258592</v>
      </c>
    </row>
    <row r="792" spans="1:19" x14ac:dyDescent="0.3">
      <c r="A792">
        <v>13395.4</v>
      </c>
      <c r="B792">
        <v>203.79760099999999</v>
      </c>
      <c r="C792">
        <v>211.545976</v>
      </c>
      <c r="D792">
        <v>219.275432</v>
      </c>
      <c r="E792">
        <v>108.430305</v>
      </c>
      <c r="F792">
        <v>73.434421999999998</v>
      </c>
      <c r="G792">
        <v>39.989958000000001</v>
      </c>
      <c r="H792">
        <v>44.739524000000003</v>
      </c>
      <c r="I792"/>
      <c r="N792"/>
      <c r="O792"/>
      <c r="P792" s="1">
        <f t="shared" si="67"/>
        <v>194.85586280487806</v>
      </c>
      <c r="Q792" s="1">
        <f t="shared" si="68"/>
        <v>202.00249390243903</v>
      </c>
      <c r="R792" s="1">
        <f t="shared" si="69"/>
        <v>209.82918425614358</v>
      </c>
      <c r="S792" s="1">
        <f t="shared" si="70"/>
        <v>109.10072422258592</v>
      </c>
    </row>
    <row r="793" spans="1:19" x14ac:dyDescent="0.3">
      <c r="A793">
        <v>13395.6</v>
      </c>
      <c r="B793">
        <v>203.79760099999999</v>
      </c>
      <c r="C793">
        <v>211.545976</v>
      </c>
      <c r="D793">
        <v>219.275432</v>
      </c>
      <c r="E793">
        <v>108.430305</v>
      </c>
      <c r="F793">
        <v>73.434421999999998</v>
      </c>
      <c r="G793">
        <v>39.975155999999998</v>
      </c>
      <c r="H793">
        <v>44.704363999999998</v>
      </c>
      <c r="I793"/>
      <c r="N793"/>
      <c r="O793"/>
      <c r="P793" s="1">
        <f t="shared" si="67"/>
        <v>207.92208739837398</v>
      </c>
      <c r="Q793" s="1">
        <f t="shared" si="68"/>
        <v>215.77477845528452</v>
      </c>
      <c r="R793" s="1">
        <f t="shared" si="69"/>
        <v>224.41672988681555</v>
      </c>
      <c r="S793" s="1">
        <f t="shared" si="70"/>
        <v>111.73781914893617</v>
      </c>
    </row>
    <row r="794" spans="1:19" x14ac:dyDescent="0.3">
      <c r="A794">
        <v>13395.8</v>
      </c>
      <c r="B794">
        <v>203.83226999999999</v>
      </c>
      <c r="C794">
        <v>211.534716</v>
      </c>
      <c r="D794">
        <v>219.26101199999999</v>
      </c>
      <c r="E794">
        <v>108.347129</v>
      </c>
      <c r="F794">
        <v>73.176568000000003</v>
      </c>
      <c r="G794">
        <v>39.975155999999998</v>
      </c>
      <c r="H794">
        <v>44.704363999999998</v>
      </c>
      <c r="I794"/>
      <c r="N794"/>
      <c r="O794"/>
      <c r="P794" s="1">
        <f t="shared" si="67"/>
        <v>207.9241300813008</v>
      </c>
      <c r="Q794" s="1">
        <f t="shared" si="68"/>
        <v>215.75466565040648</v>
      </c>
      <c r="R794" s="1">
        <f t="shared" si="69"/>
        <v>224.40335474660958</v>
      </c>
      <c r="S794" s="1">
        <f t="shared" si="70"/>
        <v>111.61185761047463</v>
      </c>
    </row>
    <row r="795" spans="1:19" x14ac:dyDescent="0.3">
      <c r="A795">
        <v>13396</v>
      </c>
      <c r="B795">
        <v>203.83226999999999</v>
      </c>
      <c r="C795">
        <v>211.534716</v>
      </c>
      <c r="D795">
        <v>219.26101199999999</v>
      </c>
      <c r="E795">
        <v>108.347129</v>
      </c>
      <c r="F795">
        <v>73.176568000000003</v>
      </c>
      <c r="G795">
        <v>39.990766000000001</v>
      </c>
      <c r="H795">
        <v>44.719912999999998</v>
      </c>
      <c r="I795" t="s">
        <v>60</v>
      </c>
      <c r="N795"/>
      <c r="O795"/>
      <c r="P795" s="1">
        <f t="shared" si="67"/>
        <v>207.9241300813008</v>
      </c>
      <c r="Q795" s="1">
        <f t="shared" si="68"/>
        <v>215.75466565040648</v>
      </c>
      <c r="R795" s="1">
        <f t="shared" si="69"/>
        <v>224.40335474660958</v>
      </c>
      <c r="S795" s="1">
        <f t="shared" si="70"/>
        <v>111.61185761047463</v>
      </c>
    </row>
    <row r="796" spans="1:19" x14ac:dyDescent="0.3">
      <c r="A796">
        <v>13396.2</v>
      </c>
      <c r="B796">
        <v>203.80427599999999</v>
      </c>
      <c r="C796">
        <v>211.53225900000001</v>
      </c>
      <c r="D796">
        <v>219.29065600000001</v>
      </c>
      <c r="E796">
        <v>108.22963799999999</v>
      </c>
      <c r="F796">
        <v>73.470383999999996</v>
      </c>
      <c r="G796">
        <v>39.990766000000001</v>
      </c>
      <c r="H796">
        <v>44.719912999999998</v>
      </c>
      <c r="I796"/>
      <c r="N796"/>
      <c r="O796"/>
      <c r="P796" s="1">
        <f t="shared" si="67"/>
        <v>207.90360365853658</v>
      </c>
      <c r="Q796" s="1">
        <f t="shared" si="68"/>
        <v>215.75914329268292</v>
      </c>
      <c r="R796" s="1">
        <f t="shared" si="69"/>
        <v>224.41160293667789</v>
      </c>
      <c r="S796" s="1">
        <f t="shared" si="70"/>
        <v>111.5095959492635</v>
      </c>
    </row>
    <row r="797" spans="1:19" x14ac:dyDescent="0.3">
      <c r="A797">
        <v>13396.4</v>
      </c>
      <c r="B797">
        <v>203.80427599999999</v>
      </c>
      <c r="C797">
        <v>211.53225900000001</v>
      </c>
      <c r="D797">
        <v>219.29065600000001</v>
      </c>
      <c r="E797">
        <v>108.22963799999999</v>
      </c>
      <c r="F797">
        <v>73.470383999999996</v>
      </c>
      <c r="G797">
        <v>39.969847000000001</v>
      </c>
      <c r="H797">
        <v>44.742229999999999</v>
      </c>
      <c r="I797"/>
      <c r="N797"/>
      <c r="O797"/>
      <c r="P797" s="1">
        <f t="shared" si="67"/>
        <v>207.90360365853658</v>
      </c>
      <c r="Q797" s="1">
        <f t="shared" si="68"/>
        <v>215.75914329268292</v>
      </c>
      <c r="R797" s="1">
        <f t="shared" si="69"/>
        <v>224.41160293667789</v>
      </c>
      <c r="S797" s="1">
        <f t="shared" si="70"/>
        <v>111.5095959492635</v>
      </c>
    </row>
    <row r="798" spans="1:19" x14ac:dyDescent="0.3">
      <c r="A798">
        <v>13396.6</v>
      </c>
      <c r="B798">
        <v>203.77569600000001</v>
      </c>
      <c r="C798">
        <v>211.53882899999999</v>
      </c>
      <c r="D798">
        <v>219.27183199999999</v>
      </c>
      <c r="E798">
        <v>108.26748600000001</v>
      </c>
      <c r="F798">
        <v>73.198285999999996</v>
      </c>
      <c r="G798">
        <v>39.969847000000001</v>
      </c>
      <c r="H798">
        <v>44.742229999999999</v>
      </c>
      <c r="I798"/>
      <c r="N798"/>
      <c r="O798"/>
      <c r="P798" s="1">
        <f t="shared" si="67"/>
        <v>207.89918902439024</v>
      </c>
      <c r="Q798" s="1">
        <f t="shared" si="68"/>
        <v>215.77188109756096</v>
      </c>
      <c r="R798" s="1">
        <f t="shared" si="69"/>
        <v>224.39203833996126</v>
      </c>
      <c r="S798" s="1">
        <f t="shared" si="70"/>
        <v>111.67774549918167</v>
      </c>
    </row>
    <row r="799" spans="1:19" x14ac:dyDescent="0.3">
      <c r="A799">
        <v>13396.8</v>
      </c>
      <c r="B799">
        <v>203.77569600000001</v>
      </c>
      <c r="C799">
        <v>211.53882899999999</v>
      </c>
      <c r="D799">
        <v>219.27183199999999</v>
      </c>
      <c r="E799">
        <v>108.26748600000001</v>
      </c>
      <c r="F799">
        <v>73.198285999999996</v>
      </c>
      <c r="G799">
        <v>39.992339000000001</v>
      </c>
      <c r="H799">
        <v>44.759065</v>
      </c>
      <c r="I799"/>
      <c r="N799"/>
      <c r="O799"/>
      <c r="P799" s="1">
        <f t="shared" si="67"/>
        <v>207.89918902439024</v>
      </c>
      <c r="Q799" s="1">
        <f t="shared" si="68"/>
        <v>215.77188109756096</v>
      </c>
      <c r="R799" s="1">
        <f t="shared" si="69"/>
        <v>224.39203833996126</v>
      </c>
      <c r="S799" s="1">
        <f t="shared" si="70"/>
        <v>111.67774549918167</v>
      </c>
    </row>
    <row r="800" spans="1:19" x14ac:dyDescent="0.3">
      <c r="A800">
        <v>13397</v>
      </c>
      <c r="B800">
        <v>203.785169</v>
      </c>
      <c r="C800">
        <v>211.53541300000001</v>
      </c>
      <c r="D800">
        <v>219.288669</v>
      </c>
      <c r="E800">
        <v>108.30474700000001</v>
      </c>
      <c r="F800">
        <v>73.177914000000001</v>
      </c>
      <c r="G800">
        <v>39.992339000000001</v>
      </c>
      <c r="H800">
        <v>44.759065</v>
      </c>
      <c r="I800" t="s">
        <v>60</v>
      </c>
      <c r="N800"/>
      <c r="O800"/>
      <c r="P800" s="1">
        <f t="shared" si="67"/>
        <v>207.92429268292682</v>
      </c>
      <c r="Q800" s="1">
        <f t="shared" si="68"/>
        <v>215.76316666666665</v>
      </c>
      <c r="R800" s="1">
        <f t="shared" si="69"/>
        <v>224.42271744672175</v>
      </c>
      <c r="S800" s="1">
        <f t="shared" si="70"/>
        <v>111.77172258592471</v>
      </c>
    </row>
    <row r="801" spans="1:19" x14ac:dyDescent="0.3">
      <c r="A801">
        <v>13397.2</v>
      </c>
      <c r="B801">
        <v>203.785169</v>
      </c>
      <c r="C801">
        <v>211.53541300000001</v>
      </c>
      <c r="D801">
        <v>219.288669</v>
      </c>
      <c r="E801">
        <v>108.30474700000001</v>
      </c>
      <c r="F801">
        <v>73.177914000000001</v>
      </c>
      <c r="G801">
        <v>39.965992</v>
      </c>
      <c r="H801">
        <v>44.729806000000004</v>
      </c>
      <c r="I801"/>
      <c r="N801"/>
      <c r="O801"/>
      <c r="P801" s="1">
        <f t="shared" si="67"/>
        <v>207.92429268292682</v>
      </c>
      <c r="Q801" s="1">
        <f t="shared" si="68"/>
        <v>215.76316666666665</v>
      </c>
      <c r="R801" s="1">
        <f t="shared" si="69"/>
        <v>224.42271744672175</v>
      </c>
      <c r="S801" s="1">
        <f t="shared" si="70"/>
        <v>111.77172258592471</v>
      </c>
    </row>
    <row r="802" spans="1:19" x14ac:dyDescent="0.3">
      <c r="A802">
        <v>13397.4</v>
      </c>
      <c r="B802">
        <v>203.81360799999999</v>
      </c>
      <c r="C802">
        <v>211.522842</v>
      </c>
      <c r="D802">
        <v>219.29038399999999</v>
      </c>
      <c r="E802">
        <v>108.257698</v>
      </c>
      <c r="F802">
        <v>73.143414000000007</v>
      </c>
      <c r="G802">
        <v>39.965992</v>
      </c>
      <c r="H802">
        <v>44.729806000000004</v>
      </c>
      <c r="I802"/>
      <c r="N802"/>
      <c r="O802"/>
      <c r="P802" s="1">
        <f t="shared" si="67"/>
        <v>207.89971239837399</v>
      </c>
      <c r="Q802" s="1">
        <f t="shared" si="68"/>
        <v>215.77740650406503</v>
      </c>
      <c r="R802" s="1">
        <f t="shared" si="69"/>
        <v>224.41294483532172</v>
      </c>
      <c r="S802" s="1">
        <f t="shared" si="70"/>
        <v>111.85929418985269</v>
      </c>
    </row>
    <row r="803" spans="1:19" x14ac:dyDescent="0.3">
      <c r="A803">
        <v>13397.6</v>
      </c>
      <c r="B803">
        <v>203.81360799999999</v>
      </c>
      <c r="C803">
        <v>211.522842</v>
      </c>
      <c r="D803">
        <v>219.29038399999999</v>
      </c>
      <c r="E803">
        <v>108.257698</v>
      </c>
      <c r="F803">
        <v>73.143414000000007</v>
      </c>
      <c r="G803">
        <v>39.981211999999999</v>
      </c>
      <c r="H803">
        <v>44.728261000000003</v>
      </c>
      <c r="I803"/>
      <c r="N803"/>
      <c r="O803"/>
      <c r="P803" s="1">
        <f t="shared" si="67"/>
        <v>207.89971239837399</v>
      </c>
      <c r="Q803" s="1">
        <f t="shared" si="68"/>
        <v>215.77740650406503</v>
      </c>
      <c r="R803" s="1">
        <f t="shared" si="69"/>
        <v>224.41294483532172</v>
      </c>
      <c r="S803" s="1">
        <f t="shared" si="70"/>
        <v>111.85929418985269</v>
      </c>
    </row>
    <row r="804" spans="1:19" x14ac:dyDescent="0.3">
      <c r="A804">
        <v>13397.8</v>
      </c>
      <c r="B804">
        <v>203.805339</v>
      </c>
      <c r="C804">
        <v>211.53941800000001</v>
      </c>
      <c r="D804">
        <v>219.29287299999999</v>
      </c>
      <c r="E804">
        <v>108.215711</v>
      </c>
      <c r="F804">
        <v>73.011495999999994</v>
      </c>
      <c r="G804">
        <v>39.981211999999999</v>
      </c>
      <c r="H804">
        <v>44.728261000000003</v>
      </c>
      <c r="I804"/>
      <c r="N804"/>
      <c r="O804"/>
      <c r="P804" s="1">
        <f t="shared" si="67"/>
        <v>207.91422967479673</v>
      </c>
      <c r="Q804" s="1">
        <f t="shared" si="68"/>
        <v>215.7762083333333</v>
      </c>
      <c r="R804" s="1">
        <f t="shared" si="69"/>
        <v>224.43024064443765</v>
      </c>
      <c r="S804" s="1">
        <f t="shared" si="70"/>
        <v>111.78858428805238</v>
      </c>
    </row>
    <row r="805" spans="1:19" x14ac:dyDescent="0.3">
      <c r="A805">
        <v>13398</v>
      </c>
      <c r="B805">
        <v>203.805339</v>
      </c>
      <c r="C805">
        <v>211.53941800000001</v>
      </c>
      <c r="D805">
        <v>219.29287299999999</v>
      </c>
      <c r="E805">
        <v>108.215711</v>
      </c>
      <c r="F805">
        <v>73.011495999999994</v>
      </c>
      <c r="G805">
        <v>39.985694000000002</v>
      </c>
      <c r="H805">
        <v>44.753374000000001</v>
      </c>
      <c r="I805" t="s">
        <v>60</v>
      </c>
      <c r="N805"/>
      <c r="O805"/>
      <c r="P805" s="1">
        <f t="shared" si="67"/>
        <v>207.91422967479673</v>
      </c>
      <c r="Q805" s="1">
        <f t="shared" si="68"/>
        <v>215.7762083333333</v>
      </c>
      <c r="R805" s="1">
        <f t="shared" si="69"/>
        <v>224.43024064443765</v>
      </c>
      <c r="S805" s="1">
        <f t="shared" si="70"/>
        <v>111.78858428805238</v>
      </c>
    </row>
    <row r="806" spans="1:19" x14ac:dyDescent="0.3">
      <c r="A806">
        <v>13398.2</v>
      </c>
      <c r="B806">
        <v>203.79876999999999</v>
      </c>
      <c r="C806">
        <v>211.52487500000001</v>
      </c>
      <c r="D806">
        <v>219.271479</v>
      </c>
      <c r="E806">
        <v>108.23043199999999</v>
      </c>
      <c r="F806">
        <v>72.466615000000004</v>
      </c>
      <c r="G806">
        <v>39.985694000000002</v>
      </c>
      <c r="H806">
        <v>44.753374000000001</v>
      </c>
      <c r="I806"/>
      <c r="N806"/>
      <c r="O806"/>
      <c r="P806" s="1">
        <f t="shared" si="67"/>
        <v>207.92487093495936</v>
      </c>
      <c r="Q806" s="1">
        <f t="shared" si="68"/>
        <v>215.77518089430896</v>
      </c>
      <c r="R806" s="1">
        <f t="shared" si="69"/>
        <v>224.41049352503313</v>
      </c>
      <c r="S806" s="1">
        <f t="shared" si="70"/>
        <v>111.73612520458265</v>
      </c>
    </row>
    <row r="807" spans="1:19" x14ac:dyDescent="0.3">
      <c r="A807">
        <v>13398.4</v>
      </c>
      <c r="B807">
        <v>203.79876999999999</v>
      </c>
      <c r="C807">
        <v>211.52487500000001</v>
      </c>
      <c r="D807">
        <v>219.271479</v>
      </c>
      <c r="E807">
        <v>108.23043199999999</v>
      </c>
      <c r="F807">
        <v>72.466615000000004</v>
      </c>
      <c r="G807">
        <v>40.000548999999999</v>
      </c>
      <c r="H807">
        <v>44.753321</v>
      </c>
      <c r="I807"/>
      <c r="N807"/>
      <c r="O807"/>
      <c r="P807" s="1">
        <f t="shared" si="67"/>
        <v>207.92487093495936</v>
      </c>
      <c r="Q807" s="1">
        <f t="shared" si="68"/>
        <v>215.77518089430896</v>
      </c>
      <c r="R807" s="1">
        <f t="shared" si="69"/>
        <v>224.41049352503313</v>
      </c>
      <c r="S807" s="1">
        <f t="shared" si="70"/>
        <v>111.73612520458265</v>
      </c>
    </row>
    <row r="808" spans="1:19" x14ac:dyDescent="0.3">
      <c r="A808">
        <v>13398.6</v>
      </c>
      <c r="B808">
        <v>203.78823399999999</v>
      </c>
      <c r="C808">
        <v>211.54246499999999</v>
      </c>
      <c r="D808">
        <v>219.275903</v>
      </c>
      <c r="E808">
        <v>108.23383800000001</v>
      </c>
      <c r="F808">
        <v>72.353053000000003</v>
      </c>
      <c r="G808">
        <v>40.000548999999999</v>
      </c>
      <c r="H808">
        <v>44.753321</v>
      </c>
      <c r="I808"/>
      <c r="N808"/>
      <c r="O808"/>
      <c r="P808" s="1">
        <f t="shared" si="67"/>
        <v>207.9150193089431</v>
      </c>
      <c r="Q808" s="1">
        <f t="shared" si="68"/>
        <v>215.79772560975607</v>
      </c>
      <c r="R808" s="1">
        <f t="shared" si="69"/>
        <v>224.42794534516162</v>
      </c>
      <c r="S808" s="1">
        <f t="shared" si="70"/>
        <v>111.71934840425531</v>
      </c>
    </row>
    <row r="809" spans="1:19" x14ac:dyDescent="0.3">
      <c r="A809">
        <v>13398.8</v>
      </c>
      <c r="B809">
        <v>203.78823399999999</v>
      </c>
      <c r="C809">
        <v>211.54246499999999</v>
      </c>
      <c r="D809">
        <v>219.275903</v>
      </c>
      <c r="E809">
        <v>108.23383800000001</v>
      </c>
      <c r="F809">
        <v>72.353053000000003</v>
      </c>
      <c r="G809">
        <v>39.973142000000003</v>
      </c>
      <c r="H809">
        <v>44.743192000000001</v>
      </c>
      <c r="I809"/>
      <c r="N809"/>
      <c r="O809"/>
      <c r="P809" s="1">
        <f t="shared" si="67"/>
        <v>207.9150193089431</v>
      </c>
      <c r="Q809" s="1">
        <f t="shared" si="68"/>
        <v>215.79772560975607</v>
      </c>
      <c r="R809" s="1">
        <f t="shared" si="69"/>
        <v>224.42794534516162</v>
      </c>
      <c r="S809" s="1">
        <f t="shared" si="70"/>
        <v>111.71934840425531</v>
      </c>
    </row>
    <row r="810" spans="1:19" x14ac:dyDescent="0.3">
      <c r="A810">
        <v>13399</v>
      </c>
      <c r="B810">
        <v>203.794319</v>
      </c>
      <c r="C810">
        <v>211.54667699999999</v>
      </c>
      <c r="D810">
        <v>219.27496600000001</v>
      </c>
      <c r="E810">
        <v>108.199162</v>
      </c>
      <c r="F810">
        <v>72.365488999999997</v>
      </c>
      <c r="G810">
        <v>39.973142000000003</v>
      </c>
      <c r="H810">
        <v>44.743192000000001</v>
      </c>
      <c r="I810" t="s">
        <v>60</v>
      </c>
      <c r="N810"/>
      <c r="O810"/>
      <c r="P810" s="1">
        <f t="shared" si="67"/>
        <v>207.91067174796746</v>
      </c>
      <c r="Q810" s="1">
        <f t="shared" si="68"/>
        <v>215.78503658536584</v>
      </c>
      <c r="R810" s="1">
        <f t="shared" si="69"/>
        <v>224.41697970837157</v>
      </c>
      <c r="S810" s="1">
        <f t="shared" si="70"/>
        <v>111.85976370703764</v>
      </c>
    </row>
    <row r="811" spans="1:19" x14ac:dyDescent="0.3">
      <c r="A811">
        <v>13399.2</v>
      </c>
      <c r="B811">
        <v>203.794319</v>
      </c>
      <c r="C811">
        <v>211.54667699999999</v>
      </c>
      <c r="D811">
        <v>219.27496600000001</v>
      </c>
      <c r="E811">
        <v>108.199162</v>
      </c>
      <c r="F811">
        <v>72.365488999999997</v>
      </c>
      <c r="G811">
        <v>39.977049000000001</v>
      </c>
      <c r="H811">
        <v>44.756827999999999</v>
      </c>
      <c r="I811"/>
      <c r="N811"/>
      <c r="O811"/>
      <c r="P811" s="1">
        <f t="shared" si="67"/>
        <v>207.91067174796746</v>
      </c>
      <c r="Q811" s="1">
        <f t="shared" si="68"/>
        <v>215.78503658536584</v>
      </c>
      <c r="R811" s="1">
        <f t="shared" si="69"/>
        <v>224.41697970837157</v>
      </c>
      <c r="S811" s="1">
        <f t="shared" si="70"/>
        <v>111.85976370703764</v>
      </c>
    </row>
    <row r="812" spans="1:19" x14ac:dyDescent="0.3">
      <c r="A812">
        <v>13399.4</v>
      </c>
      <c r="B812">
        <v>203.791526</v>
      </c>
      <c r="C812">
        <v>211.52677</v>
      </c>
      <c r="D812">
        <v>219.26033899999999</v>
      </c>
      <c r="E812">
        <v>108.18921</v>
      </c>
      <c r="F812">
        <v>72.712389999999999</v>
      </c>
      <c r="G812">
        <v>39.977049000000001</v>
      </c>
      <c r="H812">
        <v>44.756827999999999</v>
      </c>
      <c r="I812"/>
      <c r="N812"/>
      <c r="O812"/>
      <c r="P812" s="1">
        <f t="shared" ref="P812:P875" si="71">(B794+Q$36)/P$36</f>
        <v>207.94590447154471</v>
      </c>
      <c r="Q812" s="1">
        <f t="shared" ref="Q812:Q875" si="72">(C794+Q$36)/P$36</f>
        <v>215.77359349593496</v>
      </c>
      <c r="R812" s="1">
        <f t="shared" ref="R812:R875" si="73">(D794+Q$38)/P$38</f>
        <v>224.40227592535945</v>
      </c>
      <c r="S812" s="1">
        <f t="shared" ref="S812:S875" si="74">(E794+Q$39)/P$39</f>
        <v>111.77468187397707</v>
      </c>
    </row>
    <row r="813" spans="1:19" x14ac:dyDescent="0.3">
      <c r="A813">
        <v>13399.6</v>
      </c>
      <c r="B813">
        <v>203.791526</v>
      </c>
      <c r="C813">
        <v>211.52677</v>
      </c>
      <c r="D813">
        <v>219.26033899999999</v>
      </c>
      <c r="E813">
        <v>108.18921</v>
      </c>
      <c r="F813">
        <v>72.712389999999999</v>
      </c>
      <c r="G813">
        <v>39.974283999999997</v>
      </c>
      <c r="H813">
        <v>44.745722000000001</v>
      </c>
      <c r="I813"/>
      <c r="N813"/>
      <c r="O813"/>
      <c r="P813" s="1">
        <f t="shared" si="71"/>
        <v>207.94590447154471</v>
      </c>
      <c r="Q813" s="1">
        <f t="shared" si="72"/>
        <v>215.77359349593496</v>
      </c>
      <c r="R813" s="1">
        <f t="shared" si="73"/>
        <v>224.40227592535945</v>
      </c>
      <c r="S813" s="1">
        <f t="shared" si="74"/>
        <v>111.77468187397707</v>
      </c>
    </row>
    <row r="814" spans="1:19" x14ac:dyDescent="0.3">
      <c r="A814">
        <v>13399.8</v>
      </c>
      <c r="B814">
        <v>203.80800199999999</v>
      </c>
      <c r="C814">
        <v>211.52989199999999</v>
      </c>
      <c r="D814">
        <v>219.28458900000001</v>
      </c>
      <c r="E814">
        <v>108.129009</v>
      </c>
      <c r="F814">
        <v>72.900105999999994</v>
      </c>
      <c r="G814">
        <v>39.974283999999997</v>
      </c>
      <c r="H814">
        <v>44.745722000000001</v>
      </c>
      <c r="I814"/>
      <c r="N814"/>
      <c r="O814"/>
      <c r="P814" s="1">
        <f t="shared" si="71"/>
        <v>207.91745528455283</v>
      </c>
      <c r="Q814" s="1">
        <f t="shared" si="72"/>
        <v>215.77109654471545</v>
      </c>
      <c r="R814" s="1">
        <f t="shared" si="73"/>
        <v>224.43250331395944</v>
      </c>
      <c r="S814" s="1">
        <f t="shared" si="74"/>
        <v>111.65449877250408</v>
      </c>
    </row>
    <row r="815" spans="1:19" x14ac:dyDescent="0.3">
      <c r="A815">
        <v>13400</v>
      </c>
      <c r="B815">
        <v>203.80800199999999</v>
      </c>
      <c r="C815">
        <v>211.52989199999999</v>
      </c>
      <c r="D815">
        <v>219.28458900000001</v>
      </c>
      <c r="E815">
        <v>108.129009</v>
      </c>
      <c r="F815">
        <v>72.900105999999994</v>
      </c>
      <c r="G815">
        <v>39.994957999999997</v>
      </c>
      <c r="H815">
        <v>44.765385000000002</v>
      </c>
      <c r="I815" t="s">
        <v>60</v>
      </c>
      <c r="N815"/>
      <c r="O815"/>
      <c r="P815" s="1">
        <f t="shared" si="71"/>
        <v>207.91745528455283</v>
      </c>
      <c r="Q815" s="1">
        <f t="shared" si="72"/>
        <v>215.77109654471545</v>
      </c>
      <c r="R815" s="1">
        <f t="shared" si="73"/>
        <v>224.43250331395944</v>
      </c>
      <c r="S815" s="1">
        <f t="shared" si="74"/>
        <v>111.65449877250408</v>
      </c>
    </row>
    <row r="816" spans="1:19" x14ac:dyDescent="0.3">
      <c r="A816">
        <v>13400.2</v>
      </c>
      <c r="B816">
        <v>203.80104499999999</v>
      </c>
      <c r="C816">
        <v>211.52551</v>
      </c>
      <c r="D816">
        <v>219.27187599999999</v>
      </c>
      <c r="E816">
        <v>108.20906600000001</v>
      </c>
      <c r="F816">
        <v>72.551292000000004</v>
      </c>
      <c r="G816">
        <v>39.994957999999997</v>
      </c>
      <c r="H816">
        <v>44.765385000000002</v>
      </c>
      <c r="I816"/>
      <c r="N816"/>
      <c r="O816"/>
      <c r="P816" s="1">
        <f t="shared" si="71"/>
        <v>207.8884105691057</v>
      </c>
      <c r="Q816" s="1">
        <f t="shared" si="72"/>
        <v>215.77777337398373</v>
      </c>
      <c r="R816" s="1">
        <f t="shared" si="73"/>
        <v>224.41330886101764</v>
      </c>
      <c r="S816" s="1">
        <f t="shared" si="74"/>
        <v>111.69321399345336</v>
      </c>
    </row>
    <row r="817" spans="1:19" x14ac:dyDescent="0.3">
      <c r="A817">
        <v>13400.4</v>
      </c>
      <c r="B817">
        <v>203.80104499999999</v>
      </c>
      <c r="C817">
        <v>211.52551</v>
      </c>
      <c r="D817">
        <v>219.27187599999999</v>
      </c>
      <c r="E817">
        <v>108.20906600000001</v>
      </c>
      <c r="F817">
        <v>72.551292000000004</v>
      </c>
      <c r="G817">
        <v>39.997945999999999</v>
      </c>
      <c r="H817">
        <v>44.739128999999998</v>
      </c>
      <c r="I817"/>
      <c r="N817"/>
      <c r="O817"/>
      <c r="P817" s="1">
        <f t="shared" si="71"/>
        <v>207.8884105691057</v>
      </c>
      <c r="Q817" s="1">
        <f t="shared" si="72"/>
        <v>215.77777337398373</v>
      </c>
      <c r="R817" s="1">
        <f t="shared" si="73"/>
        <v>224.41330886101764</v>
      </c>
      <c r="S817" s="1">
        <f t="shared" si="74"/>
        <v>111.69321399345336</v>
      </c>
    </row>
    <row r="818" spans="1:19" x14ac:dyDescent="0.3">
      <c r="A818">
        <v>13400.6</v>
      </c>
      <c r="B818">
        <v>203.79691500000001</v>
      </c>
      <c r="C818">
        <v>211.52442600000001</v>
      </c>
      <c r="D818">
        <v>219.262664</v>
      </c>
      <c r="E818">
        <v>108.230451</v>
      </c>
      <c r="F818">
        <v>72.684933000000001</v>
      </c>
      <c r="G818">
        <v>39.997945999999999</v>
      </c>
      <c r="H818">
        <v>44.739128999999998</v>
      </c>
      <c r="I818"/>
      <c r="N818"/>
      <c r="O818"/>
      <c r="P818" s="1">
        <f t="shared" si="71"/>
        <v>207.89803760162602</v>
      </c>
      <c r="Q818" s="1">
        <f t="shared" si="72"/>
        <v>215.7743018292683</v>
      </c>
      <c r="R818" s="1">
        <f t="shared" si="73"/>
        <v>224.43047721015603</v>
      </c>
      <c r="S818" s="1">
        <f t="shared" si="74"/>
        <v>111.73132876432079</v>
      </c>
    </row>
    <row r="819" spans="1:19" x14ac:dyDescent="0.3">
      <c r="A819">
        <v>13400.8</v>
      </c>
      <c r="B819">
        <v>203.79691500000001</v>
      </c>
      <c r="C819">
        <v>211.52442600000001</v>
      </c>
      <c r="D819">
        <v>219.262664</v>
      </c>
      <c r="E819">
        <v>108.230451</v>
      </c>
      <c r="F819">
        <v>72.684933000000001</v>
      </c>
      <c r="G819">
        <v>39.982951</v>
      </c>
      <c r="H819">
        <v>44.766418000000002</v>
      </c>
      <c r="I819"/>
      <c r="N819"/>
      <c r="O819"/>
      <c r="P819" s="1">
        <f t="shared" si="71"/>
        <v>207.89803760162602</v>
      </c>
      <c r="Q819" s="1">
        <f t="shared" si="72"/>
        <v>215.7743018292683</v>
      </c>
      <c r="R819" s="1">
        <f t="shared" si="73"/>
        <v>224.43047721015603</v>
      </c>
      <c r="S819" s="1">
        <f t="shared" si="74"/>
        <v>111.73132876432079</v>
      </c>
    </row>
    <row r="820" spans="1:19" x14ac:dyDescent="0.3">
      <c r="A820">
        <v>13401</v>
      </c>
      <c r="B820">
        <v>203.79351500000001</v>
      </c>
      <c r="C820">
        <v>211.54024699999999</v>
      </c>
      <c r="D820">
        <v>219.26184799999999</v>
      </c>
      <c r="E820">
        <v>108.069457</v>
      </c>
      <c r="F820">
        <v>73.162374</v>
      </c>
      <c r="G820">
        <v>39.982951</v>
      </c>
      <c r="H820">
        <v>44.766418000000002</v>
      </c>
      <c r="I820" t="s">
        <v>60</v>
      </c>
      <c r="N820"/>
      <c r="O820"/>
      <c r="P820" s="1">
        <f t="shared" si="71"/>
        <v>207.92693902439024</v>
      </c>
      <c r="Q820" s="1">
        <f t="shared" si="72"/>
        <v>215.76152642276421</v>
      </c>
      <c r="R820" s="1">
        <f t="shared" si="73"/>
        <v>224.43222596104823</v>
      </c>
      <c r="S820" s="1">
        <f t="shared" si="74"/>
        <v>111.68320171849427</v>
      </c>
    </row>
    <row r="821" spans="1:19" x14ac:dyDescent="0.3">
      <c r="A821">
        <v>13401.2</v>
      </c>
      <c r="B821">
        <v>203.79351500000001</v>
      </c>
      <c r="C821">
        <v>211.54024699999999</v>
      </c>
      <c r="D821">
        <v>219.26184799999999</v>
      </c>
      <c r="E821">
        <v>108.069457</v>
      </c>
      <c r="F821">
        <v>73.162374</v>
      </c>
      <c r="G821">
        <v>39.994624000000002</v>
      </c>
      <c r="H821">
        <v>44.746492000000003</v>
      </c>
      <c r="I821"/>
      <c r="N821"/>
      <c r="O821"/>
      <c r="P821" s="1">
        <f t="shared" si="71"/>
        <v>207.92693902439024</v>
      </c>
      <c r="Q821" s="1">
        <f t="shared" si="72"/>
        <v>215.76152642276421</v>
      </c>
      <c r="R821" s="1">
        <f t="shared" si="73"/>
        <v>224.43222596104823</v>
      </c>
      <c r="S821" s="1">
        <f t="shared" si="74"/>
        <v>111.68320171849427</v>
      </c>
    </row>
    <row r="822" spans="1:19" x14ac:dyDescent="0.3">
      <c r="A822">
        <v>13401.4</v>
      </c>
      <c r="B822">
        <v>203.78250800000001</v>
      </c>
      <c r="C822">
        <v>211.53509500000001</v>
      </c>
      <c r="D822">
        <v>219.28068300000001</v>
      </c>
      <c r="E822">
        <v>108.062665</v>
      </c>
      <c r="F822">
        <v>72.946980999999994</v>
      </c>
      <c r="G822">
        <v>39.994624000000002</v>
      </c>
      <c r="H822">
        <v>44.746492000000003</v>
      </c>
      <c r="I822"/>
      <c r="N822"/>
      <c r="O822"/>
      <c r="P822" s="1">
        <f t="shared" si="71"/>
        <v>207.9185355691057</v>
      </c>
      <c r="Q822" s="1">
        <f t="shared" si="72"/>
        <v>215.77837195121953</v>
      </c>
      <c r="R822" s="1">
        <f t="shared" si="73"/>
        <v>224.43476394412153</v>
      </c>
      <c r="S822" s="1">
        <f t="shared" si="74"/>
        <v>111.64025265957446</v>
      </c>
    </row>
    <row r="823" spans="1:19" x14ac:dyDescent="0.3">
      <c r="A823">
        <v>13401.6</v>
      </c>
      <c r="B823">
        <v>203.78250800000001</v>
      </c>
      <c r="C823">
        <v>211.53509500000001</v>
      </c>
      <c r="D823">
        <v>219.28068300000001</v>
      </c>
      <c r="E823">
        <v>108.062665</v>
      </c>
      <c r="F823">
        <v>72.946980999999994</v>
      </c>
      <c r="G823">
        <v>39.981141000000001</v>
      </c>
      <c r="H823">
        <v>44.756262999999997</v>
      </c>
      <c r="I823"/>
      <c r="N823"/>
      <c r="O823"/>
      <c r="P823" s="1">
        <f t="shared" si="71"/>
        <v>207.9185355691057</v>
      </c>
      <c r="Q823" s="1">
        <f t="shared" si="72"/>
        <v>215.77837195121953</v>
      </c>
      <c r="R823" s="1">
        <f t="shared" si="73"/>
        <v>224.43476394412153</v>
      </c>
      <c r="S823" s="1">
        <f t="shared" si="74"/>
        <v>111.64025265957446</v>
      </c>
    </row>
    <row r="824" spans="1:19" x14ac:dyDescent="0.3">
      <c r="A824">
        <v>13401.8</v>
      </c>
      <c r="B824">
        <v>203.78713300000001</v>
      </c>
      <c r="C824">
        <v>211.536675</v>
      </c>
      <c r="D824">
        <v>219.273416</v>
      </c>
      <c r="E824">
        <v>108.10044499999999</v>
      </c>
      <c r="F824">
        <v>72.70205</v>
      </c>
      <c r="G824">
        <v>39.981141000000001</v>
      </c>
      <c r="H824">
        <v>44.756262999999997</v>
      </c>
      <c r="I824"/>
      <c r="N824"/>
      <c r="O824"/>
      <c r="P824" s="1">
        <f t="shared" si="71"/>
        <v>207.91185975609756</v>
      </c>
      <c r="Q824" s="1">
        <f t="shared" si="72"/>
        <v>215.7635924796748</v>
      </c>
      <c r="R824" s="1">
        <f t="shared" si="73"/>
        <v>224.41294891404101</v>
      </c>
      <c r="S824" s="1">
        <f t="shared" si="74"/>
        <v>111.65531096563011</v>
      </c>
    </row>
    <row r="825" spans="1:19" x14ac:dyDescent="0.3">
      <c r="A825"/>
      <c r="B825">
        <v>217.80278899999999</v>
      </c>
      <c r="C825">
        <v>226.18972600000001</v>
      </c>
      <c r="D825">
        <v>234.703103</v>
      </c>
      <c r="E825">
        <v>110.931549</v>
      </c>
      <c r="F825">
        <v>73.954274999999996</v>
      </c>
      <c r="G825"/>
      <c r="H825"/>
      <c r="I825"/>
      <c r="N825"/>
      <c r="O825"/>
      <c r="P825" s="1">
        <f t="shared" si="71"/>
        <v>207.91185975609756</v>
      </c>
      <c r="Q825" s="1">
        <f t="shared" si="72"/>
        <v>215.7635924796748</v>
      </c>
      <c r="R825" s="1">
        <f t="shared" si="73"/>
        <v>224.41294891404101</v>
      </c>
      <c r="S825" s="1">
        <f t="shared" si="74"/>
        <v>111.65531096563011</v>
      </c>
    </row>
    <row r="826" spans="1:19" x14ac:dyDescent="0.3">
      <c r="A826"/>
      <c r="B826">
        <v>217.80278899999999</v>
      </c>
      <c r="C826">
        <v>226.18972600000001</v>
      </c>
      <c r="D826">
        <v>234.703103</v>
      </c>
      <c r="E826">
        <v>110.931549</v>
      </c>
      <c r="F826">
        <v>73.954274999999996</v>
      </c>
      <c r="G826"/>
      <c r="H826"/>
      <c r="I826"/>
      <c r="N826"/>
      <c r="O826"/>
      <c r="P826" s="1">
        <f t="shared" si="71"/>
        <v>207.90115243902437</v>
      </c>
      <c r="Q826" s="1">
        <f t="shared" si="72"/>
        <v>215.78146849593494</v>
      </c>
      <c r="R826" s="1">
        <f t="shared" si="73"/>
        <v>224.41745997756706</v>
      </c>
      <c r="S826" s="1">
        <f t="shared" si="74"/>
        <v>111.6587950081833</v>
      </c>
    </row>
    <row r="827" spans="1:19" x14ac:dyDescent="0.3">
      <c r="A827"/>
      <c r="B827">
        <v>217.81849500000001</v>
      </c>
      <c r="C827">
        <v>226.19235900000001</v>
      </c>
      <c r="D827">
        <v>234.701089</v>
      </c>
      <c r="E827">
        <v>110.849459</v>
      </c>
      <c r="F827">
        <v>73.727574000000004</v>
      </c>
      <c r="G827"/>
      <c r="H827"/>
      <c r="I827"/>
      <c r="N827"/>
      <c r="O827"/>
      <c r="P827" s="1">
        <f t="shared" si="71"/>
        <v>207.90115243902437</v>
      </c>
      <c r="Q827" s="1">
        <f t="shared" si="72"/>
        <v>215.78146849593494</v>
      </c>
      <c r="R827" s="1">
        <f t="shared" si="73"/>
        <v>224.41745997756706</v>
      </c>
      <c r="S827" s="1">
        <f t="shared" si="74"/>
        <v>111.6587950081833</v>
      </c>
    </row>
    <row r="828" spans="1:19" x14ac:dyDescent="0.3">
      <c r="A828"/>
      <c r="B828">
        <v>217.81849500000001</v>
      </c>
      <c r="C828">
        <v>226.19235900000001</v>
      </c>
      <c r="D828">
        <v>234.701089</v>
      </c>
      <c r="E828">
        <v>110.849459</v>
      </c>
      <c r="F828">
        <v>73.727574000000004</v>
      </c>
      <c r="G828"/>
      <c r="H828"/>
      <c r="I828"/>
      <c r="N828"/>
      <c r="O828"/>
      <c r="P828" s="1">
        <f t="shared" si="71"/>
        <v>207.90733638211381</v>
      </c>
      <c r="Q828" s="1">
        <f t="shared" si="72"/>
        <v>215.78574898373981</v>
      </c>
      <c r="R828" s="1">
        <f t="shared" si="73"/>
        <v>224.41650453757521</v>
      </c>
      <c r="S828" s="1">
        <f t="shared" si="74"/>
        <v>111.6233244680851</v>
      </c>
    </row>
    <row r="829" spans="1:19" x14ac:dyDescent="0.3">
      <c r="A829"/>
      <c r="B829">
        <v>217.800929</v>
      </c>
      <c r="C829">
        <v>226.192533</v>
      </c>
      <c r="D829">
        <v>234.725526</v>
      </c>
      <c r="E829">
        <v>110.92497400000001</v>
      </c>
      <c r="F829">
        <v>72.774816000000001</v>
      </c>
      <c r="G829"/>
      <c r="H829"/>
      <c r="I829"/>
      <c r="N829"/>
      <c r="O829"/>
      <c r="P829" s="1">
        <f t="shared" si="71"/>
        <v>207.90733638211381</v>
      </c>
      <c r="Q829" s="1">
        <f t="shared" si="72"/>
        <v>215.78574898373981</v>
      </c>
      <c r="R829" s="1">
        <f t="shared" si="73"/>
        <v>224.41650453757521</v>
      </c>
      <c r="S829" s="1">
        <f t="shared" si="74"/>
        <v>111.6233244680851</v>
      </c>
    </row>
    <row r="830" spans="1:19" x14ac:dyDescent="0.3">
      <c r="A830"/>
      <c r="B830">
        <v>217.800929</v>
      </c>
      <c r="C830">
        <v>226.192533</v>
      </c>
      <c r="D830">
        <v>234.725526</v>
      </c>
      <c r="E830">
        <v>110.92497400000001</v>
      </c>
      <c r="F830">
        <v>72.774816000000001</v>
      </c>
      <c r="G830"/>
      <c r="H830"/>
      <c r="I830"/>
      <c r="N830"/>
      <c r="O830"/>
      <c r="P830" s="1">
        <f t="shared" si="71"/>
        <v>207.90449796747967</v>
      </c>
      <c r="Q830" s="1">
        <f t="shared" si="72"/>
        <v>215.76551829268291</v>
      </c>
      <c r="R830" s="1">
        <f t="shared" si="73"/>
        <v>224.4015896808402</v>
      </c>
      <c r="S830" s="1">
        <f t="shared" si="74"/>
        <v>111.61314443535188</v>
      </c>
    </row>
    <row r="831" spans="1:19" x14ac:dyDescent="0.3">
      <c r="A831"/>
      <c r="B831">
        <v>217.79315299999999</v>
      </c>
      <c r="C831">
        <v>226.20085800000001</v>
      </c>
      <c r="D831">
        <v>234.72845699999999</v>
      </c>
      <c r="E831">
        <v>110.827997</v>
      </c>
      <c r="F831">
        <v>73.665199999999999</v>
      </c>
      <c r="G831"/>
      <c r="H831"/>
      <c r="I831"/>
      <c r="N831"/>
      <c r="O831"/>
      <c r="P831" s="1">
        <f t="shared" si="71"/>
        <v>207.90449796747967</v>
      </c>
      <c r="Q831" s="1">
        <f t="shared" si="72"/>
        <v>215.76551829268291</v>
      </c>
      <c r="R831" s="1">
        <f t="shared" si="73"/>
        <v>224.4015896808402</v>
      </c>
      <c r="S831" s="1">
        <f t="shared" si="74"/>
        <v>111.61314443535188</v>
      </c>
    </row>
    <row r="832" spans="1:19" x14ac:dyDescent="0.3">
      <c r="A832"/>
      <c r="B832">
        <v>217.79315299999999</v>
      </c>
      <c r="C832">
        <v>226.20085800000001</v>
      </c>
      <c r="D832">
        <v>234.72845699999999</v>
      </c>
      <c r="E832">
        <v>110.827997</v>
      </c>
      <c r="F832">
        <v>73.665199999999999</v>
      </c>
      <c r="G832"/>
      <c r="H832"/>
      <c r="I832"/>
      <c r="N832"/>
      <c r="O832"/>
      <c r="P832" s="1">
        <f t="shared" si="71"/>
        <v>207.92124186991867</v>
      </c>
      <c r="Q832" s="1">
        <f t="shared" si="72"/>
        <v>215.76869105691054</v>
      </c>
      <c r="R832" s="1">
        <f t="shared" si="73"/>
        <v>224.42631691648825</v>
      </c>
      <c r="S832" s="1">
        <f t="shared" si="74"/>
        <v>111.55156403436987</v>
      </c>
    </row>
    <row r="833" spans="1:19" x14ac:dyDescent="0.3">
      <c r="A833"/>
      <c r="B833">
        <v>217.78827699999999</v>
      </c>
      <c r="C833">
        <v>226.209283</v>
      </c>
      <c r="D833">
        <v>234.70652799999999</v>
      </c>
      <c r="E833">
        <v>110.784451</v>
      </c>
      <c r="F833">
        <v>74.275760000000005</v>
      </c>
      <c r="G833"/>
      <c r="H833"/>
      <c r="I833"/>
      <c r="N833"/>
      <c r="O833"/>
      <c r="P833" s="1">
        <f t="shared" si="71"/>
        <v>207.92124186991867</v>
      </c>
      <c r="Q833" s="1">
        <f t="shared" si="72"/>
        <v>215.76869105691054</v>
      </c>
      <c r="R833" s="1">
        <f t="shared" si="73"/>
        <v>224.42631691648825</v>
      </c>
      <c r="S833" s="1">
        <f t="shared" si="74"/>
        <v>111.55156403436987</v>
      </c>
    </row>
    <row r="834" spans="1:19" x14ac:dyDescent="0.3">
      <c r="A834"/>
      <c r="B834">
        <v>217.78827699999999</v>
      </c>
      <c r="C834">
        <v>226.209283</v>
      </c>
      <c r="D834">
        <v>234.70652799999999</v>
      </c>
      <c r="E834">
        <v>110.784451</v>
      </c>
      <c r="F834">
        <v>74.275760000000005</v>
      </c>
      <c r="G834"/>
      <c r="H834"/>
      <c r="I834"/>
      <c r="N834"/>
      <c r="O834"/>
      <c r="P834" s="1">
        <f t="shared" si="71"/>
        <v>207.91417174796746</v>
      </c>
      <c r="Q834" s="1">
        <f t="shared" si="72"/>
        <v>215.76423780487804</v>
      </c>
      <c r="R834" s="1">
        <f t="shared" si="73"/>
        <v>224.41335372692976</v>
      </c>
      <c r="S834" s="1">
        <f t="shared" si="74"/>
        <v>111.633455400982</v>
      </c>
    </row>
    <row r="835" spans="1:19" x14ac:dyDescent="0.3">
      <c r="A835"/>
      <c r="B835">
        <v>217.79231200000001</v>
      </c>
      <c r="C835">
        <v>226.19301899999999</v>
      </c>
      <c r="D835">
        <v>234.72415799999999</v>
      </c>
      <c r="E835">
        <v>110.66470099999999</v>
      </c>
      <c r="F835">
        <v>74.075501000000003</v>
      </c>
      <c r="G835"/>
      <c r="H835"/>
      <c r="I835"/>
      <c r="N835"/>
      <c r="O835"/>
      <c r="P835" s="1">
        <f t="shared" si="71"/>
        <v>207.91417174796746</v>
      </c>
      <c r="Q835" s="1">
        <f t="shared" si="72"/>
        <v>215.76423780487804</v>
      </c>
      <c r="R835" s="1">
        <f t="shared" si="73"/>
        <v>224.41335372692976</v>
      </c>
      <c r="S835" s="1">
        <f t="shared" si="74"/>
        <v>111.633455400982</v>
      </c>
    </row>
    <row r="836" spans="1:19" x14ac:dyDescent="0.3">
      <c r="A836"/>
      <c r="B836">
        <v>217.79231200000001</v>
      </c>
      <c r="C836">
        <v>226.19301899999999</v>
      </c>
      <c r="D836">
        <v>234.72415799999999</v>
      </c>
      <c r="E836">
        <v>110.66470099999999</v>
      </c>
      <c r="F836">
        <v>74.075501000000003</v>
      </c>
      <c r="G836"/>
      <c r="H836"/>
      <c r="I836"/>
      <c r="N836"/>
      <c r="O836"/>
      <c r="P836" s="1">
        <f t="shared" si="71"/>
        <v>207.90997459349595</v>
      </c>
      <c r="Q836" s="1">
        <f t="shared" si="72"/>
        <v>215.7631361788618</v>
      </c>
      <c r="R836" s="1">
        <f t="shared" si="73"/>
        <v>224.40396043642298</v>
      </c>
      <c r="S836" s="1">
        <f t="shared" si="74"/>
        <v>111.655330400982</v>
      </c>
    </row>
    <row r="837" spans="1:19" x14ac:dyDescent="0.3">
      <c r="A837"/>
      <c r="B837">
        <v>217.79748599999999</v>
      </c>
      <c r="C837">
        <v>226.19842399999999</v>
      </c>
      <c r="D837">
        <v>234.72928099999999</v>
      </c>
      <c r="E837">
        <v>110.768215</v>
      </c>
      <c r="F837">
        <v>73.743233000000004</v>
      </c>
      <c r="G837"/>
      <c r="H837"/>
      <c r="I837"/>
      <c r="N837"/>
      <c r="O837"/>
      <c r="P837" s="1">
        <f t="shared" si="71"/>
        <v>207.90997459349595</v>
      </c>
      <c r="Q837" s="1">
        <f t="shared" si="72"/>
        <v>215.7631361788618</v>
      </c>
      <c r="R837" s="1">
        <f t="shared" si="73"/>
        <v>224.40396043642298</v>
      </c>
      <c r="S837" s="1">
        <f t="shared" si="74"/>
        <v>111.655330400982</v>
      </c>
    </row>
    <row r="838" spans="1:19" x14ac:dyDescent="0.3">
      <c r="A838"/>
      <c r="B838">
        <v>217.79748599999999</v>
      </c>
      <c r="C838">
        <v>226.19842399999999</v>
      </c>
      <c r="D838">
        <v>234.72928099999999</v>
      </c>
      <c r="E838">
        <v>110.768215</v>
      </c>
      <c r="F838">
        <v>73.743233000000004</v>
      </c>
      <c r="G838"/>
      <c r="H838"/>
      <c r="I838"/>
      <c r="N838"/>
      <c r="O838"/>
      <c r="P838" s="1">
        <f t="shared" si="71"/>
        <v>207.9065193089431</v>
      </c>
      <c r="Q838" s="1">
        <f t="shared" si="72"/>
        <v>215.77921443089429</v>
      </c>
      <c r="R838" s="1">
        <f t="shared" si="73"/>
        <v>224.4031283776894</v>
      </c>
      <c r="S838" s="1">
        <f t="shared" si="74"/>
        <v>111.49064750409165</v>
      </c>
    </row>
    <row r="839" spans="1:19" x14ac:dyDescent="0.3">
      <c r="A839"/>
      <c r="B839">
        <v>217.78452999999999</v>
      </c>
      <c r="C839">
        <v>226.18104099999999</v>
      </c>
      <c r="D839">
        <v>234.71807100000001</v>
      </c>
      <c r="E839">
        <v>110.710461</v>
      </c>
      <c r="F839">
        <v>73.603454999999997</v>
      </c>
      <c r="G839"/>
      <c r="H839"/>
      <c r="I839"/>
      <c r="N839"/>
      <c r="O839"/>
      <c r="P839" s="1">
        <f t="shared" si="71"/>
        <v>207.9065193089431</v>
      </c>
      <c r="Q839" s="1">
        <f t="shared" si="72"/>
        <v>215.77921443089429</v>
      </c>
      <c r="R839" s="1">
        <f t="shared" si="73"/>
        <v>224.4031283776894</v>
      </c>
      <c r="S839" s="1">
        <f t="shared" si="74"/>
        <v>111.49064750409165</v>
      </c>
    </row>
    <row r="840" spans="1:19" x14ac:dyDescent="0.3">
      <c r="A840"/>
      <c r="B840">
        <v>217.78452999999999</v>
      </c>
      <c r="C840">
        <v>226.18104099999999</v>
      </c>
      <c r="D840">
        <v>234.71807100000001</v>
      </c>
      <c r="E840">
        <v>110.710461</v>
      </c>
      <c r="F840">
        <v>73.603454999999997</v>
      </c>
      <c r="G840"/>
      <c r="H840"/>
      <c r="I840"/>
      <c r="N840"/>
      <c r="O840"/>
      <c r="P840" s="1">
        <f t="shared" si="71"/>
        <v>207.89533333333333</v>
      </c>
      <c r="Q840" s="1">
        <f t="shared" si="72"/>
        <v>215.77397865853658</v>
      </c>
      <c r="R840" s="1">
        <f t="shared" si="73"/>
        <v>224.42233404710922</v>
      </c>
      <c r="S840" s="1">
        <f t="shared" si="74"/>
        <v>111.4836998772504</v>
      </c>
    </row>
    <row r="841" spans="1:19" x14ac:dyDescent="0.3">
      <c r="A841"/>
      <c r="B841">
        <v>217.77858699999999</v>
      </c>
      <c r="C841">
        <v>226.20403099999999</v>
      </c>
      <c r="D841">
        <v>234.711725</v>
      </c>
      <c r="E841">
        <v>110.717845</v>
      </c>
      <c r="F841">
        <v>73.872677999999993</v>
      </c>
      <c r="G841"/>
      <c r="H841"/>
      <c r="I841"/>
      <c r="N841"/>
      <c r="O841"/>
      <c r="P841" s="1">
        <f t="shared" si="71"/>
        <v>207.89533333333333</v>
      </c>
      <c r="Q841" s="1">
        <f t="shared" si="72"/>
        <v>215.77397865853658</v>
      </c>
      <c r="R841" s="1">
        <f t="shared" si="73"/>
        <v>224.42233404710922</v>
      </c>
      <c r="S841" s="1">
        <f t="shared" si="74"/>
        <v>111.4836998772504</v>
      </c>
    </row>
    <row r="842" spans="1:19" x14ac:dyDescent="0.3">
      <c r="A842"/>
      <c r="B842">
        <v>217.77858699999999</v>
      </c>
      <c r="C842">
        <v>226.20403099999999</v>
      </c>
      <c r="D842">
        <v>234.711725</v>
      </c>
      <c r="E842">
        <v>110.717845</v>
      </c>
      <c r="F842">
        <v>73.872677999999993</v>
      </c>
      <c r="G842"/>
      <c r="H842"/>
      <c r="I842"/>
      <c r="N842"/>
      <c r="O842"/>
      <c r="P842" s="1">
        <f t="shared" si="71"/>
        <v>207.90003353658537</v>
      </c>
      <c r="Q842" s="1">
        <f t="shared" si="72"/>
        <v>215.77558434959349</v>
      </c>
      <c r="R842" s="1">
        <f t="shared" si="73"/>
        <v>224.41492403385337</v>
      </c>
      <c r="S842" s="1">
        <f t="shared" si="74"/>
        <v>111.52234554009819</v>
      </c>
    </row>
    <row r="843" spans="1:19" x14ac:dyDescent="0.3">
      <c r="A843"/>
      <c r="B843">
        <v>217.78322800000001</v>
      </c>
      <c r="C843">
        <v>226.179506</v>
      </c>
      <c r="D843">
        <v>234.70591999999999</v>
      </c>
      <c r="E843">
        <v>110.75026800000001</v>
      </c>
      <c r="F843">
        <v>73.786066000000005</v>
      </c>
      <c r="G843"/>
      <c r="H843"/>
      <c r="I843"/>
      <c r="N843"/>
      <c r="O843"/>
      <c r="P843" s="1">
        <f t="shared" si="71"/>
        <v>222.1435863821138</v>
      </c>
      <c r="Q843" s="1">
        <f t="shared" si="72"/>
        <v>230.66689634146343</v>
      </c>
      <c r="R843" s="1">
        <f t="shared" si="73"/>
        <v>240.14826450494544</v>
      </c>
      <c r="S843" s="1">
        <f t="shared" si="74"/>
        <v>114.41831935351883</v>
      </c>
    </row>
    <row r="844" spans="1:19" x14ac:dyDescent="0.3">
      <c r="A844"/>
      <c r="B844">
        <v>217.78322800000001</v>
      </c>
      <c r="C844">
        <v>226.179506</v>
      </c>
      <c r="D844">
        <v>234.70591999999999</v>
      </c>
      <c r="E844">
        <v>110.75026800000001</v>
      </c>
      <c r="F844">
        <v>73.786066000000005</v>
      </c>
      <c r="G844"/>
      <c r="H844"/>
      <c r="I844"/>
      <c r="N844"/>
      <c r="O844"/>
      <c r="P844" s="1">
        <f t="shared" si="71"/>
        <v>222.1435863821138</v>
      </c>
      <c r="Q844" s="1">
        <f t="shared" si="72"/>
        <v>230.66689634146343</v>
      </c>
      <c r="R844" s="1">
        <f t="shared" si="73"/>
        <v>240.14826450494544</v>
      </c>
      <c r="S844" s="1">
        <f t="shared" si="74"/>
        <v>114.41831935351883</v>
      </c>
    </row>
    <row r="845" spans="1:19" x14ac:dyDescent="0.3">
      <c r="A845"/>
      <c r="B845">
        <v>217.78031999999999</v>
      </c>
      <c r="C845">
        <v>226.187332</v>
      </c>
      <c r="D845">
        <v>234.71297899999999</v>
      </c>
      <c r="E845">
        <v>110.751526</v>
      </c>
      <c r="F845">
        <v>73.959743000000003</v>
      </c>
      <c r="G845"/>
      <c r="H845"/>
      <c r="I845"/>
      <c r="N845"/>
      <c r="O845"/>
      <c r="P845" s="1">
        <f t="shared" si="71"/>
        <v>222.15954776422765</v>
      </c>
      <c r="Q845" s="1">
        <f t="shared" si="72"/>
        <v>230.66957215447155</v>
      </c>
      <c r="R845" s="1">
        <f t="shared" si="73"/>
        <v>240.1462108697869</v>
      </c>
      <c r="S845" s="1">
        <f t="shared" si="74"/>
        <v>114.33434840425531</v>
      </c>
    </row>
    <row r="846" spans="1:19" x14ac:dyDescent="0.3">
      <c r="A846"/>
      <c r="B846">
        <v>217.78031999999999</v>
      </c>
      <c r="C846">
        <v>226.187332</v>
      </c>
      <c r="D846">
        <v>234.71297899999999</v>
      </c>
      <c r="E846">
        <v>110.751526</v>
      </c>
      <c r="F846">
        <v>73.959743000000003</v>
      </c>
      <c r="G846"/>
      <c r="H846"/>
      <c r="I846"/>
      <c r="N846"/>
      <c r="O846"/>
      <c r="P846" s="1">
        <f t="shared" si="71"/>
        <v>222.15954776422765</v>
      </c>
      <c r="Q846" s="1">
        <f t="shared" si="72"/>
        <v>230.66957215447155</v>
      </c>
      <c r="R846" s="1">
        <f t="shared" si="73"/>
        <v>240.1462108697869</v>
      </c>
      <c r="S846" s="1">
        <f t="shared" si="74"/>
        <v>114.33434840425531</v>
      </c>
    </row>
    <row r="847" spans="1:19" x14ac:dyDescent="0.3">
      <c r="A847"/>
      <c r="B847">
        <v>217.79445100000001</v>
      </c>
      <c r="C847">
        <v>226.201223</v>
      </c>
      <c r="D847">
        <v>234.73182199999999</v>
      </c>
      <c r="E847">
        <v>110.84106</v>
      </c>
      <c r="F847">
        <v>73.713650000000001</v>
      </c>
      <c r="G847"/>
      <c r="H847"/>
      <c r="I847"/>
      <c r="N847"/>
      <c r="O847"/>
      <c r="P847" s="1">
        <f t="shared" si="71"/>
        <v>222.14169613821136</v>
      </c>
      <c r="Q847" s="1">
        <f t="shared" si="72"/>
        <v>230.66974898373982</v>
      </c>
      <c r="R847" s="1">
        <f t="shared" si="73"/>
        <v>240.17112878556134</v>
      </c>
      <c r="S847" s="1">
        <f t="shared" si="74"/>
        <v>114.41159369885435</v>
      </c>
    </row>
    <row r="848" spans="1:19" x14ac:dyDescent="0.3">
      <c r="A848"/>
      <c r="B848">
        <v>217.79445100000001</v>
      </c>
      <c r="C848">
        <v>226.201223</v>
      </c>
      <c r="D848">
        <v>234.73182199999999</v>
      </c>
      <c r="E848">
        <v>110.84106</v>
      </c>
      <c r="F848">
        <v>73.713650000000001</v>
      </c>
      <c r="G848"/>
      <c r="H848"/>
      <c r="I848"/>
      <c r="N848"/>
      <c r="O848"/>
      <c r="P848" s="1">
        <f t="shared" si="71"/>
        <v>222.14169613821136</v>
      </c>
      <c r="Q848" s="1">
        <f t="shared" si="72"/>
        <v>230.66974898373982</v>
      </c>
      <c r="R848" s="1">
        <f t="shared" si="73"/>
        <v>240.17112878556134</v>
      </c>
      <c r="S848" s="1">
        <f t="shared" si="74"/>
        <v>114.41159369885435</v>
      </c>
    </row>
    <row r="849" spans="1:19" x14ac:dyDescent="0.3">
      <c r="A849"/>
      <c r="B849">
        <v>217.789704</v>
      </c>
      <c r="C849">
        <v>226.18737899999999</v>
      </c>
      <c r="D849">
        <v>234.696155</v>
      </c>
      <c r="E849">
        <v>110.85096900000001</v>
      </c>
      <c r="F849">
        <v>73.746988999999999</v>
      </c>
      <c r="G849"/>
      <c r="H849"/>
      <c r="I849"/>
      <c r="N849"/>
      <c r="O849"/>
      <c r="P849" s="1">
        <f t="shared" si="71"/>
        <v>222.13379369918698</v>
      </c>
      <c r="Q849" s="1">
        <f t="shared" si="72"/>
        <v>230.67820934959349</v>
      </c>
      <c r="R849" s="1">
        <f t="shared" si="73"/>
        <v>240.17411746711534</v>
      </c>
      <c r="S849" s="1">
        <f t="shared" si="74"/>
        <v>114.31239463993452</v>
      </c>
    </row>
    <row r="850" spans="1:19" x14ac:dyDescent="0.3">
      <c r="A850"/>
      <c r="B850">
        <v>217.789704</v>
      </c>
      <c r="C850">
        <v>226.18737899999999</v>
      </c>
      <c r="D850">
        <v>234.696155</v>
      </c>
      <c r="E850">
        <v>110.85096900000001</v>
      </c>
      <c r="F850">
        <v>73.746988999999999</v>
      </c>
      <c r="G850"/>
      <c r="H850"/>
      <c r="I850"/>
      <c r="N850"/>
      <c r="O850"/>
      <c r="P850" s="1">
        <f t="shared" si="71"/>
        <v>222.13379369918698</v>
      </c>
      <c r="Q850" s="1">
        <f t="shared" si="72"/>
        <v>230.67820934959349</v>
      </c>
      <c r="R850" s="1">
        <f t="shared" si="73"/>
        <v>240.17411746711534</v>
      </c>
      <c r="S850" s="1">
        <f t="shared" si="74"/>
        <v>114.31239463993452</v>
      </c>
    </row>
    <row r="851" spans="1:19" x14ac:dyDescent="0.3">
      <c r="A851"/>
      <c r="B851">
        <v>217.778019</v>
      </c>
      <c r="C851">
        <v>226.19972999999999</v>
      </c>
      <c r="D851">
        <v>234.70977600000001</v>
      </c>
      <c r="E851">
        <v>110.868656</v>
      </c>
      <c r="F851">
        <v>73.890736000000004</v>
      </c>
      <c r="G851"/>
      <c r="H851"/>
      <c r="I851"/>
      <c r="N851"/>
      <c r="O851"/>
      <c r="P851" s="1">
        <f t="shared" si="71"/>
        <v>222.12883841463415</v>
      </c>
      <c r="Q851" s="1">
        <f t="shared" si="72"/>
        <v>230.68677134146341</v>
      </c>
      <c r="R851" s="1">
        <f t="shared" si="73"/>
        <v>240.15175690833078</v>
      </c>
      <c r="S851" s="1">
        <f t="shared" si="74"/>
        <v>114.26785085924713</v>
      </c>
    </row>
    <row r="852" spans="1:19" x14ac:dyDescent="0.3">
      <c r="A852"/>
      <c r="B852">
        <v>217.778019</v>
      </c>
      <c r="C852">
        <v>226.19972999999999</v>
      </c>
      <c r="D852">
        <v>234.70977600000001</v>
      </c>
      <c r="E852">
        <v>110.868656</v>
      </c>
      <c r="F852">
        <v>73.890736000000004</v>
      </c>
      <c r="G852"/>
      <c r="H852"/>
      <c r="I852"/>
      <c r="N852"/>
      <c r="O852"/>
      <c r="P852" s="1">
        <f t="shared" si="71"/>
        <v>222.12883841463415</v>
      </c>
      <c r="Q852" s="1">
        <f t="shared" si="72"/>
        <v>230.68677134146341</v>
      </c>
      <c r="R852" s="1">
        <f t="shared" si="73"/>
        <v>240.15175690833078</v>
      </c>
      <c r="S852" s="1">
        <f t="shared" si="74"/>
        <v>114.26785085924713</v>
      </c>
    </row>
    <row r="853" spans="1:19" x14ac:dyDescent="0.3">
      <c r="A853"/>
      <c r="B853">
        <v>217.77918700000001</v>
      </c>
      <c r="C853">
        <v>226.19879700000001</v>
      </c>
      <c r="D853">
        <v>234.71393699999999</v>
      </c>
      <c r="E853">
        <v>110.813965</v>
      </c>
      <c r="F853">
        <v>74.261463000000006</v>
      </c>
      <c r="G853"/>
      <c r="H853"/>
      <c r="I853"/>
      <c r="N853"/>
      <c r="O853"/>
      <c r="P853" s="1">
        <f t="shared" si="71"/>
        <v>222.13293902439025</v>
      </c>
      <c r="Q853" s="1">
        <f t="shared" si="72"/>
        <v>230.67024288617884</v>
      </c>
      <c r="R853" s="1">
        <f t="shared" si="73"/>
        <v>240.16973386356685</v>
      </c>
      <c r="S853" s="1">
        <f t="shared" si="74"/>
        <v>114.14535699672666</v>
      </c>
    </row>
    <row r="854" spans="1:19" x14ac:dyDescent="0.3">
      <c r="A854"/>
      <c r="B854">
        <v>217.77918700000001</v>
      </c>
      <c r="C854">
        <v>226.19879700000001</v>
      </c>
      <c r="D854">
        <v>234.71393699999999</v>
      </c>
      <c r="E854">
        <v>110.813965</v>
      </c>
      <c r="F854">
        <v>74.261463000000006</v>
      </c>
      <c r="G854"/>
      <c r="H854"/>
      <c r="I854"/>
      <c r="N854"/>
      <c r="O854"/>
      <c r="P854" s="1">
        <f t="shared" si="71"/>
        <v>222.13293902439025</v>
      </c>
      <c r="Q854" s="1">
        <f t="shared" si="72"/>
        <v>230.67024288617884</v>
      </c>
      <c r="R854" s="1">
        <f t="shared" si="73"/>
        <v>240.16973386356685</v>
      </c>
      <c r="S854" s="1">
        <f t="shared" si="74"/>
        <v>114.14535699672666</v>
      </c>
    </row>
    <row r="855" spans="1:19" x14ac:dyDescent="0.3">
      <c r="A855"/>
      <c r="B855">
        <v>217.79120399999999</v>
      </c>
      <c r="C855">
        <v>226.21174199999999</v>
      </c>
      <c r="D855">
        <v>234.727914</v>
      </c>
      <c r="E855">
        <v>110.800912</v>
      </c>
      <c r="F855">
        <v>74.053674000000001</v>
      </c>
      <c r="G855"/>
      <c r="H855"/>
      <c r="I855"/>
      <c r="N855"/>
      <c r="O855"/>
      <c r="P855" s="1">
        <f t="shared" si="71"/>
        <v>222.13819715447153</v>
      </c>
      <c r="Q855" s="1">
        <f t="shared" si="72"/>
        <v>230.67573577235771</v>
      </c>
      <c r="R855" s="1">
        <f t="shared" si="73"/>
        <v>240.17495768328743</v>
      </c>
      <c r="S855" s="1">
        <f t="shared" si="74"/>
        <v>114.2512428396072</v>
      </c>
    </row>
    <row r="856" spans="1:19" x14ac:dyDescent="0.3">
      <c r="A856"/>
      <c r="B856">
        <v>217.79120399999999</v>
      </c>
      <c r="C856">
        <v>226.21174199999999</v>
      </c>
      <c r="D856">
        <v>234.727914</v>
      </c>
      <c r="E856">
        <v>110.800912</v>
      </c>
      <c r="F856">
        <v>74.053674000000001</v>
      </c>
      <c r="G856"/>
      <c r="H856"/>
      <c r="I856"/>
      <c r="N856"/>
      <c r="O856"/>
      <c r="P856" s="1">
        <f t="shared" si="71"/>
        <v>222.13819715447153</v>
      </c>
      <c r="Q856" s="1">
        <f t="shared" si="72"/>
        <v>230.67573577235771</v>
      </c>
      <c r="R856" s="1">
        <f t="shared" si="73"/>
        <v>240.17495768328743</v>
      </c>
      <c r="S856" s="1">
        <f t="shared" si="74"/>
        <v>114.2512428396072</v>
      </c>
    </row>
    <row r="857" spans="1:19" x14ac:dyDescent="0.3">
      <c r="A857"/>
      <c r="B857">
        <v>217.76452800000001</v>
      </c>
      <c r="C857">
        <v>226.20397600000001</v>
      </c>
      <c r="D857">
        <v>234.71305799999999</v>
      </c>
      <c r="E857">
        <v>110.898205</v>
      </c>
      <c r="F857">
        <v>73.603740000000002</v>
      </c>
      <c r="G857"/>
      <c r="H857"/>
      <c r="I857"/>
      <c r="N857"/>
      <c r="O857"/>
      <c r="P857" s="1">
        <f t="shared" si="71"/>
        <v>222.12503048780485</v>
      </c>
      <c r="Q857" s="1">
        <f t="shared" si="72"/>
        <v>230.6580701219512</v>
      </c>
      <c r="R857" s="1">
        <f t="shared" si="73"/>
        <v>240.16352707249925</v>
      </c>
      <c r="S857" s="1">
        <f t="shared" si="74"/>
        <v>114.19216550736496</v>
      </c>
    </row>
    <row r="858" spans="1:19" x14ac:dyDescent="0.3">
      <c r="A858"/>
      <c r="B858">
        <v>217.76452800000001</v>
      </c>
      <c r="C858">
        <v>226.20397600000001</v>
      </c>
      <c r="D858">
        <v>234.71305799999999</v>
      </c>
      <c r="E858">
        <v>110.898205</v>
      </c>
      <c r="F858">
        <v>73.603740000000002</v>
      </c>
      <c r="G858"/>
      <c r="H858"/>
      <c r="I858"/>
      <c r="N858"/>
      <c r="O858"/>
      <c r="P858" s="1">
        <f t="shared" si="71"/>
        <v>222.12503048780485</v>
      </c>
      <c r="Q858" s="1">
        <f t="shared" si="72"/>
        <v>230.6580701219512</v>
      </c>
      <c r="R858" s="1">
        <f t="shared" si="73"/>
        <v>240.16352707249925</v>
      </c>
      <c r="S858" s="1">
        <f t="shared" si="74"/>
        <v>114.19216550736496</v>
      </c>
    </row>
    <row r="859" spans="1:19" x14ac:dyDescent="0.3">
      <c r="A859"/>
      <c r="B859">
        <v>217.789016</v>
      </c>
      <c r="C859">
        <v>226.22028700000001</v>
      </c>
      <c r="D859">
        <v>234.700558</v>
      </c>
      <c r="E859">
        <v>110.901135</v>
      </c>
      <c r="F859">
        <v>73.789848000000006</v>
      </c>
      <c r="G859"/>
      <c r="H859"/>
      <c r="I859"/>
      <c r="N859"/>
      <c r="O859"/>
      <c r="P859" s="1">
        <f t="shared" si="71"/>
        <v>222.11899085365852</v>
      </c>
      <c r="Q859" s="1">
        <f t="shared" si="72"/>
        <v>230.68143394308942</v>
      </c>
      <c r="R859" s="1">
        <f t="shared" si="73"/>
        <v>240.15705618435811</v>
      </c>
      <c r="S859" s="1">
        <f t="shared" si="74"/>
        <v>114.19971869885433</v>
      </c>
    </row>
    <row r="860" spans="1:19" x14ac:dyDescent="0.3">
      <c r="A860"/>
      <c r="B860">
        <v>217.789016</v>
      </c>
      <c r="C860">
        <v>226.22028700000001</v>
      </c>
      <c r="D860">
        <v>234.700558</v>
      </c>
      <c r="E860">
        <v>110.901135</v>
      </c>
      <c r="F860">
        <v>73.789848000000006</v>
      </c>
      <c r="G860"/>
      <c r="H860"/>
      <c r="I860"/>
      <c r="N860"/>
      <c r="O860"/>
      <c r="P860" s="1">
        <f t="shared" si="71"/>
        <v>222.11899085365852</v>
      </c>
      <c r="Q860" s="1">
        <f t="shared" si="72"/>
        <v>230.68143394308942</v>
      </c>
      <c r="R860" s="1">
        <f t="shared" si="73"/>
        <v>240.15705618435811</v>
      </c>
      <c r="S860" s="1">
        <f t="shared" si="74"/>
        <v>114.19971869885433</v>
      </c>
    </row>
    <row r="861" spans="1:19" x14ac:dyDescent="0.3">
      <c r="A861"/>
      <c r="B861">
        <v>217.77903900000001</v>
      </c>
      <c r="C861">
        <v>226.21498199999999</v>
      </c>
      <c r="D861">
        <v>234.71956800000001</v>
      </c>
      <c r="E861">
        <v>111.02806200000001</v>
      </c>
      <c r="F861">
        <v>73.867254000000003</v>
      </c>
      <c r="G861"/>
      <c r="H861"/>
      <c r="I861"/>
      <c r="N861"/>
      <c r="O861"/>
      <c r="P861" s="1">
        <f t="shared" si="71"/>
        <v>222.12370731707318</v>
      </c>
      <c r="Q861" s="1">
        <f t="shared" si="72"/>
        <v>230.65651016260162</v>
      </c>
      <c r="R861" s="1">
        <f t="shared" si="73"/>
        <v>240.1511369429999</v>
      </c>
      <c r="S861" s="1">
        <f t="shared" si="74"/>
        <v>114.23288461538462</v>
      </c>
    </row>
    <row r="862" spans="1:19" x14ac:dyDescent="0.3">
      <c r="A862"/>
      <c r="B862">
        <v>217.77903900000001</v>
      </c>
      <c r="C862">
        <v>226.21498199999999</v>
      </c>
      <c r="D862">
        <v>234.71956800000001</v>
      </c>
      <c r="E862">
        <v>111.02806200000001</v>
      </c>
      <c r="F862">
        <v>73.867254000000003</v>
      </c>
      <c r="G862"/>
      <c r="H862"/>
      <c r="I862"/>
      <c r="N862"/>
      <c r="O862"/>
      <c r="P862" s="1">
        <f t="shared" si="71"/>
        <v>222.12370731707318</v>
      </c>
      <c r="Q862" s="1">
        <f t="shared" si="72"/>
        <v>230.65651016260162</v>
      </c>
      <c r="R862" s="1">
        <f t="shared" si="73"/>
        <v>240.1511369429999</v>
      </c>
      <c r="S862" s="1">
        <f t="shared" si="74"/>
        <v>114.23288461538462</v>
      </c>
    </row>
    <row r="863" spans="1:19" x14ac:dyDescent="0.3">
      <c r="A863"/>
      <c r="B863">
        <v>217.78704099999999</v>
      </c>
      <c r="C863">
        <v>226.19125</v>
      </c>
      <c r="D863">
        <v>234.72980100000001</v>
      </c>
      <c r="E863">
        <v>111.103026</v>
      </c>
      <c r="F863">
        <v>73.826464000000001</v>
      </c>
      <c r="G863"/>
      <c r="H863"/>
      <c r="I863"/>
      <c r="N863"/>
      <c r="O863"/>
      <c r="P863" s="1">
        <f t="shared" si="71"/>
        <v>222.1207520325203</v>
      </c>
      <c r="Q863" s="1">
        <f t="shared" si="72"/>
        <v>230.66446341463413</v>
      </c>
      <c r="R863" s="1">
        <f t="shared" si="73"/>
        <v>240.15833486285305</v>
      </c>
      <c r="S863" s="1">
        <f t="shared" si="74"/>
        <v>114.23417144026186</v>
      </c>
    </row>
    <row r="864" spans="1:19" x14ac:dyDescent="0.3">
      <c r="A864"/>
      <c r="B864">
        <v>217.78704099999999</v>
      </c>
      <c r="C864">
        <v>226.19125</v>
      </c>
      <c r="D864">
        <v>234.72980100000001</v>
      </c>
      <c r="E864">
        <v>111.103026</v>
      </c>
      <c r="F864">
        <v>73.826464000000001</v>
      </c>
      <c r="G864"/>
      <c r="H864"/>
      <c r="I864"/>
      <c r="N864"/>
      <c r="O864"/>
      <c r="P864" s="1">
        <f t="shared" si="71"/>
        <v>222.1207520325203</v>
      </c>
      <c r="Q864" s="1">
        <f t="shared" si="72"/>
        <v>230.66446341463413</v>
      </c>
      <c r="R864" s="1">
        <f t="shared" si="73"/>
        <v>240.15833486285305</v>
      </c>
      <c r="S864" s="1">
        <f t="shared" si="74"/>
        <v>114.23417144026186</v>
      </c>
    </row>
    <row r="865" spans="1:19" x14ac:dyDescent="0.3">
      <c r="A865"/>
      <c r="B865">
        <v>217.82048700000001</v>
      </c>
      <c r="C865">
        <v>226.198083</v>
      </c>
      <c r="D865">
        <v>234.712536</v>
      </c>
      <c r="E865">
        <v>111.09106199999999</v>
      </c>
      <c r="F865">
        <v>73.900619000000006</v>
      </c>
      <c r="G865"/>
      <c r="H865"/>
      <c r="I865"/>
      <c r="N865"/>
      <c r="O865"/>
      <c r="P865" s="1">
        <f t="shared" si="71"/>
        <v>222.13511280487805</v>
      </c>
      <c r="Q865" s="1">
        <f t="shared" si="72"/>
        <v>230.67858028455285</v>
      </c>
      <c r="R865" s="1">
        <f t="shared" si="73"/>
        <v>240.17754868971144</v>
      </c>
      <c r="S865" s="1">
        <f t="shared" si="74"/>
        <v>114.32575695581015</v>
      </c>
    </row>
    <row r="866" spans="1:19" x14ac:dyDescent="0.3">
      <c r="A866"/>
      <c r="B866">
        <v>217.82048700000001</v>
      </c>
      <c r="C866">
        <v>226.198083</v>
      </c>
      <c r="D866">
        <v>234.712536</v>
      </c>
      <c r="E866">
        <v>111.09106199999999</v>
      </c>
      <c r="F866">
        <v>73.900619000000006</v>
      </c>
      <c r="G866"/>
      <c r="H866"/>
      <c r="I866"/>
      <c r="N866"/>
      <c r="O866"/>
      <c r="P866" s="1">
        <f t="shared" si="71"/>
        <v>222.13511280487805</v>
      </c>
      <c r="Q866" s="1">
        <f t="shared" si="72"/>
        <v>230.67858028455285</v>
      </c>
      <c r="R866" s="1">
        <f t="shared" si="73"/>
        <v>240.17754868971144</v>
      </c>
      <c r="S866" s="1">
        <f t="shared" si="74"/>
        <v>114.32575695581015</v>
      </c>
    </row>
    <row r="867" spans="1:19" x14ac:dyDescent="0.3">
      <c r="A867"/>
      <c r="B867">
        <v>217.789276</v>
      </c>
      <c r="C867">
        <v>226.21331499999999</v>
      </c>
      <c r="D867">
        <v>234.72277</v>
      </c>
      <c r="E867">
        <v>110.981729</v>
      </c>
      <c r="F867">
        <v>73.836173000000002</v>
      </c>
      <c r="G867"/>
      <c r="H867"/>
      <c r="I867"/>
      <c r="N867"/>
      <c r="O867"/>
      <c r="P867" s="1">
        <f t="shared" si="71"/>
        <v>222.13028861788618</v>
      </c>
      <c r="Q867" s="1">
        <f t="shared" si="72"/>
        <v>230.66451117886177</v>
      </c>
      <c r="R867" s="1">
        <f t="shared" si="73"/>
        <v>240.14117976955237</v>
      </c>
      <c r="S867" s="1">
        <f t="shared" si="74"/>
        <v>114.33589300327333</v>
      </c>
    </row>
    <row r="868" spans="1:19" x14ac:dyDescent="0.3">
      <c r="A868"/>
      <c r="B868">
        <v>217.789276</v>
      </c>
      <c r="C868">
        <v>226.21331499999999</v>
      </c>
      <c r="D868">
        <v>234.72277</v>
      </c>
      <c r="E868">
        <v>110.981729</v>
      </c>
      <c r="F868">
        <v>73.836173000000002</v>
      </c>
      <c r="G868"/>
      <c r="H868"/>
      <c r="I868"/>
      <c r="N868"/>
      <c r="O868"/>
      <c r="P868" s="1">
        <f t="shared" si="71"/>
        <v>222.13028861788618</v>
      </c>
      <c r="Q868" s="1">
        <f t="shared" si="72"/>
        <v>230.66451117886177</v>
      </c>
      <c r="R868" s="1">
        <f t="shared" si="73"/>
        <v>240.14117976955237</v>
      </c>
      <c r="S868" s="1">
        <f t="shared" si="74"/>
        <v>114.33589300327333</v>
      </c>
    </row>
    <row r="869" spans="1:19" x14ac:dyDescent="0.3">
      <c r="A869"/>
      <c r="B869">
        <v>217.79659899999999</v>
      </c>
      <c r="C869">
        <v>226.20803599999999</v>
      </c>
      <c r="D869">
        <v>234.695356</v>
      </c>
      <c r="E869">
        <v>110.903969</v>
      </c>
      <c r="F869">
        <v>73.958477000000002</v>
      </c>
      <c r="G869"/>
      <c r="H869"/>
      <c r="I869"/>
      <c r="N869"/>
      <c r="O869"/>
      <c r="P869" s="1">
        <f t="shared" si="71"/>
        <v>222.11841361788618</v>
      </c>
      <c r="Q869" s="1">
        <f t="shared" si="72"/>
        <v>230.67706300813006</v>
      </c>
      <c r="R869" s="1">
        <f t="shared" si="73"/>
        <v>240.1550688283879</v>
      </c>
      <c r="S869" s="1">
        <f t="shared" si="74"/>
        <v>114.35398527004909</v>
      </c>
    </row>
    <row r="870" spans="1:19" x14ac:dyDescent="0.3">
      <c r="A870"/>
      <c r="B870">
        <v>217.79659899999999</v>
      </c>
      <c r="C870">
        <v>226.20803599999999</v>
      </c>
      <c r="D870">
        <v>234.695356</v>
      </c>
      <c r="E870">
        <v>110.903969</v>
      </c>
      <c r="F870">
        <v>73.958477000000002</v>
      </c>
      <c r="G870"/>
      <c r="H870"/>
      <c r="I870"/>
      <c r="N870"/>
      <c r="O870"/>
      <c r="P870" s="1">
        <f t="shared" si="71"/>
        <v>222.11841361788618</v>
      </c>
      <c r="Q870" s="1">
        <f t="shared" si="72"/>
        <v>230.67706300813006</v>
      </c>
      <c r="R870" s="1">
        <f t="shared" si="73"/>
        <v>240.1550688283879</v>
      </c>
      <c r="S870" s="1">
        <f t="shared" si="74"/>
        <v>114.35398527004909</v>
      </c>
    </row>
    <row r="871" spans="1:19" x14ac:dyDescent="0.3">
      <c r="A871"/>
      <c r="B871">
        <v>217.7841</v>
      </c>
      <c r="C871">
        <v>226.19017600000001</v>
      </c>
      <c r="D871">
        <v>234.70308600000001</v>
      </c>
      <c r="E871">
        <v>110.94832700000001</v>
      </c>
      <c r="F871">
        <v>74.056231999999994</v>
      </c>
      <c r="G871"/>
      <c r="H871"/>
      <c r="I871"/>
      <c r="N871"/>
      <c r="O871"/>
      <c r="P871" s="1">
        <f t="shared" si="71"/>
        <v>222.11960060975611</v>
      </c>
      <c r="Q871" s="1">
        <f t="shared" si="72"/>
        <v>230.67611483739839</v>
      </c>
      <c r="R871" s="1">
        <f t="shared" si="73"/>
        <v>240.15931171612112</v>
      </c>
      <c r="S871" s="1">
        <f t="shared" si="74"/>
        <v>114.29804112111292</v>
      </c>
    </row>
    <row r="872" spans="1:19" x14ac:dyDescent="0.3">
      <c r="A872"/>
      <c r="B872">
        <v>217.7841</v>
      </c>
      <c r="C872">
        <v>226.19017600000001</v>
      </c>
      <c r="D872">
        <v>234.70308600000001</v>
      </c>
      <c r="E872">
        <v>110.94832700000001</v>
      </c>
      <c r="F872">
        <v>74.056231999999994</v>
      </c>
      <c r="G872"/>
      <c r="H872"/>
      <c r="I872"/>
      <c r="N872"/>
      <c r="O872"/>
      <c r="P872" s="1">
        <f t="shared" si="71"/>
        <v>222.11960060975611</v>
      </c>
      <c r="Q872" s="1">
        <f t="shared" si="72"/>
        <v>230.67611483739839</v>
      </c>
      <c r="R872" s="1">
        <f t="shared" si="73"/>
        <v>240.15931171612112</v>
      </c>
      <c r="S872" s="1">
        <f t="shared" si="74"/>
        <v>114.29804112111292</v>
      </c>
    </row>
    <row r="873" spans="1:19" x14ac:dyDescent="0.3">
      <c r="A873"/>
      <c r="B873">
        <v>217.80077299999999</v>
      </c>
      <c r="C873">
        <v>226.20380800000001</v>
      </c>
      <c r="D873">
        <v>234.72421499999999</v>
      </c>
      <c r="E873">
        <v>110.93389999999999</v>
      </c>
      <c r="F873">
        <v>74.040498999999997</v>
      </c>
      <c r="G873"/>
      <c r="H873"/>
      <c r="I873"/>
      <c r="N873"/>
      <c r="O873"/>
      <c r="P873" s="1">
        <f t="shared" si="71"/>
        <v>222.13181300813008</v>
      </c>
      <c r="Q873" s="1">
        <f t="shared" si="72"/>
        <v>230.68927032520324</v>
      </c>
      <c r="R873" s="1">
        <f t="shared" si="73"/>
        <v>240.17356378097278</v>
      </c>
      <c r="S873" s="1">
        <f t="shared" si="74"/>
        <v>114.28468903436988</v>
      </c>
    </row>
    <row r="874" spans="1:19" x14ac:dyDescent="0.3">
      <c r="A874"/>
      <c r="B874">
        <v>217.80077299999999</v>
      </c>
      <c r="C874">
        <v>226.20380800000001</v>
      </c>
      <c r="D874">
        <v>234.72421499999999</v>
      </c>
      <c r="E874">
        <v>110.93389999999999</v>
      </c>
      <c r="F874">
        <v>74.040498999999997</v>
      </c>
      <c r="G874"/>
      <c r="H874"/>
      <c r="I874"/>
      <c r="N874"/>
      <c r="O874"/>
      <c r="P874" s="1">
        <f t="shared" si="71"/>
        <v>222.13181300813008</v>
      </c>
      <c r="Q874" s="1">
        <f t="shared" si="72"/>
        <v>230.68927032520324</v>
      </c>
      <c r="R874" s="1">
        <f t="shared" si="73"/>
        <v>240.17356378097278</v>
      </c>
      <c r="S874" s="1">
        <f t="shared" si="74"/>
        <v>114.28468903436988</v>
      </c>
    </row>
    <row r="875" spans="1:19" x14ac:dyDescent="0.3">
      <c r="A875"/>
      <c r="B875">
        <v>254.89857499999999</v>
      </c>
      <c r="C875">
        <v>262.11731900000001</v>
      </c>
      <c r="D875">
        <v>269.44435399999998</v>
      </c>
      <c r="E875">
        <v>105.03040900000001</v>
      </c>
      <c r="F875">
        <v>73.472290999999998</v>
      </c>
      <c r="G875"/>
      <c r="H875"/>
      <c r="I875"/>
      <c r="N875"/>
      <c r="O875"/>
      <c r="P875" s="1">
        <f t="shared" si="71"/>
        <v>222.10470325203252</v>
      </c>
      <c r="Q875" s="1">
        <f t="shared" si="72"/>
        <v>230.68137804878049</v>
      </c>
      <c r="R875" s="1">
        <f t="shared" si="73"/>
        <v>240.15841541755887</v>
      </c>
      <c r="S875" s="1">
        <f t="shared" si="74"/>
        <v>114.38421133387889</v>
      </c>
    </row>
    <row r="876" spans="1:19" x14ac:dyDescent="0.3">
      <c r="A876"/>
      <c r="B876">
        <v>254.89857499999999</v>
      </c>
      <c r="C876">
        <v>262.11731900000001</v>
      </c>
      <c r="D876">
        <v>269.44435399999998</v>
      </c>
      <c r="E876">
        <v>105.03040900000001</v>
      </c>
      <c r="F876">
        <v>73.472290999999998</v>
      </c>
      <c r="G876"/>
      <c r="H876"/>
      <c r="I876"/>
      <c r="N876"/>
      <c r="O876"/>
      <c r="P876" s="1">
        <f t="shared" ref="P876:P924" si="75">(B858+Q$36)/P$36</f>
        <v>222.10470325203252</v>
      </c>
      <c r="Q876" s="1">
        <f t="shared" ref="Q876:Q924" si="76">(C858+Q$36)/P$36</f>
        <v>230.68137804878049</v>
      </c>
      <c r="R876" s="1">
        <f t="shared" ref="R876:R924" si="77">(D858+Q$38)/P$38</f>
        <v>240.15841541755887</v>
      </c>
      <c r="S876" s="1">
        <f t="shared" ref="S876:S924" si="78">(E858+Q$39)/P$39</f>
        <v>114.38421133387889</v>
      </c>
    </row>
    <row r="877" spans="1:19" x14ac:dyDescent="0.3">
      <c r="A877"/>
      <c r="B877">
        <v>255.17782800000001</v>
      </c>
      <c r="C877">
        <v>262.33299</v>
      </c>
      <c r="D877">
        <v>269.66302200000001</v>
      </c>
      <c r="E877">
        <v>104.81362900000001</v>
      </c>
      <c r="F877">
        <v>73.531227999999999</v>
      </c>
      <c r="G877"/>
      <c r="H877"/>
      <c r="I877"/>
      <c r="N877"/>
      <c r="O877"/>
      <c r="P877" s="1">
        <f t="shared" si="75"/>
        <v>222.1295894308943</v>
      </c>
      <c r="Q877" s="1">
        <f t="shared" si="76"/>
        <v>230.69795426829268</v>
      </c>
      <c r="R877" s="1">
        <f t="shared" si="77"/>
        <v>240.1456694198022</v>
      </c>
      <c r="S877" s="1">
        <f t="shared" si="78"/>
        <v>114.38720846972176</v>
      </c>
    </row>
    <row r="878" spans="1:19" x14ac:dyDescent="0.3">
      <c r="A878"/>
      <c r="B878">
        <v>255.17782800000001</v>
      </c>
      <c r="C878">
        <v>262.33299</v>
      </c>
      <c r="D878">
        <v>269.66302200000001</v>
      </c>
      <c r="E878">
        <v>104.81362900000001</v>
      </c>
      <c r="F878">
        <v>73.531227999999999</v>
      </c>
      <c r="G878"/>
      <c r="H878"/>
      <c r="I878"/>
      <c r="N878"/>
      <c r="O878"/>
      <c r="P878" s="1">
        <f t="shared" si="75"/>
        <v>222.1295894308943</v>
      </c>
      <c r="Q878" s="1">
        <f t="shared" si="76"/>
        <v>230.69795426829268</v>
      </c>
      <c r="R878" s="1">
        <f t="shared" si="77"/>
        <v>240.1456694198022</v>
      </c>
      <c r="S878" s="1">
        <f t="shared" si="78"/>
        <v>114.38720846972176</v>
      </c>
    </row>
    <row r="879" spans="1:19" x14ac:dyDescent="0.3">
      <c r="A879"/>
      <c r="B879">
        <v>255.39282499999999</v>
      </c>
      <c r="C879">
        <v>262.57452000000001</v>
      </c>
      <c r="D879">
        <v>269.88818800000001</v>
      </c>
      <c r="E879">
        <v>104.694489</v>
      </c>
      <c r="F879">
        <v>73.43074</v>
      </c>
      <c r="G879"/>
      <c r="H879"/>
      <c r="I879"/>
      <c r="N879"/>
      <c r="O879"/>
      <c r="P879" s="1">
        <f t="shared" si="75"/>
        <v>222.11945020325203</v>
      </c>
      <c r="Q879" s="1">
        <f t="shared" si="76"/>
        <v>230.69256300813007</v>
      </c>
      <c r="R879" s="1">
        <f t="shared" si="77"/>
        <v>240.16505353319059</v>
      </c>
      <c r="S879" s="1">
        <f t="shared" si="78"/>
        <v>114.5170437806874</v>
      </c>
    </row>
    <row r="880" spans="1:19" x14ac:dyDescent="0.3">
      <c r="A880"/>
      <c r="B880">
        <v>255.39282499999999</v>
      </c>
      <c r="C880">
        <v>262.57452000000001</v>
      </c>
      <c r="D880">
        <v>269.88818800000001</v>
      </c>
      <c r="E880">
        <v>104.694489</v>
      </c>
      <c r="F880">
        <v>73.43074</v>
      </c>
      <c r="G880"/>
      <c r="H880"/>
      <c r="I880"/>
      <c r="N880"/>
      <c r="O880"/>
      <c r="P880" s="1">
        <f t="shared" si="75"/>
        <v>222.11945020325203</v>
      </c>
      <c r="Q880" s="1">
        <f t="shared" si="76"/>
        <v>230.69256300813007</v>
      </c>
      <c r="R880" s="1">
        <f t="shared" si="77"/>
        <v>240.16505353319059</v>
      </c>
      <c r="S880" s="1">
        <f t="shared" si="78"/>
        <v>114.5170437806874</v>
      </c>
    </row>
    <row r="881" spans="1:19" x14ac:dyDescent="0.3">
      <c r="A881"/>
      <c r="B881">
        <v>255.66287500000001</v>
      </c>
      <c r="C881">
        <v>262.808809</v>
      </c>
      <c r="D881">
        <v>270.09412200000003</v>
      </c>
      <c r="E881">
        <v>104.61416</v>
      </c>
      <c r="F881">
        <v>73.251501000000005</v>
      </c>
      <c r="G881"/>
      <c r="H881"/>
      <c r="I881"/>
      <c r="N881"/>
      <c r="O881"/>
      <c r="P881" s="1">
        <f t="shared" si="75"/>
        <v>222.12758231707315</v>
      </c>
      <c r="Q881" s="1">
        <f t="shared" si="76"/>
        <v>230.66844512195121</v>
      </c>
      <c r="R881" s="1">
        <f t="shared" si="77"/>
        <v>240.17548791679414</v>
      </c>
      <c r="S881" s="1">
        <f t="shared" si="78"/>
        <v>114.59372545008183</v>
      </c>
    </row>
    <row r="882" spans="1:19" x14ac:dyDescent="0.3">
      <c r="A882"/>
      <c r="B882">
        <v>255.66287500000001</v>
      </c>
      <c r="C882">
        <v>262.808809</v>
      </c>
      <c r="D882">
        <v>270.09412200000003</v>
      </c>
      <c r="E882">
        <v>104.61416</v>
      </c>
      <c r="F882">
        <v>73.251501000000005</v>
      </c>
      <c r="G882"/>
      <c r="H882"/>
      <c r="I882"/>
      <c r="N882"/>
      <c r="O882"/>
      <c r="P882" s="1">
        <f t="shared" si="75"/>
        <v>222.12758231707315</v>
      </c>
      <c r="Q882" s="1">
        <f t="shared" si="76"/>
        <v>230.66844512195121</v>
      </c>
      <c r="R882" s="1">
        <f t="shared" si="77"/>
        <v>240.17548791679414</v>
      </c>
      <c r="S882" s="1">
        <f t="shared" si="78"/>
        <v>114.59372545008183</v>
      </c>
    </row>
    <row r="883" spans="1:19" x14ac:dyDescent="0.3">
      <c r="A883"/>
      <c r="B883">
        <v>255.90686400000001</v>
      </c>
      <c r="C883">
        <v>263.044623</v>
      </c>
      <c r="D883">
        <v>270.32137299999999</v>
      </c>
      <c r="E883">
        <v>104.49442999999999</v>
      </c>
      <c r="F883">
        <v>73.153807</v>
      </c>
      <c r="G883"/>
      <c r="H883"/>
      <c r="I883"/>
      <c r="N883"/>
      <c r="O883"/>
      <c r="P883" s="1">
        <f t="shared" si="75"/>
        <v>222.16157215447154</v>
      </c>
      <c r="Q883" s="1">
        <f t="shared" si="76"/>
        <v>230.67538922764226</v>
      </c>
      <c r="R883" s="1">
        <f t="shared" si="77"/>
        <v>240.15788314469256</v>
      </c>
      <c r="S883" s="1">
        <f t="shared" si="78"/>
        <v>114.58148731587561</v>
      </c>
    </row>
    <row r="884" spans="1:19" x14ac:dyDescent="0.3">
      <c r="A884"/>
      <c r="B884">
        <v>255.90686400000001</v>
      </c>
      <c r="C884">
        <v>263.044623</v>
      </c>
      <c r="D884">
        <v>270.32137299999999</v>
      </c>
      <c r="E884">
        <v>104.49442999999999</v>
      </c>
      <c r="F884">
        <v>73.153807</v>
      </c>
      <c r="G884"/>
      <c r="H884"/>
      <c r="I884"/>
      <c r="N884"/>
      <c r="O884"/>
      <c r="P884" s="1">
        <f t="shared" si="75"/>
        <v>222.16157215447154</v>
      </c>
      <c r="Q884" s="1">
        <f t="shared" si="76"/>
        <v>230.67538922764226</v>
      </c>
      <c r="R884" s="1">
        <f t="shared" si="77"/>
        <v>240.15788314469256</v>
      </c>
      <c r="S884" s="1">
        <f t="shared" si="78"/>
        <v>114.58148731587561</v>
      </c>
    </row>
    <row r="885" spans="1:19" x14ac:dyDescent="0.3">
      <c r="A885"/>
      <c r="B885">
        <v>256.18114100000003</v>
      </c>
      <c r="C885">
        <v>263.30611900000002</v>
      </c>
      <c r="D885">
        <v>270.54221200000001</v>
      </c>
      <c r="E885">
        <v>104.468981</v>
      </c>
      <c r="F885">
        <v>73.303436000000005</v>
      </c>
      <c r="G885"/>
      <c r="H885"/>
      <c r="I885"/>
      <c r="N885"/>
      <c r="O885"/>
      <c r="P885" s="1">
        <f t="shared" si="75"/>
        <v>222.12985365853658</v>
      </c>
      <c r="Q885" s="1">
        <f t="shared" si="76"/>
        <v>230.69086890243901</v>
      </c>
      <c r="R885" s="1">
        <f t="shared" si="77"/>
        <v>240.16831854797593</v>
      </c>
      <c r="S885" s="1">
        <f t="shared" si="78"/>
        <v>114.46964914075286</v>
      </c>
    </row>
    <row r="886" spans="1:19" x14ac:dyDescent="0.3">
      <c r="A886"/>
      <c r="B886">
        <v>256.18114100000003</v>
      </c>
      <c r="C886">
        <v>263.30611900000002</v>
      </c>
      <c r="D886">
        <v>270.54221200000001</v>
      </c>
      <c r="E886">
        <v>104.468981</v>
      </c>
      <c r="F886">
        <v>73.303436000000005</v>
      </c>
      <c r="G886"/>
      <c r="H886"/>
      <c r="I886"/>
      <c r="N886"/>
      <c r="O886"/>
      <c r="P886" s="1">
        <f t="shared" si="75"/>
        <v>222.12985365853658</v>
      </c>
      <c r="Q886" s="1">
        <f t="shared" si="76"/>
        <v>230.69086890243901</v>
      </c>
      <c r="R886" s="1">
        <f t="shared" si="77"/>
        <v>240.16831854797593</v>
      </c>
      <c r="S886" s="1">
        <f t="shared" si="78"/>
        <v>114.46964914075286</v>
      </c>
    </row>
    <row r="887" spans="1:19" x14ac:dyDescent="0.3">
      <c r="A887"/>
      <c r="B887">
        <v>256.450087</v>
      </c>
      <c r="C887">
        <v>263.53243600000002</v>
      </c>
      <c r="D887">
        <v>270.76188100000002</v>
      </c>
      <c r="E887">
        <v>104.307399</v>
      </c>
      <c r="F887">
        <v>73.285931000000005</v>
      </c>
      <c r="G887"/>
      <c r="H887"/>
      <c r="I887"/>
      <c r="N887"/>
      <c r="O887"/>
      <c r="P887" s="1">
        <f t="shared" si="75"/>
        <v>222.1372957317073</v>
      </c>
      <c r="Q887" s="1">
        <f t="shared" si="76"/>
        <v>230.68550406504065</v>
      </c>
      <c r="R887" s="1">
        <f t="shared" si="77"/>
        <v>240.14036504537577</v>
      </c>
      <c r="S887" s="1">
        <f t="shared" si="78"/>
        <v>114.39010740589198</v>
      </c>
    </row>
    <row r="888" spans="1:19" x14ac:dyDescent="0.3">
      <c r="A888"/>
      <c r="B888">
        <v>256.450087</v>
      </c>
      <c r="C888">
        <v>263.53243600000002</v>
      </c>
      <c r="D888">
        <v>270.76188100000002</v>
      </c>
      <c r="E888">
        <v>104.307399</v>
      </c>
      <c r="F888">
        <v>73.285931000000005</v>
      </c>
      <c r="G888"/>
      <c r="H888"/>
      <c r="I888"/>
      <c r="N888"/>
      <c r="O888"/>
      <c r="P888" s="1">
        <f t="shared" si="75"/>
        <v>222.1372957317073</v>
      </c>
      <c r="Q888" s="1">
        <f t="shared" si="76"/>
        <v>230.68550406504065</v>
      </c>
      <c r="R888" s="1">
        <f t="shared" si="77"/>
        <v>240.14036504537577</v>
      </c>
      <c r="S888" s="1">
        <f t="shared" si="78"/>
        <v>114.39010740589198</v>
      </c>
    </row>
    <row r="889" spans="1:19" x14ac:dyDescent="0.3">
      <c r="A889"/>
      <c r="B889">
        <v>256.72674799999999</v>
      </c>
      <c r="C889">
        <v>263.78576099999998</v>
      </c>
      <c r="D889">
        <v>270.99807299999998</v>
      </c>
      <c r="E889">
        <v>104.399452</v>
      </c>
      <c r="F889">
        <v>72.946708999999998</v>
      </c>
      <c r="G889"/>
      <c r="H889"/>
      <c r="I889"/>
      <c r="N889"/>
      <c r="O889"/>
      <c r="P889" s="1">
        <f t="shared" si="75"/>
        <v>222.12459349593496</v>
      </c>
      <c r="Q889" s="1">
        <f t="shared" si="76"/>
        <v>230.6673536585366</v>
      </c>
      <c r="R889" s="1">
        <f t="shared" si="77"/>
        <v>240.14824717038852</v>
      </c>
      <c r="S889" s="1">
        <f t="shared" si="78"/>
        <v>114.43548179214403</v>
      </c>
    </row>
    <row r="890" spans="1:19" x14ac:dyDescent="0.3">
      <c r="A890"/>
      <c r="B890">
        <v>256.72674799999999</v>
      </c>
      <c r="C890">
        <v>263.78576099999998</v>
      </c>
      <c r="D890">
        <v>270.99807299999998</v>
      </c>
      <c r="E890">
        <v>104.399452</v>
      </c>
      <c r="F890">
        <v>72.946708999999998</v>
      </c>
      <c r="G890"/>
      <c r="H890"/>
      <c r="I890"/>
      <c r="N890"/>
      <c r="O890"/>
      <c r="P890" s="1">
        <f t="shared" si="75"/>
        <v>222.12459349593496</v>
      </c>
      <c r="Q890" s="1">
        <f t="shared" si="76"/>
        <v>230.6673536585366</v>
      </c>
      <c r="R890" s="1">
        <f t="shared" si="77"/>
        <v>240.14824717038852</v>
      </c>
      <c r="S890" s="1">
        <f t="shared" si="78"/>
        <v>114.43548179214403</v>
      </c>
    </row>
    <row r="891" spans="1:19" x14ac:dyDescent="0.3">
      <c r="A891"/>
      <c r="B891">
        <v>256.98831899999999</v>
      </c>
      <c r="C891">
        <v>264.017582</v>
      </c>
      <c r="D891">
        <v>271.22433699999999</v>
      </c>
      <c r="E891">
        <v>104.313885</v>
      </c>
      <c r="F891">
        <v>73.127521000000002</v>
      </c>
      <c r="G891"/>
      <c r="H891"/>
      <c r="I891"/>
      <c r="N891"/>
      <c r="O891"/>
      <c r="P891" s="1">
        <f t="shared" si="75"/>
        <v>222.141537601626</v>
      </c>
      <c r="Q891" s="1">
        <f t="shared" si="76"/>
        <v>230.68120731707316</v>
      </c>
      <c r="R891" s="1">
        <f t="shared" si="77"/>
        <v>240.16979198531661</v>
      </c>
      <c r="S891" s="1">
        <f t="shared" si="78"/>
        <v>114.42072422258592</v>
      </c>
    </row>
    <row r="892" spans="1:19" x14ac:dyDescent="0.3">
      <c r="A892"/>
      <c r="B892">
        <v>256.98831899999999</v>
      </c>
      <c r="C892">
        <v>264.017582</v>
      </c>
      <c r="D892">
        <v>271.22433699999999</v>
      </c>
      <c r="E892">
        <v>104.313885</v>
      </c>
      <c r="F892">
        <v>73.127521000000002</v>
      </c>
      <c r="G892"/>
      <c r="H892"/>
      <c r="I892"/>
      <c r="N892"/>
      <c r="O892"/>
      <c r="P892" s="1">
        <f t="shared" si="75"/>
        <v>222.141537601626</v>
      </c>
      <c r="Q892" s="1">
        <f t="shared" si="76"/>
        <v>230.68120731707316</v>
      </c>
      <c r="R892" s="1">
        <f t="shared" si="77"/>
        <v>240.16979198531661</v>
      </c>
      <c r="S892" s="1">
        <f t="shared" si="78"/>
        <v>114.42072422258592</v>
      </c>
    </row>
    <row r="893" spans="1:19" x14ac:dyDescent="0.3">
      <c r="A893"/>
      <c r="B893">
        <v>257.26732299999998</v>
      </c>
      <c r="C893">
        <v>264.30953599999998</v>
      </c>
      <c r="D893">
        <v>271.44080500000001</v>
      </c>
      <c r="E893">
        <v>104.20684900000001</v>
      </c>
      <c r="F893">
        <v>72.822907000000001</v>
      </c>
      <c r="G893"/>
      <c r="H893"/>
      <c r="I893"/>
      <c r="N893"/>
      <c r="P893" s="1">
        <f t="shared" si="75"/>
        <v>259.84255589430893</v>
      </c>
      <c r="Q893" s="1">
        <f t="shared" si="76"/>
        <v>267.17867784552845</v>
      </c>
      <c r="R893" s="1">
        <f t="shared" si="77"/>
        <v>275.57321708983375</v>
      </c>
      <c r="S893" s="1">
        <f t="shared" si="78"/>
        <v>108.38196501636662</v>
      </c>
    </row>
    <row r="894" spans="1:19" x14ac:dyDescent="0.3">
      <c r="A894"/>
      <c r="B894">
        <v>257.26732299999998</v>
      </c>
      <c r="C894">
        <v>264.30953599999998</v>
      </c>
      <c r="D894">
        <v>271.44080500000001</v>
      </c>
      <c r="E894">
        <v>104.20684900000001</v>
      </c>
      <c r="F894">
        <v>72.822907000000001</v>
      </c>
      <c r="G894"/>
      <c r="H894"/>
      <c r="I894"/>
      <c r="N894"/>
      <c r="O894" s="26"/>
      <c r="P894" s="1">
        <f t="shared" si="75"/>
        <v>259.84255589430893</v>
      </c>
      <c r="Q894" s="1">
        <f t="shared" si="76"/>
        <v>267.17867784552845</v>
      </c>
      <c r="R894" s="1">
        <f t="shared" si="77"/>
        <v>275.57321708983375</v>
      </c>
      <c r="S894" s="1">
        <f t="shared" si="78"/>
        <v>108.38196501636662</v>
      </c>
    </row>
    <row r="895" spans="1:19" x14ac:dyDescent="0.3">
      <c r="A895"/>
      <c r="B895">
        <v>257.53950099999997</v>
      </c>
      <c r="C895">
        <v>264.538884</v>
      </c>
      <c r="D895">
        <v>271.68874</v>
      </c>
      <c r="E895">
        <v>104.103759</v>
      </c>
      <c r="F895">
        <v>73.005899999999997</v>
      </c>
      <c r="G895"/>
      <c r="H895"/>
      <c r="I895"/>
      <c r="N895"/>
      <c r="O895" s="26"/>
      <c r="P895" s="1">
        <f t="shared" si="75"/>
        <v>260.12634959349595</v>
      </c>
      <c r="Q895" s="1">
        <f t="shared" si="76"/>
        <v>267.39785569105692</v>
      </c>
      <c r="R895" s="1">
        <f t="shared" si="77"/>
        <v>275.79618843683085</v>
      </c>
      <c r="S895" s="1">
        <f t="shared" si="78"/>
        <v>108.16021788052373</v>
      </c>
    </row>
    <row r="896" spans="1:19" x14ac:dyDescent="0.3">
      <c r="A896"/>
      <c r="B896">
        <v>257.53950099999997</v>
      </c>
      <c r="C896">
        <v>264.538884</v>
      </c>
      <c r="D896">
        <v>271.68874</v>
      </c>
      <c r="E896">
        <v>104.103759</v>
      </c>
      <c r="F896">
        <v>73.005899999999997</v>
      </c>
      <c r="G896"/>
      <c r="H896"/>
      <c r="I896"/>
      <c r="N896"/>
      <c r="O896" s="26"/>
      <c r="P896" s="1">
        <f t="shared" si="75"/>
        <v>260.12634959349595</v>
      </c>
      <c r="Q896" s="1">
        <f t="shared" si="76"/>
        <v>267.39785569105692</v>
      </c>
      <c r="R896" s="1">
        <f t="shared" si="77"/>
        <v>275.79618843683085</v>
      </c>
      <c r="S896" s="1">
        <f t="shared" si="78"/>
        <v>108.16021788052373</v>
      </c>
    </row>
    <row r="897" spans="1:19" x14ac:dyDescent="0.3">
      <c r="A897"/>
      <c r="B897">
        <v>257.79467299999999</v>
      </c>
      <c r="C897">
        <v>264.81298800000002</v>
      </c>
      <c r="D897">
        <v>271.92165799999998</v>
      </c>
      <c r="E897">
        <v>104.033474</v>
      </c>
      <c r="F897">
        <v>73.183007000000003</v>
      </c>
      <c r="G897"/>
      <c r="H897"/>
      <c r="I897"/>
      <c r="N897"/>
      <c r="O897" s="26"/>
      <c r="P897" s="1">
        <f t="shared" si="75"/>
        <v>260.34484247967481</v>
      </c>
      <c r="Q897" s="1">
        <f t="shared" si="76"/>
        <v>267.64331300813006</v>
      </c>
      <c r="R897" s="1">
        <f t="shared" si="77"/>
        <v>276.02578566330169</v>
      </c>
      <c r="S897" s="1">
        <f t="shared" si="78"/>
        <v>108.03834799509002</v>
      </c>
    </row>
    <row r="898" spans="1:19" x14ac:dyDescent="0.3">
      <c r="A898"/>
      <c r="B898">
        <v>257.79467299999999</v>
      </c>
      <c r="C898">
        <v>264.81298800000002</v>
      </c>
      <c r="D898">
        <v>271.92165799999998</v>
      </c>
      <c r="E898">
        <v>104.033474</v>
      </c>
      <c r="F898">
        <v>73.183007000000003</v>
      </c>
      <c r="G898"/>
      <c r="H898"/>
      <c r="I898"/>
      <c r="N898"/>
      <c r="O898"/>
      <c r="P898" s="1">
        <f t="shared" si="75"/>
        <v>260.34484247967481</v>
      </c>
      <c r="Q898" s="1">
        <f t="shared" si="76"/>
        <v>267.64331300813006</v>
      </c>
      <c r="R898" s="1">
        <f t="shared" si="77"/>
        <v>276.02578566330169</v>
      </c>
      <c r="S898" s="1">
        <f t="shared" si="78"/>
        <v>108.03834799509002</v>
      </c>
    </row>
    <row r="899" spans="1:19" x14ac:dyDescent="0.3">
      <c r="A899"/>
      <c r="B899">
        <v>258.07342799999998</v>
      </c>
      <c r="C899">
        <v>265.05879199999998</v>
      </c>
      <c r="D899">
        <v>272.16952500000002</v>
      </c>
      <c r="E899">
        <v>104.02170599999999</v>
      </c>
      <c r="F899">
        <v>73.261120000000005</v>
      </c>
      <c r="G899"/>
      <c r="H899"/>
      <c r="I899"/>
      <c r="N899"/>
      <c r="O899"/>
      <c r="P899" s="1">
        <f t="shared" si="75"/>
        <v>260.61928353658539</v>
      </c>
      <c r="Q899" s="1">
        <f t="shared" si="76"/>
        <v>267.88141158536587</v>
      </c>
      <c r="R899" s="1">
        <f t="shared" si="77"/>
        <v>276.23577240746408</v>
      </c>
      <c r="S899" s="1">
        <f t="shared" si="78"/>
        <v>107.956178396072</v>
      </c>
    </row>
    <row r="900" spans="1:19" x14ac:dyDescent="0.3">
      <c r="A900"/>
      <c r="B900">
        <v>258.07342799999998</v>
      </c>
      <c r="C900">
        <v>265.05879199999998</v>
      </c>
      <c r="D900">
        <v>272.16952500000002</v>
      </c>
      <c r="E900">
        <v>104.02170599999999</v>
      </c>
      <c r="F900">
        <v>73.261120000000005</v>
      </c>
      <c r="G900"/>
      <c r="H900"/>
      <c r="I900"/>
      <c r="N900"/>
      <c r="O900"/>
      <c r="P900" s="1">
        <f t="shared" si="75"/>
        <v>260.61928353658539</v>
      </c>
      <c r="Q900" s="1">
        <f t="shared" si="76"/>
        <v>267.88141158536587</v>
      </c>
      <c r="R900" s="1">
        <f t="shared" si="77"/>
        <v>276.23577240746408</v>
      </c>
      <c r="S900" s="1">
        <f t="shared" si="78"/>
        <v>107.956178396072</v>
      </c>
    </row>
    <row r="901" spans="1:19" x14ac:dyDescent="0.3">
      <c r="A901"/>
      <c r="B901">
        <v>258.35642000000001</v>
      </c>
      <c r="C901">
        <v>265.30906800000002</v>
      </c>
      <c r="D901">
        <v>272.40499799999998</v>
      </c>
      <c r="E901">
        <v>103.88641699999999</v>
      </c>
      <c r="F901">
        <v>73.190441000000007</v>
      </c>
      <c r="G901"/>
      <c r="H901"/>
      <c r="I901"/>
      <c r="N901"/>
      <c r="O901"/>
      <c r="P901" s="1">
        <f t="shared" si="75"/>
        <v>260.86723983739842</v>
      </c>
      <c r="Q901" s="1">
        <f t="shared" si="76"/>
        <v>268.12105995934957</v>
      </c>
      <c r="R901" s="1">
        <f t="shared" si="77"/>
        <v>276.46749566636072</v>
      </c>
      <c r="S901" s="1">
        <f t="shared" si="78"/>
        <v>107.83370499181669</v>
      </c>
    </row>
    <row r="902" spans="1:19" x14ac:dyDescent="0.3">
      <c r="A902"/>
      <c r="B902">
        <v>258.35642000000001</v>
      </c>
      <c r="C902">
        <v>265.30906800000002</v>
      </c>
      <c r="D902">
        <v>272.40499799999998</v>
      </c>
      <c r="E902">
        <v>103.88641699999999</v>
      </c>
      <c r="F902">
        <v>73.190441000000007</v>
      </c>
      <c r="G902"/>
      <c r="H902"/>
      <c r="I902"/>
      <c r="N902"/>
      <c r="O902"/>
      <c r="P902" s="1">
        <f t="shared" si="75"/>
        <v>260.86723983739842</v>
      </c>
      <c r="Q902" s="1">
        <f t="shared" si="76"/>
        <v>268.12105995934957</v>
      </c>
      <c r="R902" s="1">
        <f t="shared" si="77"/>
        <v>276.46749566636072</v>
      </c>
      <c r="S902" s="1">
        <f t="shared" si="78"/>
        <v>107.83370499181669</v>
      </c>
    </row>
    <row r="903" spans="1:19" x14ac:dyDescent="0.3">
      <c r="A903"/>
      <c r="B903">
        <v>258.63866100000001</v>
      </c>
      <c r="C903">
        <v>265.59279099999998</v>
      </c>
      <c r="D903">
        <v>272.64337699999999</v>
      </c>
      <c r="E903">
        <v>103.733932</v>
      </c>
      <c r="F903">
        <v>73.383621000000005</v>
      </c>
      <c r="G903"/>
      <c r="H903"/>
      <c r="I903"/>
      <c r="N903"/>
      <c r="O903"/>
      <c r="P903" s="1">
        <f t="shared" si="75"/>
        <v>261.14597662601631</v>
      </c>
      <c r="Q903" s="1">
        <f t="shared" si="76"/>
        <v>268.38680792682931</v>
      </c>
      <c r="R903" s="1">
        <f t="shared" si="77"/>
        <v>276.69268073824816</v>
      </c>
      <c r="S903" s="1">
        <f t="shared" si="78"/>
        <v>107.80767287234042</v>
      </c>
    </row>
    <row r="904" spans="1:19" x14ac:dyDescent="0.3">
      <c r="A904"/>
      <c r="B904">
        <v>258.63866100000001</v>
      </c>
      <c r="C904">
        <v>265.59279099999998</v>
      </c>
      <c r="D904">
        <v>272.64337699999999</v>
      </c>
      <c r="E904">
        <v>103.733932</v>
      </c>
      <c r="F904">
        <v>73.383621000000005</v>
      </c>
      <c r="G904"/>
      <c r="H904"/>
      <c r="I904"/>
      <c r="N904"/>
      <c r="O904"/>
      <c r="P904" s="1">
        <f t="shared" si="75"/>
        <v>261.14597662601631</v>
      </c>
      <c r="Q904" s="1">
        <f t="shared" si="76"/>
        <v>268.38680792682931</v>
      </c>
      <c r="R904" s="1">
        <f t="shared" si="77"/>
        <v>276.69268073824816</v>
      </c>
      <c r="S904" s="1">
        <f t="shared" si="78"/>
        <v>107.80767287234042</v>
      </c>
    </row>
    <row r="905" spans="1:19" x14ac:dyDescent="0.3">
      <c r="A905"/>
      <c r="B905">
        <v>258.95031399999999</v>
      </c>
      <c r="C905">
        <v>265.83616799999999</v>
      </c>
      <c r="D905">
        <v>272.89839499999999</v>
      </c>
      <c r="E905">
        <v>103.77591099999999</v>
      </c>
      <c r="F905">
        <v>73.089751000000007</v>
      </c>
      <c r="G905"/>
      <c r="H905"/>
      <c r="I905"/>
      <c r="N905"/>
      <c r="O905"/>
      <c r="P905" s="1">
        <f t="shared" si="75"/>
        <v>261.41929573170728</v>
      </c>
      <c r="Q905" s="1">
        <f t="shared" si="76"/>
        <v>268.61680487804881</v>
      </c>
      <c r="R905" s="1">
        <f t="shared" si="77"/>
        <v>276.91667278474557</v>
      </c>
      <c r="S905" s="1">
        <f t="shared" si="78"/>
        <v>107.64238850245499</v>
      </c>
    </row>
    <row r="906" spans="1:19" x14ac:dyDescent="0.3">
      <c r="A906"/>
      <c r="B906">
        <v>258.95031399999999</v>
      </c>
      <c r="C906">
        <v>265.83616799999999</v>
      </c>
      <c r="D906">
        <v>272.89839499999999</v>
      </c>
      <c r="E906">
        <v>103.77591099999999</v>
      </c>
      <c r="F906">
        <v>73.089751000000007</v>
      </c>
      <c r="G906"/>
      <c r="H906"/>
      <c r="I906"/>
      <c r="N906"/>
      <c r="O906"/>
      <c r="P906" s="1">
        <f t="shared" si="75"/>
        <v>261.41929573170728</v>
      </c>
      <c r="Q906" s="1">
        <f t="shared" si="76"/>
        <v>268.61680487804881</v>
      </c>
      <c r="R906" s="1">
        <f t="shared" si="77"/>
        <v>276.91667278474557</v>
      </c>
      <c r="S906" s="1">
        <f t="shared" si="78"/>
        <v>107.64238850245499</v>
      </c>
    </row>
    <row r="907" spans="1:19" x14ac:dyDescent="0.3">
      <c r="A907"/>
      <c r="B907">
        <v>259.23846200000003</v>
      </c>
      <c r="C907">
        <v>266.12029999999999</v>
      </c>
      <c r="D907">
        <v>273.13242100000002</v>
      </c>
      <c r="E907">
        <v>103.694422</v>
      </c>
      <c r="F907">
        <v>73.057464999999993</v>
      </c>
      <c r="G907"/>
      <c r="H907"/>
      <c r="I907"/>
      <c r="N907"/>
      <c r="O907"/>
      <c r="P907" s="1">
        <f t="shared" si="75"/>
        <v>261.70045528455285</v>
      </c>
      <c r="Q907" s="1">
        <f t="shared" si="76"/>
        <v>268.87424898373979</v>
      </c>
      <c r="R907" s="1">
        <f t="shared" si="77"/>
        <v>277.15751300091767</v>
      </c>
      <c r="S907" s="1">
        <f t="shared" si="78"/>
        <v>107.73655073649753</v>
      </c>
    </row>
    <row r="908" spans="1:19" x14ac:dyDescent="0.3">
      <c r="A908"/>
      <c r="B908">
        <v>259.23846200000003</v>
      </c>
      <c r="C908">
        <v>266.12029999999999</v>
      </c>
      <c r="D908">
        <v>273.13242100000002</v>
      </c>
      <c r="E908">
        <v>103.694422</v>
      </c>
      <c r="F908">
        <v>73.057464999999993</v>
      </c>
      <c r="G908"/>
      <c r="H908"/>
      <c r="I908"/>
      <c r="N908"/>
      <c r="O908"/>
      <c r="P908" s="1">
        <f t="shared" si="75"/>
        <v>261.70045528455285</v>
      </c>
      <c r="Q908" s="1">
        <f t="shared" si="76"/>
        <v>268.87424898373979</v>
      </c>
      <c r="R908" s="1">
        <f t="shared" si="77"/>
        <v>277.15751300091767</v>
      </c>
      <c r="S908" s="1">
        <f t="shared" si="78"/>
        <v>107.73655073649753</v>
      </c>
    </row>
    <row r="909" spans="1:19" x14ac:dyDescent="0.3">
      <c r="A909"/>
      <c r="B909">
        <v>259.51683200000002</v>
      </c>
      <c r="C909">
        <v>266.37401599999998</v>
      </c>
      <c r="D909">
        <v>273.39655099999999</v>
      </c>
      <c r="E909">
        <v>103.486716</v>
      </c>
      <c r="F909">
        <v>72.937917999999996</v>
      </c>
      <c r="G909"/>
      <c r="H909"/>
      <c r="I909"/>
      <c r="N909"/>
      <c r="O909"/>
      <c r="P909" s="1">
        <f t="shared" si="75"/>
        <v>261.96627947154468</v>
      </c>
      <c r="Q909" s="1">
        <f t="shared" si="76"/>
        <v>269.10983943089428</v>
      </c>
      <c r="R909" s="1">
        <f t="shared" si="77"/>
        <v>277.38822983583151</v>
      </c>
      <c r="S909" s="1">
        <f t="shared" si="78"/>
        <v>107.6490231178396</v>
      </c>
    </row>
    <row r="910" spans="1:19" x14ac:dyDescent="0.3">
      <c r="A910"/>
      <c r="B910">
        <v>259.51683200000002</v>
      </c>
      <c r="C910">
        <v>266.37401599999998</v>
      </c>
      <c r="D910">
        <v>273.39655099999999</v>
      </c>
      <c r="E910">
        <v>103.486716</v>
      </c>
      <c r="F910">
        <v>72.937917999999996</v>
      </c>
      <c r="G910"/>
      <c r="H910"/>
      <c r="I910"/>
      <c r="N910"/>
      <c r="O910"/>
      <c r="P910" s="1">
        <f t="shared" si="75"/>
        <v>261.96627947154468</v>
      </c>
      <c r="Q910" s="1">
        <f t="shared" si="76"/>
        <v>269.10983943089428</v>
      </c>
      <c r="R910" s="1">
        <f t="shared" si="77"/>
        <v>277.38822983583151</v>
      </c>
      <c r="S910" s="1">
        <f t="shared" si="78"/>
        <v>107.6490231178396</v>
      </c>
    </row>
    <row r="911" spans="1:19" x14ac:dyDescent="0.3">
      <c r="A911"/>
      <c r="B911">
        <v>259.82676600000002</v>
      </c>
      <c r="C911">
        <v>266.66433599999999</v>
      </c>
      <c r="D911">
        <v>273.63286199999999</v>
      </c>
      <c r="E911">
        <v>103.337048</v>
      </c>
      <c r="F911">
        <v>72.769541000000004</v>
      </c>
      <c r="G911"/>
      <c r="H911"/>
      <c r="I911"/>
      <c r="N911"/>
      <c r="O911"/>
      <c r="P911" s="1">
        <f t="shared" si="75"/>
        <v>262.24982012195119</v>
      </c>
      <c r="Q911" s="1">
        <f t="shared" si="76"/>
        <v>269.4065406504065</v>
      </c>
      <c r="R911" s="1">
        <f t="shared" si="77"/>
        <v>277.60895788722343</v>
      </c>
      <c r="S911" s="1">
        <f t="shared" si="78"/>
        <v>107.53953457446809</v>
      </c>
    </row>
    <row r="912" spans="1:19" x14ac:dyDescent="0.3">
      <c r="A912"/>
      <c r="B912">
        <v>259.82676600000002</v>
      </c>
      <c r="C912">
        <v>266.66433599999999</v>
      </c>
      <c r="D912">
        <v>273.63286199999999</v>
      </c>
      <c r="E912">
        <v>103.337048</v>
      </c>
      <c r="F912">
        <v>72.769541000000004</v>
      </c>
      <c r="G912"/>
      <c r="H912"/>
      <c r="I912"/>
      <c r="N912"/>
      <c r="O912"/>
      <c r="P912" s="1">
        <f t="shared" si="75"/>
        <v>262.24982012195119</v>
      </c>
      <c r="Q912" s="1">
        <f t="shared" si="76"/>
        <v>269.4065406504065</v>
      </c>
      <c r="R912" s="1">
        <f t="shared" si="77"/>
        <v>277.60895788722343</v>
      </c>
      <c r="S912" s="1">
        <f t="shared" si="78"/>
        <v>107.53953457446809</v>
      </c>
    </row>
    <row r="913" spans="1:19" x14ac:dyDescent="0.3">
      <c r="A913"/>
      <c r="B913">
        <v>260.12084199999998</v>
      </c>
      <c r="C913">
        <v>266.91656599999999</v>
      </c>
      <c r="D913">
        <v>273.89438799999999</v>
      </c>
      <c r="E913">
        <v>103.37813300000001</v>
      </c>
      <c r="F913">
        <v>72.735918999999996</v>
      </c>
      <c r="G913"/>
      <c r="H913"/>
      <c r="I913"/>
      <c r="N913"/>
      <c r="O913"/>
      <c r="P913" s="1">
        <f t="shared" si="75"/>
        <v>262.52642378048779</v>
      </c>
      <c r="Q913" s="1">
        <f t="shared" si="76"/>
        <v>269.63961788617883</v>
      </c>
      <c r="R913" s="1">
        <f t="shared" si="77"/>
        <v>277.86177220352806</v>
      </c>
      <c r="S913" s="1">
        <f t="shared" si="78"/>
        <v>107.4340824468085</v>
      </c>
    </row>
    <row r="914" spans="1:19" x14ac:dyDescent="0.3">
      <c r="A914"/>
      <c r="B914">
        <v>260.12084199999998</v>
      </c>
      <c r="C914">
        <v>266.91656599999999</v>
      </c>
      <c r="D914">
        <v>273.89438799999999</v>
      </c>
      <c r="E914">
        <v>103.37813300000001</v>
      </c>
      <c r="F914">
        <v>72.735918999999996</v>
      </c>
      <c r="G914"/>
      <c r="H914"/>
      <c r="I914"/>
      <c r="N914"/>
      <c r="O914"/>
      <c r="P914" s="1">
        <f t="shared" si="75"/>
        <v>262.52642378048779</v>
      </c>
      <c r="Q914" s="1">
        <f t="shared" si="76"/>
        <v>269.63961788617883</v>
      </c>
      <c r="R914" s="1">
        <f t="shared" si="77"/>
        <v>277.86177220352806</v>
      </c>
      <c r="S914" s="1">
        <f t="shared" si="78"/>
        <v>107.4340824468085</v>
      </c>
    </row>
    <row r="915" spans="1:19" x14ac:dyDescent="0.3">
      <c r="A915"/>
      <c r="B915">
        <v>260.40646600000002</v>
      </c>
      <c r="C915">
        <v>267.18924800000002</v>
      </c>
      <c r="D915">
        <v>274.16300100000001</v>
      </c>
      <c r="E915">
        <v>103.225846</v>
      </c>
      <c r="F915">
        <v>73.243972999999997</v>
      </c>
      <c r="G915"/>
      <c r="H915"/>
      <c r="I915"/>
      <c r="N915"/>
      <c r="O915"/>
      <c r="P915" s="1">
        <f t="shared" si="75"/>
        <v>262.78574491869915</v>
      </c>
      <c r="Q915" s="1">
        <f t="shared" si="76"/>
        <v>269.91817886178865</v>
      </c>
      <c r="R915" s="1">
        <f t="shared" si="77"/>
        <v>278.09927398796776</v>
      </c>
      <c r="S915" s="1">
        <f t="shared" si="78"/>
        <v>107.36218698854337</v>
      </c>
    </row>
    <row r="916" spans="1:19" x14ac:dyDescent="0.3">
      <c r="A916"/>
      <c r="B916">
        <v>260.40646600000002</v>
      </c>
      <c r="C916">
        <v>267.18924800000002</v>
      </c>
      <c r="D916">
        <v>274.16300100000001</v>
      </c>
      <c r="E916">
        <v>103.225846</v>
      </c>
      <c r="F916">
        <v>73.243972999999997</v>
      </c>
      <c r="G916"/>
      <c r="H916"/>
      <c r="I916"/>
      <c r="N916"/>
      <c r="O916"/>
      <c r="P916" s="1">
        <f t="shared" si="75"/>
        <v>262.78574491869915</v>
      </c>
      <c r="Q916" s="1">
        <f t="shared" si="76"/>
        <v>269.91817886178865</v>
      </c>
      <c r="R916" s="1">
        <f t="shared" si="77"/>
        <v>278.09927398796776</v>
      </c>
      <c r="S916" s="1">
        <f t="shared" si="78"/>
        <v>107.36218698854337</v>
      </c>
    </row>
    <row r="917" spans="1:19" x14ac:dyDescent="0.3">
      <c r="A917"/>
      <c r="B917">
        <v>260.69611600000002</v>
      </c>
      <c r="C917">
        <v>267.48980499999999</v>
      </c>
      <c r="D917">
        <v>274.39471500000002</v>
      </c>
      <c r="E917">
        <v>103.120957</v>
      </c>
      <c r="F917">
        <v>72.824759999999998</v>
      </c>
      <c r="G917"/>
      <c r="H917"/>
      <c r="I917"/>
      <c r="N917"/>
      <c r="O917"/>
      <c r="P917" s="1">
        <f t="shared" si="75"/>
        <v>263.06903252032515</v>
      </c>
      <c r="Q917" s="1">
        <f t="shared" si="76"/>
        <v>270.1679796747967</v>
      </c>
      <c r="R917" s="1">
        <f t="shared" si="77"/>
        <v>278.35201896604468</v>
      </c>
      <c r="S917" s="1">
        <f t="shared" si="78"/>
        <v>107.35014934533551</v>
      </c>
    </row>
    <row r="918" spans="1:19" x14ac:dyDescent="0.3">
      <c r="A918"/>
      <c r="B918">
        <v>260.69611600000002</v>
      </c>
      <c r="C918">
        <v>267.48980499999999</v>
      </c>
      <c r="D918">
        <v>274.39471500000002</v>
      </c>
      <c r="E918">
        <v>103.120957</v>
      </c>
      <c r="F918">
        <v>72.824759999999998</v>
      </c>
      <c r="G918"/>
      <c r="H918"/>
      <c r="I918"/>
      <c r="N918"/>
      <c r="O918"/>
      <c r="P918" s="1">
        <f t="shared" si="75"/>
        <v>263.06903252032515</v>
      </c>
      <c r="Q918" s="1">
        <f t="shared" si="76"/>
        <v>270.1679796747967</v>
      </c>
      <c r="R918" s="1">
        <f t="shared" si="77"/>
        <v>278.35201896604468</v>
      </c>
      <c r="S918" s="1">
        <f t="shared" si="78"/>
        <v>107.35014934533551</v>
      </c>
    </row>
    <row r="919" spans="1:19" x14ac:dyDescent="0.3">
      <c r="A919"/>
      <c r="B919">
        <v>261.02957099999998</v>
      </c>
      <c r="C919">
        <v>267.80549400000001</v>
      </c>
      <c r="D919">
        <v>274.63099099999999</v>
      </c>
      <c r="E919">
        <v>103.041872</v>
      </c>
      <c r="F919">
        <v>72.695954999999998</v>
      </c>
      <c r="G919"/>
      <c r="H919"/>
      <c r="I919"/>
      <c r="N919"/>
      <c r="O919"/>
      <c r="P919" s="1">
        <f t="shared" si="75"/>
        <v>263.35662601626018</v>
      </c>
      <c r="Q919" s="1">
        <f t="shared" si="76"/>
        <v>270.42232520325206</v>
      </c>
      <c r="R919" s="1">
        <f t="shared" si="77"/>
        <v>278.59212603242577</v>
      </c>
      <c r="S919" s="1">
        <f t="shared" si="78"/>
        <v>107.21176043371521</v>
      </c>
    </row>
    <row r="920" spans="1:19" x14ac:dyDescent="0.3">
      <c r="A920"/>
      <c r="B920">
        <v>261.02957099999998</v>
      </c>
      <c r="C920">
        <v>267.80549400000001</v>
      </c>
      <c r="D920">
        <v>274.63099099999999</v>
      </c>
      <c r="E920">
        <v>103.041872</v>
      </c>
      <c r="F920">
        <v>72.695954999999998</v>
      </c>
      <c r="G920"/>
      <c r="H920"/>
      <c r="I920"/>
      <c r="N920"/>
      <c r="O920"/>
      <c r="P920" s="1">
        <f t="shared" si="75"/>
        <v>263.35662601626018</v>
      </c>
      <c r="Q920" s="1">
        <f t="shared" si="76"/>
        <v>270.42232520325206</v>
      </c>
      <c r="R920" s="1">
        <f t="shared" si="77"/>
        <v>278.59212603242577</v>
      </c>
      <c r="S920" s="1">
        <f t="shared" si="78"/>
        <v>107.21176043371521</v>
      </c>
    </row>
    <row r="921" spans="1:19" x14ac:dyDescent="0.3">
      <c r="A921"/>
      <c r="B921">
        <v>261.315901</v>
      </c>
      <c r="C921">
        <v>268.05574300000001</v>
      </c>
      <c r="D921">
        <v>274.92327999999998</v>
      </c>
      <c r="E921">
        <v>103.12020800000001</v>
      </c>
      <c r="F921">
        <v>72.990020000000001</v>
      </c>
      <c r="G921"/>
      <c r="H921"/>
      <c r="I921"/>
      <c r="N921"/>
      <c r="O921"/>
      <c r="P921" s="1">
        <f t="shared" si="75"/>
        <v>263.643456300813</v>
      </c>
      <c r="Q921" s="1">
        <f t="shared" si="76"/>
        <v>270.71066158536581</v>
      </c>
      <c r="R921" s="1">
        <f t="shared" si="77"/>
        <v>278.83519628836541</v>
      </c>
      <c r="S921" s="1">
        <f t="shared" si="78"/>
        <v>107.05578150572831</v>
      </c>
    </row>
    <row r="922" spans="1:19" x14ac:dyDescent="0.3">
      <c r="A922"/>
      <c r="B922">
        <v>261.315901</v>
      </c>
      <c r="C922">
        <v>268.05574300000001</v>
      </c>
      <c r="D922">
        <v>274.92327999999998</v>
      </c>
      <c r="E922">
        <v>103.12020800000001</v>
      </c>
      <c r="F922">
        <v>72.990020000000001</v>
      </c>
      <c r="G922"/>
      <c r="H922"/>
      <c r="I922"/>
      <c r="N922"/>
      <c r="O922"/>
      <c r="P922" s="1">
        <f t="shared" si="75"/>
        <v>263.643456300813</v>
      </c>
      <c r="Q922" s="1">
        <f t="shared" si="76"/>
        <v>270.71066158536581</v>
      </c>
      <c r="R922" s="1">
        <f t="shared" si="77"/>
        <v>278.83519628836541</v>
      </c>
      <c r="S922" s="1">
        <f t="shared" si="78"/>
        <v>107.05578150572831</v>
      </c>
    </row>
    <row r="923" spans="1:19" x14ac:dyDescent="0.3">
      <c r="A923"/>
      <c r="B923">
        <v>261.62506300000001</v>
      </c>
      <c r="C923">
        <v>268.31094899999999</v>
      </c>
      <c r="D923">
        <v>275.162556</v>
      </c>
      <c r="E923">
        <v>103.05116099999999</v>
      </c>
      <c r="F923">
        <v>73.045893000000007</v>
      </c>
      <c r="G923"/>
      <c r="H923"/>
      <c r="I923"/>
      <c r="N923"/>
      <c r="O923"/>
      <c r="P923" s="1">
        <f t="shared" si="75"/>
        <v>263.96017682926828</v>
      </c>
      <c r="Q923" s="1">
        <f t="shared" si="76"/>
        <v>270.95799593495934</v>
      </c>
      <c r="R923" s="1">
        <f t="shared" si="77"/>
        <v>279.09523299683894</v>
      </c>
      <c r="S923" s="1">
        <f t="shared" si="78"/>
        <v>107.09872238134206</v>
      </c>
    </row>
    <row r="924" spans="1:19" x14ac:dyDescent="0.3">
      <c r="A924"/>
      <c r="B924">
        <v>261.62506300000001</v>
      </c>
      <c r="C924">
        <v>268.31094899999999</v>
      </c>
      <c r="D924">
        <v>275.162556</v>
      </c>
      <c r="E924">
        <v>103.05116099999999</v>
      </c>
      <c r="F924">
        <v>73.045893000000007</v>
      </c>
      <c r="G924"/>
      <c r="H924"/>
      <c r="I924"/>
      <c r="N924"/>
      <c r="O924"/>
      <c r="P924" s="1">
        <f t="shared" si="75"/>
        <v>263.96017682926828</v>
      </c>
      <c r="Q924" s="1">
        <f t="shared" si="76"/>
        <v>270.95799593495934</v>
      </c>
      <c r="R924" s="1">
        <f t="shared" si="77"/>
        <v>279.09523299683894</v>
      </c>
      <c r="S924" s="1">
        <f t="shared" si="78"/>
        <v>107.09872238134206</v>
      </c>
    </row>
    <row r="925" spans="1:19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9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9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9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N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N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N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N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N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N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N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N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N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N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N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N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  <c r="N1042"/>
      <c r="O1042"/>
    </row>
    <row r="1043" spans="1:15" x14ac:dyDescent="0.3">
      <c r="A1043"/>
      <c r="B1043"/>
      <c r="C1043"/>
      <c r="D1043"/>
      <c r="E1043"/>
      <c r="F1043"/>
      <c r="G1043"/>
      <c r="H1043"/>
      <c r="I1043"/>
      <c r="N1043"/>
      <c r="O1043"/>
    </row>
    <row r="1044" spans="1:15" x14ac:dyDescent="0.3">
      <c r="A1044"/>
      <c r="B1044"/>
      <c r="C1044"/>
      <c r="D1044"/>
      <c r="E1044"/>
      <c r="F1044"/>
      <c r="G1044"/>
      <c r="H1044"/>
      <c r="I1044"/>
      <c r="N1044"/>
      <c r="O1044"/>
    </row>
    <row r="1045" spans="1:15" x14ac:dyDescent="0.3">
      <c r="A1045"/>
      <c r="B1045"/>
      <c r="C1045"/>
      <c r="D1045"/>
      <c r="E1045"/>
      <c r="F1045"/>
      <c r="G1045"/>
      <c r="H1045"/>
      <c r="I1045"/>
      <c r="N1045"/>
      <c r="O1045"/>
    </row>
    <row r="1046" spans="1:15" x14ac:dyDescent="0.3">
      <c r="A1046"/>
      <c r="B1046"/>
      <c r="C1046"/>
      <c r="D1046"/>
      <c r="E1046"/>
      <c r="F1046"/>
      <c r="G1046"/>
      <c r="H1046"/>
      <c r="I1046"/>
      <c r="N1046"/>
      <c r="O1046"/>
    </row>
    <row r="1047" spans="1:15" x14ac:dyDescent="0.3">
      <c r="A1047"/>
      <c r="B1047"/>
      <c r="C1047"/>
      <c r="D1047"/>
      <c r="E1047"/>
      <c r="F1047"/>
      <c r="G1047"/>
      <c r="H1047"/>
      <c r="I1047"/>
      <c r="N1047"/>
      <c r="O1047"/>
    </row>
    <row r="1048" spans="1:15" x14ac:dyDescent="0.3">
      <c r="A1048"/>
      <c r="B1048"/>
      <c r="C1048"/>
      <c r="D1048"/>
      <c r="E1048"/>
      <c r="F1048"/>
      <c r="G1048"/>
      <c r="H1048"/>
      <c r="I1048"/>
      <c r="N1048"/>
      <c r="O1048"/>
    </row>
    <row r="1049" spans="1:15" x14ac:dyDescent="0.3">
      <c r="A1049"/>
      <c r="B1049"/>
      <c r="C1049"/>
      <c r="D1049"/>
      <c r="E1049"/>
      <c r="F1049"/>
      <c r="G1049"/>
      <c r="H1049"/>
      <c r="I1049"/>
      <c r="N1049"/>
      <c r="O1049"/>
    </row>
    <row r="1050" spans="1:15" x14ac:dyDescent="0.3">
      <c r="A1050"/>
      <c r="B1050"/>
      <c r="C1050"/>
      <c r="D1050"/>
      <c r="E1050"/>
      <c r="F1050"/>
      <c r="G1050"/>
      <c r="H1050"/>
      <c r="I1050"/>
      <c r="N1050"/>
      <c r="O1050"/>
    </row>
    <row r="1051" spans="1:15" x14ac:dyDescent="0.3">
      <c r="A1051"/>
      <c r="B1051"/>
      <c r="C1051"/>
      <c r="D1051"/>
      <c r="E1051"/>
      <c r="F1051"/>
      <c r="G1051"/>
      <c r="H1051"/>
      <c r="I1051"/>
      <c r="N1051"/>
      <c r="O1051"/>
    </row>
    <row r="1052" spans="1:15" x14ac:dyDescent="0.3">
      <c r="A1052"/>
      <c r="B1052"/>
      <c r="C1052"/>
      <c r="D1052"/>
      <c r="E1052"/>
      <c r="F1052"/>
      <c r="G1052"/>
      <c r="H1052"/>
      <c r="I1052"/>
      <c r="N1052"/>
      <c r="O1052"/>
    </row>
    <row r="1053" spans="1:15" x14ac:dyDescent="0.3">
      <c r="A1053"/>
      <c r="B1053"/>
      <c r="C1053"/>
      <c r="D1053"/>
      <c r="E1053"/>
      <c r="F1053"/>
      <c r="G1053"/>
      <c r="H1053"/>
      <c r="I1053"/>
      <c r="N1053"/>
      <c r="O1053"/>
    </row>
    <row r="1054" spans="1:15" x14ac:dyDescent="0.3">
      <c r="A1054"/>
      <c r="B1054"/>
      <c r="C1054"/>
      <c r="D1054"/>
      <c r="E1054"/>
      <c r="F1054"/>
      <c r="G1054"/>
      <c r="H1054"/>
      <c r="I1054"/>
      <c r="N1054"/>
      <c r="O1054"/>
    </row>
    <row r="1055" spans="1:15" x14ac:dyDescent="0.3">
      <c r="A1055"/>
      <c r="B1055"/>
      <c r="C1055"/>
      <c r="D1055"/>
      <c r="E1055"/>
      <c r="F1055"/>
      <c r="G1055"/>
      <c r="H1055"/>
      <c r="I1055"/>
      <c r="N1055"/>
      <c r="O1055"/>
    </row>
    <row r="1056" spans="1:15" x14ac:dyDescent="0.3">
      <c r="A1056"/>
      <c r="B1056"/>
      <c r="C1056"/>
      <c r="D1056"/>
      <c r="E1056"/>
      <c r="F1056"/>
      <c r="G1056"/>
      <c r="H1056"/>
      <c r="I1056"/>
      <c r="N1056"/>
      <c r="O1056"/>
    </row>
    <row r="1057" spans="1:15" x14ac:dyDescent="0.3">
      <c r="A1057"/>
      <c r="B1057"/>
      <c r="C1057"/>
      <c r="D1057"/>
      <c r="E1057"/>
      <c r="F1057"/>
      <c r="G1057"/>
      <c r="H1057"/>
      <c r="I1057"/>
      <c r="N1057"/>
      <c r="O1057"/>
    </row>
    <row r="1058" spans="1:15" x14ac:dyDescent="0.3">
      <c r="A1058"/>
      <c r="B1058"/>
      <c r="C1058"/>
      <c r="D1058"/>
      <c r="E1058"/>
      <c r="F1058"/>
      <c r="G1058"/>
      <c r="H1058"/>
      <c r="I1058"/>
      <c r="N1058"/>
      <c r="O1058"/>
    </row>
    <row r="1059" spans="1:15" x14ac:dyDescent="0.3">
      <c r="A1059"/>
      <c r="B1059"/>
      <c r="C1059"/>
      <c r="D1059"/>
      <c r="E1059"/>
      <c r="F1059"/>
      <c r="G1059"/>
      <c r="H1059"/>
      <c r="I1059"/>
      <c r="N1059"/>
      <c r="O1059"/>
    </row>
    <row r="1060" spans="1:15" x14ac:dyDescent="0.3">
      <c r="A1060"/>
      <c r="B1060"/>
      <c r="C1060"/>
      <c r="D1060"/>
      <c r="E1060"/>
      <c r="F1060"/>
      <c r="G1060"/>
      <c r="H1060"/>
      <c r="I1060"/>
      <c r="N1060"/>
      <c r="O1060"/>
    </row>
    <row r="1061" spans="1:15" x14ac:dyDescent="0.3">
      <c r="A1061"/>
      <c r="B1061"/>
      <c r="C1061"/>
      <c r="D1061"/>
      <c r="E1061"/>
      <c r="F1061"/>
      <c r="G1061"/>
      <c r="H1061"/>
      <c r="I1061"/>
      <c r="N1061"/>
      <c r="O1061"/>
    </row>
    <row r="1062" spans="1:15" x14ac:dyDescent="0.3">
      <c r="A1062"/>
      <c r="B1062"/>
      <c r="C1062"/>
      <c r="D1062"/>
      <c r="E1062"/>
      <c r="F1062"/>
      <c r="G1062"/>
      <c r="H1062"/>
      <c r="I1062"/>
      <c r="N1062"/>
      <c r="O1062"/>
    </row>
    <row r="1063" spans="1:15" x14ac:dyDescent="0.3">
      <c r="A1063"/>
      <c r="B1063"/>
      <c r="C1063"/>
      <c r="D1063"/>
      <c r="E1063"/>
      <c r="F1063"/>
      <c r="G1063"/>
      <c r="H1063"/>
      <c r="I1063"/>
      <c r="N1063"/>
      <c r="O1063"/>
    </row>
    <row r="1064" spans="1:15" x14ac:dyDescent="0.3">
      <c r="A1064"/>
      <c r="B1064"/>
      <c r="C1064"/>
      <c r="D1064"/>
      <c r="E1064"/>
      <c r="F1064"/>
      <c r="G1064"/>
      <c r="H1064"/>
      <c r="I1064"/>
      <c r="N1064"/>
      <c r="O1064"/>
    </row>
    <row r="1065" spans="1:15" x14ac:dyDescent="0.3">
      <c r="A1065"/>
      <c r="B1065"/>
      <c r="C1065"/>
      <c r="D1065"/>
      <c r="E1065"/>
      <c r="F1065"/>
      <c r="G1065"/>
      <c r="H1065"/>
      <c r="I1065"/>
      <c r="N1065"/>
      <c r="O1065"/>
    </row>
    <row r="1066" spans="1:15" x14ac:dyDescent="0.3">
      <c r="A1066"/>
      <c r="B1066"/>
      <c r="C1066"/>
      <c r="D1066"/>
      <c r="E1066"/>
      <c r="F1066"/>
      <c r="G1066"/>
      <c r="H1066"/>
      <c r="I1066"/>
      <c r="N1066"/>
      <c r="O1066"/>
    </row>
    <row r="1067" spans="1:15" x14ac:dyDescent="0.3">
      <c r="A1067"/>
      <c r="B1067"/>
      <c r="C1067"/>
      <c r="D1067"/>
      <c r="E1067"/>
      <c r="F1067"/>
      <c r="G1067"/>
      <c r="H1067"/>
      <c r="I1067"/>
      <c r="N1067"/>
      <c r="O1067"/>
    </row>
    <row r="1068" spans="1:15" x14ac:dyDescent="0.3">
      <c r="A1068"/>
      <c r="B1068"/>
      <c r="C1068"/>
      <c r="D1068"/>
      <c r="E1068"/>
      <c r="F1068"/>
      <c r="G1068"/>
      <c r="H1068"/>
      <c r="I1068"/>
      <c r="N1068"/>
      <c r="O1068"/>
    </row>
    <row r="1069" spans="1:15" x14ac:dyDescent="0.3">
      <c r="A1069"/>
      <c r="B1069"/>
      <c r="C1069"/>
      <c r="D1069"/>
      <c r="E1069"/>
      <c r="F1069"/>
      <c r="G1069"/>
      <c r="H1069"/>
      <c r="I1069"/>
      <c r="N1069"/>
      <c r="O1069"/>
    </row>
    <row r="1070" spans="1:15" x14ac:dyDescent="0.3">
      <c r="A1070"/>
      <c r="B1070"/>
      <c r="C1070"/>
      <c r="D1070"/>
      <c r="E1070"/>
      <c r="F1070"/>
      <c r="G1070"/>
      <c r="H1070"/>
      <c r="I1070"/>
      <c r="N1070"/>
      <c r="O1070"/>
    </row>
    <row r="1071" spans="1:15" x14ac:dyDescent="0.3">
      <c r="A1071"/>
      <c r="B1071"/>
      <c r="C1071"/>
      <c r="D1071"/>
      <c r="E1071"/>
      <c r="F1071"/>
      <c r="G1071"/>
      <c r="H1071"/>
      <c r="I1071"/>
      <c r="N1071"/>
      <c r="O1071"/>
    </row>
    <row r="1072" spans="1:15" x14ac:dyDescent="0.3">
      <c r="A1072"/>
      <c r="B1072"/>
      <c r="C1072"/>
      <c r="D1072"/>
      <c r="E1072"/>
      <c r="F1072"/>
      <c r="G1072"/>
      <c r="H1072"/>
      <c r="I1072"/>
      <c r="N1072"/>
      <c r="O1072"/>
    </row>
    <row r="1073" spans="1:15" x14ac:dyDescent="0.3">
      <c r="A1073"/>
      <c r="B1073"/>
      <c r="C1073"/>
      <c r="D1073"/>
      <c r="E1073"/>
      <c r="F1073"/>
      <c r="G1073"/>
      <c r="H1073"/>
      <c r="I1073"/>
      <c r="N1073"/>
      <c r="O1073"/>
    </row>
    <row r="1074" spans="1:15" x14ac:dyDescent="0.3">
      <c r="A1074"/>
      <c r="B1074"/>
      <c r="C1074"/>
      <c r="D1074"/>
      <c r="E1074"/>
      <c r="F1074"/>
      <c r="G1074"/>
      <c r="H1074"/>
      <c r="I1074"/>
      <c r="N1074"/>
      <c r="O1074"/>
    </row>
    <row r="1075" spans="1:15" x14ac:dyDescent="0.3">
      <c r="A1075"/>
      <c r="B1075"/>
      <c r="C1075"/>
      <c r="D1075"/>
      <c r="E1075"/>
      <c r="F1075"/>
      <c r="G1075"/>
      <c r="H1075"/>
      <c r="I1075"/>
      <c r="N1075"/>
      <c r="O1075"/>
    </row>
    <row r="1076" spans="1:15" x14ac:dyDescent="0.3">
      <c r="A1076"/>
      <c r="B1076"/>
      <c r="C1076"/>
      <c r="D1076"/>
      <c r="E1076"/>
      <c r="F1076"/>
      <c r="G1076"/>
      <c r="H1076"/>
      <c r="I1076"/>
      <c r="N1076"/>
      <c r="O1076"/>
    </row>
    <row r="1077" spans="1:15" x14ac:dyDescent="0.3">
      <c r="A1077"/>
      <c r="B1077"/>
      <c r="C1077"/>
      <c r="D1077"/>
      <c r="E1077"/>
      <c r="F1077"/>
      <c r="G1077"/>
      <c r="H1077"/>
      <c r="I1077"/>
      <c r="N1077"/>
      <c r="O1077"/>
    </row>
    <row r="1078" spans="1:15" x14ac:dyDescent="0.3">
      <c r="A1078"/>
      <c r="B1078"/>
      <c r="C1078"/>
      <c r="D1078"/>
      <c r="E1078"/>
      <c r="F1078"/>
      <c r="G1078"/>
      <c r="H1078"/>
      <c r="I1078"/>
      <c r="N1078"/>
      <c r="O1078"/>
    </row>
    <row r="1079" spans="1:15" x14ac:dyDescent="0.3">
      <c r="A1079"/>
      <c r="B1079"/>
      <c r="C1079"/>
      <c r="D1079"/>
      <c r="E1079"/>
      <c r="F1079"/>
      <c r="G1079"/>
      <c r="H1079"/>
      <c r="I1079"/>
      <c r="N1079"/>
      <c r="O1079"/>
    </row>
    <row r="1080" spans="1:15" x14ac:dyDescent="0.3">
      <c r="A1080"/>
      <c r="B1080"/>
      <c r="C1080"/>
      <c r="D1080"/>
      <c r="E1080"/>
      <c r="F1080"/>
      <c r="G1080"/>
      <c r="H1080"/>
      <c r="I1080"/>
      <c r="N1080"/>
      <c r="O1080"/>
    </row>
    <row r="1081" spans="1:15" x14ac:dyDescent="0.3">
      <c r="A1081"/>
      <c r="B1081"/>
      <c r="C1081"/>
      <c r="D1081"/>
      <c r="E1081"/>
      <c r="F1081"/>
      <c r="G1081"/>
      <c r="H1081"/>
      <c r="I1081"/>
      <c r="O1081"/>
    </row>
    <row r="1082" spans="1:15" x14ac:dyDescent="0.3">
      <c r="A1082"/>
      <c r="B1082"/>
      <c r="C1082"/>
      <c r="D1082"/>
      <c r="E1082"/>
      <c r="F1082"/>
      <c r="G1082"/>
      <c r="H1082"/>
      <c r="I1082"/>
      <c r="O1082"/>
    </row>
    <row r="1083" spans="1:15" x14ac:dyDescent="0.3">
      <c r="A1083"/>
      <c r="B1083"/>
      <c r="C1083"/>
      <c r="D1083"/>
      <c r="E1083"/>
      <c r="F1083"/>
      <c r="G1083"/>
      <c r="H1083"/>
      <c r="I1083"/>
      <c r="O1083"/>
    </row>
    <row r="1084" spans="1:15" x14ac:dyDescent="0.3">
      <c r="A1084"/>
      <c r="B1084"/>
      <c r="C1084"/>
      <c r="D1084"/>
      <c r="E1084"/>
      <c r="F1084"/>
      <c r="G1084"/>
      <c r="H1084"/>
      <c r="I1084"/>
      <c r="O1084"/>
    </row>
    <row r="1085" spans="1:15" x14ac:dyDescent="0.3">
      <c r="A1085"/>
      <c r="B1085"/>
      <c r="C1085"/>
      <c r="D1085"/>
      <c r="E1085"/>
      <c r="F1085"/>
      <c r="G1085"/>
      <c r="H1085"/>
      <c r="I1085"/>
      <c r="O1085"/>
    </row>
    <row r="1086" spans="1:15" x14ac:dyDescent="0.3">
      <c r="A1086"/>
      <c r="B1086"/>
      <c r="C1086"/>
      <c r="D1086"/>
      <c r="E1086"/>
      <c r="F1086"/>
      <c r="G1086"/>
      <c r="H1086"/>
      <c r="I1086"/>
      <c r="O1086"/>
    </row>
    <row r="1087" spans="1:15" x14ac:dyDescent="0.3">
      <c r="A1087"/>
      <c r="B1087"/>
      <c r="C1087"/>
      <c r="D1087"/>
      <c r="E1087"/>
      <c r="F1087"/>
      <c r="G1087"/>
      <c r="H1087"/>
      <c r="I1087"/>
      <c r="O1087"/>
    </row>
    <row r="1088" spans="1:15" x14ac:dyDescent="0.3">
      <c r="A1088"/>
      <c r="B1088"/>
      <c r="C1088"/>
      <c r="D1088"/>
      <c r="E1088"/>
      <c r="F1088"/>
      <c r="G1088"/>
      <c r="H1088"/>
      <c r="I1088"/>
      <c r="O1088"/>
    </row>
    <row r="1089" spans="1:15" x14ac:dyDescent="0.3">
      <c r="A1089"/>
      <c r="B1089"/>
      <c r="C1089"/>
      <c r="D1089"/>
      <c r="E1089"/>
      <c r="F1089"/>
      <c r="G1089"/>
      <c r="H1089"/>
      <c r="I1089"/>
      <c r="O1089"/>
    </row>
    <row r="1090" spans="1:15" x14ac:dyDescent="0.3">
      <c r="A1090"/>
      <c r="B1090"/>
      <c r="C1090"/>
      <c r="D1090"/>
      <c r="E1090"/>
      <c r="F1090"/>
      <c r="G1090"/>
      <c r="H1090"/>
      <c r="I1090"/>
      <c r="O1090"/>
    </row>
    <row r="1091" spans="1:15" x14ac:dyDescent="0.3">
      <c r="A1091"/>
      <c r="B1091"/>
      <c r="C1091"/>
      <c r="D1091"/>
      <c r="E1091"/>
      <c r="F1091"/>
      <c r="G1091"/>
      <c r="H1091"/>
      <c r="I1091"/>
      <c r="O1091"/>
    </row>
    <row r="1092" spans="1:15" x14ac:dyDescent="0.3">
      <c r="A1092"/>
      <c r="B1092"/>
      <c r="C1092"/>
      <c r="D1092"/>
      <c r="E1092"/>
      <c r="F1092"/>
      <c r="G1092"/>
      <c r="H1092"/>
      <c r="I1092"/>
      <c r="O1092"/>
    </row>
    <row r="1093" spans="1:15" x14ac:dyDescent="0.3">
      <c r="A1093"/>
      <c r="B1093"/>
      <c r="C1093"/>
      <c r="D1093"/>
      <c r="E1093"/>
      <c r="F1093"/>
      <c r="G1093"/>
      <c r="H1093"/>
      <c r="I1093"/>
    </row>
    <row r="1094" spans="1:15" x14ac:dyDescent="0.3">
      <c r="A1094"/>
      <c r="B1094"/>
      <c r="C1094"/>
      <c r="D1094"/>
      <c r="E1094"/>
      <c r="F1094"/>
      <c r="G1094"/>
      <c r="H1094"/>
      <c r="I1094"/>
    </row>
    <row r="1095" spans="1:15" x14ac:dyDescent="0.3">
      <c r="A1095"/>
      <c r="B1095"/>
      <c r="C1095"/>
      <c r="D1095"/>
      <c r="E1095"/>
      <c r="F1095"/>
      <c r="G1095"/>
      <c r="H1095"/>
      <c r="I1095"/>
    </row>
    <row r="1096" spans="1:15" x14ac:dyDescent="0.3">
      <c r="A1096"/>
      <c r="B1096"/>
      <c r="C1096"/>
      <c r="D1096"/>
      <c r="E1096"/>
      <c r="F1096"/>
      <c r="G1096"/>
      <c r="H1096"/>
      <c r="I1096"/>
    </row>
    <row r="1097" spans="1:15" x14ac:dyDescent="0.3">
      <c r="A1097"/>
      <c r="B1097"/>
      <c r="C1097"/>
      <c r="D1097"/>
      <c r="E1097"/>
      <c r="F1097"/>
      <c r="G1097"/>
      <c r="H1097"/>
      <c r="I1097"/>
    </row>
    <row r="1098" spans="1:15" x14ac:dyDescent="0.3">
      <c r="A1098"/>
      <c r="B1098"/>
      <c r="C1098"/>
      <c r="D1098"/>
      <c r="E1098"/>
      <c r="F1098"/>
      <c r="G1098"/>
      <c r="H1098"/>
      <c r="I1098"/>
    </row>
    <row r="1099" spans="1:15" x14ac:dyDescent="0.3">
      <c r="A1099"/>
      <c r="B1099"/>
      <c r="C1099"/>
      <c r="D1099"/>
      <c r="E1099"/>
      <c r="F1099"/>
      <c r="G1099"/>
      <c r="H1099"/>
      <c r="I1099"/>
    </row>
    <row r="1100" spans="1:15" x14ac:dyDescent="0.3">
      <c r="A1100"/>
      <c r="B1100"/>
      <c r="C1100"/>
      <c r="D1100"/>
      <c r="E1100"/>
      <c r="F1100"/>
      <c r="G1100"/>
      <c r="H1100"/>
      <c r="I1100"/>
    </row>
    <row r="1101" spans="1:15" x14ac:dyDescent="0.3">
      <c r="A1101"/>
      <c r="B1101"/>
      <c r="C1101"/>
      <c r="D1101"/>
      <c r="E1101"/>
      <c r="F1101"/>
      <c r="G1101"/>
      <c r="H1101"/>
      <c r="I1101"/>
    </row>
    <row r="1102" spans="1:15" x14ac:dyDescent="0.3">
      <c r="A1102"/>
      <c r="B1102"/>
      <c r="C1102"/>
      <c r="D1102"/>
      <c r="E1102"/>
      <c r="F1102"/>
      <c r="G1102"/>
      <c r="H1102"/>
      <c r="I1102"/>
    </row>
    <row r="1103" spans="1:15" x14ac:dyDescent="0.3">
      <c r="A1103"/>
      <c r="B1103"/>
      <c r="C1103"/>
      <c r="D1103"/>
      <c r="E1103"/>
      <c r="F1103"/>
      <c r="G1103"/>
      <c r="H1103"/>
      <c r="I1103"/>
    </row>
    <row r="1104" spans="1:15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9" x14ac:dyDescent="0.3">
      <c r="A1217"/>
      <c r="B1217"/>
      <c r="C1217"/>
      <c r="D1217"/>
      <c r="E1217"/>
      <c r="F1217"/>
      <c r="G1217"/>
      <c r="H1217"/>
      <c r="I1217"/>
    </row>
    <row r="1218" spans="1:9" x14ac:dyDescent="0.3">
      <c r="A1218"/>
      <c r="B1218"/>
      <c r="C1218"/>
      <c r="D1218"/>
      <c r="E1218"/>
      <c r="F1218"/>
      <c r="G1218"/>
      <c r="H1218"/>
      <c r="I1218"/>
    </row>
    <row r="1219" spans="1:9" x14ac:dyDescent="0.3">
      <c r="A1219"/>
      <c r="B1219"/>
      <c r="C1219"/>
      <c r="D1219"/>
      <c r="E1219"/>
      <c r="F1219"/>
      <c r="G1219"/>
      <c r="H1219"/>
      <c r="I1219"/>
    </row>
    <row r="1220" spans="1:9" x14ac:dyDescent="0.3">
      <c r="A1220"/>
      <c r="B1220"/>
      <c r="C1220"/>
      <c r="D1220"/>
      <c r="E1220"/>
      <c r="F1220"/>
      <c r="G1220"/>
      <c r="H1220"/>
      <c r="I1220"/>
    </row>
    <row r="1221" spans="1:9" x14ac:dyDescent="0.3">
      <c r="A1221"/>
      <c r="B1221"/>
      <c r="C1221"/>
      <c r="D1221"/>
      <c r="E1221"/>
      <c r="F1221"/>
      <c r="G1221"/>
      <c r="H1221"/>
      <c r="I1221"/>
    </row>
    <row r="1222" spans="1:9" x14ac:dyDescent="0.3">
      <c r="A1222"/>
      <c r="B1222"/>
      <c r="C1222"/>
      <c r="D1222"/>
      <c r="E1222"/>
      <c r="F1222"/>
      <c r="G1222"/>
      <c r="H1222"/>
      <c r="I1222"/>
    </row>
    <row r="1223" spans="1:9" x14ac:dyDescent="0.3">
      <c r="A1223"/>
      <c r="B1223"/>
      <c r="C1223"/>
      <c r="D1223"/>
      <c r="E1223"/>
      <c r="F1223"/>
      <c r="G1223"/>
      <c r="H1223"/>
      <c r="I1223"/>
    </row>
    <row r="1224" spans="1:9" x14ac:dyDescent="0.3">
      <c r="A1224"/>
      <c r="B1224"/>
      <c r="C1224"/>
      <c r="D1224"/>
      <c r="E1224"/>
      <c r="F1224"/>
      <c r="G1224"/>
      <c r="H1224"/>
      <c r="I1224"/>
    </row>
    <row r="1225" spans="1:9" x14ac:dyDescent="0.3">
      <c r="A1225"/>
      <c r="B1225"/>
      <c r="C1225"/>
      <c r="D1225"/>
      <c r="E1225"/>
      <c r="F1225"/>
      <c r="G1225"/>
      <c r="H1225"/>
      <c r="I1225"/>
    </row>
    <row r="1226" spans="1:9" x14ac:dyDescent="0.3">
      <c r="A1226"/>
      <c r="B1226"/>
      <c r="C1226"/>
      <c r="D1226"/>
      <c r="E1226"/>
      <c r="F1226"/>
      <c r="G1226"/>
      <c r="H1226"/>
      <c r="I1226"/>
    </row>
    <row r="1227" spans="1:9" x14ac:dyDescent="0.3">
      <c r="A1227"/>
      <c r="B1227"/>
      <c r="C1227"/>
      <c r="D1227"/>
      <c r="E1227"/>
      <c r="F1227"/>
      <c r="G1227"/>
      <c r="H1227"/>
      <c r="I1227"/>
    </row>
    <row r="1228" spans="1:9" x14ac:dyDescent="0.3">
      <c r="A1228"/>
      <c r="B1228"/>
      <c r="C1228"/>
      <c r="D1228"/>
      <c r="E1228"/>
      <c r="F1228"/>
      <c r="G1228"/>
      <c r="H1228"/>
      <c r="I1228"/>
    </row>
    <row r="1229" spans="1:9" x14ac:dyDescent="0.3">
      <c r="A1229"/>
      <c r="B1229"/>
      <c r="C1229"/>
      <c r="D1229"/>
      <c r="E1229"/>
      <c r="F1229"/>
      <c r="G1229"/>
      <c r="H1229"/>
      <c r="I1229"/>
    </row>
    <row r="1230" spans="1:9" x14ac:dyDescent="0.3">
      <c r="A1230"/>
      <c r="B1230"/>
      <c r="C1230"/>
      <c r="D1230"/>
      <c r="E1230"/>
      <c r="F1230"/>
      <c r="G1230"/>
      <c r="H1230"/>
      <c r="I1230"/>
    </row>
    <row r="1231" spans="1:9" x14ac:dyDescent="0.3">
      <c r="A1231"/>
      <c r="B1231"/>
      <c r="C1231"/>
      <c r="D1231"/>
      <c r="E1231"/>
      <c r="F1231"/>
      <c r="G1231"/>
      <c r="H1231"/>
      <c r="I1231"/>
    </row>
    <row r="1232" spans="1:9" x14ac:dyDescent="0.3">
      <c r="A1232"/>
      <c r="B1232"/>
      <c r="C1232"/>
      <c r="D1232"/>
      <c r="E1232"/>
      <c r="F1232"/>
      <c r="G1232"/>
      <c r="H1232"/>
      <c r="I1232"/>
    </row>
    <row r="1233" spans="1:9" x14ac:dyDescent="0.3">
      <c r="A1233"/>
      <c r="B1233"/>
      <c r="C1233"/>
      <c r="D1233"/>
      <c r="E1233"/>
      <c r="F1233"/>
      <c r="G1233"/>
      <c r="H1233"/>
      <c r="I1233"/>
    </row>
    <row r="1234" spans="1:9" x14ac:dyDescent="0.3">
      <c r="A1234"/>
      <c r="B1234"/>
      <c r="C1234"/>
      <c r="D1234"/>
      <c r="E1234"/>
      <c r="F1234"/>
      <c r="G1234"/>
      <c r="H1234"/>
      <c r="I1234"/>
    </row>
    <row r="1235" spans="1:9" x14ac:dyDescent="0.3">
      <c r="A1235"/>
      <c r="B1235"/>
      <c r="C1235"/>
      <c r="D1235"/>
      <c r="E1235"/>
      <c r="F1235"/>
      <c r="G1235"/>
      <c r="H1235"/>
      <c r="I1235"/>
    </row>
    <row r="1236" spans="1:9" x14ac:dyDescent="0.3">
      <c r="A1236"/>
      <c r="B1236"/>
      <c r="C1236"/>
      <c r="D1236"/>
      <c r="E1236"/>
      <c r="F1236"/>
      <c r="G1236"/>
      <c r="H1236"/>
      <c r="I1236"/>
    </row>
    <row r="1237" spans="1:9" x14ac:dyDescent="0.3">
      <c r="A1237"/>
      <c r="B1237"/>
      <c r="C1237"/>
      <c r="D1237"/>
      <c r="E1237"/>
      <c r="F1237"/>
      <c r="G1237"/>
      <c r="H1237"/>
      <c r="I1237"/>
    </row>
    <row r="1238" spans="1:9" x14ac:dyDescent="0.3">
      <c r="A1238"/>
      <c r="B1238"/>
      <c r="C1238"/>
      <c r="D1238"/>
      <c r="E1238"/>
      <c r="F1238"/>
      <c r="G1238"/>
      <c r="H1238"/>
      <c r="I1238"/>
    </row>
    <row r="1239" spans="1:9" x14ac:dyDescent="0.3">
      <c r="A1239"/>
      <c r="B1239"/>
      <c r="C1239"/>
      <c r="D1239"/>
      <c r="E1239"/>
      <c r="F1239"/>
      <c r="G1239"/>
      <c r="H1239"/>
      <c r="I1239"/>
    </row>
    <row r="1240" spans="1:9" x14ac:dyDescent="0.3">
      <c r="A1240"/>
      <c r="B1240"/>
      <c r="C1240"/>
      <c r="D1240"/>
      <c r="E1240"/>
      <c r="F1240"/>
      <c r="G1240"/>
      <c r="H1240"/>
      <c r="I1240"/>
    </row>
    <row r="1241" spans="1:9" x14ac:dyDescent="0.3">
      <c r="A1241"/>
      <c r="B1241"/>
      <c r="C1241"/>
      <c r="D1241"/>
      <c r="E1241"/>
      <c r="F1241"/>
      <c r="G1241"/>
      <c r="H1241"/>
      <c r="I1241"/>
    </row>
    <row r="1242" spans="1:9" x14ac:dyDescent="0.3">
      <c r="A1242"/>
      <c r="B1242"/>
      <c r="C1242"/>
      <c r="D1242"/>
      <c r="E1242"/>
      <c r="F1242"/>
      <c r="G1242"/>
      <c r="H1242"/>
      <c r="I1242"/>
    </row>
    <row r="1243" spans="1:9" x14ac:dyDescent="0.3">
      <c r="A1243"/>
      <c r="B1243"/>
      <c r="C1243"/>
      <c r="D1243"/>
      <c r="E1243"/>
      <c r="F1243"/>
      <c r="G1243"/>
      <c r="H1243"/>
      <c r="I1243"/>
    </row>
    <row r="1244" spans="1:9" x14ac:dyDescent="0.3">
      <c r="A1244"/>
      <c r="B1244"/>
      <c r="C1244"/>
      <c r="D1244"/>
      <c r="E1244"/>
      <c r="F1244"/>
      <c r="G1244"/>
      <c r="H1244"/>
      <c r="I1244"/>
    </row>
    <row r="1245" spans="1:9" x14ac:dyDescent="0.3">
      <c r="A1245"/>
      <c r="B1245"/>
      <c r="C1245"/>
      <c r="D1245"/>
      <c r="E1245"/>
      <c r="F1245"/>
      <c r="G1245"/>
      <c r="H1245"/>
      <c r="I1245"/>
    </row>
    <row r="1246" spans="1:9" x14ac:dyDescent="0.3">
      <c r="A1246"/>
      <c r="B1246"/>
      <c r="C1246"/>
      <c r="D1246"/>
      <c r="E1246"/>
      <c r="F1246"/>
      <c r="G1246"/>
      <c r="H1246"/>
      <c r="I1246"/>
    </row>
    <row r="1247" spans="1:9" x14ac:dyDescent="0.3">
      <c r="A1247"/>
      <c r="B1247"/>
      <c r="C1247"/>
      <c r="D1247"/>
      <c r="E1247"/>
      <c r="F1247"/>
      <c r="G1247"/>
      <c r="H1247"/>
      <c r="I1247"/>
    </row>
    <row r="1248" spans="1:9" x14ac:dyDescent="0.3">
      <c r="A1248"/>
      <c r="B1248"/>
      <c r="C1248"/>
      <c r="D1248"/>
      <c r="E1248"/>
      <c r="F1248"/>
      <c r="G1248"/>
      <c r="H1248"/>
      <c r="I1248"/>
    </row>
    <row r="1249" spans="1:9" x14ac:dyDescent="0.3">
      <c r="A1249"/>
      <c r="B1249"/>
      <c r="C1249"/>
      <c r="D1249"/>
      <c r="E1249"/>
      <c r="F1249"/>
      <c r="G1249"/>
      <c r="H1249"/>
      <c r="I1249"/>
    </row>
    <row r="1250" spans="1:9" x14ac:dyDescent="0.3">
      <c r="A1250"/>
      <c r="B1250"/>
      <c r="C1250"/>
      <c r="D1250"/>
      <c r="E1250"/>
      <c r="F1250"/>
      <c r="G1250"/>
      <c r="H1250"/>
      <c r="I1250"/>
    </row>
    <row r="1251" spans="1:9" x14ac:dyDescent="0.3">
      <c r="A1251"/>
      <c r="B1251"/>
      <c r="C1251"/>
      <c r="D1251"/>
      <c r="E1251"/>
      <c r="F1251"/>
      <c r="G1251"/>
      <c r="H1251"/>
      <c r="I1251"/>
    </row>
    <row r="1252" spans="1:9" x14ac:dyDescent="0.3">
      <c r="A1252"/>
      <c r="B1252"/>
      <c r="C1252"/>
      <c r="D1252"/>
      <c r="E1252"/>
      <c r="F1252"/>
      <c r="G1252"/>
      <c r="H1252"/>
      <c r="I1252"/>
    </row>
    <row r="1253" spans="1:9" x14ac:dyDescent="0.3">
      <c r="A1253"/>
      <c r="B1253"/>
      <c r="C1253"/>
      <c r="D1253"/>
      <c r="E1253"/>
      <c r="F1253"/>
      <c r="G1253"/>
      <c r="H1253"/>
      <c r="I1253"/>
    </row>
    <row r="1254" spans="1:9" x14ac:dyDescent="0.3">
      <c r="A1254"/>
      <c r="B1254"/>
      <c r="C1254"/>
      <c r="D1254"/>
      <c r="E1254"/>
      <c r="F1254"/>
      <c r="G1254"/>
      <c r="H1254"/>
      <c r="I1254"/>
    </row>
    <row r="1255" spans="1:9" x14ac:dyDescent="0.3">
      <c r="A1255"/>
      <c r="B1255"/>
      <c r="C1255"/>
      <c r="D1255"/>
      <c r="E1255"/>
      <c r="F1255"/>
      <c r="G1255"/>
      <c r="H1255"/>
      <c r="I1255"/>
    </row>
    <row r="1256" spans="1:9" x14ac:dyDescent="0.3">
      <c r="A1256"/>
      <c r="B1256"/>
      <c r="C1256"/>
      <c r="D1256"/>
      <c r="E1256"/>
      <c r="F1256"/>
      <c r="G1256"/>
      <c r="H1256"/>
      <c r="I1256"/>
    </row>
    <row r="1257" spans="1:9" x14ac:dyDescent="0.3">
      <c r="A1257"/>
      <c r="B1257"/>
      <c r="C1257"/>
      <c r="D1257"/>
      <c r="E1257"/>
      <c r="F1257"/>
      <c r="G1257"/>
      <c r="H1257"/>
      <c r="I1257"/>
    </row>
    <row r="1258" spans="1:9" x14ac:dyDescent="0.3">
      <c r="A1258"/>
      <c r="B1258"/>
      <c r="C1258"/>
      <c r="D1258"/>
      <c r="E1258"/>
      <c r="F1258"/>
      <c r="G1258"/>
      <c r="H1258"/>
      <c r="I1258"/>
    </row>
    <row r="1259" spans="1:9" x14ac:dyDescent="0.3">
      <c r="A1259"/>
      <c r="B1259"/>
      <c r="C1259"/>
      <c r="D1259"/>
      <c r="E1259"/>
      <c r="F1259"/>
      <c r="G1259"/>
      <c r="H1259"/>
      <c r="I1259"/>
    </row>
    <row r="1260" spans="1:9" x14ac:dyDescent="0.3">
      <c r="A1260"/>
      <c r="B1260"/>
      <c r="C1260"/>
      <c r="D1260"/>
      <c r="E1260"/>
      <c r="F1260"/>
      <c r="G1260"/>
      <c r="H1260"/>
      <c r="I1260"/>
    </row>
    <row r="1261" spans="1:9" x14ac:dyDescent="0.3">
      <c r="A1261"/>
      <c r="B1261"/>
      <c r="C1261"/>
      <c r="D1261"/>
      <c r="E1261"/>
      <c r="F1261"/>
      <c r="G1261"/>
      <c r="H1261"/>
      <c r="I1261"/>
    </row>
    <row r="1262" spans="1:9" x14ac:dyDescent="0.3">
      <c r="A1262"/>
      <c r="B1262"/>
      <c r="C1262"/>
      <c r="D1262"/>
      <c r="E1262"/>
      <c r="F1262"/>
      <c r="G1262"/>
      <c r="H1262"/>
      <c r="I1262"/>
    </row>
    <row r="1263" spans="1:9" x14ac:dyDescent="0.3">
      <c r="A1263"/>
      <c r="B1263"/>
      <c r="C1263"/>
      <c r="D1263"/>
      <c r="E1263"/>
      <c r="F1263"/>
      <c r="G1263"/>
      <c r="H1263"/>
      <c r="I1263"/>
    </row>
    <row r="1264" spans="1:9" x14ac:dyDescent="0.3">
      <c r="A1264"/>
      <c r="B1264"/>
      <c r="C1264"/>
      <c r="D1264"/>
      <c r="E1264"/>
      <c r="F1264"/>
      <c r="G1264"/>
      <c r="H1264"/>
      <c r="I1264"/>
    </row>
    <row r="1265" spans="1:19" x14ac:dyDescent="0.3">
      <c r="A1265"/>
      <c r="B1265"/>
      <c r="C1265"/>
      <c r="D1265"/>
      <c r="E1265"/>
      <c r="F1265"/>
      <c r="G1265"/>
      <c r="H1265"/>
      <c r="I1265"/>
    </row>
    <row r="1266" spans="1:19" x14ac:dyDescent="0.3">
      <c r="A1266"/>
      <c r="B1266"/>
      <c r="C1266"/>
      <c r="D1266"/>
      <c r="E1266"/>
      <c r="F1266"/>
      <c r="G1266"/>
      <c r="H1266"/>
      <c r="I1266"/>
    </row>
    <row r="1267" spans="1:19" x14ac:dyDescent="0.3">
      <c r="A1267"/>
      <c r="B1267"/>
      <c r="C1267"/>
      <c r="D1267"/>
      <c r="E1267"/>
      <c r="F1267"/>
      <c r="G1267"/>
      <c r="H1267"/>
      <c r="I1267"/>
    </row>
    <row r="1268" spans="1:19" x14ac:dyDescent="0.3">
      <c r="A1268"/>
      <c r="B1268"/>
      <c r="C1268"/>
      <c r="D1268"/>
      <c r="E1268"/>
      <c r="F1268"/>
      <c r="G1268"/>
      <c r="H1268"/>
      <c r="I1268"/>
    </row>
    <row r="1269" spans="1:19" x14ac:dyDescent="0.3">
      <c r="A1269"/>
      <c r="B1269"/>
      <c r="C1269"/>
      <c r="D1269"/>
      <c r="E1269"/>
      <c r="F1269"/>
      <c r="G1269"/>
      <c r="H1269"/>
      <c r="I1269"/>
    </row>
    <row r="1270" spans="1:19" x14ac:dyDescent="0.3">
      <c r="A1270"/>
      <c r="B1270"/>
      <c r="C1270"/>
      <c r="D1270"/>
      <c r="E1270"/>
      <c r="F1270"/>
      <c r="G1270"/>
      <c r="H1270"/>
      <c r="I1270"/>
    </row>
    <row r="1271" spans="1:19" x14ac:dyDescent="0.3">
      <c r="A1271"/>
      <c r="B1271"/>
      <c r="C1271"/>
      <c r="D1271"/>
      <c r="E1271"/>
      <c r="F1271"/>
      <c r="G1271"/>
      <c r="H1271"/>
      <c r="I1271"/>
    </row>
    <row r="1272" spans="1:19" x14ac:dyDescent="0.3">
      <c r="A1272"/>
      <c r="B1272"/>
      <c r="C1272"/>
      <c r="D1272"/>
      <c r="E1272"/>
      <c r="F1272"/>
      <c r="G1272"/>
      <c r="H1272"/>
      <c r="I1272"/>
    </row>
    <row r="1273" spans="1:19" x14ac:dyDescent="0.3">
      <c r="A1273"/>
      <c r="B1273"/>
      <c r="C1273"/>
      <c r="D1273"/>
      <c r="E1273"/>
      <c r="F1273"/>
      <c r="G1273"/>
      <c r="H1273"/>
      <c r="I1273"/>
    </row>
    <row r="1274" spans="1:19" x14ac:dyDescent="0.3">
      <c r="A1274"/>
      <c r="B1274"/>
      <c r="C1274"/>
      <c r="D1274"/>
      <c r="E1274"/>
      <c r="F1274"/>
      <c r="G1274"/>
      <c r="H1274"/>
      <c r="I1274"/>
    </row>
    <row r="1275" spans="1:19" x14ac:dyDescent="0.3">
      <c r="C1275"/>
      <c r="D1275"/>
      <c r="E1275"/>
      <c r="F1275"/>
      <c r="G1275"/>
      <c r="P1275" s="1">
        <f t="shared" ref="P1275:P1292" si="79">(B1257+Q$36)/P$36</f>
        <v>0.79928861788617889</v>
      </c>
      <c r="Q1275" s="1">
        <f t="shared" ref="Q1275:Q1292" si="80">(C1257+Q$36)/P$36</f>
        <v>0.79928861788617889</v>
      </c>
      <c r="R1275" s="1">
        <f t="shared" ref="R1275:R1292" si="81">(D1257+Q$38)/P$38</f>
        <v>0.82624655858060569</v>
      </c>
      <c r="S1275" s="1">
        <f t="shared" ref="S1275:S1292" si="82">(E1257+Q$39)/P$39</f>
        <v>0.94496726677577736</v>
      </c>
    </row>
    <row r="1276" spans="1:19" x14ac:dyDescent="0.3">
      <c r="C1276"/>
      <c r="D1276"/>
      <c r="E1276"/>
      <c r="F1276"/>
      <c r="G1276"/>
      <c r="P1276" s="1">
        <f t="shared" si="79"/>
        <v>0.79928861788617889</v>
      </c>
      <c r="Q1276" s="1">
        <f t="shared" si="80"/>
        <v>0.79928861788617889</v>
      </c>
      <c r="R1276" s="1">
        <f t="shared" si="81"/>
        <v>0.82624655858060569</v>
      </c>
      <c r="S1276" s="1">
        <f t="shared" si="82"/>
        <v>0.94496726677577736</v>
      </c>
    </row>
    <row r="1277" spans="1:19" x14ac:dyDescent="0.3">
      <c r="C1277"/>
      <c r="D1277"/>
      <c r="E1277"/>
      <c r="F1277"/>
      <c r="G1277"/>
      <c r="P1277" s="1">
        <f t="shared" si="79"/>
        <v>0.79928861788617889</v>
      </c>
      <c r="Q1277" s="1">
        <f t="shared" si="80"/>
        <v>0.79928861788617889</v>
      </c>
      <c r="R1277" s="1">
        <f t="shared" si="81"/>
        <v>0.82624655858060569</v>
      </c>
      <c r="S1277" s="1">
        <f t="shared" si="82"/>
        <v>0.94496726677577736</v>
      </c>
    </row>
    <row r="1278" spans="1:19" x14ac:dyDescent="0.3">
      <c r="C1278"/>
      <c r="D1278"/>
      <c r="E1278"/>
      <c r="F1278"/>
      <c r="G1278"/>
      <c r="P1278" s="1">
        <f t="shared" si="79"/>
        <v>0.79928861788617889</v>
      </c>
      <c r="Q1278" s="1">
        <f t="shared" si="80"/>
        <v>0.79928861788617889</v>
      </c>
      <c r="R1278" s="1">
        <f t="shared" si="81"/>
        <v>0.82624655858060569</v>
      </c>
      <c r="S1278" s="1">
        <f t="shared" si="82"/>
        <v>0.94496726677577736</v>
      </c>
    </row>
    <row r="1279" spans="1:19" x14ac:dyDescent="0.3">
      <c r="C1279"/>
      <c r="D1279"/>
      <c r="E1279"/>
      <c r="F1279"/>
      <c r="G1279"/>
      <c r="P1279" s="1">
        <f t="shared" si="79"/>
        <v>0.79928861788617889</v>
      </c>
      <c r="Q1279" s="1">
        <f t="shared" si="80"/>
        <v>0.79928861788617889</v>
      </c>
      <c r="R1279" s="1">
        <f t="shared" si="81"/>
        <v>0.82624655858060569</v>
      </c>
      <c r="S1279" s="1">
        <f t="shared" si="82"/>
        <v>0.94496726677577736</v>
      </c>
    </row>
    <row r="1280" spans="1:19" x14ac:dyDescent="0.3">
      <c r="C1280"/>
      <c r="D1280"/>
      <c r="E1280"/>
      <c r="F1280"/>
      <c r="G1280"/>
      <c r="P1280" s="1">
        <f t="shared" si="79"/>
        <v>0.79928861788617889</v>
      </c>
      <c r="Q1280" s="1">
        <f t="shared" si="80"/>
        <v>0.79928861788617889</v>
      </c>
      <c r="R1280" s="1">
        <f t="shared" si="81"/>
        <v>0.82624655858060569</v>
      </c>
      <c r="S1280" s="1">
        <f t="shared" si="82"/>
        <v>0.94496726677577736</v>
      </c>
    </row>
    <row r="1281" spans="3:19" x14ac:dyDescent="0.3">
      <c r="C1281"/>
      <c r="D1281"/>
      <c r="E1281"/>
      <c r="F1281"/>
      <c r="G1281"/>
      <c r="P1281" s="1">
        <f t="shared" si="79"/>
        <v>0.79928861788617889</v>
      </c>
      <c r="Q1281" s="1">
        <f t="shared" si="80"/>
        <v>0.79928861788617889</v>
      </c>
      <c r="R1281" s="1">
        <f t="shared" si="81"/>
        <v>0.82624655858060569</v>
      </c>
      <c r="S1281" s="1">
        <f t="shared" si="82"/>
        <v>0.94496726677577736</v>
      </c>
    </row>
    <row r="1282" spans="3:19" x14ac:dyDescent="0.3">
      <c r="C1282"/>
      <c r="D1282"/>
      <c r="E1282"/>
      <c r="F1282"/>
      <c r="G1282"/>
      <c r="P1282" s="1">
        <f t="shared" si="79"/>
        <v>0.79928861788617889</v>
      </c>
      <c r="Q1282" s="1">
        <f t="shared" si="80"/>
        <v>0.79928861788617889</v>
      </c>
      <c r="R1282" s="1">
        <f t="shared" si="81"/>
        <v>0.82624655858060569</v>
      </c>
      <c r="S1282" s="1">
        <f t="shared" si="82"/>
        <v>0.94496726677577736</v>
      </c>
    </row>
    <row r="1283" spans="3:19" x14ac:dyDescent="0.3">
      <c r="C1283"/>
      <c r="D1283"/>
      <c r="E1283"/>
      <c r="F1283"/>
      <c r="G1283"/>
      <c r="P1283" s="1">
        <f t="shared" si="79"/>
        <v>0.79928861788617889</v>
      </c>
      <c r="Q1283" s="1">
        <f t="shared" si="80"/>
        <v>0.79928861788617889</v>
      </c>
      <c r="R1283" s="1">
        <f t="shared" si="81"/>
        <v>0.82624655858060569</v>
      </c>
      <c r="S1283" s="1">
        <f t="shared" si="82"/>
        <v>0.94496726677577736</v>
      </c>
    </row>
    <row r="1284" spans="3:19" x14ac:dyDescent="0.3">
      <c r="C1284"/>
      <c r="D1284"/>
      <c r="E1284"/>
      <c r="F1284"/>
      <c r="G1284"/>
      <c r="P1284" s="1">
        <f t="shared" si="79"/>
        <v>0.79928861788617889</v>
      </c>
      <c r="Q1284" s="1">
        <f t="shared" si="80"/>
        <v>0.79928861788617889</v>
      </c>
      <c r="R1284" s="1">
        <f t="shared" si="81"/>
        <v>0.82624655858060569</v>
      </c>
      <c r="S1284" s="1">
        <f t="shared" si="82"/>
        <v>0.94496726677577736</v>
      </c>
    </row>
    <row r="1285" spans="3:19" x14ac:dyDescent="0.3">
      <c r="C1285"/>
      <c r="D1285"/>
      <c r="E1285"/>
      <c r="F1285"/>
      <c r="G1285"/>
      <c r="P1285" s="1">
        <f t="shared" si="79"/>
        <v>0.79928861788617889</v>
      </c>
      <c r="Q1285" s="1">
        <f t="shared" si="80"/>
        <v>0.79928861788617889</v>
      </c>
      <c r="R1285" s="1">
        <f t="shared" si="81"/>
        <v>0.82624655858060569</v>
      </c>
      <c r="S1285" s="1">
        <f t="shared" si="82"/>
        <v>0.94496726677577736</v>
      </c>
    </row>
    <row r="1286" spans="3:19" x14ac:dyDescent="0.3">
      <c r="C1286"/>
      <c r="D1286"/>
      <c r="E1286"/>
      <c r="F1286"/>
      <c r="G1286"/>
      <c r="P1286" s="1">
        <f t="shared" si="79"/>
        <v>0.79928861788617889</v>
      </c>
      <c r="Q1286" s="1">
        <f t="shared" si="80"/>
        <v>0.79928861788617889</v>
      </c>
      <c r="R1286" s="1">
        <f t="shared" si="81"/>
        <v>0.82624655858060569</v>
      </c>
      <c r="S1286" s="1">
        <f t="shared" si="82"/>
        <v>0.94496726677577736</v>
      </c>
    </row>
    <row r="1287" spans="3:19" x14ac:dyDescent="0.3">
      <c r="C1287"/>
      <c r="D1287"/>
      <c r="E1287"/>
      <c r="F1287"/>
      <c r="G1287"/>
      <c r="P1287" s="1">
        <f t="shared" si="79"/>
        <v>0.79928861788617889</v>
      </c>
      <c r="Q1287" s="1">
        <f t="shared" si="80"/>
        <v>0.79928861788617889</v>
      </c>
      <c r="R1287" s="1">
        <f t="shared" si="81"/>
        <v>0.82624655858060569</v>
      </c>
      <c r="S1287" s="1">
        <f t="shared" si="82"/>
        <v>0.94496726677577736</v>
      </c>
    </row>
    <row r="1288" spans="3:19" x14ac:dyDescent="0.3">
      <c r="C1288"/>
      <c r="D1288"/>
      <c r="E1288"/>
      <c r="F1288"/>
      <c r="G1288"/>
      <c r="P1288" s="1">
        <f t="shared" si="79"/>
        <v>0.79928861788617889</v>
      </c>
      <c r="Q1288" s="1">
        <f t="shared" si="80"/>
        <v>0.79928861788617889</v>
      </c>
      <c r="R1288" s="1">
        <f t="shared" si="81"/>
        <v>0.82624655858060569</v>
      </c>
      <c r="S1288" s="1">
        <f t="shared" si="82"/>
        <v>0.94496726677577736</v>
      </c>
    </row>
    <row r="1289" spans="3:19" x14ac:dyDescent="0.3">
      <c r="C1289"/>
      <c r="D1289"/>
      <c r="E1289"/>
      <c r="F1289"/>
      <c r="G1289"/>
      <c r="P1289" s="1">
        <f t="shared" si="79"/>
        <v>0.79928861788617889</v>
      </c>
      <c r="Q1289" s="1">
        <f t="shared" si="80"/>
        <v>0.79928861788617889</v>
      </c>
      <c r="R1289" s="1">
        <f t="shared" si="81"/>
        <v>0.82624655858060569</v>
      </c>
      <c r="S1289" s="1">
        <f t="shared" si="82"/>
        <v>0.94496726677577736</v>
      </c>
    </row>
    <row r="1290" spans="3:19" x14ac:dyDescent="0.3">
      <c r="C1290"/>
      <c r="D1290"/>
      <c r="E1290"/>
      <c r="F1290"/>
      <c r="G1290"/>
      <c r="P1290" s="1">
        <f t="shared" si="79"/>
        <v>0.79928861788617889</v>
      </c>
      <c r="Q1290" s="1">
        <f t="shared" si="80"/>
        <v>0.79928861788617889</v>
      </c>
      <c r="R1290" s="1">
        <f t="shared" si="81"/>
        <v>0.82624655858060569</v>
      </c>
      <c r="S1290" s="1">
        <f t="shared" si="82"/>
        <v>0.94496726677577736</v>
      </c>
    </row>
    <row r="1291" spans="3:19" x14ac:dyDescent="0.3">
      <c r="C1291"/>
      <c r="D1291"/>
      <c r="E1291"/>
      <c r="F1291"/>
      <c r="G1291"/>
      <c r="P1291" s="1">
        <f t="shared" si="79"/>
        <v>0.79928861788617889</v>
      </c>
      <c r="Q1291" s="1">
        <f t="shared" si="80"/>
        <v>0.79928861788617889</v>
      </c>
      <c r="R1291" s="1">
        <f t="shared" si="81"/>
        <v>0.82624655858060569</v>
      </c>
      <c r="S1291" s="1">
        <f t="shared" si="82"/>
        <v>0.94496726677577736</v>
      </c>
    </row>
    <row r="1292" spans="3:19" x14ac:dyDescent="0.3">
      <c r="C1292"/>
      <c r="D1292"/>
      <c r="E1292"/>
      <c r="F1292"/>
      <c r="G1292"/>
      <c r="P1292" s="1">
        <f t="shared" si="79"/>
        <v>0.79928861788617889</v>
      </c>
      <c r="Q1292" s="1">
        <f t="shared" si="80"/>
        <v>0.79928861788617889</v>
      </c>
      <c r="R1292" s="1">
        <f t="shared" si="81"/>
        <v>0.82624655858060569</v>
      </c>
      <c r="S1292" s="1">
        <f t="shared" si="82"/>
        <v>0.94496726677577736</v>
      </c>
    </row>
    <row r="1293" spans="3:19" x14ac:dyDescent="0.3">
      <c r="C1293"/>
      <c r="D1293"/>
      <c r="E1293"/>
      <c r="F1293"/>
      <c r="G1293"/>
    </row>
    <row r="1294" spans="3:19" x14ac:dyDescent="0.3">
      <c r="C1294"/>
      <c r="D1294"/>
      <c r="E1294"/>
      <c r="F1294"/>
      <c r="G1294"/>
    </row>
    <row r="1295" spans="3:19" x14ac:dyDescent="0.3">
      <c r="C1295"/>
      <c r="D1295"/>
      <c r="E1295"/>
      <c r="F1295"/>
      <c r="G1295"/>
    </row>
    <row r="1296" spans="3:19" x14ac:dyDescent="0.3">
      <c r="C1296"/>
      <c r="D1296"/>
      <c r="E1296"/>
      <c r="F1296"/>
      <c r="G1296"/>
    </row>
    <row r="1297" spans="3:7" x14ac:dyDescent="0.3">
      <c r="C1297"/>
      <c r="D1297"/>
      <c r="E1297"/>
      <c r="F1297"/>
      <c r="G1297"/>
    </row>
    <row r="1298" spans="3:7" x14ac:dyDescent="0.3">
      <c r="C1298"/>
      <c r="D1298"/>
      <c r="E1298"/>
      <c r="F1298"/>
      <c r="G1298"/>
    </row>
    <row r="1299" spans="3:7" x14ac:dyDescent="0.3">
      <c r="C1299"/>
      <c r="D1299"/>
      <c r="E1299"/>
      <c r="F1299"/>
      <c r="G1299"/>
    </row>
    <row r="1300" spans="3:7" x14ac:dyDescent="0.3">
      <c r="C1300"/>
      <c r="D1300"/>
      <c r="E1300"/>
      <c r="F1300"/>
      <c r="G1300"/>
    </row>
    <row r="1301" spans="3:7" x14ac:dyDescent="0.3">
      <c r="C1301"/>
      <c r="D1301"/>
      <c r="E1301"/>
      <c r="F1301"/>
      <c r="G1301"/>
    </row>
    <row r="1302" spans="3:7" x14ac:dyDescent="0.3">
      <c r="C1302"/>
      <c r="D1302"/>
      <c r="E1302"/>
      <c r="F1302"/>
      <c r="G1302"/>
    </row>
    <row r="1303" spans="3:7" x14ac:dyDescent="0.3">
      <c r="C1303"/>
      <c r="D1303"/>
      <c r="E1303"/>
      <c r="F1303"/>
      <c r="G1303"/>
    </row>
    <row r="1304" spans="3:7" x14ac:dyDescent="0.3">
      <c r="C1304"/>
      <c r="D1304"/>
      <c r="E1304"/>
      <c r="F1304"/>
      <c r="G1304"/>
    </row>
    <row r="1305" spans="3:7" x14ac:dyDescent="0.3">
      <c r="C1305"/>
      <c r="D1305"/>
      <c r="E1305"/>
      <c r="F1305"/>
      <c r="G1305"/>
    </row>
    <row r="1306" spans="3:7" x14ac:dyDescent="0.3">
      <c r="C1306"/>
      <c r="D1306"/>
      <c r="E1306"/>
      <c r="F1306"/>
      <c r="G1306"/>
    </row>
    <row r="1307" spans="3:7" x14ac:dyDescent="0.3">
      <c r="C1307"/>
      <c r="D1307"/>
      <c r="E1307"/>
      <c r="F1307"/>
      <c r="G1307"/>
    </row>
    <row r="1308" spans="3:7" x14ac:dyDescent="0.3">
      <c r="C1308"/>
      <c r="D1308"/>
      <c r="E1308"/>
      <c r="F1308"/>
      <c r="G1308"/>
    </row>
    <row r="1309" spans="3:7" x14ac:dyDescent="0.3">
      <c r="C1309"/>
      <c r="D1309"/>
      <c r="E1309"/>
      <c r="F1309"/>
      <c r="G1309"/>
    </row>
    <row r="1310" spans="3:7" x14ac:dyDescent="0.3">
      <c r="C1310"/>
      <c r="D1310"/>
      <c r="E1310"/>
      <c r="F1310"/>
      <c r="G1310"/>
    </row>
    <row r="1311" spans="3:7" x14ac:dyDescent="0.3">
      <c r="C1311"/>
      <c r="D1311"/>
      <c r="E1311"/>
      <c r="F1311"/>
      <c r="G1311"/>
    </row>
    <row r="1312" spans="3:7" x14ac:dyDescent="0.3">
      <c r="C1312"/>
      <c r="D1312"/>
      <c r="E1312"/>
      <c r="F1312"/>
      <c r="G1312"/>
    </row>
    <row r="1313" spans="3:7" x14ac:dyDescent="0.3">
      <c r="C1313"/>
      <c r="D1313"/>
      <c r="E1313"/>
      <c r="F1313"/>
      <c r="G1313"/>
    </row>
    <row r="1314" spans="3:7" x14ac:dyDescent="0.3">
      <c r="C1314"/>
      <c r="D1314"/>
      <c r="E1314"/>
      <c r="F1314"/>
      <c r="G1314"/>
    </row>
    <row r="1315" spans="3:7" x14ac:dyDescent="0.3">
      <c r="C1315"/>
      <c r="D1315"/>
      <c r="E1315"/>
      <c r="F1315"/>
      <c r="G1315"/>
    </row>
    <row r="1316" spans="3:7" x14ac:dyDescent="0.3">
      <c r="C1316"/>
      <c r="D1316"/>
      <c r="E1316"/>
      <c r="F1316"/>
      <c r="G1316"/>
    </row>
    <row r="1317" spans="3:7" x14ac:dyDescent="0.3">
      <c r="C1317"/>
      <c r="D1317"/>
      <c r="E1317"/>
      <c r="F1317"/>
      <c r="G1317"/>
    </row>
    <row r="1318" spans="3:7" x14ac:dyDescent="0.3">
      <c r="C1318"/>
      <c r="D1318"/>
      <c r="E1318"/>
      <c r="F1318"/>
      <c r="G1318"/>
    </row>
    <row r="1319" spans="3:7" x14ac:dyDescent="0.3">
      <c r="C1319"/>
      <c r="D1319"/>
      <c r="E1319"/>
      <c r="F1319"/>
      <c r="G1319"/>
    </row>
    <row r="1320" spans="3:7" x14ac:dyDescent="0.3">
      <c r="C1320"/>
      <c r="D1320"/>
      <c r="E1320"/>
      <c r="F1320"/>
      <c r="G1320"/>
    </row>
    <row r="1321" spans="3:7" x14ac:dyDescent="0.3">
      <c r="C1321"/>
      <c r="D1321"/>
      <c r="E1321"/>
      <c r="F1321"/>
      <c r="G1321"/>
    </row>
    <row r="1322" spans="3:7" x14ac:dyDescent="0.3">
      <c r="C1322"/>
      <c r="D1322"/>
      <c r="E1322"/>
      <c r="F1322"/>
      <c r="G1322"/>
    </row>
    <row r="1323" spans="3:7" x14ac:dyDescent="0.3">
      <c r="C1323"/>
      <c r="D1323"/>
      <c r="E1323"/>
      <c r="F1323"/>
      <c r="G1323"/>
    </row>
    <row r="1324" spans="3:7" x14ac:dyDescent="0.3">
      <c r="C1324"/>
      <c r="D1324"/>
      <c r="E1324"/>
      <c r="F1324"/>
      <c r="G1324"/>
    </row>
    <row r="1325" spans="3:7" x14ac:dyDescent="0.3">
      <c r="C1325"/>
      <c r="D1325"/>
      <c r="E1325"/>
      <c r="F1325"/>
      <c r="G1325"/>
    </row>
    <row r="1326" spans="3:7" x14ac:dyDescent="0.3">
      <c r="C1326"/>
      <c r="D1326"/>
      <c r="E1326"/>
      <c r="F1326"/>
      <c r="G1326"/>
    </row>
    <row r="1327" spans="3:7" x14ac:dyDescent="0.3">
      <c r="C1327"/>
      <c r="D1327"/>
      <c r="E1327"/>
      <c r="F1327"/>
      <c r="G1327"/>
    </row>
    <row r="1328" spans="3:7" x14ac:dyDescent="0.3">
      <c r="C1328"/>
      <c r="D1328"/>
      <c r="E1328"/>
      <c r="F1328"/>
      <c r="G1328"/>
    </row>
    <row r="1329" spans="3:7" x14ac:dyDescent="0.3">
      <c r="C1329"/>
      <c r="D1329"/>
      <c r="E1329"/>
      <c r="F1329"/>
      <c r="G1329"/>
    </row>
    <row r="1330" spans="3:7" x14ac:dyDescent="0.3">
      <c r="C1330"/>
      <c r="D1330"/>
      <c r="E1330"/>
      <c r="F1330"/>
      <c r="G1330"/>
    </row>
    <row r="1331" spans="3:7" x14ac:dyDescent="0.3">
      <c r="C1331"/>
      <c r="D1331"/>
      <c r="E1331"/>
      <c r="F1331"/>
      <c r="G1331"/>
    </row>
    <row r="1332" spans="3:7" x14ac:dyDescent="0.3">
      <c r="C1332"/>
      <c r="D1332"/>
      <c r="E1332"/>
      <c r="F1332"/>
      <c r="G1332"/>
    </row>
    <row r="1333" spans="3:7" x14ac:dyDescent="0.3">
      <c r="C1333"/>
      <c r="D1333"/>
      <c r="E1333"/>
      <c r="F1333"/>
      <c r="G1333"/>
    </row>
    <row r="1334" spans="3:7" x14ac:dyDescent="0.3">
      <c r="C1334"/>
      <c r="D1334"/>
      <c r="E1334"/>
      <c r="F1334"/>
      <c r="G1334"/>
    </row>
    <row r="1335" spans="3:7" x14ac:dyDescent="0.3">
      <c r="C1335"/>
      <c r="D1335"/>
      <c r="E1335"/>
      <c r="F1335"/>
      <c r="G1335"/>
    </row>
    <row r="1336" spans="3:7" x14ac:dyDescent="0.3">
      <c r="C1336"/>
      <c r="D1336"/>
      <c r="E1336"/>
      <c r="F1336"/>
      <c r="G1336"/>
    </row>
    <row r="1337" spans="3:7" x14ac:dyDescent="0.3">
      <c r="C1337"/>
      <c r="D1337"/>
      <c r="E1337"/>
      <c r="F1337"/>
      <c r="G1337"/>
    </row>
    <row r="1338" spans="3:7" x14ac:dyDescent="0.3">
      <c r="C1338"/>
      <c r="D1338"/>
      <c r="E1338"/>
      <c r="F1338"/>
      <c r="G1338"/>
    </row>
    <row r="1339" spans="3:7" x14ac:dyDescent="0.3">
      <c r="C1339"/>
      <c r="D1339"/>
      <c r="E1339"/>
      <c r="F1339"/>
      <c r="G1339"/>
    </row>
    <row r="1340" spans="3:7" x14ac:dyDescent="0.3">
      <c r="C1340"/>
      <c r="D1340"/>
      <c r="E1340"/>
      <c r="F1340"/>
      <c r="G1340"/>
    </row>
    <row r="1341" spans="3:7" x14ac:dyDescent="0.3">
      <c r="C1341"/>
      <c r="D1341"/>
      <c r="E1341"/>
      <c r="F1341"/>
      <c r="G1341"/>
    </row>
    <row r="1342" spans="3:7" x14ac:dyDescent="0.3">
      <c r="C1342"/>
      <c r="D1342"/>
      <c r="E1342"/>
      <c r="F1342"/>
      <c r="G1342"/>
    </row>
    <row r="1343" spans="3:7" x14ac:dyDescent="0.3">
      <c r="C1343"/>
      <c r="D1343"/>
      <c r="E1343"/>
      <c r="F1343"/>
      <c r="G1343"/>
    </row>
    <row r="1344" spans="3:7" x14ac:dyDescent="0.3">
      <c r="C1344"/>
      <c r="D1344"/>
      <c r="E1344"/>
      <c r="F1344"/>
      <c r="G1344"/>
    </row>
    <row r="1345" spans="3:7" x14ac:dyDescent="0.3">
      <c r="C1345"/>
      <c r="D1345"/>
      <c r="E1345"/>
      <c r="F1345"/>
      <c r="G1345"/>
    </row>
    <row r="1346" spans="3:7" x14ac:dyDescent="0.3">
      <c r="C1346"/>
      <c r="D1346"/>
      <c r="E1346"/>
      <c r="F1346"/>
      <c r="G1346"/>
    </row>
    <row r="1347" spans="3:7" x14ac:dyDescent="0.3">
      <c r="C1347"/>
      <c r="D1347"/>
      <c r="E1347"/>
      <c r="F1347"/>
      <c r="G1347"/>
    </row>
    <row r="1348" spans="3:7" x14ac:dyDescent="0.3">
      <c r="C1348"/>
      <c r="D1348"/>
      <c r="E1348"/>
      <c r="F1348"/>
      <c r="G1348"/>
    </row>
    <row r="1349" spans="3:7" x14ac:dyDescent="0.3">
      <c r="C1349"/>
      <c r="D1349"/>
      <c r="E1349"/>
      <c r="F1349"/>
      <c r="G1349"/>
    </row>
    <row r="1350" spans="3:7" x14ac:dyDescent="0.3">
      <c r="C1350"/>
      <c r="D1350"/>
      <c r="E1350"/>
      <c r="F1350"/>
      <c r="G1350"/>
    </row>
    <row r="1351" spans="3:7" x14ac:dyDescent="0.3">
      <c r="C1351"/>
      <c r="D1351"/>
      <c r="E1351"/>
      <c r="F1351"/>
      <c r="G1351"/>
    </row>
    <row r="1352" spans="3:7" x14ac:dyDescent="0.3">
      <c r="C1352"/>
      <c r="D1352"/>
      <c r="E1352"/>
      <c r="F1352"/>
      <c r="G1352"/>
    </row>
    <row r="1353" spans="3:7" x14ac:dyDescent="0.3">
      <c r="C1353"/>
      <c r="D1353"/>
      <c r="E1353"/>
      <c r="F1353"/>
      <c r="G1353"/>
    </row>
    <row r="1354" spans="3:7" x14ac:dyDescent="0.3">
      <c r="C1354"/>
      <c r="D1354"/>
      <c r="E1354"/>
      <c r="F1354"/>
      <c r="G1354"/>
    </row>
    <row r="1355" spans="3:7" x14ac:dyDescent="0.3">
      <c r="C1355"/>
      <c r="D1355"/>
      <c r="E1355"/>
      <c r="F1355"/>
      <c r="G1355"/>
    </row>
    <row r="1356" spans="3:7" x14ac:dyDescent="0.3">
      <c r="C1356"/>
      <c r="D1356"/>
      <c r="E1356"/>
      <c r="F1356"/>
      <c r="G1356"/>
    </row>
    <row r="1357" spans="3:7" x14ac:dyDescent="0.3">
      <c r="C1357"/>
      <c r="D1357"/>
      <c r="E1357"/>
      <c r="F1357"/>
      <c r="G1357"/>
    </row>
    <row r="1358" spans="3:7" x14ac:dyDescent="0.3">
      <c r="C1358"/>
      <c r="D1358"/>
      <c r="E1358"/>
      <c r="F1358"/>
      <c r="G1358"/>
    </row>
    <row r="1359" spans="3:7" x14ac:dyDescent="0.3">
      <c r="C1359"/>
      <c r="D1359"/>
      <c r="E1359"/>
      <c r="F1359"/>
      <c r="G1359"/>
    </row>
    <row r="1360" spans="3:7" x14ac:dyDescent="0.3">
      <c r="C1360"/>
      <c r="D1360"/>
      <c r="E1360"/>
      <c r="F1360"/>
      <c r="G1360"/>
    </row>
    <row r="1361" spans="3:7" x14ac:dyDescent="0.3">
      <c r="C1361"/>
      <c r="D1361"/>
      <c r="E1361"/>
      <c r="F1361"/>
      <c r="G1361"/>
    </row>
    <row r="1362" spans="3:7" x14ac:dyDescent="0.3">
      <c r="C1362"/>
      <c r="D1362"/>
      <c r="E1362"/>
      <c r="F1362"/>
      <c r="G1362"/>
    </row>
    <row r="1363" spans="3:7" x14ac:dyDescent="0.3">
      <c r="C1363"/>
      <c r="D1363"/>
      <c r="E1363"/>
      <c r="F1363"/>
      <c r="G1363"/>
    </row>
    <row r="1364" spans="3:7" x14ac:dyDescent="0.3">
      <c r="C1364"/>
      <c r="D1364"/>
      <c r="E1364"/>
      <c r="F1364"/>
      <c r="G1364"/>
    </row>
    <row r="1365" spans="3:7" x14ac:dyDescent="0.3">
      <c r="C1365"/>
      <c r="D1365"/>
      <c r="E1365"/>
      <c r="F1365"/>
      <c r="G1365"/>
    </row>
    <row r="1366" spans="3:7" x14ac:dyDescent="0.3">
      <c r="C1366"/>
      <c r="D1366"/>
      <c r="E1366"/>
      <c r="F1366"/>
      <c r="G1366"/>
    </row>
    <row r="1367" spans="3:7" x14ac:dyDescent="0.3">
      <c r="C1367"/>
      <c r="D1367"/>
      <c r="E1367"/>
      <c r="F1367"/>
      <c r="G1367"/>
    </row>
    <row r="1368" spans="3:7" x14ac:dyDescent="0.3">
      <c r="C1368"/>
      <c r="D1368"/>
      <c r="E1368"/>
      <c r="F1368"/>
      <c r="G1368"/>
    </row>
    <row r="1369" spans="3:7" x14ac:dyDescent="0.3">
      <c r="C1369"/>
      <c r="D1369"/>
      <c r="E1369"/>
      <c r="F1369"/>
      <c r="G1369"/>
    </row>
    <row r="1370" spans="3:7" x14ac:dyDescent="0.3">
      <c r="C1370"/>
      <c r="D1370"/>
      <c r="E1370"/>
      <c r="F1370"/>
      <c r="G1370"/>
    </row>
    <row r="1371" spans="3:7" x14ac:dyDescent="0.3">
      <c r="C1371"/>
      <c r="D1371"/>
      <c r="E1371"/>
      <c r="F1371"/>
      <c r="G1371"/>
    </row>
    <row r="1372" spans="3:7" x14ac:dyDescent="0.3">
      <c r="C1372"/>
      <c r="D1372"/>
      <c r="E1372"/>
      <c r="F1372"/>
      <c r="G1372"/>
    </row>
    <row r="1373" spans="3:7" x14ac:dyDescent="0.3">
      <c r="C1373"/>
      <c r="D1373"/>
      <c r="E1373"/>
      <c r="F1373"/>
      <c r="G1373"/>
    </row>
    <row r="1374" spans="3:7" x14ac:dyDescent="0.3">
      <c r="C1374"/>
      <c r="D1374"/>
      <c r="E1374"/>
      <c r="F1374"/>
      <c r="G1374"/>
    </row>
    <row r="1375" spans="3:7" x14ac:dyDescent="0.3">
      <c r="C1375"/>
      <c r="D1375"/>
      <c r="E1375"/>
      <c r="F1375"/>
      <c r="G1375"/>
    </row>
    <row r="1376" spans="3:7" x14ac:dyDescent="0.3">
      <c r="C1376"/>
      <c r="D1376"/>
      <c r="E1376"/>
      <c r="F1376"/>
      <c r="G1376"/>
    </row>
    <row r="1377" spans="3:7" x14ac:dyDescent="0.3">
      <c r="C1377"/>
      <c r="D1377"/>
      <c r="E1377"/>
      <c r="F1377"/>
      <c r="G1377"/>
    </row>
    <row r="1378" spans="3:7" x14ac:dyDescent="0.3">
      <c r="C1378"/>
      <c r="D1378"/>
      <c r="E1378"/>
      <c r="F1378"/>
      <c r="G1378"/>
    </row>
    <row r="1379" spans="3:7" x14ac:dyDescent="0.3">
      <c r="C1379"/>
      <c r="D1379"/>
      <c r="E1379"/>
      <c r="F1379"/>
      <c r="G1379"/>
    </row>
    <row r="1380" spans="3:7" x14ac:dyDescent="0.3">
      <c r="C1380"/>
      <c r="D1380"/>
      <c r="E1380"/>
      <c r="F1380"/>
      <c r="G1380"/>
    </row>
    <row r="1381" spans="3:7" x14ac:dyDescent="0.3">
      <c r="C1381"/>
      <c r="D1381"/>
      <c r="E1381"/>
      <c r="F1381"/>
      <c r="G1381"/>
    </row>
    <row r="1382" spans="3:7" x14ac:dyDescent="0.3">
      <c r="C1382"/>
      <c r="D1382"/>
      <c r="E1382"/>
      <c r="F1382"/>
      <c r="G1382"/>
    </row>
    <row r="1383" spans="3:7" x14ac:dyDescent="0.3">
      <c r="C1383"/>
      <c r="D1383"/>
      <c r="E1383"/>
      <c r="F1383"/>
      <c r="G1383"/>
    </row>
    <row r="1384" spans="3:7" x14ac:dyDescent="0.3">
      <c r="C1384"/>
      <c r="D1384"/>
      <c r="E1384"/>
      <c r="F1384"/>
      <c r="G1384"/>
    </row>
    <row r="1385" spans="3:7" x14ac:dyDescent="0.3">
      <c r="C1385"/>
      <c r="D1385"/>
      <c r="E1385"/>
      <c r="F1385"/>
      <c r="G1385"/>
    </row>
    <row r="1386" spans="3:7" x14ac:dyDescent="0.3">
      <c r="C1386"/>
      <c r="D1386"/>
      <c r="E1386"/>
      <c r="F1386"/>
      <c r="G1386"/>
    </row>
    <row r="1387" spans="3:7" x14ac:dyDescent="0.3">
      <c r="C1387"/>
      <c r="D1387"/>
      <c r="E1387"/>
      <c r="F1387"/>
      <c r="G1387"/>
    </row>
    <row r="1388" spans="3:7" x14ac:dyDescent="0.3">
      <c r="C1388"/>
      <c r="D1388"/>
      <c r="E1388"/>
      <c r="F1388"/>
      <c r="G1388"/>
    </row>
    <row r="1389" spans="3:7" x14ac:dyDescent="0.3">
      <c r="C1389"/>
      <c r="D1389"/>
      <c r="E1389"/>
      <c r="F1389"/>
      <c r="G1389"/>
    </row>
    <row r="1390" spans="3:7" x14ac:dyDescent="0.3">
      <c r="C1390"/>
      <c r="D1390"/>
      <c r="E1390"/>
      <c r="F1390"/>
      <c r="G1390"/>
    </row>
    <row r="1391" spans="3:7" x14ac:dyDescent="0.3">
      <c r="C1391"/>
      <c r="D1391"/>
      <c r="E1391"/>
      <c r="F1391"/>
      <c r="G1391"/>
    </row>
    <row r="1392" spans="3:7" x14ac:dyDescent="0.3">
      <c r="C1392"/>
      <c r="D1392"/>
      <c r="E1392"/>
      <c r="F1392"/>
      <c r="G1392"/>
    </row>
    <row r="1393" spans="3:7" x14ac:dyDescent="0.3">
      <c r="C1393"/>
      <c r="D1393"/>
      <c r="E1393"/>
      <c r="F1393"/>
      <c r="G1393"/>
    </row>
    <row r="1394" spans="3:7" x14ac:dyDescent="0.3">
      <c r="C1394"/>
      <c r="D1394"/>
      <c r="E1394"/>
      <c r="F1394"/>
      <c r="G1394"/>
    </row>
    <row r="1395" spans="3:7" x14ac:dyDescent="0.3">
      <c r="C1395"/>
      <c r="D1395"/>
      <c r="E1395"/>
      <c r="F1395"/>
      <c r="G1395"/>
    </row>
    <row r="1396" spans="3:7" x14ac:dyDescent="0.3">
      <c r="C1396"/>
      <c r="D1396"/>
      <c r="E1396"/>
      <c r="F1396"/>
      <c r="G1396"/>
    </row>
    <row r="1397" spans="3:7" x14ac:dyDescent="0.3">
      <c r="C1397"/>
      <c r="D1397"/>
      <c r="E1397"/>
      <c r="F1397"/>
      <c r="G1397"/>
    </row>
    <row r="1398" spans="3:7" x14ac:dyDescent="0.3">
      <c r="C1398"/>
      <c r="D1398"/>
      <c r="E1398"/>
      <c r="F1398"/>
      <c r="G1398"/>
    </row>
    <row r="1399" spans="3:7" x14ac:dyDescent="0.3">
      <c r="C1399"/>
      <c r="D1399"/>
      <c r="E1399"/>
      <c r="F1399"/>
      <c r="G1399"/>
    </row>
    <row r="1400" spans="3:7" x14ac:dyDescent="0.3">
      <c r="C1400"/>
      <c r="D1400"/>
      <c r="E1400"/>
      <c r="F1400"/>
      <c r="G1400"/>
    </row>
    <row r="1401" spans="3:7" x14ac:dyDescent="0.3">
      <c r="C1401"/>
      <c r="D1401"/>
      <c r="E1401"/>
      <c r="F1401"/>
      <c r="G1401"/>
    </row>
    <row r="1402" spans="3:7" x14ac:dyDescent="0.3">
      <c r="C1402"/>
      <c r="D1402"/>
      <c r="E1402"/>
      <c r="F1402"/>
      <c r="G1402"/>
    </row>
    <row r="1403" spans="3:7" x14ac:dyDescent="0.3">
      <c r="C1403"/>
      <c r="D1403"/>
      <c r="E1403"/>
      <c r="F1403"/>
      <c r="G1403"/>
    </row>
    <row r="1404" spans="3:7" x14ac:dyDescent="0.3">
      <c r="C1404"/>
      <c r="D1404"/>
      <c r="E1404"/>
      <c r="F1404"/>
      <c r="G1404"/>
    </row>
    <row r="1405" spans="3:7" x14ac:dyDescent="0.3">
      <c r="C1405"/>
      <c r="D1405"/>
      <c r="E1405"/>
      <c r="F1405"/>
      <c r="G1405"/>
    </row>
    <row r="1406" spans="3:7" x14ac:dyDescent="0.3">
      <c r="C1406"/>
      <c r="D1406"/>
      <c r="E1406"/>
      <c r="F1406"/>
      <c r="G1406"/>
    </row>
    <row r="1407" spans="3:7" x14ac:dyDescent="0.3">
      <c r="C1407"/>
      <c r="D1407"/>
      <c r="E1407"/>
      <c r="F1407"/>
      <c r="G1407"/>
    </row>
    <row r="1408" spans="3:7" x14ac:dyDescent="0.3">
      <c r="C1408"/>
      <c r="D1408"/>
      <c r="E1408"/>
      <c r="F1408"/>
      <c r="G1408"/>
    </row>
    <row r="1409" spans="3:7" x14ac:dyDescent="0.3">
      <c r="C1409"/>
      <c r="D1409"/>
      <c r="E1409"/>
      <c r="F1409"/>
      <c r="G1409"/>
    </row>
    <row r="1410" spans="3:7" x14ac:dyDescent="0.3">
      <c r="C1410"/>
      <c r="D1410"/>
      <c r="E1410"/>
      <c r="F1410"/>
      <c r="G1410"/>
    </row>
    <row r="1411" spans="3:7" x14ac:dyDescent="0.3">
      <c r="C1411"/>
      <c r="D1411"/>
      <c r="E1411"/>
      <c r="F1411"/>
      <c r="G1411"/>
    </row>
    <row r="1412" spans="3:7" x14ac:dyDescent="0.3">
      <c r="C1412"/>
      <c r="D1412"/>
      <c r="E1412"/>
      <c r="F1412"/>
      <c r="G1412"/>
    </row>
    <row r="1413" spans="3:7" x14ac:dyDescent="0.3">
      <c r="C1413"/>
      <c r="D1413"/>
      <c r="E1413"/>
      <c r="F1413"/>
      <c r="G1413"/>
    </row>
    <row r="1414" spans="3:7" x14ac:dyDescent="0.3">
      <c r="C1414"/>
      <c r="D1414"/>
      <c r="E1414"/>
      <c r="F1414"/>
      <c r="G1414"/>
    </row>
    <row r="1415" spans="3:7" x14ac:dyDescent="0.3">
      <c r="C1415"/>
      <c r="D1415"/>
      <c r="E1415"/>
      <c r="F1415"/>
      <c r="G1415"/>
    </row>
    <row r="1416" spans="3:7" x14ac:dyDescent="0.3">
      <c r="C1416"/>
      <c r="D1416"/>
      <c r="E1416"/>
      <c r="F1416"/>
      <c r="G1416"/>
    </row>
    <row r="1417" spans="3:7" x14ac:dyDescent="0.3">
      <c r="C1417"/>
      <c r="D1417"/>
      <c r="E1417"/>
      <c r="F1417"/>
      <c r="G1417"/>
    </row>
    <row r="1418" spans="3:7" x14ac:dyDescent="0.3">
      <c r="C1418"/>
      <c r="D1418"/>
      <c r="E1418"/>
      <c r="F1418"/>
      <c r="G1418"/>
    </row>
    <row r="1419" spans="3:7" x14ac:dyDescent="0.3">
      <c r="C1419"/>
      <c r="D1419"/>
      <c r="E1419"/>
      <c r="F1419"/>
      <c r="G1419"/>
    </row>
    <row r="1420" spans="3:7" x14ac:dyDescent="0.3">
      <c r="C1420"/>
      <c r="D1420"/>
      <c r="E1420"/>
      <c r="F1420"/>
      <c r="G1420"/>
    </row>
    <row r="1421" spans="3:7" x14ac:dyDescent="0.3">
      <c r="C1421"/>
      <c r="D1421"/>
      <c r="E1421"/>
      <c r="F1421"/>
      <c r="G1421"/>
    </row>
    <row r="1422" spans="3:7" x14ac:dyDescent="0.3">
      <c r="C1422"/>
      <c r="D1422"/>
      <c r="E1422"/>
      <c r="F1422"/>
      <c r="G1422"/>
    </row>
    <row r="1423" spans="3:7" x14ac:dyDescent="0.3">
      <c r="C1423"/>
      <c r="D1423"/>
      <c r="E1423"/>
      <c r="F1423"/>
      <c r="G1423"/>
    </row>
    <row r="1424" spans="3:7" x14ac:dyDescent="0.3">
      <c r="C1424"/>
      <c r="D1424"/>
      <c r="E1424"/>
      <c r="F1424"/>
      <c r="G1424"/>
    </row>
    <row r="1425" spans="3:7" x14ac:dyDescent="0.3">
      <c r="C1425"/>
      <c r="D1425"/>
      <c r="E1425"/>
      <c r="F1425"/>
      <c r="G1425"/>
    </row>
    <row r="1426" spans="3:7" x14ac:dyDescent="0.3">
      <c r="C1426"/>
      <c r="D1426"/>
      <c r="E1426"/>
      <c r="F1426"/>
      <c r="G1426"/>
    </row>
    <row r="1427" spans="3:7" x14ac:dyDescent="0.3">
      <c r="C1427"/>
      <c r="D1427"/>
      <c r="E1427"/>
      <c r="F1427"/>
      <c r="G1427"/>
    </row>
    <row r="1428" spans="3:7" x14ac:dyDescent="0.3">
      <c r="C1428"/>
      <c r="D1428"/>
      <c r="E1428"/>
      <c r="F1428"/>
      <c r="G1428"/>
    </row>
    <row r="1429" spans="3:7" x14ac:dyDescent="0.3">
      <c r="C1429"/>
      <c r="D1429"/>
      <c r="E1429"/>
      <c r="F1429"/>
      <c r="G1429"/>
    </row>
    <row r="1430" spans="3:7" x14ac:dyDescent="0.3">
      <c r="C1430"/>
      <c r="D1430"/>
      <c r="E1430"/>
      <c r="F1430"/>
      <c r="G1430"/>
    </row>
    <row r="1431" spans="3:7" x14ac:dyDescent="0.3">
      <c r="C1431"/>
      <c r="D1431"/>
      <c r="E1431"/>
      <c r="F1431"/>
      <c r="G1431"/>
    </row>
    <row r="1432" spans="3:7" x14ac:dyDescent="0.3">
      <c r="C1432"/>
      <c r="D1432"/>
      <c r="E1432"/>
      <c r="F1432"/>
      <c r="G1432"/>
    </row>
    <row r="1433" spans="3:7" x14ac:dyDescent="0.3">
      <c r="C1433"/>
      <c r="D1433"/>
      <c r="E1433"/>
      <c r="F1433"/>
      <c r="G1433"/>
    </row>
    <row r="1434" spans="3:7" x14ac:dyDescent="0.3">
      <c r="C1434"/>
      <c r="D1434"/>
      <c r="E1434"/>
      <c r="F1434"/>
      <c r="G1434"/>
    </row>
    <row r="1435" spans="3:7" x14ac:dyDescent="0.3">
      <c r="C1435"/>
      <c r="D1435"/>
      <c r="E1435"/>
      <c r="F1435"/>
      <c r="G1435"/>
    </row>
    <row r="1436" spans="3:7" x14ac:dyDescent="0.3">
      <c r="C1436"/>
      <c r="D1436"/>
      <c r="E1436"/>
      <c r="F1436"/>
      <c r="G1436"/>
    </row>
    <row r="1437" spans="3:7" x14ac:dyDescent="0.3">
      <c r="C1437"/>
      <c r="D1437"/>
      <c r="E1437"/>
      <c r="F1437"/>
      <c r="G1437"/>
    </row>
    <row r="1438" spans="3:7" x14ac:dyDescent="0.3">
      <c r="C1438"/>
      <c r="D1438"/>
      <c r="E1438"/>
      <c r="F1438"/>
      <c r="G1438"/>
    </row>
    <row r="1439" spans="3:7" x14ac:dyDescent="0.3">
      <c r="C1439"/>
      <c r="D1439"/>
      <c r="E1439"/>
      <c r="F1439"/>
      <c r="G1439"/>
    </row>
    <row r="1440" spans="3:7" x14ac:dyDescent="0.3">
      <c r="C1440"/>
      <c r="D1440"/>
      <c r="E1440"/>
      <c r="F1440"/>
      <c r="G1440"/>
    </row>
    <row r="1441" spans="3:7" x14ac:dyDescent="0.3">
      <c r="C1441"/>
      <c r="D1441"/>
      <c r="E1441"/>
      <c r="F1441"/>
      <c r="G1441"/>
    </row>
    <row r="1442" spans="3:7" x14ac:dyDescent="0.3">
      <c r="C1442"/>
      <c r="D1442"/>
      <c r="E1442"/>
      <c r="F1442"/>
      <c r="G1442"/>
    </row>
    <row r="1443" spans="3:7" x14ac:dyDescent="0.3">
      <c r="C1443"/>
      <c r="D1443"/>
      <c r="E1443"/>
      <c r="F1443"/>
      <c r="G1443"/>
    </row>
    <row r="1444" spans="3:7" x14ac:dyDescent="0.3">
      <c r="C1444"/>
      <c r="D1444"/>
      <c r="E1444"/>
      <c r="F1444"/>
      <c r="G1444"/>
    </row>
    <row r="1445" spans="3:7" x14ac:dyDescent="0.3">
      <c r="C1445"/>
      <c r="D1445"/>
      <c r="E1445"/>
      <c r="F1445"/>
      <c r="G1445"/>
    </row>
    <row r="1446" spans="3:7" x14ac:dyDescent="0.3">
      <c r="C1446"/>
      <c r="D1446"/>
      <c r="E1446"/>
      <c r="F1446"/>
      <c r="G1446"/>
    </row>
    <row r="1447" spans="3:7" x14ac:dyDescent="0.3">
      <c r="C1447"/>
      <c r="D1447"/>
      <c r="E1447"/>
      <c r="F1447"/>
      <c r="G1447"/>
    </row>
    <row r="1448" spans="3:7" x14ac:dyDescent="0.3">
      <c r="C1448"/>
      <c r="D1448"/>
      <c r="E1448"/>
      <c r="F1448"/>
      <c r="G1448"/>
    </row>
    <row r="1449" spans="3:7" x14ac:dyDescent="0.3">
      <c r="C1449"/>
      <c r="D1449"/>
      <c r="E1449"/>
      <c r="F1449"/>
      <c r="G1449"/>
    </row>
    <row r="1450" spans="3:7" x14ac:dyDescent="0.3">
      <c r="C1450"/>
      <c r="D1450"/>
      <c r="E1450"/>
      <c r="F1450"/>
      <c r="G1450"/>
    </row>
    <row r="1451" spans="3:7" x14ac:dyDescent="0.3">
      <c r="C1451"/>
      <c r="D1451"/>
      <c r="E1451"/>
      <c r="F1451"/>
      <c r="G1451"/>
    </row>
    <row r="1452" spans="3:7" x14ac:dyDescent="0.3">
      <c r="C1452"/>
      <c r="D1452"/>
      <c r="E1452"/>
      <c r="F1452"/>
      <c r="G1452"/>
    </row>
    <row r="1453" spans="3:7" x14ac:dyDescent="0.3">
      <c r="C1453"/>
      <c r="D1453"/>
      <c r="E1453"/>
      <c r="F1453"/>
      <c r="G1453"/>
    </row>
    <row r="1454" spans="3:7" x14ac:dyDescent="0.3">
      <c r="C1454"/>
      <c r="D1454"/>
      <c r="E1454"/>
      <c r="F1454"/>
      <c r="G1454"/>
    </row>
    <row r="1455" spans="3:7" x14ac:dyDescent="0.3">
      <c r="C1455"/>
      <c r="D1455"/>
      <c r="E1455"/>
      <c r="F1455"/>
      <c r="G1455"/>
    </row>
    <row r="1456" spans="3:7" x14ac:dyDescent="0.3">
      <c r="C1456"/>
      <c r="D1456"/>
      <c r="E1456"/>
      <c r="F1456"/>
      <c r="G1456"/>
    </row>
    <row r="1457" spans="3:7" x14ac:dyDescent="0.3">
      <c r="C1457"/>
      <c r="D1457"/>
      <c r="E1457"/>
      <c r="F1457"/>
      <c r="G1457"/>
    </row>
    <row r="1458" spans="3:7" x14ac:dyDescent="0.3">
      <c r="C1458"/>
      <c r="D1458"/>
      <c r="E1458"/>
      <c r="F1458"/>
      <c r="G1458"/>
    </row>
    <row r="1459" spans="3:7" x14ac:dyDescent="0.3">
      <c r="C1459"/>
      <c r="D1459"/>
      <c r="E1459"/>
      <c r="F1459"/>
      <c r="G1459"/>
    </row>
    <row r="1460" spans="3:7" x14ac:dyDescent="0.3">
      <c r="C1460"/>
      <c r="D1460"/>
      <c r="E1460"/>
      <c r="F1460"/>
      <c r="G1460"/>
    </row>
    <row r="1461" spans="3:7" x14ac:dyDescent="0.3">
      <c r="C1461"/>
      <c r="D1461"/>
      <c r="E1461"/>
      <c r="F1461"/>
      <c r="G1461"/>
    </row>
    <row r="1462" spans="3:7" x14ac:dyDescent="0.3">
      <c r="C1462"/>
      <c r="D1462"/>
      <c r="E1462"/>
      <c r="F1462"/>
      <c r="G1462"/>
    </row>
    <row r="1463" spans="3:7" x14ac:dyDescent="0.3">
      <c r="C1463"/>
      <c r="D1463"/>
      <c r="E1463"/>
      <c r="F1463"/>
      <c r="G1463"/>
    </row>
    <row r="1464" spans="3:7" x14ac:dyDescent="0.3">
      <c r="C1464"/>
      <c r="D1464"/>
      <c r="E1464"/>
      <c r="F1464"/>
      <c r="G1464"/>
    </row>
    <row r="1465" spans="3:7" x14ac:dyDescent="0.3">
      <c r="C1465"/>
      <c r="D1465"/>
      <c r="E1465"/>
      <c r="F1465"/>
      <c r="G1465"/>
    </row>
    <row r="1466" spans="3:7" x14ac:dyDescent="0.3">
      <c r="C1466"/>
      <c r="D1466"/>
      <c r="E1466"/>
      <c r="F1466"/>
      <c r="G1466"/>
    </row>
    <row r="1467" spans="3:7" x14ac:dyDescent="0.3">
      <c r="C1467"/>
      <c r="D1467"/>
      <c r="E1467"/>
      <c r="F1467"/>
      <c r="G1467"/>
    </row>
    <row r="1468" spans="3:7" x14ac:dyDescent="0.3">
      <c r="C1468"/>
      <c r="D1468"/>
      <c r="E1468"/>
      <c r="F1468"/>
      <c r="G1468"/>
    </row>
    <row r="1469" spans="3:7" x14ac:dyDescent="0.3">
      <c r="C1469"/>
      <c r="D1469"/>
      <c r="E1469"/>
      <c r="F1469"/>
      <c r="G1469"/>
    </row>
    <row r="1470" spans="3:7" x14ac:dyDescent="0.3">
      <c r="C1470"/>
      <c r="D1470"/>
      <c r="E1470"/>
      <c r="F1470"/>
      <c r="G1470"/>
    </row>
    <row r="1471" spans="3:7" x14ac:dyDescent="0.3">
      <c r="C1471"/>
      <c r="D1471"/>
      <c r="E1471"/>
      <c r="F1471"/>
      <c r="G1471"/>
    </row>
    <row r="1472" spans="3:7" x14ac:dyDescent="0.3">
      <c r="C1472"/>
      <c r="D1472"/>
      <c r="E1472"/>
      <c r="F1472"/>
      <c r="G1472"/>
    </row>
    <row r="1473" spans="3:7" x14ac:dyDescent="0.3">
      <c r="C1473"/>
      <c r="D1473"/>
      <c r="E1473"/>
      <c r="F1473"/>
      <c r="G1473"/>
    </row>
    <row r="1474" spans="3:7" x14ac:dyDescent="0.3">
      <c r="C1474"/>
      <c r="D1474"/>
      <c r="E1474"/>
      <c r="F1474"/>
      <c r="G1474"/>
    </row>
    <row r="1475" spans="3:7" x14ac:dyDescent="0.3">
      <c r="C1475"/>
      <c r="D1475"/>
      <c r="E1475"/>
      <c r="F1475"/>
      <c r="G1475"/>
    </row>
    <row r="1476" spans="3:7" x14ac:dyDescent="0.3">
      <c r="C1476"/>
      <c r="D1476"/>
      <c r="E1476"/>
      <c r="F1476"/>
      <c r="G1476"/>
    </row>
    <row r="1477" spans="3:7" x14ac:dyDescent="0.3">
      <c r="C1477"/>
      <c r="D1477"/>
      <c r="E1477"/>
      <c r="F1477"/>
      <c r="G1477"/>
    </row>
    <row r="1478" spans="3:7" x14ac:dyDescent="0.3">
      <c r="C1478"/>
      <c r="D1478"/>
      <c r="E1478"/>
      <c r="F1478"/>
      <c r="G1478"/>
    </row>
    <row r="1479" spans="3:7" x14ac:dyDescent="0.3">
      <c r="C1479"/>
      <c r="D1479"/>
      <c r="E1479"/>
      <c r="F1479"/>
      <c r="G1479"/>
    </row>
    <row r="1480" spans="3:7" x14ac:dyDescent="0.3">
      <c r="C1480"/>
      <c r="D1480"/>
      <c r="E1480"/>
      <c r="F1480"/>
      <c r="G1480"/>
    </row>
    <row r="1481" spans="3:7" x14ac:dyDescent="0.3">
      <c r="C1481"/>
      <c r="D1481"/>
      <c r="E1481"/>
      <c r="F1481"/>
      <c r="G1481"/>
    </row>
    <row r="1482" spans="3:7" x14ac:dyDescent="0.3">
      <c r="C1482"/>
      <c r="D1482"/>
      <c r="E1482"/>
      <c r="F1482"/>
      <c r="G1482"/>
    </row>
    <row r="1483" spans="3:7" x14ac:dyDescent="0.3">
      <c r="C1483"/>
      <c r="D1483"/>
      <c r="E1483"/>
      <c r="F1483"/>
      <c r="G1483"/>
    </row>
    <row r="1484" spans="3:7" x14ac:dyDescent="0.3">
      <c r="C1484"/>
      <c r="D1484"/>
      <c r="E1484"/>
      <c r="F1484"/>
      <c r="G1484"/>
    </row>
    <row r="1485" spans="3:7" x14ac:dyDescent="0.3">
      <c r="C1485"/>
      <c r="D1485"/>
      <c r="E1485"/>
      <c r="F1485"/>
      <c r="G1485"/>
    </row>
    <row r="1486" spans="3:7" x14ac:dyDescent="0.3">
      <c r="C1486"/>
      <c r="D1486"/>
      <c r="E1486"/>
      <c r="F1486"/>
      <c r="G1486"/>
    </row>
    <row r="1487" spans="3:7" x14ac:dyDescent="0.3">
      <c r="C1487"/>
      <c r="D1487"/>
      <c r="E1487"/>
      <c r="F1487"/>
      <c r="G1487"/>
    </row>
    <row r="1488" spans="3:7" x14ac:dyDescent="0.3">
      <c r="C1488"/>
      <c r="D1488"/>
      <c r="E1488"/>
      <c r="F1488"/>
      <c r="G1488"/>
    </row>
    <row r="1489" spans="3:7" x14ac:dyDescent="0.3">
      <c r="C1489"/>
      <c r="D1489"/>
      <c r="E1489"/>
      <c r="F1489"/>
      <c r="G1489"/>
    </row>
    <row r="1490" spans="3:7" x14ac:dyDescent="0.3">
      <c r="C1490"/>
      <c r="D1490"/>
      <c r="E1490"/>
      <c r="F1490"/>
      <c r="G1490"/>
    </row>
    <row r="1491" spans="3:7" x14ac:dyDescent="0.3">
      <c r="C1491"/>
      <c r="D1491"/>
      <c r="E1491"/>
      <c r="F1491"/>
      <c r="G1491"/>
    </row>
    <row r="1492" spans="3:7" x14ac:dyDescent="0.3">
      <c r="C1492"/>
      <c r="D1492"/>
      <c r="E1492"/>
      <c r="F1492"/>
      <c r="G1492"/>
    </row>
    <row r="1493" spans="3:7" x14ac:dyDescent="0.3">
      <c r="C1493"/>
      <c r="D1493"/>
      <c r="E1493"/>
      <c r="F1493"/>
      <c r="G1493"/>
    </row>
    <row r="1494" spans="3:7" x14ac:dyDescent="0.3">
      <c r="C1494"/>
      <c r="D1494"/>
      <c r="E1494"/>
      <c r="F1494"/>
      <c r="G1494"/>
    </row>
    <row r="1495" spans="3:7" x14ac:dyDescent="0.3">
      <c r="C1495"/>
      <c r="D1495"/>
      <c r="E1495"/>
      <c r="F1495"/>
      <c r="G1495"/>
    </row>
    <row r="1496" spans="3:7" x14ac:dyDescent="0.3">
      <c r="C1496"/>
      <c r="D1496"/>
      <c r="E1496"/>
      <c r="F1496"/>
      <c r="G1496"/>
    </row>
    <row r="1497" spans="3:7" x14ac:dyDescent="0.3">
      <c r="C1497"/>
      <c r="D1497"/>
      <c r="E1497"/>
      <c r="F1497"/>
      <c r="G1497"/>
    </row>
    <row r="1498" spans="3:7" x14ac:dyDescent="0.3">
      <c r="C1498"/>
      <c r="D1498"/>
      <c r="E1498"/>
      <c r="F1498"/>
      <c r="G1498"/>
    </row>
    <row r="1499" spans="3:7" x14ac:dyDescent="0.3">
      <c r="C1499"/>
      <c r="D1499"/>
      <c r="E1499"/>
      <c r="F1499"/>
      <c r="G1499"/>
    </row>
    <row r="1500" spans="3:7" x14ac:dyDescent="0.3">
      <c r="C1500"/>
      <c r="D1500"/>
      <c r="E1500"/>
      <c r="F1500"/>
      <c r="G1500"/>
    </row>
    <row r="1501" spans="3:7" x14ac:dyDescent="0.3">
      <c r="C1501"/>
      <c r="D1501"/>
      <c r="E1501"/>
      <c r="F1501"/>
      <c r="G1501"/>
    </row>
    <row r="1502" spans="3:7" x14ac:dyDescent="0.3">
      <c r="C1502"/>
      <c r="D1502"/>
      <c r="E1502"/>
      <c r="F1502"/>
      <c r="G1502"/>
    </row>
    <row r="1503" spans="3:7" x14ac:dyDescent="0.3">
      <c r="C1503"/>
      <c r="D1503"/>
      <c r="E1503"/>
      <c r="F1503"/>
      <c r="G1503"/>
    </row>
    <row r="1504" spans="3:7" x14ac:dyDescent="0.3">
      <c r="C1504"/>
      <c r="D1504"/>
      <c r="E1504"/>
      <c r="F1504"/>
      <c r="G1504"/>
    </row>
    <row r="1505" spans="3:7" x14ac:dyDescent="0.3">
      <c r="C1505"/>
      <c r="D1505"/>
      <c r="E1505"/>
      <c r="F1505"/>
      <c r="G1505"/>
    </row>
    <row r="1506" spans="3:7" x14ac:dyDescent="0.3">
      <c r="C1506"/>
      <c r="D1506"/>
      <c r="E1506"/>
      <c r="F1506"/>
      <c r="G1506"/>
    </row>
    <row r="1507" spans="3:7" x14ac:dyDescent="0.3">
      <c r="C1507"/>
      <c r="D1507"/>
      <c r="E1507"/>
      <c r="F1507"/>
      <c r="G1507"/>
    </row>
    <row r="1508" spans="3:7" x14ac:dyDescent="0.3">
      <c r="C1508"/>
      <c r="D1508"/>
      <c r="E1508"/>
      <c r="F1508"/>
      <c r="G1508"/>
    </row>
    <row r="1509" spans="3:7" x14ac:dyDescent="0.3">
      <c r="C1509"/>
      <c r="D1509"/>
      <c r="E1509"/>
      <c r="F1509"/>
      <c r="G1509"/>
    </row>
    <row r="1510" spans="3:7" x14ac:dyDescent="0.3">
      <c r="C1510"/>
      <c r="D1510"/>
      <c r="E1510"/>
      <c r="F1510"/>
      <c r="G1510"/>
    </row>
    <row r="1511" spans="3:7" x14ac:dyDescent="0.3">
      <c r="C1511"/>
      <c r="D1511"/>
      <c r="E1511"/>
      <c r="F1511"/>
      <c r="G1511"/>
    </row>
    <row r="1512" spans="3:7" x14ac:dyDescent="0.3">
      <c r="C1512"/>
      <c r="D1512"/>
      <c r="E1512"/>
      <c r="F1512"/>
      <c r="G1512"/>
    </row>
    <row r="1513" spans="3:7" x14ac:dyDescent="0.3">
      <c r="C1513"/>
      <c r="D1513"/>
      <c r="E1513"/>
      <c r="F1513"/>
      <c r="G1513"/>
    </row>
    <row r="1514" spans="3:7" x14ac:dyDescent="0.3">
      <c r="C1514"/>
      <c r="D1514"/>
      <c r="E1514"/>
      <c r="F1514"/>
      <c r="G1514"/>
    </row>
    <row r="1515" spans="3:7" x14ac:dyDescent="0.3">
      <c r="C1515"/>
      <c r="D1515"/>
      <c r="E1515"/>
      <c r="F1515"/>
      <c r="G1515"/>
    </row>
    <row r="1516" spans="3:7" x14ac:dyDescent="0.3">
      <c r="C1516"/>
      <c r="D1516"/>
      <c r="E1516"/>
      <c r="F1516"/>
      <c r="G1516"/>
    </row>
    <row r="1517" spans="3:7" x14ac:dyDescent="0.3">
      <c r="C1517"/>
      <c r="D1517"/>
      <c r="E1517"/>
      <c r="F1517"/>
      <c r="G1517"/>
    </row>
    <row r="1518" spans="3:7" x14ac:dyDescent="0.3">
      <c r="C1518"/>
      <c r="D1518"/>
      <c r="E1518"/>
      <c r="F1518"/>
      <c r="G1518"/>
    </row>
    <row r="1519" spans="3:7" x14ac:dyDescent="0.3">
      <c r="C1519"/>
      <c r="D1519"/>
      <c r="E1519"/>
      <c r="F1519"/>
      <c r="G1519"/>
    </row>
    <row r="1520" spans="3:7" x14ac:dyDescent="0.3">
      <c r="C1520"/>
      <c r="D1520"/>
      <c r="E1520"/>
      <c r="F1520"/>
      <c r="G1520"/>
    </row>
    <row r="1521" spans="3:7" x14ac:dyDescent="0.3">
      <c r="C1521"/>
      <c r="D1521"/>
      <c r="E1521"/>
      <c r="F1521"/>
      <c r="G1521"/>
    </row>
    <row r="1522" spans="3:7" x14ac:dyDescent="0.3">
      <c r="C1522"/>
      <c r="D1522"/>
      <c r="E1522"/>
      <c r="F1522"/>
      <c r="G1522"/>
    </row>
    <row r="1523" spans="3:7" x14ac:dyDescent="0.3">
      <c r="C1523"/>
      <c r="D1523"/>
      <c r="E1523"/>
      <c r="F1523"/>
      <c r="G1523"/>
    </row>
    <row r="1524" spans="3:7" x14ac:dyDescent="0.3">
      <c r="C1524"/>
      <c r="D1524"/>
      <c r="E1524"/>
      <c r="F1524"/>
      <c r="G1524"/>
    </row>
    <row r="1525" spans="3:7" x14ac:dyDescent="0.3">
      <c r="C1525"/>
      <c r="D1525"/>
      <c r="E1525"/>
      <c r="F1525"/>
      <c r="G1525"/>
    </row>
    <row r="1526" spans="3:7" x14ac:dyDescent="0.3">
      <c r="C1526"/>
      <c r="D1526"/>
      <c r="E1526"/>
      <c r="F1526"/>
      <c r="G1526"/>
    </row>
    <row r="1527" spans="3:7" x14ac:dyDescent="0.3">
      <c r="C1527"/>
      <c r="D1527"/>
      <c r="E1527"/>
      <c r="F1527"/>
      <c r="G1527"/>
    </row>
    <row r="1528" spans="3:7" x14ac:dyDescent="0.3">
      <c r="C1528"/>
      <c r="D1528"/>
      <c r="E1528"/>
      <c r="F1528"/>
      <c r="G1528"/>
    </row>
    <row r="1529" spans="3:7" x14ac:dyDescent="0.3">
      <c r="C1529"/>
      <c r="D1529"/>
      <c r="E1529"/>
      <c r="F1529"/>
      <c r="G1529"/>
    </row>
    <row r="1530" spans="3:7" x14ac:dyDescent="0.3">
      <c r="C1530"/>
      <c r="D1530"/>
      <c r="E1530"/>
      <c r="F1530"/>
      <c r="G1530"/>
    </row>
    <row r="1531" spans="3:7" x14ac:dyDescent="0.3">
      <c r="C1531"/>
      <c r="D1531"/>
      <c r="E1531"/>
      <c r="F1531"/>
      <c r="G1531"/>
    </row>
    <row r="1532" spans="3:7" x14ac:dyDescent="0.3">
      <c r="C1532"/>
      <c r="D1532"/>
      <c r="E1532"/>
      <c r="F1532"/>
      <c r="G1532"/>
    </row>
    <row r="1533" spans="3:7" x14ac:dyDescent="0.3">
      <c r="C1533"/>
      <c r="D1533"/>
      <c r="E1533"/>
      <c r="F1533"/>
      <c r="G1533"/>
    </row>
    <row r="1534" spans="3:7" x14ac:dyDescent="0.3">
      <c r="C1534"/>
      <c r="D1534"/>
      <c r="E1534"/>
      <c r="F1534"/>
      <c r="G1534"/>
    </row>
    <row r="1535" spans="3:7" x14ac:dyDescent="0.3">
      <c r="C1535"/>
      <c r="D1535"/>
      <c r="E1535"/>
      <c r="F1535"/>
      <c r="G1535"/>
    </row>
    <row r="1536" spans="3:7" x14ac:dyDescent="0.3">
      <c r="C1536"/>
      <c r="D1536"/>
      <c r="E1536"/>
      <c r="F1536"/>
      <c r="G1536"/>
    </row>
    <row r="1537" spans="3:7" x14ac:dyDescent="0.3">
      <c r="C1537"/>
      <c r="D1537"/>
      <c r="E1537"/>
      <c r="F1537"/>
      <c r="G1537"/>
    </row>
    <row r="1538" spans="3:7" x14ac:dyDescent="0.3">
      <c r="C1538"/>
      <c r="D1538"/>
      <c r="E1538"/>
      <c r="F1538"/>
      <c r="G1538"/>
    </row>
    <row r="1539" spans="3:7" x14ac:dyDescent="0.3">
      <c r="C1539"/>
      <c r="D1539"/>
      <c r="E1539"/>
      <c r="F1539"/>
      <c r="G1539"/>
    </row>
    <row r="1540" spans="3:7" x14ac:dyDescent="0.3">
      <c r="C1540"/>
      <c r="D1540"/>
      <c r="E1540"/>
      <c r="F1540"/>
      <c r="G1540"/>
    </row>
    <row r="1541" spans="3:7" x14ac:dyDescent="0.3">
      <c r="C1541"/>
      <c r="D1541"/>
      <c r="E1541"/>
      <c r="F1541"/>
      <c r="G1541"/>
    </row>
    <row r="1542" spans="3:7" x14ac:dyDescent="0.3">
      <c r="C1542"/>
      <c r="D1542"/>
      <c r="E1542"/>
      <c r="F1542"/>
      <c r="G1542"/>
    </row>
    <row r="1543" spans="3:7" x14ac:dyDescent="0.3">
      <c r="C1543"/>
      <c r="D1543"/>
      <c r="E1543"/>
      <c r="F1543"/>
      <c r="G1543"/>
    </row>
    <row r="1544" spans="3:7" x14ac:dyDescent="0.3">
      <c r="C1544"/>
      <c r="D1544"/>
      <c r="E1544"/>
      <c r="F1544"/>
      <c r="G1544"/>
    </row>
    <row r="1545" spans="3:7" x14ac:dyDescent="0.3">
      <c r="C1545"/>
      <c r="D1545"/>
      <c r="E1545"/>
      <c r="F1545"/>
      <c r="G1545"/>
    </row>
    <row r="1546" spans="3:7" x14ac:dyDescent="0.3">
      <c r="C1546"/>
      <c r="D1546"/>
      <c r="E1546"/>
      <c r="F1546"/>
      <c r="G1546"/>
    </row>
    <row r="1547" spans="3:7" x14ac:dyDescent="0.3">
      <c r="C1547"/>
      <c r="D1547"/>
      <c r="E1547"/>
      <c r="F1547"/>
      <c r="G1547"/>
    </row>
    <row r="1548" spans="3:7" x14ac:dyDescent="0.3">
      <c r="C1548"/>
      <c r="D1548"/>
      <c r="E1548"/>
      <c r="F1548"/>
      <c r="G1548"/>
    </row>
    <row r="1549" spans="3:7" x14ac:dyDescent="0.3">
      <c r="C1549"/>
      <c r="D1549"/>
      <c r="E1549"/>
      <c r="F1549"/>
      <c r="G1549"/>
    </row>
    <row r="1550" spans="3:7" x14ac:dyDescent="0.3">
      <c r="C1550"/>
      <c r="D1550"/>
      <c r="E1550"/>
      <c r="F1550"/>
      <c r="G1550"/>
    </row>
    <row r="1551" spans="3:7" x14ac:dyDescent="0.3">
      <c r="C1551"/>
      <c r="D1551"/>
      <c r="E1551"/>
      <c r="F1551"/>
      <c r="G1551"/>
    </row>
    <row r="1552" spans="3:7" x14ac:dyDescent="0.3">
      <c r="C1552"/>
      <c r="D1552"/>
      <c r="E1552"/>
      <c r="F1552"/>
      <c r="G1552"/>
    </row>
    <row r="1553" spans="3:7" x14ac:dyDescent="0.3">
      <c r="C1553"/>
      <c r="D1553"/>
      <c r="E1553"/>
      <c r="F1553"/>
      <c r="G1553"/>
    </row>
    <row r="1554" spans="3:7" x14ac:dyDescent="0.3">
      <c r="C1554"/>
      <c r="D1554"/>
      <c r="E1554"/>
      <c r="F1554"/>
      <c r="G1554"/>
    </row>
    <row r="1555" spans="3:7" x14ac:dyDescent="0.3">
      <c r="C1555"/>
      <c r="D1555"/>
      <c r="E1555"/>
      <c r="F1555"/>
      <c r="G1555"/>
    </row>
    <row r="1556" spans="3:7" x14ac:dyDescent="0.3">
      <c r="C1556"/>
      <c r="D1556"/>
      <c r="E1556"/>
      <c r="F1556"/>
      <c r="G1556"/>
    </row>
    <row r="1557" spans="3:7" x14ac:dyDescent="0.3">
      <c r="C1557"/>
      <c r="D1557"/>
      <c r="E1557"/>
      <c r="F1557"/>
      <c r="G1557"/>
    </row>
    <row r="1558" spans="3:7" x14ac:dyDescent="0.3">
      <c r="C1558"/>
      <c r="D1558"/>
      <c r="E1558"/>
      <c r="F1558"/>
      <c r="G1558"/>
    </row>
    <row r="1559" spans="3:7" x14ac:dyDescent="0.3">
      <c r="C1559"/>
      <c r="D1559"/>
      <c r="E1559"/>
      <c r="F1559"/>
      <c r="G1559"/>
    </row>
    <row r="1560" spans="3:7" x14ac:dyDescent="0.3">
      <c r="C1560"/>
      <c r="D1560"/>
      <c r="E1560"/>
      <c r="F1560"/>
      <c r="G1560"/>
    </row>
    <row r="1561" spans="3:7" x14ac:dyDescent="0.3">
      <c r="C1561"/>
      <c r="D1561"/>
      <c r="E1561"/>
      <c r="F1561"/>
      <c r="G1561"/>
    </row>
    <row r="1562" spans="3:7" x14ac:dyDescent="0.3">
      <c r="C1562"/>
      <c r="D1562"/>
      <c r="E1562"/>
      <c r="F1562"/>
      <c r="G1562"/>
    </row>
    <row r="1563" spans="3:7" x14ac:dyDescent="0.3">
      <c r="C1563"/>
      <c r="D1563"/>
      <c r="E1563"/>
      <c r="F1563"/>
      <c r="G1563"/>
    </row>
    <row r="1564" spans="3:7" x14ac:dyDescent="0.3">
      <c r="C1564"/>
      <c r="D1564"/>
      <c r="E1564"/>
      <c r="F1564"/>
      <c r="G1564"/>
    </row>
    <row r="1565" spans="3:7" x14ac:dyDescent="0.3">
      <c r="C1565"/>
      <c r="D1565"/>
      <c r="E1565"/>
      <c r="F1565"/>
      <c r="G1565"/>
    </row>
    <row r="1566" spans="3:7" x14ac:dyDescent="0.3">
      <c r="C1566"/>
      <c r="D1566"/>
      <c r="E1566"/>
      <c r="F1566"/>
      <c r="G1566"/>
    </row>
    <row r="1567" spans="3:7" x14ac:dyDescent="0.3">
      <c r="C1567"/>
      <c r="D1567"/>
      <c r="E1567"/>
      <c r="F1567"/>
      <c r="G1567"/>
    </row>
    <row r="1568" spans="3:7" x14ac:dyDescent="0.3">
      <c r="C1568"/>
      <c r="D1568"/>
      <c r="E1568"/>
      <c r="F1568"/>
      <c r="G1568"/>
    </row>
    <row r="1569" spans="3:7" x14ac:dyDescent="0.3">
      <c r="C1569"/>
      <c r="D1569"/>
      <c r="E1569"/>
      <c r="F1569"/>
      <c r="G1569"/>
    </row>
    <row r="1570" spans="3:7" x14ac:dyDescent="0.3">
      <c r="C1570"/>
      <c r="D1570"/>
      <c r="E1570"/>
      <c r="F1570"/>
      <c r="G1570"/>
    </row>
    <row r="1571" spans="3:7" x14ac:dyDescent="0.3">
      <c r="C1571"/>
      <c r="D1571"/>
      <c r="E1571"/>
      <c r="F1571"/>
      <c r="G1571"/>
    </row>
    <row r="1572" spans="3:7" x14ac:dyDescent="0.3">
      <c r="C1572"/>
      <c r="D1572"/>
      <c r="E1572"/>
      <c r="F1572"/>
      <c r="G1572"/>
    </row>
    <row r="1573" spans="3:7" x14ac:dyDescent="0.3">
      <c r="C1573"/>
      <c r="D1573"/>
      <c r="E1573"/>
      <c r="F1573"/>
      <c r="G1573"/>
    </row>
    <row r="1574" spans="3:7" x14ac:dyDescent="0.3">
      <c r="C1574"/>
      <c r="D1574"/>
      <c r="E1574"/>
      <c r="F1574"/>
      <c r="G1574"/>
    </row>
    <row r="1575" spans="3:7" x14ac:dyDescent="0.3">
      <c r="C1575"/>
      <c r="D1575"/>
      <c r="E1575"/>
      <c r="F1575"/>
      <c r="G1575"/>
    </row>
    <row r="1576" spans="3:7" x14ac:dyDescent="0.3">
      <c r="C1576"/>
      <c r="D1576"/>
      <c r="E1576"/>
      <c r="F1576"/>
      <c r="G1576"/>
    </row>
    <row r="1577" spans="3:7" x14ac:dyDescent="0.3">
      <c r="C1577"/>
      <c r="D1577"/>
      <c r="E1577"/>
      <c r="F1577"/>
      <c r="G1577"/>
    </row>
    <row r="1578" spans="3:7" x14ac:dyDescent="0.3">
      <c r="C1578"/>
      <c r="D1578"/>
      <c r="E1578"/>
      <c r="F1578"/>
      <c r="G1578"/>
    </row>
    <row r="1579" spans="3:7" x14ac:dyDescent="0.3">
      <c r="C1579"/>
      <c r="D1579"/>
      <c r="E1579"/>
      <c r="F1579"/>
      <c r="G1579"/>
    </row>
    <row r="1580" spans="3:7" x14ac:dyDescent="0.3">
      <c r="C1580"/>
      <c r="D1580"/>
      <c r="E1580"/>
      <c r="F1580"/>
      <c r="G1580"/>
    </row>
    <row r="1581" spans="3:7" x14ac:dyDescent="0.3">
      <c r="C1581"/>
      <c r="D1581"/>
      <c r="E1581"/>
      <c r="F1581"/>
      <c r="G1581"/>
    </row>
    <row r="1582" spans="3:7" x14ac:dyDescent="0.3">
      <c r="C1582"/>
      <c r="D1582"/>
      <c r="E1582"/>
      <c r="F1582"/>
      <c r="G1582"/>
    </row>
    <row r="1583" spans="3:7" x14ac:dyDescent="0.3">
      <c r="C1583"/>
      <c r="D1583"/>
      <c r="E1583"/>
      <c r="F1583"/>
      <c r="G1583"/>
    </row>
    <row r="1584" spans="3:7" x14ac:dyDescent="0.3">
      <c r="C1584"/>
      <c r="D1584"/>
      <c r="E1584"/>
      <c r="F1584"/>
      <c r="G1584"/>
    </row>
    <row r="1585" spans="3:7" x14ac:dyDescent="0.3">
      <c r="C1585"/>
      <c r="D1585"/>
      <c r="E1585"/>
      <c r="F1585"/>
      <c r="G1585"/>
    </row>
    <row r="1586" spans="3:7" x14ac:dyDescent="0.3">
      <c r="C1586"/>
      <c r="D1586"/>
      <c r="E1586"/>
      <c r="F1586"/>
      <c r="G1586"/>
    </row>
    <row r="1587" spans="3:7" x14ac:dyDescent="0.3">
      <c r="C1587"/>
      <c r="D1587"/>
      <c r="E1587"/>
      <c r="F1587"/>
      <c r="G1587"/>
    </row>
    <row r="1588" spans="3:7" x14ac:dyDescent="0.3">
      <c r="C1588"/>
      <c r="D1588"/>
      <c r="E1588"/>
      <c r="F1588"/>
      <c r="G1588"/>
    </row>
    <row r="1589" spans="3:7" x14ac:dyDescent="0.3">
      <c r="C1589"/>
      <c r="D1589"/>
      <c r="E1589"/>
      <c r="F1589"/>
      <c r="G1589"/>
    </row>
    <row r="1590" spans="3:7" x14ac:dyDescent="0.3">
      <c r="C1590"/>
      <c r="D1590"/>
      <c r="E1590"/>
      <c r="F1590"/>
      <c r="G1590"/>
    </row>
    <row r="1591" spans="3:7" x14ac:dyDescent="0.3">
      <c r="C1591"/>
      <c r="D1591"/>
      <c r="E1591"/>
      <c r="F1591"/>
      <c r="G1591"/>
    </row>
    <row r="1592" spans="3:7" x14ac:dyDescent="0.3">
      <c r="C1592"/>
      <c r="D1592"/>
      <c r="E1592"/>
      <c r="F1592"/>
      <c r="G1592"/>
    </row>
    <row r="1593" spans="3:7" x14ac:dyDescent="0.3">
      <c r="C1593"/>
      <c r="D1593"/>
      <c r="E1593"/>
      <c r="F1593"/>
      <c r="G1593"/>
    </row>
    <row r="1594" spans="3:7" x14ac:dyDescent="0.3">
      <c r="C1594"/>
      <c r="D1594"/>
      <c r="E1594"/>
      <c r="F1594"/>
      <c r="G1594"/>
    </row>
    <row r="1595" spans="3:7" x14ac:dyDescent="0.3">
      <c r="C1595"/>
      <c r="D1595"/>
      <c r="E1595"/>
      <c r="F1595"/>
      <c r="G1595"/>
    </row>
    <row r="1596" spans="3:7" x14ac:dyDescent="0.3">
      <c r="C1596"/>
      <c r="D1596"/>
      <c r="E1596"/>
      <c r="F1596"/>
      <c r="G1596"/>
    </row>
    <row r="1597" spans="3:7" x14ac:dyDescent="0.3">
      <c r="C1597"/>
      <c r="D1597"/>
      <c r="E1597"/>
      <c r="F1597"/>
      <c r="G1597"/>
    </row>
    <row r="1598" spans="3:7" x14ac:dyDescent="0.3">
      <c r="C1598"/>
      <c r="D1598"/>
      <c r="E1598"/>
      <c r="F1598"/>
      <c r="G1598"/>
    </row>
    <row r="1599" spans="3:7" x14ac:dyDescent="0.3">
      <c r="C1599"/>
      <c r="D1599"/>
      <c r="E1599"/>
      <c r="F1599"/>
      <c r="G1599"/>
    </row>
    <row r="1600" spans="3:7" x14ac:dyDescent="0.3">
      <c r="C1600"/>
      <c r="D1600"/>
      <c r="E1600"/>
      <c r="F1600"/>
      <c r="G1600"/>
    </row>
    <row r="1601" spans="3:7" x14ac:dyDescent="0.3">
      <c r="C1601"/>
      <c r="D1601"/>
      <c r="E1601"/>
      <c r="F1601"/>
      <c r="G1601"/>
    </row>
    <row r="1602" spans="3:7" x14ac:dyDescent="0.3">
      <c r="C1602"/>
      <c r="D1602"/>
      <c r="E1602"/>
      <c r="F1602"/>
      <c r="G1602"/>
    </row>
    <row r="1603" spans="3:7" x14ac:dyDescent="0.3">
      <c r="C1603"/>
      <c r="D1603"/>
      <c r="E1603"/>
      <c r="F1603"/>
      <c r="G1603"/>
    </row>
    <row r="1604" spans="3:7" x14ac:dyDescent="0.3">
      <c r="C1604"/>
      <c r="D1604"/>
      <c r="E1604"/>
      <c r="F1604"/>
      <c r="G1604"/>
    </row>
    <row r="1605" spans="3:7" x14ac:dyDescent="0.3">
      <c r="C1605"/>
      <c r="D1605"/>
      <c r="E1605"/>
      <c r="F1605"/>
      <c r="G1605"/>
    </row>
    <row r="1606" spans="3:7" x14ac:dyDescent="0.3">
      <c r="C1606"/>
      <c r="D1606"/>
      <c r="E1606"/>
      <c r="F1606"/>
      <c r="G1606"/>
    </row>
    <row r="1607" spans="3:7" x14ac:dyDescent="0.3">
      <c r="C1607"/>
      <c r="D1607"/>
      <c r="E1607"/>
      <c r="F1607"/>
      <c r="G1607"/>
    </row>
    <row r="1608" spans="3:7" x14ac:dyDescent="0.3">
      <c r="C1608"/>
      <c r="D1608"/>
      <c r="E1608"/>
      <c r="F1608"/>
      <c r="G1608"/>
    </row>
    <row r="1609" spans="3:7" x14ac:dyDescent="0.3">
      <c r="C1609"/>
      <c r="D1609"/>
      <c r="E1609"/>
      <c r="F1609"/>
      <c r="G1609"/>
    </row>
    <row r="1610" spans="3:7" x14ac:dyDescent="0.3">
      <c r="C1610"/>
      <c r="D1610"/>
      <c r="E1610"/>
      <c r="F1610"/>
      <c r="G1610"/>
    </row>
    <row r="1611" spans="3:7" x14ac:dyDescent="0.3">
      <c r="C1611"/>
      <c r="D1611"/>
      <c r="E1611"/>
      <c r="F1611"/>
      <c r="G1611"/>
    </row>
    <row r="1612" spans="3:7" x14ac:dyDescent="0.3">
      <c r="C1612"/>
      <c r="D1612"/>
      <c r="E1612"/>
      <c r="F1612"/>
      <c r="G1612"/>
    </row>
    <row r="1613" spans="3:7" x14ac:dyDescent="0.3">
      <c r="C1613"/>
      <c r="D1613"/>
      <c r="E1613"/>
      <c r="F1613"/>
      <c r="G1613"/>
    </row>
    <row r="1614" spans="3:7" x14ac:dyDescent="0.3">
      <c r="C1614"/>
      <c r="D1614"/>
      <c r="E1614"/>
      <c r="F1614"/>
      <c r="G1614"/>
    </row>
    <row r="1615" spans="3:7" x14ac:dyDescent="0.3">
      <c r="C1615"/>
      <c r="D1615"/>
      <c r="E1615"/>
      <c r="F1615"/>
      <c r="G1615"/>
    </row>
    <row r="1616" spans="3:7" x14ac:dyDescent="0.3">
      <c r="C1616"/>
      <c r="D1616"/>
      <c r="E1616"/>
      <c r="F1616"/>
      <c r="G1616"/>
    </row>
    <row r="1617" spans="3:7" x14ac:dyDescent="0.3">
      <c r="C1617"/>
      <c r="D1617"/>
      <c r="E1617"/>
      <c r="F1617"/>
      <c r="G1617"/>
    </row>
    <row r="1618" spans="3:7" x14ac:dyDescent="0.3">
      <c r="C1618"/>
      <c r="D1618"/>
      <c r="E1618"/>
      <c r="F1618"/>
      <c r="G1618"/>
    </row>
    <row r="1619" spans="3:7" x14ac:dyDescent="0.3">
      <c r="C1619"/>
      <c r="D1619"/>
      <c r="E1619"/>
      <c r="F1619"/>
      <c r="G1619"/>
    </row>
    <row r="1620" spans="3:7" x14ac:dyDescent="0.3">
      <c r="C1620"/>
      <c r="D1620"/>
      <c r="E1620"/>
      <c r="F1620"/>
      <c r="G1620"/>
    </row>
    <row r="1621" spans="3:7" x14ac:dyDescent="0.3">
      <c r="C1621"/>
      <c r="D1621"/>
      <c r="E1621"/>
      <c r="F1621"/>
      <c r="G1621"/>
    </row>
    <row r="1622" spans="3:7" x14ac:dyDescent="0.3">
      <c r="C1622"/>
      <c r="D1622"/>
      <c r="E1622"/>
      <c r="F1622"/>
      <c r="G1622"/>
    </row>
    <row r="1623" spans="3:7" x14ac:dyDescent="0.3">
      <c r="C1623"/>
      <c r="D1623"/>
      <c r="E1623"/>
      <c r="F1623"/>
      <c r="G1623"/>
    </row>
    <row r="1624" spans="3:7" x14ac:dyDescent="0.3">
      <c r="C1624"/>
      <c r="D1624"/>
      <c r="E1624"/>
      <c r="F1624"/>
      <c r="G1624"/>
    </row>
    <row r="1625" spans="3:7" x14ac:dyDescent="0.3">
      <c r="C1625"/>
      <c r="D1625"/>
      <c r="E1625"/>
      <c r="F1625"/>
      <c r="G1625"/>
    </row>
    <row r="1626" spans="3:7" x14ac:dyDescent="0.3">
      <c r="C1626"/>
      <c r="D1626"/>
      <c r="E1626"/>
      <c r="F1626"/>
      <c r="G1626"/>
    </row>
    <row r="1627" spans="3:7" x14ac:dyDescent="0.3">
      <c r="C1627"/>
      <c r="D1627"/>
      <c r="E1627"/>
      <c r="F1627"/>
      <c r="G1627"/>
    </row>
    <row r="1628" spans="3:7" x14ac:dyDescent="0.3">
      <c r="C1628"/>
      <c r="D1628"/>
      <c r="E1628"/>
      <c r="F1628"/>
      <c r="G1628"/>
    </row>
    <row r="1629" spans="3:7" x14ac:dyDescent="0.3">
      <c r="C1629"/>
      <c r="D1629"/>
      <c r="E1629"/>
      <c r="F1629"/>
      <c r="G1629"/>
    </row>
    <row r="1630" spans="3:7" x14ac:dyDescent="0.3">
      <c r="C1630"/>
      <c r="D1630"/>
      <c r="E1630"/>
      <c r="F1630"/>
      <c r="G1630"/>
    </row>
    <row r="1631" spans="3:7" x14ac:dyDescent="0.3">
      <c r="C1631"/>
      <c r="D1631"/>
      <c r="E1631"/>
      <c r="F1631"/>
      <c r="G1631"/>
    </row>
    <row r="1632" spans="3:7" x14ac:dyDescent="0.3">
      <c r="C1632"/>
      <c r="D1632"/>
      <c r="E1632"/>
      <c r="F1632"/>
      <c r="G1632"/>
    </row>
    <row r="1633" spans="3:7" x14ac:dyDescent="0.3">
      <c r="C1633"/>
      <c r="D1633"/>
      <c r="E1633"/>
      <c r="F1633"/>
      <c r="G1633"/>
    </row>
    <row r="1634" spans="3:7" x14ac:dyDescent="0.3">
      <c r="C1634"/>
      <c r="D1634"/>
      <c r="E1634"/>
      <c r="F1634"/>
      <c r="G1634"/>
    </row>
    <row r="1635" spans="3:7" x14ac:dyDescent="0.3">
      <c r="C1635"/>
      <c r="D1635"/>
      <c r="E1635"/>
      <c r="F1635"/>
      <c r="G1635"/>
    </row>
    <row r="1636" spans="3:7" x14ac:dyDescent="0.3">
      <c r="C1636"/>
      <c r="D1636"/>
      <c r="E1636"/>
      <c r="F1636"/>
      <c r="G1636"/>
    </row>
    <row r="1637" spans="3:7" x14ac:dyDescent="0.3">
      <c r="C1637"/>
      <c r="D1637"/>
      <c r="E1637"/>
      <c r="F1637"/>
      <c r="G1637"/>
    </row>
    <row r="1638" spans="3:7" x14ac:dyDescent="0.3">
      <c r="C1638"/>
      <c r="D1638"/>
      <c r="E1638"/>
      <c r="F1638"/>
      <c r="G1638"/>
    </row>
    <row r="1639" spans="3:7" x14ac:dyDescent="0.3">
      <c r="C1639"/>
      <c r="D1639"/>
      <c r="E1639"/>
      <c r="F1639"/>
      <c r="G1639"/>
    </row>
    <row r="1640" spans="3:7" x14ac:dyDescent="0.3">
      <c r="C1640"/>
      <c r="D1640"/>
      <c r="E1640"/>
      <c r="F1640"/>
      <c r="G1640"/>
    </row>
    <row r="1641" spans="3:7" x14ac:dyDescent="0.3">
      <c r="C1641"/>
      <c r="D1641"/>
      <c r="E1641"/>
      <c r="F1641"/>
      <c r="G1641"/>
    </row>
    <row r="1642" spans="3:7" x14ac:dyDescent="0.3">
      <c r="C1642"/>
      <c r="D1642"/>
      <c r="E1642"/>
      <c r="F1642"/>
      <c r="G1642"/>
    </row>
    <row r="1643" spans="3:7" x14ac:dyDescent="0.3">
      <c r="C1643"/>
      <c r="D1643"/>
      <c r="E1643"/>
      <c r="F1643"/>
      <c r="G1643"/>
    </row>
    <row r="1644" spans="3:7" x14ac:dyDescent="0.3">
      <c r="C1644"/>
      <c r="D1644"/>
      <c r="E1644"/>
      <c r="F1644"/>
      <c r="G1644"/>
    </row>
    <row r="1645" spans="3:7" x14ac:dyDescent="0.3">
      <c r="C1645"/>
      <c r="D1645"/>
      <c r="E1645"/>
      <c r="F1645"/>
      <c r="G1645"/>
    </row>
    <row r="1646" spans="3:7" x14ac:dyDescent="0.3">
      <c r="C1646"/>
      <c r="D1646"/>
      <c r="E1646"/>
      <c r="F1646"/>
      <c r="G1646"/>
    </row>
    <row r="1647" spans="3:7" x14ac:dyDescent="0.3">
      <c r="C1647"/>
      <c r="D1647"/>
      <c r="E1647"/>
      <c r="F1647"/>
      <c r="G1647"/>
    </row>
    <row r="1648" spans="3:7" x14ac:dyDescent="0.3">
      <c r="C1648"/>
      <c r="D1648"/>
      <c r="E1648"/>
      <c r="F1648"/>
      <c r="G1648"/>
    </row>
    <row r="1649" spans="3:7" x14ac:dyDescent="0.3">
      <c r="C1649"/>
      <c r="D1649"/>
      <c r="E1649"/>
      <c r="F1649"/>
      <c r="G1649"/>
    </row>
    <row r="1650" spans="3:7" x14ac:dyDescent="0.3">
      <c r="C1650"/>
      <c r="D1650"/>
      <c r="E1650"/>
      <c r="F1650"/>
      <c r="G1650"/>
    </row>
    <row r="1651" spans="3:7" x14ac:dyDescent="0.3">
      <c r="C1651"/>
      <c r="D1651"/>
      <c r="E1651"/>
      <c r="F1651"/>
      <c r="G1651"/>
    </row>
    <row r="1652" spans="3:7" x14ac:dyDescent="0.3">
      <c r="C1652"/>
      <c r="D1652"/>
      <c r="E1652"/>
      <c r="F1652"/>
      <c r="G1652"/>
    </row>
    <row r="1653" spans="3:7" x14ac:dyDescent="0.3">
      <c r="C1653"/>
      <c r="D1653"/>
      <c r="E1653"/>
      <c r="F1653"/>
      <c r="G1653"/>
    </row>
    <row r="1654" spans="3:7" x14ac:dyDescent="0.3">
      <c r="C1654"/>
      <c r="D1654"/>
      <c r="E1654"/>
      <c r="F1654"/>
      <c r="G1654"/>
    </row>
    <row r="1655" spans="3:7" x14ac:dyDescent="0.3">
      <c r="C1655"/>
      <c r="D1655"/>
      <c r="E1655"/>
      <c r="F1655"/>
      <c r="G1655"/>
    </row>
    <row r="1656" spans="3:7" x14ac:dyDescent="0.3">
      <c r="C1656"/>
      <c r="D1656"/>
      <c r="E1656"/>
      <c r="F1656"/>
      <c r="G1656"/>
    </row>
    <row r="1657" spans="3:7" x14ac:dyDescent="0.3">
      <c r="C1657"/>
      <c r="D1657"/>
      <c r="E1657"/>
      <c r="F1657"/>
      <c r="G1657"/>
    </row>
    <row r="1658" spans="3:7" x14ac:dyDescent="0.3">
      <c r="C1658"/>
      <c r="D1658"/>
      <c r="E1658"/>
      <c r="F1658"/>
      <c r="G1658"/>
    </row>
    <row r="1659" spans="3:7" x14ac:dyDescent="0.3">
      <c r="C1659"/>
      <c r="D1659"/>
      <c r="E1659"/>
      <c r="F1659"/>
      <c r="G1659"/>
    </row>
    <row r="1660" spans="3:7" x14ac:dyDescent="0.3">
      <c r="C1660"/>
      <c r="D1660"/>
      <c r="E1660"/>
      <c r="F1660"/>
      <c r="G1660"/>
    </row>
    <row r="1661" spans="3:7" x14ac:dyDescent="0.3">
      <c r="C1661"/>
      <c r="D1661"/>
      <c r="E1661"/>
      <c r="F1661"/>
      <c r="G1661"/>
    </row>
    <row r="1662" spans="3:7" x14ac:dyDescent="0.3">
      <c r="C1662"/>
      <c r="D1662"/>
      <c r="E1662"/>
      <c r="F1662"/>
      <c r="G1662"/>
    </row>
    <row r="1663" spans="3:7" x14ac:dyDescent="0.3">
      <c r="C1663"/>
      <c r="D1663"/>
      <c r="E1663"/>
      <c r="F1663"/>
      <c r="G1663"/>
    </row>
    <row r="1664" spans="3:7" x14ac:dyDescent="0.3">
      <c r="C1664"/>
      <c r="D1664"/>
      <c r="E1664"/>
      <c r="F1664"/>
      <c r="G1664"/>
    </row>
    <row r="1665" spans="3:7" x14ac:dyDescent="0.3">
      <c r="C1665"/>
      <c r="D1665"/>
      <c r="E1665"/>
      <c r="F1665"/>
      <c r="G1665"/>
    </row>
    <row r="1666" spans="3:7" x14ac:dyDescent="0.3">
      <c r="C1666"/>
      <c r="D1666"/>
      <c r="E1666"/>
      <c r="F1666"/>
      <c r="G1666"/>
    </row>
    <row r="1667" spans="3:7" x14ac:dyDescent="0.3">
      <c r="C1667"/>
      <c r="D1667"/>
      <c r="E1667"/>
      <c r="F1667"/>
      <c r="G1667"/>
    </row>
    <row r="1668" spans="3:7" x14ac:dyDescent="0.3">
      <c r="C1668"/>
      <c r="D1668"/>
      <c r="E1668"/>
      <c r="F1668"/>
      <c r="G1668"/>
    </row>
    <row r="1669" spans="3:7" x14ac:dyDescent="0.3">
      <c r="C1669"/>
      <c r="D1669"/>
      <c r="E1669"/>
      <c r="F1669"/>
      <c r="G1669"/>
    </row>
    <row r="1670" spans="3:7" x14ac:dyDescent="0.3">
      <c r="C1670"/>
      <c r="D1670"/>
      <c r="E1670"/>
      <c r="F1670"/>
      <c r="G1670"/>
    </row>
    <row r="1671" spans="3:7" x14ac:dyDescent="0.3">
      <c r="C1671"/>
      <c r="D1671"/>
      <c r="E1671"/>
      <c r="F1671"/>
      <c r="G1671"/>
    </row>
    <row r="1672" spans="3:7" x14ac:dyDescent="0.3">
      <c r="C1672"/>
      <c r="D1672"/>
      <c r="E1672"/>
      <c r="F1672"/>
      <c r="G1672"/>
    </row>
    <row r="1673" spans="3:7" x14ac:dyDescent="0.3">
      <c r="C1673"/>
      <c r="D1673"/>
      <c r="E1673"/>
      <c r="F1673"/>
      <c r="G1673"/>
    </row>
    <row r="1674" spans="3:7" x14ac:dyDescent="0.3">
      <c r="C1674"/>
      <c r="D1674"/>
      <c r="E1674"/>
      <c r="F1674"/>
      <c r="G1674"/>
    </row>
    <row r="1675" spans="3:7" x14ac:dyDescent="0.3">
      <c r="C1675"/>
      <c r="D1675"/>
      <c r="E1675"/>
      <c r="F1675"/>
      <c r="G1675"/>
    </row>
    <row r="1676" spans="3:7" x14ac:dyDescent="0.3">
      <c r="C1676"/>
      <c r="D1676"/>
      <c r="E1676"/>
      <c r="F1676"/>
      <c r="G1676"/>
    </row>
    <row r="1677" spans="3:7" x14ac:dyDescent="0.3">
      <c r="C1677"/>
      <c r="D1677"/>
      <c r="E1677"/>
      <c r="F1677"/>
      <c r="G1677"/>
    </row>
    <row r="1678" spans="3:7" x14ac:dyDescent="0.3">
      <c r="C1678"/>
      <c r="D1678"/>
      <c r="E1678"/>
      <c r="F1678"/>
      <c r="G1678"/>
    </row>
    <row r="1679" spans="3:7" x14ac:dyDescent="0.3">
      <c r="C1679"/>
      <c r="D1679"/>
      <c r="E1679"/>
      <c r="F1679"/>
      <c r="G1679"/>
    </row>
    <row r="1680" spans="3:7" x14ac:dyDescent="0.3">
      <c r="C1680"/>
      <c r="D1680"/>
      <c r="E1680"/>
      <c r="F1680"/>
      <c r="G1680"/>
    </row>
    <row r="1681" spans="3:7" x14ac:dyDescent="0.3">
      <c r="C1681"/>
      <c r="D1681"/>
      <c r="E1681"/>
      <c r="F1681"/>
      <c r="G1681"/>
    </row>
    <row r="1682" spans="3:7" x14ac:dyDescent="0.3">
      <c r="C1682"/>
      <c r="D1682"/>
      <c r="E1682"/>
      <c r="F1682"/>
      <c r="G1682"/>
    </row>
    <row r="1683" spans="3:7" x14ac:dyDescent="0.3">
      <c r="C1683"/>
      <c r="D1683"/>
      <c r="E1683"/>
      <c r="F1683"/>
      <c r="G1683"/>
    </row>
    <row r="1684" spans="3:7" x14ac:dyDescent="0.3">
      <c r="C1684"/>
      <c r="D1684"/>
      <c r="E1684"/>
      <c r="F1684"/>
      <c r="G1684"/>
    </row>
    <row r="1685" spans="3:7" x14ac:dyDescent="0.3">
      <c r="C1685"/>
      <c r="D1685"/>
      <c r="E1685"/>
      <c r="F1685"/>
      <c r="G1685"/>
    </row>
    <row r="1686" spans="3:7" x14ac:dyDescent="0.3">
      <c r="C1686"/>
      <c r="D1686"/>
      <c r="E1686"/>
      <c r="F1686"/>
      <c r="G1686"/>
    </row>
    <row r="1687" spans="3:7" x14ac:dyDescent="0.3">
      <c r="C1687"/>
      <c r="D1687"/>
      <c r="E1687"/>
      <c r="F1687"/>
      <c r="G1687"/>
    </row>
    <row r="1688" spans="3:7" x14ac:dyDescent="0.3">
      <c r="C1688"/>
      <c r="D1688"/>
      <c r="E1688"/>
      <c r="F1688"/>
      <c r="G1688"/>
    </row>
    <row r="1689" spans="3:7" x14ac:dyDescent="0.3">
      <c r="C1689"/>
      <c r="D1689"/>
      <c r="E1689"/>
      <c r="F1689"/>
      <c r="G1689"/>
    </row>
    <row r="1690" spans="3:7" x14ac:dyDescent="0.3">
      <c r="C1690"/>
      <c r="D1690"/>
      <c r="E1690"/>
      <c r="F1690"/>
      <c r="G1690"/>
    </row>
    <row r="1691" spans="3:7" x14ac:dyDescent="0.3">
      <c r="C1691"/>
      <c r="D1691"/>
      <c r="E1691"/>
      <c r="F1691"/>
      <c r="G1691"/>
    </row>
    <row r="1692" spans="3:7" x14ac:dyDescent="0.3">
      <c r="C1692"/>
      <c r="D1692"/>
      <c r="E1692"/>
      <c r="F1692"/>
      <c r="G1692"/>
    </row>
    <row r="1693" spans="3:7" x14ac:dyDescent="0.3">
      <c r="C1693"/>
      <c r="D1693"/>
      <c r="E1693"/>
      <c r="F1693"/>
      <c r="G1693"/>
    </row>
    <row r="1694" spans="3:7" x14ac:dyDescent="0.3">
      <c r="C1694"/>
      <c r="D1694"/>
      <c r="E1694"/>
      <c r="F1694"/>
      <c r="G1694"/>
    </row>
    <row r="1695" spans="3:7" x14ac:dyDescent="0.3">
      <c r="C1695"/>
      <c r="D1695"/>
      <c r="E1695"/>
      <c r="F1695"/>
      <c r="G1695"/>
    </row>
    <row r="1696" spans="3:7" x14ac:dyDescent="0.3">
      <c r="C1696"/>
      <c r="D1696"/>
      <c r="E1696"/>
      <c r="F1696"/>
      <c r="G1696"/>
    </row>
    <row r="1697" spans="3:7" x14ac:dyDescent="0.3">
      <c r="C1697"/>
      <c r="D1697"/>
      <c r="E1697"/>
      <c r="F1697"/>
      <c r="G1697"/>
    </row>
    <row r="1698" spans="3:7" x14ac:dyDescent="0.3">
      <c r="C1698"/>
      <c r="D1698"/>
      <c r="E1698"/>
      <c r="F1698"/>
      <c r="G1698"/>
    </row>
    <row r="1699" spans="3:7" x14ac:dyDescent="0.3">
      <c r="C1699"/>
      <c r="D1699"/>
      <c r="E1699"/>
      <c r="F1699"/>
      <c r="G1699"/>
    </row>
    <row r="1700" spans="3:7" x14ac:dyDescent="0.3">
      <c r="C1700"/>
      <c r="D1700"/>
      <c r="E1700"/>
      <c r="F1700"/>
      <c r="G1700"/>
    </row>
    <row r="1701" spans="3:7" x14ac:dyDescent="0.3">
      <c r="C1701"/>
      <c r="D1701"/>
      <c r="E1701"/>
      <c r="F1701"/>
      <c r="G1701"/>
    </row>
    <row r="1702" spans="3:7" x14ac:dyDescent="0.3">
      <c r="C1702"/>
      <c r="D1702"/>
      <c r="E1702"/>
      <c r="F1702"/>
      <c r="G1702"/>
    </row>
    <row r="1703" spans="3:7" x14ac:dyDescent="0.3">
      <c r="C1703"/>
      <c r="D1703"/>
      <c r="E1703"/>
      <c r="F1703"/>
      <c r="G1703"/>
    </row>
    <row r="1704" spans="3:7" x14ac:dyDescent="0.3">
      <c r="C1704"/>
      <c r="D1704"/>
      <c r="E1704"/>
      <c r="F1704"/>
      <c r="G1704"/>
    </row>
    <row r="1705" spans="3:7" x14ac:dyDescent="0.3">
      <c r="C1705"/>
      <c r="D1705"/>
      <c r="E1705"/>
      <c r="F1705"/>
      <c r="G1705"/>
    </row>
    <row r="1706" spans="3:7" x14ac:dyDescent="0.3">
      <c r="C1706"/>
      <c r="D1706"/>
      <c r="E1706"/>
      <c r="F1706"/>
      <c r="G1706"/>
    </row>
    <row r="1707" spans="3:7" x14ac:dyDescent="0.3">
      <c r="C1707"/>
      <c r="D1707"/>
      <c r="E1707"/>
      <c r="F1707"/>
      <c r="G1707"/>
    </row>
    <row r="1708" spans="3:7" x14ac:dyDescent="0.3">
      <c r="C1708"/>
      <c r="D1708"/>
      <c r="E1708"/>
      <c r="F1708"/>
      <c r="G1708"/>
    </row>
    <row r="1709" spans="3:7" x14ac:dyDescent="0.3">
      <c r="C1709"/>
      <c r="D1709"/>
      <c r="E1709"/>
      <c r="F1709"/>
      <c r="G1709"/>
    </row>
    <row r="1710" spans="3:7" x14ac:dyDescent="0.3">
      <c r="C1710"/>
      <c r="D1710"/>
      <c r="E1710"/>
      <c r="F1710"/>
      <c r="G1710"/>
    </row>
    <row r="1711" spans="3:7" x14ac:dyDescent="0.3">
      <c r="C1711"/>
      <c r="D1711"/>
      <c r="E1711"/>
      <c r="F1711"/>
      <c r="G1711"/>
    </row>
    <row r="1712" spans="3:7" x14ac:dyDescent="0.3">
      <c r="C1712"/>
      <c r="D1712"/>
      <c r="E1712"/>
      <c r="F1712"/>
      <c r="G1712"/>
    </row>
    <row r="1713" spans="3:7" x14ac:dyDescent="0.3">
      <c r="C1713"/>
      <c r="D1713"/>
      <c r="E1713"/>
      <c r="F1713"/>
      <c r="G1713"/>
    </row>
    <row r="1714" spans="3:7" x14ac:dyDescent="0.3">
      <c r="C1714"/>
      <c r="D1714"/>
      <c r="E1714"/>
      <c r="F1714"/>
      <c r="G1714"/>
    </row>
    <row r="1715" spans="3:7" x14ac:dyDescent="0.3">
      <c r="C1715"/>
      <c r="D1715"/>
      <c r="E1715"/>
      <c r="F1715"/>
      <c r="G1715"/>
    </row>
    <row r="1716" spans="3:7" x14ac:dyDescent="0.3">
      <c r="C1716"/>
      <c r="D1716"/>
      <c r="E1716"/>
      <c r="F1716"/>
      <c r="G1716"/>
    </row>
    <row r="1717" spans="3:7" x14ac:dyDescent="0.3">
      <c r="C1717"/>
      <c r="D1717"/>
      <c r="E1717"/>
      <c r="F1717"/>
      <c r="G1717"/>
    </row>
    <row r="1718" spans="3:7" x14ac:dyDescent="0.3">
      <c r="C1718"/>
      <c r="D1718"/>
      <c r="E1718"/>
      <c r="F1718"/>
      <c r="G1718"/>
    </row>
    <row r="1719" spans="3:7" x14ac:dyDescent="0.3">
      <c r="C1719"/>
      <c r="D1719"/>
      <c r="E1719"/>
      <c r="F1719"/>
      <c r="G1719"/>
    </row>
    <row r="1720" spans="3:7" x14ac:dyDescent="0.3">
      <c r="C1720"/>
      <c r="D1720"/>
      <c r="E1720"/>
      <c r="F1720"/>
      <c r="G1720"/>
    </row>
    <row r="1721" spans="3:7" x14ac:dyDescent="0.3">
      <c r="C1721"/>
      <c r="D1721"/>
      <c r="E1721"/>
      <c r="F1721"/>
      <c r="G1721"/>
    </row>
    <row r="1722" spans="3:7" x14ac:dyDescent="0.3">
      <c r="C1722"/>
      <c r="D1722"/>
      <c r="E1722"/>
      <c r="F1722"/>
      <c r="G1722"/>
    </row>
    <row r="1723" spans="3:7" x14ac:dyDescent="0.3">
      <c r="C1723"/>
      <c r="D1723"/>
      <c r="E1723"/>
      <c r="F1723"/>
      <c r="G1723"/>
    </row>
    <row r="1724" spans="3:7" x14ac:dyDescent="0.3">
      <c r="C1724"/>
      <c r="D1724"/>
      <c r="E1724"/>
      <c r="F1724"/>
      <c r="G1724"/>
    </row>
    <row r="1725" spans="3:7" x14ac:dyDescent="0.3">
      <c r="C1725"/>
      <c r="D1725"/>
      <c r="E1725"/>
      <c r="F1725"/>
      <c r="G1725"/>
    </row>
    <row r="1726" spans="3:7" x14ac:dyDescent="0.3">
      <c r="C1726"/>
      <c r="D1726"/>
      <c r="E1726"/>
      <c r="F1726"/>
      <c r="G1726"/>
    </row>
    <row r="1727" spans="3:7" x14ac:dyDescent="0.3">
      <c r="C1727"/>
      <c r="D1727"/>
      <c r="E1727"/>
      <c r="F1727"/>
      <c r="G1727"/>
    </row>
    <row r="1728" spans="3:7" x14ac:dyDescent="0.3">
      <c r="C1728"/>
      <c r="D1728"/>
      <c r="E1728"/>
      <c r="F1728"/>
      <c r="G1728"/>
    </row>
    <row r="1729" spans="3:7" x14ac:dyDescent="0.3">
      <c r="C1729"/>
      <c r="D1729"/>
      <c r="E1729"/>
      <c r="F1729"/>
      <c r="G1729"/>
    </row>
    <row r="1730" spans="3:7" x14ac:dyDescent="0.3">
      <c r="C1730"/>
      <c r="D1730"/>
      <c r="E1730"/>
      <c r="F1730"/>
      <c r="G1730"/>
    </row>
    <row r="1731" spans="3:7" x14ac:dyDescent="0.3">
      <c r="C1731"/>
      <c r="D1731"/>
      <c r="E1731"/>
      <c r="F1731"/>
      <c r="G1731"/>
    </row>
    <row r="1732" spans="3:7" x14ac:dyDescent="0.3">
      <c r="C1732"/>
      <c r="D1732"/>
      <c r="E1732"/>
      <c r="F1732"/>
      <c r="G1732"/>
    </row>
    <row r="1733" spans="3:7" x14ac:dyDescent="0.3">
      <c r="C1733"/>
      <c r="D1733"/>
      <c r="E1733"/>
      <c r="F1733"/>
      <c r="G1733"/>
    </row>
    <row r="1734" spans="3:7" x14ac:dyDescent="0.3">
      <c r="C1734"/>
      <c r="D1734"/>
      <c r="E1734"/>
      <c r="F1734"/>
      <c r="G1734"/>
    </row>
    <row r="1735" spans="3:7" x14ac:dyDescent="0.3">
      <c r="C1735"/>
      <c r="D1735"/>
      <c r="E1735"/>
      <c r="F1735"/>
      <c r="G1735"/>
    </row>
    <row r="1736" spans="3:7" x14ac:dyDescent="0.3">
      <c r="C1736"/>
      <c r="D1736"/>
      <c r="E1736"/>
      <c r="F1736"/>
      <c r="G1736"/>
    </row>
    <row r="1737" spans="3:7" x14ac:dyDescent="0.3">
      <c r="C1737"/>
      <c r="D1737"/>
      <c r="E1737"/>
      <c r="F1737"/>
      <c r="G1737"/>
    </row>
    <row r="1738" spans="3:7" x14ac:dyDescent="0.3">
      <c r="C1738"/>
      <c r="D1738"/>
      <c r="E1738"/>
      <c r="F1738"/>
      <c r="G1738"/>
    </row>
    <row r="1739" spans="3:7" x14ac:dyDescent="0.3">
      <c r="C1739"/>
      <c r="D1739"/>
      <c r="E1739"/>
      <c r="F1739"/>
      <c r="G1739"/>
    </row>
    <row r="1740" spans="3:7" x14ac:dyDescent="0.3">
      <c r="C1740"/>
      <c r="D1740"/>
      <c r="E1740"/>
      <c r="F1740"/>
      <c r="G1740"/>
    </row>
    <row r="1741" spans="3:7" x14ac:dyDescent="0.3">
      <c r="C1741"/>
      <c r="D1741"/>
      <c r="E1741"/>
      <c r="F1741"/>
      <c r="G1741"/>
    </row>
    <row r="1742" spans="3:7" x14ac:dyDescent="0.3">
      <c r="C1742"/>
      <c r="D1742"/>
      <c r="E1742"/>
      <c r="F1742"/>
      <c r="G1742"/>
    </row>
    <row r="1743" spans="3:7" x14ac:dyDescent="0.3">
      <c r="C1743"/>
      <c r="D1743"/>
      <c r="E1743"/>
      <c r="F1743"/>
      <c r="G1743"/>
    </row>
    <row r="1744" spans="3:7" x14ac:dyDescent="0.3">
      <c r="C1744"/>
      <c r="D1744"/>
      <c r="E1744"/>
      <c r="F1744"/>
      <c r="G1744"/>
    </row>
    <row r="1745" spans="3:7" x14ac:dyDescent="0.3">
      <c r="C1745"/>
      <c r="D1745"/>
      <c r="E1745"/>
      <c r="F1745"/>
      <c r="G1745"/>
    </row>
    <row r="1746" spans="3:7" x14ac:dyDescent="0.3">
      <c r="C1746"/>
      <c r="D1746"/>
      <c r="E1746"/>
      <c r="F1746"/>
      <c r="G1746"/>
    </row>
    <row r="1747" spans="3:7" x14ac:dyDescent="0.3">
      <c r="C1747"/>
      <c r="D1747"/>
      <c r="E1747"/>
      <c r="F1747"/>
      <c r="G1747"/>
    </row>
    <row r="1748" spans="3:7" x14ac:dyDescent="0.3">
      <c r="C1748"/>
      <c r="D1748"/>
      <c r="E1748"/>
      <c r="F1748"/>
      <c r="G1748"/>
    </row>
    <row r="1749" spans="3:7" x14ac:dyDescent="0.3">
      <c r="C1749"/>
      <c r="D1749"/>
      <c r="E1749"/>
      <c r="F1749"/>
      <c r="G1749"/>
    </row>
    <row r="1750" spans="3:7" x14ac:dyDescent="0.3">
      <c r="C1750"/>
      <c r="D1750"/>
      <c r="E1750"/>
      <c r="F1750"/>
      <c r="G1750"/>
    </row>
    <row r="1751" spans="3:7" x14ac:dyDescent="0.3">
      <c r="C1751"/>
      <c r="D1751"/>
      <c r="E1751"/>
      <c r="F1751"/>
      <c r="G1751"/>
    </row>
    <row r="1752" spans="3:7" x14ac:dyDescent="0.3">
      <c r="C1752"/>
      <c r="D1752"/>
      <c r="E1752"/>
      <c r="F1752"/>
      <c r="G1752"/>
    </row>
    <row r="1753" spans="3:7" x14ac:dyDescent="0.3">
      <c r="C1753"/>
      <c r="D1753"/>
      <c r="E1753"/>
      <c r="F1753"/>
      <c r="G1753"/>
    </row>
    <row r="1754" spans="3:7" x14ac:dyDescent="0.3">
      <c r="C1754"/>
      <c r="D1754"/>
      <c r="E1754"/>
      <c r="F1754"/>
      <c r="G1754"/>
    </row>
    <row r="1755" spans="3:7" x14ac:dyDescent="0.3">
      <c r="C1755"/>
      <c r="D1755"/>
      <c r="E1755"/>
      <c r="F1755"/>
      <c r="G1755"/>
    </row>
    <row r="1756" spans="3:7" x14ac:dyDescent="0.3">
      <c r="C1756"/>
      <c r="D1756"/>
      <c r="E1756"/>
      <c r="F1756"/>
      <c r="G1756"/>
    </row>
    <row r="1757" spans="3:7" x14ac:dyDescent="0.3">
      <c r="C1757"/>
      <c r="D1757"/>
      <c r="E1757"/>
      <c r="F1757"/>
      <c r="G1757"/>
    </row>
    <row r="1758" spans="3:7" x14ac:dyDescent="0.3">
      <c r="C1758"/>
      <c r="D1758"/>
      <c r="E1758"/>
      <c r="F1758"/>
      <c r="G1758"/>
    </row>
    <row r="1759" spans="3:7" x14ac:dyDescent="0.3">
      <c r="C1759"/>
      <c r="D1759"/>
      <c r="E1759"/>
      <c r="F1759"/>
      <c r="G1759"/>
    </row>
    <row r="1760" spans="3:7" x14ac:dyDescent="0.3">
      <c r="C1760"/>
      <c r="D1760"/>
      <c r="E1760"/>
      <c r="F1760"/>
      <c r="G1760"/>
    </row>
    <row r="1761" spans="3:7" x14ac:dyDescent="0.3">
      <c r="C1761"/>
      <c r="D1761"/>
      <c r="E1761"/>
      <c r="F1761"/>
      <c r="G1761"/>
    </row>
    <row r="1762" spans="3:7" x14ac:dyDescent="0.3">
      <c r="C1762"/>
      <c r="D1762"/>
      <c r="E1762"/>
      <c r="F1762"/>
      <c r="G1762"/>
    </row>
    <row r="1763" spans="3:7" x14ac:dyDescent="0.3">
      <c r="C1763"/>
      <c r="D1763"/>
      <c r="E1763"/>
      <c r="F1763"/>
      <c r="G1763"/>
    </row>
    <row r="1764" spans="3:7" x14ac:dyDescent="0.3">
      <c r="C1764"/>
      <c r="D1764"/>
      <c r="E1764"/>
      <c r="F1764"/>
      <c r="G1764"/>
    </row>
    <row r="1765" spans="3:7" x14ac:dyDescent="0.3">
      <c r="C1765"/>
      <c r="D1765"/>
      <c r="E1765"/>
      <c r="F1765"/>
      <c r="G1765"/>
    </row>
    <row r="1766" spans="3:7" x14ac:dyDescent="0.3">
      <c r="C1766"/>
      <c r="D1766"/>
      <c r="E1766"/>
      <c r="F1766"/>
      <c r="G1766"/>
    </row>
    <row r="1767" spans="3:7" x14ac:dyDescent="0.3">
      <c r="C1767"/>
      <c r="D1767"/>
      <c r="E1767"/>
      <c r="F1767"/>
      <c r="G1767"/>
    </row>
    <row r="1768" spans="3:7" x14ac:dyDescent="0.3">
      <c r="C1768"/>
      <c r="D1768"/>
      <c r="E1768"/>
      <c r="F1768"/>
      <c r="G1768"/>
    </row>
    <row r="1769" spans="3:7" x14ac:dyDescent="0.3">
      <c r="C1769"/>
      <c r="D1769"/>
      <c r="E1769"/>
      <c r="F1769"/>
      <c r="G1769"/>
    </row>
    <row r="1770" spans="3:7" x14ac:dyDescent="0.3">
      <c r="C1770"/>
      <c r="D1770"/>
      <c r="E1770"/>
      <c r="F1770"/>
      <c r="G1770"/>
    </row>
    <row r="1771" spans="3:7" x14ac:dyDescent="0.3">
      <c r="C1771"/>
      <c r="D1771"/>
      <c r="E1771"/>
      <c r="F1771"/>
      <c r="G1771"/>
    </row>
    <row r="1772" spans="3:7" x14ac:dyDescent="0.3">
      <c r="C1772"/>
      <c r="D1772"/>
      <c r="E1772"/>
      <c r="F1772"/>
      <c r="G1772"/>
    </row>
    <row r="1773" spans="3:7" x14ac:dyDescent="0.3">
      <c r="C1773"/>
      <c r="D1773"/>
      <c r="E1773"/>
      <c r="F1773"/>
      <c r="G1773"/>
    </row>
    <row r="1774" spans="3:7" x14ac:dyDescent="0.3">
      <c r="C1774"/>
      <c r="D1774"/>
      <c r="E1774"/>
      <c r="F1774"/>
      <c r="G1774"/>
    </row>
    <row r="1775" spans="3:7" x14ac:dyDescent="0.3">
      <c r="C1775"/>
      <c r="D1775"/>
      <c r="E1775"/>
      <c r="F1775"/>
      <c r="G1775"/>
    </row>
    <row r="1776" spans="3:7" x14ac:dyDescent="0.3">
      <c r="C1776"/>
      <c r="D1776"/>
      <c r="E1776"/>
      <c r="F1776"/>
      <c r="G1776"/>
    </row>
    <row r="1777" spans="3:7" x14ac:dyDescent="0.3">
      <c r="C1777"/>
      <c r="D1777"/>
      <c r="E1777"/>
      <c r="F1777"/>
      <c r="G1777"/>
    </row>
    <row r="1778" spans="3:7" x14ac:dyDescent="0.3">
      <c r="C1778"/>
      <c r="D1778"/>
      <c r="E1778"/>
      <c r="F1778"/>
      <c r="G1778"/>
    </row>
    <row r="1779" spans="3:7" x14ac:dyDescent="0.3">
      <c r="C1779"/>
      <c r="D1779"/>
      <c r="E1779"/>
      <c r="F1779"/>
      <c r="G1779"/>
    </row>
    <row r="1780" spans="3:7" x14ac:dyDescent="0.3">
      <c r="C1780"/>
      <c r="D1780"/>
      <c r="E1780"/>
      <c r="F1780"/>
      <c r="G1780"/>
    </row>
    <row r="1781" spans="3:7" x14ac:dyDescent="0.3">
      <c r="C1781"/>
      <c r="D1781"/>
      <c r="E1781"/>
      <c r="F1781"/>
      <c r="G1781"/>
    </row>
    <row r="1782" spans="3:7" x14ac:dyDescent="0.3">
      <c r="C1782"/>
      <c r="D1782"/>
      <c r="E1782"/>
      <c r="F1782"/>
      <c r="G1782"/>
    </row>
    <row r="1783" spans="3:7" x14ac:dyDescent="0.3">
      <c r="C1783"/>
      <c r="D1783"/>
      <c r="E1783"/>
      <c r="F1783"/>
      <c r="G1783"/>
    </row>
    <row r="1784" spans="3:7" x14ac:dyDescent="0.3">
      <c r="C1784"/>
      <c r="D1784"/>
      <c r="E1784"/>
      <c r="F1784"/>
      <c r="G1784"/>
    </row>
    <row r="1785" spans="3:7" x14ac:dyDescent="0.3">
      <c r="C1785"/>
      <c r="D1785"/>
      <c r="E1785"/>
      <c r="F1785"/>
      <c r="G1785"/>
    </row>
    <row r="1786" spans="3:7" x14ac:dyDescent="0.3">
      <c r="C1786"/>
      <c r="D1786"/>
      <c r="E1786"/>
      <c r="F1786"/>
      <c r="G1786"/>
    </row>
    <row r="1787" spans="3:7" x14ac:dyDescent="0.3">
      <c r="C1787"/>
      <c r="D1787"/>
      <c r="E1787"/>
      <c r="F1787"/>
      <c r="G1787"/>
    </row>
    <row r="1788" spans="3:7" x14ac:dyDescent="0.3">
      <c r="C1788"/>
      <c r="D1788"/>
      <c r="E1788"/>
      <c r="F1788"/>
      <c r="G1788"/>
    </row>
    <row r="1789" spans="3:7" x14ac:dyDescent="0.3">
      <c r="C1789"/>
      <c r="D1789"/>
      <c r="E1789"/>
      <c r="F1789"/>
      <c r="G1789"/>
    </row>
    <row r="1790" spans="3:7" x14ac:dyDescent="0.3">
      <c r="C1790"/>
      <c r="D1790"/>
      <c r="E1790"/>
      <c r="F1790"/>
      <c r="G1790"/>
    </row>
    <row r="1791" spans="3:7" x14ac:dyDescent="0.3">
      <c r="C1791"/>
      <c r="D1791"/>
      <c r="E1791"/>
      <c r="F1791"/>
      <c r="G1791"/>
    </row>
    <row r="1792" spans="3:7" x14ac:dyDescent="0.3">
      <c r="C1792"/>
      <c r="D1792"/>
      <c r="E1792"/>
      <c r="F1792"/>
      <c r="G1792"/>
    </row>
    <row r="1793" spans="3:7" x14ac:dyDescent="0.3">
      <c r="C1793"/>
      <c r="D1793"/>
      <c r="E1793"/>
      <c r="F1793"/>
      <c r="G1793"/>
    </row>
    <row r="1794" spans="3:7" x14ac:dyDescent="0.3">
      <c r="C1794"/>
      <c r="D1794"/>
      <c r="E1794"/>
      <c r="F1794"/>
      <c r="G1794"/>
    </row>
    <row r="1795" spans="3:7" x14ac:dyDescent="0.3">
      <c r="C1795"/>
      <c r="D1795"/>
      <c r="E1795"/>
      <c r="F1795"/>
      <c r="G1795"/>
    </row>
    <row r="1796" spans="3:7" x14ac:dyDescent="0.3">
      <c r="C1796"/>
      <c r="D1796"/>
      <c r="E1796"/>
      <c r="F1796"/>
      <c r="G1796"/>
    </row>
    <row r="1797" spans="3:7" x14ac:dyDescent="0.3">
      <c r="C1797"/>
      <c r="D1797"/>
      <c r="E1797"/>
      <c r="F1797"/>
      <c r="G1797"/>
    </row>
    <row r="1798" spans="3:7" x14ac:dyDescent="0.3">
      <c r="C1798"/>
      <c r="D1798"/>
      <c r="E1798"/>
      <c r="F1798"/>
      <c r="G1798"/>
    </row>
    <row r="1799" spans="3:7" x14ac:dyDescent="0.3">
      <c r="C1799"/>
      <c r="D1799"/>
      <c r="E1799"/>
      <c r="F1799"/>
      <c r="G1799"/>
    </row>
    <row r="1800" spans="3:7" x14ac:dyDescent="0.3">
      <c r="C1800"/>
      <c r="D1800"/>
      <c r="E1800"/>
      <c r="F1800"/>
      <c r="G1800"/>
    </row>
    <row r="1801" spans="3:7" x14ac:dyDescent="0.3">
      <c r="C1801"/>
      <c r="D1801"/>
      <c r="E1801"/>
      <c r="F1801"/>
      <c r="G1801"/>
    </row>
    <row r="1802" spans="3:7" x14ac:dyDescent="0.3">
      <c r="C1802"/>
      <c r="D1802"/>
      <c r="E1802"/>
      <c r="F1802"/>
      <c r="G1802"/>
    </row>
    <row r="1803" spans="3:7" x14ac:dyDescent="0.3">
      <c r="C1803"/>
      <c r="D1803"/>
      <c r="E1803"/>
      <c r="F1803"/>
      <c r="G1803"/>
    </row>
    <row r="1804" spans="3:7" x14ac:dyDescent="0.3">
      <c r="C1804"/>
      <c r="D1804"/>
      <c r="E1804"/>
      <c r="F1804"/>
      <c r="G1804"/>
    </row>
    <row r="1805" spans="3:7" x14ac:dyDescent="0.3">
      <c r="C1805"/>
      <c r="D1805"/>
      <c r="E1805"/>
      <c r="F1805"/>
      <c r="G1805"/>
    </row>
    <row r="1806" spans="3:7" x14ac:dyDescent="0.3">
      <c r="C1806"/>
      <c r="D1806"/>
      <c r="E1806"/>
      <c r="F1806"/>
      <c r="G1806"/>
    </row>
    <row r="1807" spans="3:7" x14ac:dyDescent="0.3">
      <c r="C1807"/>
      <c r="D1807"/>
      <c r="E1807"/>
      <c r="F1807"/>
      <c r="G1807"/>
    </row>
    <row r="1808" spans="3:7" x14ac:dyDescent="0.3">
      <c r="C1808"/>
      <c r="D1808"/>
      <c r="E1808"/>
      <c r="F1808"/>
      <c r="G1808"/>
    </row>
    <row r="1809" spans="3:7" x14ac:dyDescent="0.3">
      <c r="C1809"/>
      <c r="D1809"/>
      <c r="E1809"/>
      <c r="F1809"/>
      <c r="G1809"/>
    </row>
    <row r="1810" spans="3:7" x14ac:dyDescent="0.3">
      <c r="C1810"/>
      <c r="D1810"/>
      <c r="E1810"/>
      <c r="F1810"/>
      <c r="G1810"/>
    </row>
    <row r="1811" spans="3:7" x14ac:dyDescent="0.3">
      <c r="C1811"/>
      <c r="D1811"/>
      <c r="E1811"/>
      <c r="F1811"/>
      <c r="G1811"/>
    </row>
    <row r="1812" spans="3:7" x14ac:dyDescent="0.3">
      <c r="C1812"/>
      <c r="D1812"/>
      <c r="E1812"/>
      <c r="F1812"/>
      <c r="G1812"/>
    </row>
    <row r="1813" spans="3:7" x14ac:dyDescent="0.3">
      <c r="C1813"/>
      <c r="D1813"/>
      <c r="E1813"/>
      <c r="F1813"/>
      <c r="G1813"/>
    </row>
    <row r="1814" spans="3:7" x14ac:dyDescent="0.3">
      <c r="C1814"/>
      <c r="D1814"/>
      <c r="E1814"/>
      <c r="F1814"/>
      <c r="G1814"/>
    </row>
    <row r="1815" spans="3:7" x14ac:dyDescent="0.3">
      <c r="C1815"/>
      <c r="D1815"/>
      <c r="E1815"/>
      <c r="F1815"/>
      <c r="G1815"/>
    </row>
    <row r="1816" spans="3:7" x14ac:dyDescent="0.3">
      <c r="C1816"/>
      <c r="D1816"/>
      <c r="E1816"/>
      <c r="F1816"/>
      <c r="G1816"/>
    </row>
    <row r="1817" spans="3:7" x14ac:dyDescent="0.3">
      <c r="C1817"/>
      <c r="D1817"/>
      <c r="E1817"/>
      <c r="F1817"/>
      <c r="G1817"/>
    </row>
    <row r="1818" spans="3:7" x14ac:dyDescent="0.3">
      <c r="C1818"/>
      <c r="D1818"/>
      <c r="E1818"/>
      <c r="F1818"/>
      <c r="G1818"/>
    </row>
    <row r="1819" spans="3:7" x14ac:dyDescent="0.3">
      <c r="C1819"/>
      <c r="D1819"/>
      <c r="E1819"/>
      <c r="F1819"/>
      <c r="G1819"/>
    </row>
    <row r="1820" spans="3:7" x14ac:dyDescent="0.3">
      <c r="C1820"/>
      <c r="D1820"/>
      <c r="E1820"/>
      <c r="F1820"/>
      <c r="G1820"/>
    </row>
    <row r="1821" spans="3:7" x14ac:dyDescent="0.3">
      <c r="C1821"/>
      <c r="D1821"/>
      <c r="E1821"/>
      <c r="F1821"/>
      <c r="G1821"/>
    </row>
    <row r="1822" spans="3:7" x14ac:dyDescent="0.3">
      <c r="C1822"/>
      <c r="D1822"/>
      <c r="E1822"/>
      <c r="F1822"/>
      <c r="G1822"/>
    </row>
    <row r="1823" spans="3:7" x14ac:dyDescent="0.3">
      <c r="C1823"/>
      <c r="D1823"/>
      <c r="E1823"/>
      <c r="F1823"/>
      <c r="G1823"/>
    </row>
    <row r="1824" spans="3:7" x14ac:dyDescent="0.3">
      <c r="C1824"/>
      <c r="D1824"/>
      <c r="E1824"/>
      <c r="F1824"/>
      <c r="G1824"/>
    </row>
    <row r="1825" spans="3:7" x14ac:dyDescent="0.3">
      <c r="C1825"/>
      <c r="D1825"/>
      <c r="E1825"/>
      <c r="F1825"/>
      <c r="G1825"/>
    </row>
    <row r="1826" spans="3:7" x14ac:dyDescent="0.3">
      <c r="C1826"/>
      <c r="D1826"/>
      <c r="E1826"/>
      <c r="F1826"/>
      <c r="G1826"/>
    </row>
    <row r="1827" spans="3:7" x14ac:dyDescent="0.3">
      <c r="C1827"/>
      <c r="D1827"/>
      <c r="E1827"/>
      <c r="F1827"/>
      <c r="G1827"/>
    </row>
    <row r="1828" spans="3:7" x14ac:dyDescent="0.3">
      <c r="C1828"/>
      <c r="D1828"/>
      <c r="E1828"/>
      <c r="F1828"/>
      <c r="G1828"/>
    </row>
    <row r="1829" spans="3:7" x14ac:dyDescent="0.3">
      <c r="C1829"/>
      <c r="D1829"/>
      <c r="E1829"/>
      <c r="F1829"/>
      <c r="G1829"/>
    </row>
    <row r="1830" spans="3:7" x14ac:dyDescent="0.3">
      <c r="C1830"/>
      <c r="D1830"/>
      <c r="E1830"/>
      <c r="F1830"/>
      <c r="G1830"/>
    </row>
    <row r="1831" spans="3:7" x14ac:dyDescent="0.3">
      <c r="C1831"/>
      <c r="D1831"/>
      <c r="E1831"/>
      <c r="F1831"/>
      <c r="G1831"/>
    </row>
    <row r="1832" spans="3:7" x14ac:dyDescent="0.3">
      <c r="C1832"/>
      <c r="D1832"/>
      <c r="E1832"/>
      <c r="F1832"/>
      <c r="G1832"/>
    </row>
    <row r="1833" spans="3:7" x14ac:dyDescent="0.3">
      <c r="C1833"/>
      <c r="D1833"/>
      <c r="E1833"/>
      <c r="F1833"/>
      <c r="G1833"/>
    </row>
    <row r="1834" spans="3:7" x14ac:dyDescent="0.3">
      <c r="C1834"/>
      <c r="D1834"/>
      <c r="E1834"/>
      <c r="F1834"/>
      <c r="G1834"/>
    </row>
    <row r="1835" spans="3:7" x14ac:dyDescent="0.3">
      <c r="C1835"/>
      <c r="D1835"/>
      <c r="E1835"/>
      <c r="F1835"/>
      <c r="G1835"/>
    </row>
    <row r="1836" spans="3:7" x14ac:dyDescent="0.3">
      <c r="C1836"/>
      <c r="D1836"/>
      <c r="E1836"/>
      <c r="F1836"/>
      <c r="G1836"/>
    </row>
    <row r="1837" spans="3:7" x14ac:dyDescent="0.3">
      <c r="C1837"/>
      <c r="D1837"/>
      <c r="E1837"/>
      <c r="F1837"/>
      <c r="G1837"/>
    </row>
  </sheetData>
  <mergeCells count="1">
    <mergeCell ref="P41:S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E8C4-3B15-4CBA-9E03-1E04078AAA95}">
  <dimension ref="A1:BB1241"/>
  <sheetViews>
    <sheetView topLeftCell="Z1" zoomScale="85" zoomScaleNormal="85" workbookViewId="0">
      <selection activeCell="AN40" sqref="AN40"/>
    </sheetView>
  </sheetViews>
  <sheetFormatPr defaultColWidth="8.88671875" defaultRowHeight="14.4" x14ac:dyDescent="0.3"/>
  <cols>
    <col min="1" max="1" width="14.33203125" style="1" bestFit="1" customWidth="1"/>
    <col min="2" max="5" width="8.88671875" style="1"/>
    <col min="6" max="6" width="16" style="1" customWidth="1"/>
    <col min="7" max="7" width="12.33203125" style="1" bestFit="1" customWidth="1"/>
    <col min="8" max="8" width="15.33203125" style="1" customWidth="1"/>
    <col min="9" max="14" width="8.88671875" style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3320312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/>
    <col min="32" max="32" width="15.6640625" style="1" customWidth="1"/>
    <col min="33" max="36" width="8.88671875" style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/>
    <col min="41" max="41" width="10.6640625" style="1" customWidth="1"/>
    <col min="42" max="42" width="8.88671875" style="1"/>
    <col min="43" max="43" width="19.5546875" style="1" bestFit="1" customWidth="1"/>
    <col min="44" max="44" width="8.88671875" style="1"/>
    <col min="45" max="45" width="14.44140625" style="1" customWidth="1"/>
    <col min="46" max="46" width="8.88671875" style="1"/>
    <col min="47" max="47" width="12.44140625" style="1" customWidth="1"/>
    <col min="48" max="49" width="12.44140625" style="1" bestFit="1" customWidth="1"/>
    <col min="50" max="16384" width="8.88671875" style="1"/>
  </cols>
  <sheetData>
    <row r="1" spans="1:54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54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54" x14ac:dyDescent="0.3">
      <c r="D3" s="2" t="s">
        <v>8</v>
      </c>
      <c r="E3" s="3">
        <v>391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54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54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2.2000000000000002</v>
      </c>
      <c r="L5" s="3">
        <f>K5/60</f>
        <v>3.6666666666666667E-2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</row>
    <row r="6" spans="1:54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6">
        <v>1</v>
      </c>
      <c r="P6" s="7">
        <f>AVERAGE(B24:B73)</f>
        <v>60.922445480000007</v>
      </c>
      <c r="Q6" s="8">
        <f>STDEV(B24:B73)</f>
        <v>1.7572177768278682E-2</v>
      </c>
      <c r="R6" s="9">
        <f>AVERAGE(C24:C73)</f>
        <v>61.791826239999999</v>
      </c>
      <c r="S6" s="10">
        <f>STDEV(C24:C73)</f>
        <v>1.7804413051390015E-2</v>
      </c>
      <c r="T6" s="11">
        <f>AVERAGE(D24:D73)</f>
        <v>62.635380279999964</v>
      </c>
      <c r="U6" s="12">
        <f>STDEV(D24:D73)</f>
        <v>2.176976555988247E-2</v>
      </c>
      <c r="V6" s="13">
        <f>AVERAGE(E24:E73)</f>
        <v>56.796881040000009</v>
      </c>
      <c r="W6" s="14">
        <f>STDEV(E24:E73)</f>
        <v>1.5439109970857913E-2</v>
      </c>
      <c r="X6" s="15">
        <f>AVERAGE(F24:F73)</f>
        <v>25.07033667999999</v>
      </c>
      <c r="Y6" s="16">
        <f>STDEV(F24:F73)</f>
        <v>0.50185034959053287</v>
      </c>
      <c r="Z6" s="17">
        <f>AVERAGE(G24:G73)</f>
        <v>19.356219319999997</v>
      </c>
      <c r="AA6" s="18">
        <f>AVERAGE(H24:H73)</f>
        <v>19.911030279999999</v>
      </c>
      <c r="AB6" s="6">
        <f>(T6-R6)/(R6-P6)</f>
        <v>0.97029297036660156</v>
      </c>
      <c r="AC6" s="6">
        <f>(3*P6- 4*R6 +T6)/(2*0.005)</f>
        <v>-176.45882400000232</v>
      </c>
      <c r="AD6" s="6">
        <f>-(E$3)*AC6*(1/10000)</f>
        <v>6.8995400184000921</v>
      </c>
      <c r="AE6" s="6">
        <f>(V6)-((0.006*AD6)/(0.0001*391))</f>
        <v>55.738128095999997</v>
      </c>
      <c r="AF6" s="19">
        <v>91</v>
      </c>
      <c r="AG6" s="19">
        <v>42</v>
      </c>
      <c r="AH6" s="6">
        <f>AG6-X6</f>
        <v>16.92966332000001</v>
      </c>
      <c r="AI6" s="6">
        <f>AE6-AG6</f>
        <v>13.738128095999997</v>
      </c>
      <c r="AJ6" s="6">
        <f>ABS(AD6*10/AI6)</f>
        <v>5.0221834955877043</v>
      </c>
      <c r="AK6" s="6">
        <f>(AE6-AG6)+(AG6-5)</f>
        <v>50.738128095999997</v>
      </c>
      <c r="AL6" s="6">
        <f>AD6*3.45*3.2</f>
        <v>76.170921803137034</v>
      </c>
      <c r="AM6" s="6">
        <f>AK6/AL6</f>
        <v>0.66610888899483411</v>
      </c>
      <c r="AN6" s="6">
        <f>AA6-Z6</f>
        <v>0.55481096000000107</v>
      </c>
      <c r="AO6" s="6">
        <f>L$5</f>
        <v>3.6666666666666667E-2</v>
      </c>
      <c r="AP6" s="6">
        <f>AO6*AN6*K$8</f>
        <v>85.176427949066834</v>
      </c>
      <c r="AQ6" s="6">
        <f>SQRT((($E$2^2)/($E$3^2))+(($E$4^2)/($E$1^2))+(9*($E$5^2)/(AR6^2))+(16*($E$6^2)/(AR6^2))+(($E$7^2)/(AR6^2)))</f>
        <v>0.13454324872306611</v>
      </c>
      <c r="AR6" s="6">
        <f>3*P6- 4*R6 +T6</f>
        <v>-1.7645882400000232</v>
      </c>
      <c r="AS6" s="6">
        <f>SQRT((($E$2^2)/(E$3^2))+(($E$4^2)/($E$1^2))+(9*(Q6^2)/(AR6^2))+(16*(S6^2)/(AR6^2))+((U6^2)/(AR6^2)))</f>
        <v>5.6633923227036892E-2</v>
      </c>
      <c r="AT6" s="6">
        <f>SQRT(AS6^2 + AQ6^2)</f>
        <v>0.14597700859054052</v>
      </c>
      <c r="AU6" s="6">
        <f>AT6*100</f>
        <v>14.597700859054052</v>
      </c>
      <c r="AV6" s="6">
        <f>AT6*AD6</f>
        <v>1.0071742125367684</v>
      </c>
      <c r="AW6" s="6">
        <f t="shared" ref="AW6:AW23" si="0">AT6*AL6</f>
        <v>11.119203306405925</v>
      </c>
      <c r="AX6" s="20">
        <f xml:space="preserve"> (AE6-X6)/ AL6</f>
        <v>0.4026180948060547</v>
      </c>
      <c r="AY6" s="20">
        <f>(X6-(AVERAGE(Z6:AA6)))/AL6</f>
        <v>7.1375161955517824E-2</v>
      </c>
      <c r="AZ6" s="20">
        <f xml:space="preserve"> SUM(AX6:AY6)</f>
        <v>0.47399325676157256</v>
      </c>
      <c r="BA6" s="1">
        <f>(AE6-X6)/AL6</f>
        <v>0.4026180948060547</v>
      </c>
      <c r="BB6" s="1">
        <f>AZ6+BA6</f>
        <v>0.87661135156762726</v>
      </c>
    </row>
    <row r="7" spans="1:54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6">
        <v>2</v>
      </c>
      <c r="P7" s="7">
        <f>AVERAGE(B74:B123)</f>
        <v>72.550362199999995</v>
      </c>
      <c r="Q7" s="8">
        <f>STDEV(B74:B123)</f>
        <v>8.9014221481510447E-2</v>
      </c>
      <c r="R7" s="9">
        <f>AVERAGE(C74:C123)</f>
        <v>73.755500640000008</v>
      </c>
      <c r="S7" s="10">
        <f>STDEV(C74:C123)</f>
        <v>8.4078371355457079E-2</v>
      </c>
      <c r="T7" s="11">
        <f>AVERAGE(D74:D123)</f>
        <v>74.982946559999988</v>
      </c>
      <c r="U7" s="12">
        <f>STDEV(D74:D123)</f>
        <v>8.4647334937413346E-2</v>
      </c>
      <c r="V7" s="13">
        <f>AVERAGE(E74:E123)</f>
        <v>66.407225639999979</v>
      </c>
      <c r="W7" s="14">
        <f>STDEV(E74:E123)</f>
        <v>8.9933522454375012E-2</v>
      </c>
      <c r="X7" s="15">
        <f>AVERAGE(F74:F123)</f>
        <v>26.429597120000004</v>
      </c>
      <c r="Y7" s="16">
        <f>STDEV(F74:F123)</f>
        <v>0.3820641171293398</v>
      </c>
      <c r="Z7" s="17">
        <f>AVERAGE(G74:G123)</f>
        <v>19.464853160000008</v>
      </c>
      <c r="AA7" s="18">
        <f>AVERAGE(H74:H123)</f>
        <v>20.260997879999994</v>
      </c>
      <c r="AB7" s="6">
        <f t="shared" ref="AB7:AB23" si="1">(T7-R7)/(R7-P7)</f>
        <v>1.0185103049239441</v>
      </c>
      <c r="AC7" s="6">
        <f>(3*P7- 4*R7 +T7)/(2*0.005)</f>
        <v>-238.79694000000597</v>
      </c>
      <c r="AD7" s="6">
        <f t="shared" ref="AD7:AD23" si="2">-(E$3)*AC7*(1/10000)</f>
        <v>9.3369603540002348</v>
      </c>
      <c r="AE7" s="6">
        <f>(V7)-((0.006*AD7)/(0.0001*391))</f>
        <v>64.974443999999949</v>
      </c>
      <c r="AF7" s="19">
        <v>91</v>
      </c>
      <c r="AG7" s="19">
        <v>42</v>
      </c>
      <c r="AH7" s="6">
        <f t="shared" ref="AH7:AH22" si="3">AG7-X7</f>
        <v>15.570402879999996</v>
      </c>
      <c r="AI7" s="6">
        <f t="shared" ref="AI7:AI22" si="4">AE7-AG7</f>
        <v>22.974443999999949</v>
      </c>
      <c r="AJ7" s="6">
        <f t="shared" ref="AJ7:AJ23" si="5">ABS(AD7*10/AI7)</f>
        <v>4.0640636848492422</v>
      </c>
      <c r="AK7" s="6">
        <f t="shared" ref="AK7:AK22" si="6">(AE7-AG7)+(AG7-5)</f>
        <v>59.974443999999949</v>
      </c>
      <c r="AL7" s="6">
        <f t="shared" ref="AL7:AL23" si="7">AD7*3.45*3.2</f>
        <v>103.0800423081626</v>
      </c>
      <c r="AM7" s="6">
        <f t="shared" ref="AM7:AM23" si="8">AK7/AL7</f>
        <v>0.58182401420348229</v>
      </c>
      <c r="AN7" s="6">
        <f t="shared" ref="AN7:AN23" si="9">AA7-Z7</f>
        <v>0.79614471999998671</v>
      </c>
      <c r="AO7" s="6">
        <f t="shared" ref="AO7:AO23" si="10">L$5</f>
        <v>3.6666666666666667E-2</v>
      </c>
      <c r="AP7" s="6">
        <f t="shared" ref="AP7:AP23" si="11">AO7*AN7*K$8</f>
        <v>122.2267912301313</v>
      </c>
      <c r="AQ7" s="6">
        <f t="shared" ref="AQ7:AQ23" si="12">SQRT((($E$2^2)/($E$3^2))+(($E$4^2)/($E$1^2))+(9*($E$5^2)/(AR7^2))+(16*($E$6^2)/(AR7^2))+(($E$7^2)/(AR7^2)))</f>
        <v>0.10063197381904204</v>
      </c>
      <c r="AR7" s="6">
        <f t="shared" ref="AR7:AR23" si="13">3*P7- 4*R7 +T7</f>
        <v>-2.3879694000000597</v>
      </c>
      <c r="AS7" s="6">
        <f t="shared" ref="AS7:AS23" si="14">SQRT((($E$2^2)/(E$3^2))+(($E$4^2)/($E$1^2))+(9*(Q7^2)/(AR7^2))+(16*(S7^2)/(AR7^2))+((U7^2)/(AR7^2)))</f>
        <v>0.18474541587433926</v>
      </c>
      <c r="AT7" s="6">
        <f t="shared" ref="AT7:AT23" si="15">SQRT(AS7^2 + AQ7^2)</f>
        <v>0.2103750528016545</v>
      </c>
      <c r="AU7" s="6">
        <f t="shared" ref="AU7:AU23" si="16">AT7*100</f>
        <v>21.037505280165451</v>
      </c>
      <c r="AV7" s="6">
        <f t="shared" ref="AV7:AV23" si="17">AT7*AD7</f>
        <v>1.9642635274797542</v>
      </c>
      <c r="AW7" s="6">
        <f t="shared" si="0"/>
        <v>21.685469343376486</v>
      </c>
      <c r="AX7" s="20">
        <f t="shared" ref="AX7:AX30" si="18" xml:space="preserve"> (AE7-X7)/ AL7</f>
        <v>0.37393122875103529</v>
      </c>
      <c r="AY7" s="20">
        <f t="shared" ref="AY7:AY30" si="19">(X7-(AVERAGE(Z7:AA7)))/AL7</f>
        <v>6.3704587745207084E-2</v>
      </c>
      <c r="AZ7" s="20">
        <f t="shared" ref="AZ7:AZ30" si="20" xml:space="preserve"> SUM(AX7:AY7)</f>
        <v>0.43763581649624239</v>
      </c>
      <c r="BA7" s="1">
        <f t="shared" ref="BA7:BA23" si="21">(AE7-X7)/AL7</f>
        <v>0.37393122875103529</v>
      </c>
      <c r="BB7" s="1">
        <f t="shared" ref="BB7:BB23" si="22">AZ7+BA7</f>
        <v>0.81156704524727763</v>
      </c>
    </row>
    <row r="8" spans="1:54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6">
        <v>3</v>
      </c>
      <c r="P8" s="7">
        <f>AVERAGE(B124:B173)</f>
        <v>82.535740920000009</v>
      </c>
      <c r="Q8" s="8">
        <f>STDEV(B124:B173)</f>
        <v>0.30845155437970961</v>
      </c>
      <c r="R8" s="9">
        <f>AVERAGE(C124:C173)</f>
        <v>84.571519399999957</v>
      </c>
      <c r="S8" s="10">
        <f>STDEV(C124:C173)</f>
        <v>0.20194123977948139</v>
      </c>
      <c r="T8" s="11">
        <f>AVERAGE(D124:D173)</f>
        <v>86.525975320000015</v>
      </c>
      <c r="U8" s="12">
        <f>STDEV(D124:D173)</f>
        <v>0.15376076643417869</v>
      </c>
      <c r="V8" s="13">
        <f>AVERAGE(E124:E173)</f>
        <v>71.954745319999986</v>
      </c>
      <c r="W8" s="14">
        <f>STDEV(E124:E173)</f>
        <v>1.2690737230831546</v>
      </c>
      <c r="X8" s="15">
        <f>AVERAGE(F124:F173)</f>
        <v>29.730172880000012</v>
      </c>
      <c r="Y8" s="16">
        <f>STDEV(F124:F173)</f>
        <v>0.20830183972623093</v>
      </c>
      <c r="Z8" s="17">
        <f>AVERAGE(G124:G173)</f>
        <v>19.584542520000003</v>
      </c>
      <c r="AA8" s="18">
        <f>AVERAGE(H124:H173)</f>
        <v>20.902282959999997</v>
      </c>
      <c r="AB8" s="6">
        <f t="shared" si="1"/>
        <v>0.96005333546904759</v>
      </c>
      <c r="AC8" s="6">
        <f t="shared" ref="AC8:AC23" si="23">(3*P8- 4*R8 +T8)/(2*0.005)</f>
        <v>-415.28795199998001</v>
      </c>
      <c r="AD8" s="6">
        <f t="shared" si="2"/>
        <v>16.237758923199216</v>
      </c>
      <c r="AE8" s="6">
        <f t="shared" ref="AE8:AE23" si="24">(V8)-((0.006*AD8)/(0.0001*391))</f>
        <v>69.463017608000101</v>
      </c>
      <c r="AF8" s="19">
        <v>85</v>
      </c>
      <c r="AG8" s="19">
        <v>54</v>
      </c>
      <c r="AH8" s="6">
        <f t="shared" si="3"/>
        <v>24.269827119999988</v>
      </c>
      <c r="AI8" s="6">
        <f t="shared" si="4"/>
        <v>15.463017608000101</v>
      </c>
      <c r="AJ8" s="6">
        <f t="shared" si="5"/>
        <v>10.501028541025709</v>
      </c>
      <c r="AK8" s="6">
        <f t="shared" si="6"/>
        <v>64.463017608000101</v>
      </c>
      <c r="AL8" s="6">
        <f t="shared" si="7"/>
        <v>179.26485851211936</v>
      </c>
      <c r="AM8" s="6">
        <f t="shared" si="8"/>
        <v>0.35959651067720011</v>
      </c>
      <c r="AN8" s="6">
        <f t="shared" si="9"/>
        <v>1.3177404399999944</v>
      </c>
      <c r="AO8" s="6">
        <f t="shared" si="10"/>
        <v>3.6666666666666667E-2</v>
      </c>
      <c r="AP8" s="6">
        <f t="shared" si="11"/>
        <v>202.30390481693246</v>
      </c>
      <c r="AQ8" s="6">
        <f t="shared" si="12"/>
        <v>6.0874204810382235E-2</v>
      </c>
      <c r="AR8" s="6">
        <f t="shared" si="13"/>
        <v>-4.1528795199998001</v>
      </c>
      <c r="AS8" s="6">
        <f t="shared" si="14"/>
        <v>0.29897752828863117</v>
      </c>
      <c r="AT8" s="6">
        <f t="shared" si="15"/>
        <v>0.30511183397711011</v>
      </c>
      <c r="AU8" s="6">
        <f t="shared" si="16"/>
        <v>30.511183397711012</v>
      </c>
      <c r="AV8" s="6">
        <f t="shared" si="17"/>
        <v>4.9543324047354975</v>
      </c>
      <c r="AW8" s="6">
        <f t="shared" si="0"/>
        <v>54.695829748279898</v>
      </c>
      <c r="AX8" s="20">
        <f t="shared" si="18"/>
        <v>0.22164324373320449</v>
      </c>
      <c r="AY8" s="20">
        <f t="shared" si="19"/>
        <v>5.2920356051594189E-2</v>
      </c>
      <c r="AZ8" s="20">
        <f t="shared" si="20"/>
        <v>0.27456359978479866</v>
      </c>
      <c r="BA8" s="1">
        <f t="shared" si="21"/>
        <v>0.22164324373320449</v>
      </c>
      <c r="BB8" s="1">
        <f t="shared" si="22"/>
        <v>0.49620684351800315</v>
      </c>
    </row>
    <row r="9" spans="1:54" x14ac:dyDescent="0.25">
      <c r="O9" s="6">
        <v>4</v>
      </c>
      <c r="P9" s="7">
        <f>AVERAGE(B174:B223)</f>
        <v>90.084774800000019</v>
      </c>
      <c r="Q9" s="8">
        <f>STDEV(B174:B223)</f>
        <v>0.15696610555850496</v>
      </c>
      <c r="R9" s="9">
        <f>AVERAGE(C174:C223)</f>
        <v>92.997767039999999</v>
      </c>
      <c r="S9" s="10">
        <f>STDEV(C174:C223)</f>
        <v>9.2394032099207962E-2</v>
      </c>
      <c r="T9" s="11">
        <f>AVERAGE(D174:D223)</f>
        <v>95.70423724000004</v>
      </c>
      <c r="U9" s="12">
        <f>STDEV(D174:D223)</f>
        <v>6.9202647116575533E-2</v>
      </c>
      <c r="V9" s="13">
        <f>AVERAGE(E174:E223)</f>
        <v>75.221323480000009</v>
      </c>
      <c r="W9" s="14">
        <f>STDEV(E174:E223)</f>
        <v>0.80176041049471913</v>
      </c>
      <c r="X9" s="15">
        <f>AVERAGE(F174:F223)</f>
        <v>34.996632840000004</v>
      </c>
      <c r="Y9" s="16">
        <f>STDEV(F174:F223)</f>
        <v>0.47158876618188633</v>
      </c>
      <c r="Z9" s="17">
        <f>AVERAGE(G174:G223)</f>
        <v>19.600615359999999</v>
      </c>
      <c r="AA9" s="18">
        <f>AVERAGE(H174:H223)</f>
        <v>21.355341720000006</v>
      </c>
      <c r="AB9" s="6">
        <f t="shared" si="1"/>
        <v>0.92910312730529609</v>
      </c>
      <c r="AC9" s="6">
        <f t="shared" si="23"/>
        <v>-603.25065199998699</v>
      </c>
      <c r="AD9" s="6">
        <f t="shared" si="2"/>
        <v>23.587100493199493</v>
      </c>
      <c r="AE9" s="6">
        <f t="shared" si="24"/>
        <v>71.601819568000082</v>
      </c>
      <c r="AF9" s="19">
        <v>85</v>
      </c>
      <c r="AG9" s="19">
        <v>54</v>
      </c>
      <c r="AH9" s="6">
        <f t="shared" si="3"/>
        <v>19.003367159999996</v>
      </c>
      <c r="AI9" s="6">
        <f t="shared" si="4"/>
        <v>17.601819568000082</v>
      </c>
      <c r="AJ9" s="6">
        <f t="shared" si="5"/>
        <v>13.400376252055549</v>
      </c>
      <c r="AK9" s="6">
        <f t="shared" si="6"/>
        <v>66.601819568000082</v>
      </c>
      <c r="AL9" s="6">
        <f t="shared" si="7"/>
        <v>260.40158944492242</v>
      </c>
      <c r="AM9" s="6">
        <f t="shared" si="8"/>
        <v>0.25576579509353203</v>
      </c>
      <c r="AN9" s="6">
        <f t="shared" si="9"/>
        <v>1.7547263600000065</v>
      </c>
      <c r="AO9" s="6">
        <f t="shared" si="10"/>
        <v>3.6666666666666667E-2</v>
      </c>
      <c r="AP9" s="6">
        <f t="shared" si="11"/>
        <v>269.39143987506765</v>
      </c>
      <c r="AQ9" s="6">
        <f t="shared" si="12"/>
        <v>4.5133333413127509E-2</v>
      </c>
      <c r="AR9" s="6">
        <f t="shared" si="13"/>
        <v>-6.0325065199998704</v>
      </c>
      <c r="AS9" s="6">
        <f t="shared" si="14"/>
        <v>0.10252852619667521</v>
      </c>
      <c r="AT9" s="6">
        <f t="shared" si="15"/>
        <v>0.11202283905098481</v>
      </c>
      <c r="AU9" s="6">
        <f t="shared" si="16"/>
        <v>11.202283905098481</v>
      </c>
      <c r="AV9" s="6">
        <f t="shared" si="17"/>
        <v>2.6422939622290915</v>
      </c>
      <c r="AW9" s="6">
        <f t="shared" si="0"/>
        <v>29.17092534300917</v>
      </c>
      <c r="AX9" s="20">
        <f t="shared" si="18"/>
        <v>0.14057205566996911</v>
      </c>
      <c r="AY9" s="20">
        <f t="shared" si="19"/>
        <v>5.5754860525038558E-2</v>
      </c>
      <c r="AZ9" s="20">
        <f t="shared" si="20"/>
        <v>0.19632691619500767</v>
      </c>
      <c r="BA9" s="1">
        <f t="shared" si="21"/>
        <v>0.14057205566996911</v>
      </c>
      <c r="BB9" s="1">
        <f t="shared" si="22"/>
        <v>0.33689897186497675</v>
      </c>
    </row>
    <row r="10" spans="1:54" x14ac:dyDescent="0.25">
      <c r="O10" s="6">
        <v>5</v>
      </c>
      <c r="P10" s="7">
        <f>AVERAGE(B224:B273)</f>
        <v>100.54888541999999</v>
      </c>
      <c r="Q10" s="8">
        <f>STDEV(B224:B273)</f>
        <v>5.3240594831422877E-2</v>
      </c>
      <c r="R10" s="9">
        <f>AVERAGE(C224:C273)</f>
        <v>104.56701952000003</v>
      </c>
      <c r="S10" s="10">
        <f>STDEV(C224:C273)</f>
        <v>5.4067014864675279E-2</v>
      </c>
      <c r="T10" s="11">
        <f>AVERAGE(D224:D273)</f>
        <v>108.26966992000001</v>
      </c>
      <c r="U10" s="12">
        <f>STDEV(D224:D273)</f>
        <v>5.7145124476746564E-2</v>
      </c>
      <c r="V10" s="13">
        <f>AVERAGE(E224:E273)</f>
        <v>79.582309900000013</v>
      </c>
      <c r="W10" s="14">
        <f>STDEV(E224:E273)</f>
        <v>0.30972988094501763</v>
      </c>
      <c r="X10" s="15">
        <f>AVERAGE(F224:F273)</f>
        <v>40.715063080000007</v>
      </c>
      <c r="Y10" s="16">
        <f>STDEV(F224:F273)</f>
        <v>0.99357482672005637</v>
      </c>
      <c r="Z10" s="17">
        <f>AVERAGE(G224:G273)</f>
        <v>19.678924340000002</v>
      </c>
      <c r="AA10" s="18">
        <f>AVERAGE(H224:H273)</f>
        <v>22.069691320000008</v>
      </c>
      <c r="AB10" s="6">
        <f t="shared" si="1"/>
        <v>0.9214850246038192</v>
      </c>
      <c r="AC10" s="6">
        <f t="shared" si="23"/>
        <v>-835.17519000001244</v>
      </c>
      <c r="AD10" s="6">
        <f t="shared" si="2"/>
        <v>32.655349929000486</v>
      </c>
      <c r="AE10" s="6">
        <f t="shared" si="24"/>
        <v>74.571258759999935</v>
      </c>
      <c r="AF10" s="19">
        <v>85</v>
      </c>
      <c r="AG10" s="19">
        <v>54</v>
      </c>
      <c r="AH10" s="6">
        <f t="shared" si="3"/>
        <v>13.284936919999993</v>
      </c>
      <c r="AI10" s="6">
        <f t="shared" si="4"/>
        <v>20.571258759999935</v>
      </c>
      <c r="AJ10" s="6">
        <f t="shared" si="5"/>
        <v>15.874259475311073</v>
      </c>
      <c r="AK10" s="6">
        <f t="shared" si="6"/>
        <v>69.571258759999935</v>
      </c>
      <c r="AL10" s="6">
        <f t="shared" si="7"/>
        <v>360.5150632161654</v>
      </c>
      <c r="AM10" s="6">
        <f t="shared" si="8"/>
        <v>0.19297739778014461</v>
      </c>
      <c r="AN10" s="6">
        <f t="shared" si="9"/>
        <v>2.3907669800000058</v>
      </c>
      <c r="AO10" s="6">
        <f t="shared" si="10"/>
        <v>3.6666666666666667E-2</v>
      </c>
      <c r="AP10" s="6">
        <f t="shared" si="11"/>
        <v>367.03851599286759</v>
      </c>
      <c r="AQ10" s="6">
        <f t="shared" si="12"/>
        <v>3.6305309642394437E-2</v>
      </c>
      <c r="AR10" s="6">
        <f t="shared" si="13"/>
        <v>-8.3517519000001244</v>
      </c>
      <c r="AS10" s="6">
        <f t="shared" si="14"/>
        <v>4.0211055153546754E-2</v>
      </c>
      <c r="AT10" s="6">
        <f t="shared" si="15"/>
        <v>5.4175681488945922E-2</v>
      </c>
      <c r="AU10" s="6">
        <f t="shared" si="16"/>
        <v>5.4175681488945919</v>
      </c>
      <c r="AV10" s="6">
        <f t="shared" si="17"/>
        <v>1.7691258366636031</v>
      </c>
      <c r="AW10" s="6">
        <f t="shared" si="0"/>
        <v>19.531149236766179</v>
      </c>
      <c r="AX10" s="20">
        <f t="shared" si="18"/>
        <v>9.3910627139869876E-2</v>
      </c>
      <c r="AY10" s="20">
        <f t="shared" si="19"/>
        <v>5.5034469497612787E-2</v>
      </c>
      <c r="AZ10" s="20">
        <f t="shared" si="20"/>
        <v>0.14894509663748268</v>
      </c>
      <c r="BA10" s="1">
        <f t="shared" si="21"/>
        <v>9.3910627139869876E-2</v>
      </c>
      <c r="BB10" s="1">
        <f t="shared" si="22"/>
        <v>0.24285572377735254</v>
      </c>
    </row>
    <row r="11" spans="1:54" x14ac:dyDescent="0.25">
      <c r="O11" s="6">
        <v>6</v>
      </c>
      <c r="P11" s="7">
        <f>AVERAGE(B274:B323)</f>
        <v>110.09699775999998</v>
      </c>
      <c r="Q11" s="8">
        <f>STDEV(B274:B323)</f>
        <v>4.9217778055047311E-2</v>
      </c>
      <c r="R11" s="9">
        <f>AVERAGE(C274:C323)</f>
        <v>115.17430211999994</v>
      </c>
      <c r="S11" s="10">
        <f>STDEV(C274:C323)</f>
        <v>5.9607504858488723E-2</v>
      </c>
      <c r="T11" s="11">
        <f>AVERAGE(D274:D323)</f>
        <v>119.77433883999997</v>
      </c>
      <c r="U11" s="12">
        <f>STDEV(D274:D323)</f>
        <v>6.9721945002364741E-2</v>
      </c>
      <c r="V11" s="13">
        <f>AVERAGE(E274:E323)</f>
        <v>83.62499372000002</v>
      </c>
      <c r="W11" s="14">
        <f>STDEV(E274:E323)</f>
        <v>0.20289326550516285</v>
      </c>
      <c r="X11" s="15">
        <f>AVERAGE(F274:F323)</f>
        <v>45.492661099999985</v>
      </c>
      <c r="Y11" s="16">
        <f>STDEV(F274:F323)</f>
        <v>0.91272723149637147</v>
      </c>
      <c r="Z11" s="17">
        <f>AVERAGE(G274:G323)</f>
        <v>19.771629840000006</v>
      </c>
      <c r="AA11" s="18">
        <f>AVERAGE(H274:H323)</f>
        <v>22.709487719999998</v>
      </c>
      <c r="AB11" s="6">
        <f t="shared" si="1"/>
        <v>0.90599979710494905</v>
      </c>
      <c r="AC11" s="6">
        <f t="shared" si="23"/>
        <v>-1063.1876359999821</v>
      </c>
      <c r="AD11" s="6">
        <f t="shared" si="2"/>
        <v>41.570636567599308</v>
      </c>
      <c r="AE11" s="6">
        <f t="shared" si="24"/>
        <v>77.245867904000121</v>
      </c>
      <c r="AF11" s="19">
        <v>81</v>
      </c>
      <c r="AG11" s="19">
        <v>57</v>
      </c>
      <c r="AH11" s="6">
        <f t="shared" si="3"/>
        <v>11.507338900000015</v>
      </c>
      <c r="AI11" s="6">
        <f t="shared" si="4"/>
        <v>20.245867904000121</v>
      </c>
      <c r="AJ11" s="6">
        <f t="shared" si="5"/>
        <v>20.532899238854512</v>
      </c>
      <c r="AK11" s="6">
        <f t="shared" si="6"/>
        <v>72.245867904000121</v>
      </c>
      <c r="AL11" s="6">
        <f t="shared" si="7"/>
        <v>458.9398277062964</v>
      </c>
      <c r="AM11" s="6">
        <f t="shared" si="8"/>
        <v>0.15741904176212543</v>
      </c>
      <c r="AN11" s="6">
        <f t="shared" si="9"/>
        <v>2.9378578799999922</v>
      </c>
      <c r="AO11" s="6">
        <f t="shared" si="10"/>
        <v>3.6666666666666667E-2</v>
      </c>
      <c r="AP11" s="6">
        <f t="shared" si="11"/>
        <v>451.0297345971988</v>
      </c>
      <c r="AQ11" s="6">
        <f t="shared" si="12"/>
        <v>3.190239842059249E-2</v>
      </c>
      <c r="AR11" s="6">
        <f t="shared" si="13"/>
        <v>-10.631876359999822</v>
      </c>
      <c r="AS11" s="6">
        <f t="shared" si="14"/>
        <v>3.5673847270182253E-2</v>
      </c>
      <c r="AT11" s="6">
        <f t="shared" si="15"/>
        <v>4.7857981612710251E-2</v>
      </c>
      <c r="AU11" s="6">
        <f t="shared" si="16"/>
        <v>4.7857981612710248</v>
      </c>
      <c r="AV11" s="6">
        <f t="shared" si="17"/>
        <v>1.9894867604808282</v>
      </c>
      <c r="AW11" s="6">
        <f t="shared" si="0"/>
        <v>21.963933835708342</v>
      </c>
      <c r="AX11" s="20">
        <f t="shared" si="18"/>
        <v>6.9188169967067989E-2</v>
      </c>
      <c r="AY11" s="20">
        <f t="shared" si="19"/>
        <v>5.2843751742375225E-2</v>
      </c>
      <c r="AZ11" s="20">
        <f t="shared" si="20"/>
        <v>0.12203192170944321</v>
      </c>
      <c r="BA11" s="1">
        <f t="shared" si="21"/>
        <v>6.9188169967067989E-2</v>
      </c>
      <c r="BB11" s="1">
        <f t="shared" si="22"/>
        <v>0.19122009167651122</v>
      </c>
    </row>
    <row r="12" spans="1:54" x14ac:dyDescent="0.25">
      <c r="O12" s="6">
        <v>7</v>
      </c>
      <c r="P12" s="7">
        <f>AVERAGE(B324:B373)</f>
        <v>123.89618447999999</v>
      </c>
      <c r="Q12" s="8">
        <f>STDEV(B324:B373)</f>
        <v>6.7289968384244003E-2</v>
      </c>
      <c r="R12" s="9">
        <f>AVERAGE(C324:C373)</f>
        <v>130.51301292000005</v>
      </c>
      <c r="S12" s="10">
        <f>STDEV(C324:C373)</f>
        <v>6.2287602851395708E-2</v>
      </c>
      <c r="T12" s="11">
        <f>AVERAGE(D324:D373)</f>
        <v>136.39166719999997</v>
      </c>
      <c r="U12" s="12">
        <f>STDEV(D324:D373)</f>
        <v>6.2595121016755878E-2</v>
      </c>
      <c r="V12" s="13">
        <f>AVERAGE(E324:E373)</f>
        <v>89.112350399999954</v>
      </c>
      <c r="W12" s="14">
        <f>STDEV(E324:E373)</f>
        <v>0.16333145516115744</v>
      </c>
      <c r="X12" s="15">
        <f>AVERAGE(F324:F373)</f>
        <v>49.519214280000021</v>
      </c>
      <c r="Y12" s="16">
        <f>STDEV(F324:F373)</f>
        <v>0.38434666456500743</v>
      </c>
      <c r="Z12" s="17">
        <f>AVERAGE(G324:G373)</f>
        <v>19.882373720000011</v>
      </c>
      <c r="AA12" s="18">
        <f>AVERAGE(H324:H373)</f>
        <v>23.671070640000007</v>
      </c>
      <c r="AB12" s="6">
        <f t="shared" si="1"/>
        <v>0.88843988223455661</v>
      </c>
      <c r="AC12" s="6">
        <f t="shared" si="23"/>
        <v>-1397.1831040000268</v>
      </c>
      <c r="AD12" s="6">
        <f t="shared" si="2"/>
        <v>54.629859366401057</v>
      </c>
      <c r="AE12" s="6">
        <f t="shared" si="24"/>
        <v>80.729251775999785</v>
      </c>
      <c r="AF12" s="19">
        <v>81</v>
      </c>
      <c r="AG12" s="19">
        <v>57</v>
      </c>
      <c r="AH12" s="6">
        <f t="shared" si="3"/>
        <v>7.4807857199999788</v>
      </c>
      <c r="AI12" s="6">
        <f t="shared" si="4"/>
        <v>23.729251775999785</v>
      </c>
      <c r="AJ12" s="6">
        <f t="shared" si="5"/>
        <v>23.02215842374547</v>
      </c>
      <c r="AK12" s="6">
        <f t="shared" si="6"/>
        <v>75.729251775999785</v>
      </c>
      <c r="AL12" s="6">
        <f t="shared" si="7"/>
        <v>603.1136474050677</v>
      </c>
      <c r="AM12" s="6">
        <f t="shared" si="8"/>
        <v>0.12556381720398699</v>
      </c>
      <c r="AN12" s="6">
        <f t="shared" si="9"/>
        <v>3.788696919999996</v>
      </c>
      <c r="AO12" s="6">
        <f t="shared" si="10"/>
        <v>3.6666666666666667E-2</v>
      </c>
      <c r="AP12" s="6">
        <f t="shared" si="11"/>
        <v>581.65338014813278</v>
      </c>
      <c r="AQ12" s="6">
        <f t="shared" si="12"/>
        <v>2.8531508375101249E-2</v>
      </c>
      <c r="AR12" s="6">
        <f t="shared" si="13"/>
        <v>-13.971831040000268</v>
      </c>
      <c r="AS12" s="6">
        <f t="shared" si="14"/>
        <v>3.2873122549193445E-2</v>
      </c>
      <c r="AT12" s="6">
        <f t="shared" si="15"/>
        <v>4.352802725018403E-2</v>
      </c>
      <c r="AU12" s="6">
        <f t="shared" si="16"/>
        <v>4.3528027250184032</v>
      </c>
      <c r="AV12" s="6">
        <f t="shared" si="17"/>
        <v>2.3779300071744265</v>
      </c>
      <c r="AW12" s="6">
        <f t="shared" si="0"/>
        <v>26.252347279205669</v>
      </c>
      <c r="AX12" s="20">
        <f xml:space="preserve"> (AE12-X12)/ AL12</f>
        <v>5.1748186482403119E-2</v>
      </c>
      <c r="AY12" s="20">
        <f t="shared" si="19"/>
        <v>4.5998780195679094E-2</v>
      </c>
      <c r="AZ12" s="20">
        <f t="shared" si="20"/>
        <v>9.774696667808222E-2</v>
      </c>
      <c r="BA12" s="1">
        <f t="shared" si="21"/>
        <v>5.1748186482403119E-2</v>
      </c>
      <c r="BB12" s="1">
        <f t="shared" si="22"/>
        <v>0.14949515316048534</v>
      </c>
    </row>
    <row r="13" spans="1:54" x14ac:dyDescent="0.25">
      <c r="O13" s="6">
        <v>8</v>
      </c>
      <c r="P13" s="7">
        <f>AVERAGE(B374:B423)</f>
        <v>139.82967913999994</v>
      </c>
      <c r="Q13" s="8">
        <f>STDEV(B374:B423)</f>
        <v>9.9637420962415083E-2</v>
      </c>
      <c r="R13" s="9">
        <f>AVERAGE(C374:C423)</f>
        <v>148.01764457999997</v>
      </c>
      <c r="S13" s="10">
        <f>STDEV(C374:C423)</f>
        <v>8.3171522700806952E-2</v>
      </c>
      <c r="T13" s="11">
        <f>AVERAGE(D374:D423)</f>
        <v>155.20384952000006</v>
      </c>
      <c r="U13" s="12">
        <f>STDEV(D374:D423)</f>
        <v>6.3018408103083443E-2</v>
      </c>
      <c r="V13" s="13">
        <f>AVERAGE(E374:E423)</f>
        <v>96.056601139999984</v>
      </c>
      <c r="W13" s="14">
        <f>STDEV(E374:E423)</f>
        <v>0.39885488621291715</v>
      </c>
      <c r="X13" s="15">
        <f>AVERAGE(F374:F423)</f>
        <v>50.201350880000007</v>
      </c>
      <c r="Y13" s="16">
        <f>STDEV(F374:F423)</f>
        <v>0.70810345885213133</v>
      </c>
      <c r="Z13" s="17">
        <f>AVERAGE(G374:G423)</f>
        <v>20.007309840000005</v>
      </c>
      <c r="AA13" s="18">
        <f>AVERAGE(H374:H423)</f>
        <v>24.746728159999989</v>
      </c>
      <c r="AB13" s="6">
        <f t="shared" si="1"/>
        <v>0.87765452756968054</v>
      </c>
      <c r="AC13" s="6">
        <f t="shared" si="23"/>
        <v>-1737.7691379999987</v>
      </c>
      <c r="AD13" s="6">
        <f t="shared" si="2"/>
        <v>67.946773295799943</v>
      </c>
      <c r="AE13" s="6">
        <f t="shared" si="24"/>
        <v>85.629986312</v>
      </c>
      <c r="AF13" s="19">
        <v>81</v>
      </c>
      <c r="AG13" s="19">
        <v>57</v>
      </c>
      <c r="AH13" s="6">
        <f>AG13-X13</f>
        <v>6.7986491199999932</v>
      </c>
      <c r="AI13" s="6">
        <f>AE13-AG13</f>
        <v>28.629986312</v>
      </c>
      <c r="AJ13" s="6">
        <f t="shared" si="5"/>
        <v>23.732729927055772</v>
      </c>
      <c r="AK13" s="6">
        <f>(AE13-AG13)+(AG13-5)</f>
        <v>80.629986312</v>
      </c>
      <c r="AL13" s="6">
        <f t="shared" si="7"/>
        <v>750.13237718563141</v>
      </c>
      <c r="AM13" s="6">
        <f t="shared" si="8"/>
        <v>0.10748767652785492</v>
      </c>
      <c r="AN13" s="6">
        <f t="shared" si="9"/>
        <v>4.7394183199999844</v>
      </c>
      <c r="AO13" s="6">
        <f t="shared" si="10"/>
        <v>3.6666666666666667E-2</v>
      </c>
      <c r="AP13" s="6">
        <f t="shared" si="11"/>
        <v>727.61129854746423</v>
      </c>
      <c r="AQ13" s="6">
        <f t="shared" si="12"/>
        <v>2.673890224230693E-2</v>
      </c>
      <c r="AR13" s="6">
        <f t="shared" si="13"/>
        <v>-17.377691379999987</v>
      </c>
      <c r="AS13" s="6">
        <f t="shared" si="14"/>
        <v>3.4775790864353812E-2</v>
      </c>
      <c r="AT13" s="6">
        <f t="shared" si="15"/>
        <v>4.3867123490889171E-2</v>
      </c>
      <c r="AU13" s="6">
        <f t="shared" si="16"/>
        <v>4.3867123490889171</v>
      </c>
      <c r="AV13" s="6">
        <f t="shared" si="17"/>
        <v>2.9806294949743068</v>
      </c>
      <c r="AW13" s="6">
        <f t="shared" si="0"/>
        <v>32.906149624516345</v>
      </c>
      <c r="AX13" s="20">
        <f t="shared" si="18"/>
        <v>4.7229844370832497E-2</v>
      </c>
      <c r="AY13" s="20">
        <f t="shared" si="19"/>
        <v>3.7092562228005881E-2</v>
      </c>
      <c r="AZ13" s="20">
        <f t="shared" si="20"/>
        <v>8.4322406598838384E-2</v>
      </c>
      <c r="BA13" s="1">
        <f t="shared" si="21"/>
        <v>4.7229844370832497E-2</v>
      </c>
      <c r="BB13" s="1">
        <f t="shared" si="22"/>
        <v>0.13155225096967088</v>
      </c>
    </row>
    <row r="14" spans="1:54" x14ac:dyDescent="0.25">
      <c r="O14" s="6">
        <v>9</v>
      </c>
      <c r="P14" s="7">
        <f>AVERAGE(B424:B473)</f>
        <v>156.90994516000006</v>
      </c>
      <c r="Q14" s="8">
        <f>STDEV(B424:B473)</f>
        <v>0.11530627070958678</v>
      </c>
      <c r="R14" s="9">
        <f>AVERAGE(C424:C473)</f>
        <v>166.73651579999995</v>
      </c>
      <c r="S14" s="10">
        <f>STDEV(C424:C473)</f>
        <v>9.577486934068076E-2</v>
      </c>
      <c r="T14" s="11">
        <f>AVERAGE(D424:D473)</f>
        <v>175.23405843999993</v>
      </c>
      <c r="U14" s="12">
        <f>STDEV(D424:D473)</f>
        <v>0.10471556029631128</v>
      </c>
      <c r="V14" s="13">
        <f>AVERAGE(E424:E473)</f>
        <v>103.76559396000002</v>
      </c>
      <c r="W14" s="14">
        <f>STDEV(E424:E473)</f>
        <v>0.14757897935694986</v>
      </c>
      <c r="X14" s="15">
        <f>AVERAGE(F424:F473)</f>
        <v>53.628319839999989</v>
      </c>
      <c r="Y14" s="16">
        <f>STDEV(F424:F473)</f>
        <v>0.33020179115383125</v>
      </c>
      <c r="Z14" s="17">
        <f>AVERAGE(G424:G473)</f>
        <v>20.030375079999995</v>
      </c>
      <c r="AA14" s="18">
        <f>AVERAGE(H424:H473)</f>
        <v>25.686976240000007</v>
      </c>
      <c r="AB14" s="6">
        <f t="shared" si="1"/>
        <v>0.86475159557801495</v>
      </c>
      <c r="AC14" s="6">
        <f t="shared" si="23"/>
        <v>-2098.216927999968</v>
      </c>
      <c r="AD14" s="6">
        <f t="shared" si="2"/>
        <v>82.040281884798745</v>
      </c>
      <c r="AE14" s="6">
        <f t="shared" si="24"/>
        <v>91.176292392000207</v>
      </c>
      <c r="AF14" s="19">
        <v>81</v>
      </c>
      <c r="AG14" s="19">
        <v>57</v>
      </c>
      <c r="AH14" s="6">
        <f t="shared" si="3"/>
        <v>3.371680160000011</v>
      </c>
      <c r="AI14" s="6">
        <f t="shared" si="4"/>
        <v>34.176292392000207</v>
      </c>
      <c r="AJ14" s="6">
        <f t="shared" si="5"/>
        <v>24.005026918602283</v>
      </c>
      <c r="AK14" s="6">
        <f t="shared" si="6"/>
        <v>86.176292392000207</v>
      </c>
      <c r="AL14" s="6">
        <f t="shared" si="7"/>
        <v>905.72471200817824</v>
      </c>
      <c r="AM14" s="6">
        <f t="shared" si="8"/>
        <v>9.5146230691806583E-2</v>
      </c>
      <c r="AN14" s="6">
        <f t="shared" si="9"/>
        <v>5.6566011600000117</v>
      </c>
      <c r="AO14" s="6">
        <f t="shared" si="10"/>
        <v>3.6666666666666667E-2</v>
      </c>
      <c r="AP14" s="6">
        <f t="shared" si="11"/>
        <v>868.42026542040185</v>
      </c>
      <c r="AQ14" s="6">
        <f t="shared" si="12"/>
        <v>2.5653025091865539E-2</v>
      </c>
      <c r="AR14" s="6">
        <f t="shared" si="13"/>
        <v>-20.982169279999681</v>
      </c>
      <c r="AS14" s="6">
        <f t="shared" si="14"/>
        <v>3.4115927330774017E-2</v>
      </c>
      <c r="AT14" s="6">
        <f t="shared" si="15"/>
        <v>4.2684589654845416E-2</v>
      </c>
      <c r="AU14" s="6">
        <f t="shared" si="16"/>
        <v>4.268458965484542</v>
      </c>
      <c r="AV14" s="6">
        <f t="shared" si="17"/>
        <v>3.5018557674204822</v>
      </c>
      <c r="AW14" s="6">
        <f t="shared" si="0"/>
        <v>38.660487672322127</v>
      </c>
      <c r="AX14" s="20">
        <f t="shared" si="18"/>
        <v>4.1456274797613317E-2</v>
      </c>
      <c r="AY14" s="20">
        <f t="shared" si="19"/>
        <v>3.3972402179219936E-2</v>
      </c>
      <c r="AZ14" s="20">
        <f t="shared" si="20"/>
        <v>7.5428676976833253E-2</v>
      </c>
      <c r="BA14" s="1">
        <f t="shared" si="21"/>
        <v>4.1456274797613317E-2</v>
      </c>
      <c r="BB14" s="1">
        <f t="shared" si="22"/>
        <v>0.11688495177444658</v>
      </c>
    </row>
    <row r="15" spans="1:54" ht="21" x14ac:dyDescent="0.25">
      <c r="A15" s="21" t="s">
        <v>47</v>
      </c>
      <c r="O15" s="6">
        <v>10</v>
      </c>
      <c r="P15" s="7" t="e">
        <f>AVERAGE(B474:B523)</f>
        <v>#DIV/0!</v>
      </c>
      <c r="Q15" s="8" t="e">
        <f>STDEV(B474:B523)</f>
        <v>#DIV/0!</v>
      </c>
      <c r="R15" s="9" t="e">
        <f>AVERAGE(C474:C523)</f>
        <v>#DIV/0!</v>
      </c>
      <c r="S15" s="10" t="e">
        <f>STDEV(C474:C523)</f>
        <v>#DIV/0!</v>
      </c>
      <c r="T15" s="11" t="e">
        <f>AVERAGE(D474:D523)</f>
        <v>#DIV/0!</v>
      </c>
      <c r="U15" s="12" t="e">
        <f>STDEV(D474:D523)</f>
        <v>#DIV/0!</v>
      </c>
      <c r="V15" s="13" t="e">
        <f>AVERAGE(E474:E523)</f>
        <v>#DIV/0!</v>
      </c>
      <c r="W15" s="14" t="e">
        <f>STDEV(E474:E523)</f>
        <v>#DIV/0!</v>
      </c>
      <c r="X15" s="15" t="e">
        <f>AVERAGE(F474:F523)</f>
        <v>#DIV/0!</v>
      </c>
      <c r="Y15" s="16" t="e">
        <f>STDEV(F474:F523)</f>
        <v>#DIV/0!</v>
      </c>
      <c r="Z15" s="17" t="e">
        <f>AVERAGE(G474:G523)</f>
        <v>#DIV/0!</v>
      </c>
      <c r="AA15" s="18" t="e">
        <f>AVERAGE(H474:H523)</f>
        <v>#DIV/0!</v>
      </c>
      <c r="AB15" s="6" t="e">
        <f t="shared" si="1"/>
        <v>#DIV/0!</v>
      </c>
      <c r="AC15" s="6" t="e">
        <f t="shared" si="23"/>
        <v>#DIV/0!</v>
      </c>
      <c r="AD15" s="6" t="e">
        <f t="shared" si="2"/>
        <v>#DIV/0!</v>
      </c>
      <c r="AE15" s="6" t="e">
        <f t="shared" si="24"/>
        <v>#DIV/0!</v>
      </c>
      <c r="AF15" s="19"/>
      <c r="AG15" s="19"/>
      <c r="AH15" s="6" t="e">
        <f t="shared" si="3"/>
        <v>#DIV/0!</v>
      </c>
      <c r="AI15" s="6" t="e">
        <f t="shared" si="4"/>
        <v>#DIV/0!</v>
      </c>
      <c r="AJ15" s="6" t="e">
        <f t="shared" si="5"/>
        <v>#DIV/0!</v>
      </c>
      <c r="AK15" s="6" t="e">
        <f t="shared" si="6"/>
        <v>#DIV/0!</v>
      </c>
      <c r="AL15" s="6" t="e">
        <f t="shared" si="7"/>
        <v>#DIV/0!</v>
      </c>
      <c r="AM15" s="6" t="e">
        <f t="shared" si="8"/>
        <v>#DIV/0!</v>
      </c>
      <c r="AN15" s="6" t="e">
        <f t="shared" si="9"/>
        <v>#DIV/0!</v>
      </c>
      <c r="AO15" s="6">
        <f t="shared" si="10"/>
        <v>3.6666666666666667E-2</v>
      </c>
      <c r="AP15" s="6" t="e">
        <f t="shared" si="11"/>
        <v>#DIV/0!</v>
      </c>
      <c r="AQ15" s="6" t="e">
        <f t="shared" si="12"/>
        <v>#DIV/0!</v>
      </c>
      <c r="AR15" s="6" t="e">
        <f t="shared" si="13"/>
        <v>#DIV/0!</v>
      </c>
      <c r="AS15" s="6" t="e">
        <f t="shared" si="14"/>
        <v>#DIV/0!</v>
      </c>
      <c r="AT15" s="6" t="e">
        <f t="shared" si="15"/>
        <v>#DIV/0!</v>
      </c>
      <c r="AU15" s="6" t="e">
        <f t="shared" si="16"/>
        <v>#DIV/0!</v>
      </c>
      <c r="AV15" s="6" t="e">
        <f t="shared" si="17"/>
        <v>#DIV/0!</v>
      </c>
      <c r="AW15" s="6" t="e">
        <f t="shared" si="0"/>
        <v>#DIV/0!</v>
      </c>
      <c r="AX15" s="20" t="e">
        <f t="shared" si="18"/>
        <v>#DIV/0!</v>
      </c>
      <c r="AY15" s="20" t="e">
        <f t="shared" si="19"/>
        <v>#DIV/0!</v>
      </c>
      <c r="AZ15" s="20" t="e">
        <f t="shared" si="20"/>
        <v>#DIV/0!</v>
      </c>
      <c r="BA15" s="1" t="e">
        <f t="shared" si="21"/>
        <v>#DIV/0!</v>
      </c>
      <c r="BB15" s="1" t="e">
        <f t="shared" si="22"/>
        <v>#DIV/0!</v>
      </c>
    </row>
    <row r="16" spans="1:54" x14ac:dyDescent="0.25">
      <c r="O16" s="6">
        <v>12</v>
      </c>
      <c r="P16" s="7" t="e">
        <f>AVERAGE(B524:B573)</f>
        <v>#DIV/0!</v>
      </c>
      <c r="Q16" s="8" t="e">
        <f>STDEV(B524:B573)</f>
        <v>#DIV/0!</v>
      </c>
      <c r="R16" s="9" t="e">
        <f>AVERAGE(C524:C573)</f>
        <v>#DIV/0!</v>
      </c>
      <c r="S16" s="10" t="e">
        <f>STDEV(C524:C573)</f>
        <v>#DIV/0!</v>
      </c>
      <c r="T16" s="11" t="e">
        <f>AVERAGE(D524:D573)</f>
        <v>#DIV/0!</v>
      </c>
      <c r="U16" s="12" t="e">
        <f>STDEV(D524:D573)</f>
        <v>#DIV/0!</v>
      </c>
      <c r="V16" s="13" t="e">
        <f>AVERAGE(E524:E573)</f>
        <v>#DIV/0!</v>
      </c>
      <c r="W16" s="14" t="e">
        <f>STDEV(E524:E573)</f>
        <v>#DIV/0!</v>
      </c>
      <c r="X16" s="15" t="e">
        <f>AVERAGE(F524:F573)</f>
        <v>#DIV/0!</v>
      </c>
      <c r="Y16" s="16" t="e">
        <f>STDEV(F524:F573)</f>
        <v>#DIV/0!</v>
      </c>
      <c r="Z16" s="17" t="e">
        <f>AVERAGE(G524:G573)</f>
        <v>#DIV/0!</v>
      </c>
      <c r="AA16" s="18" t="e">
        <f>AVERAGE(H524:H573)</f>
        <v>#DIV/0!</v>
      </c>
      <c r="AB16" s="6" t="e">
        <f t="shared" si="1"/>
        <v>#DIV/0!</v>
      </c>
      <c r="AC16" s="6" t="e">
        <f t="shared" si="23"/>
        <v>#DIV/0!</v>
      </c>
      <c r="AD16" s="6" t="e">
        <f t="shared" si="2"/>
        <v>#DIV/0!</v>
      </c>
      <c r="AE16" s="6" t="e">
        <f t="shared" si="24"/>
        <v>#DIV/0!</v>
      </c>
      <c r="AF16" s="19"/>
      <c r="AG16" s="19"/>
      <c r="AH16" s="6" t="e">
        <f t="shared" si="3"/>
        <v>#DIV/0!</v>
      </c>
      <c r="AI16" s="6" t="e">
        <f t="shared" si="4"/>
        <v>#DIV/0!</v>
      </c>
      <c r="AJ16" s="6" t="e">
        <f t="shared" si="5"/>
        <v>#DIV/0!</v>
      </c>
      <c r="AK16" s="6" t="e">
        <f t="shared" si="6"/>
        <v>#DIV/0!</v>
      </c>
      <c r="AL16" s="6" t="e">
        <f t="shared" si="7"/>
        <v>#DIV/0!</v>
      </c>
      <c r="AM16" s="6" t="e">
        <f t="shared" si="8"/>
        <v>#DIV/0!</v>
      </c>
      <c r="AN16" s="6" t="e">
        <f t="shared" si="9"/>
        <v>#DIV/0!</v>
      </c>
      <c r="AO16" s="6">
        <f t="shared" si="10"/>
        <v>3.6666666666666667E-2</v>
      </c>
      <c r="AP16" s="6" t="e">
        <f t="shared" si="11"/>
        <v>#DIV/0!</v>
      </c>
      <c r="AQ16" s="6" t="e">
        <f t="shared" si="12"/>
        <v>#DIV/0!</v>
      </c>
      <c r="AR16" s="6" t="e">
        <f t="shared" si="13"/>
        <v>#DIV/0!</v>
      </c>
      <c r="AS16" s="6" t="e">
        <f t="shared" si="14"/>
        <v>#DIV/0!</v>
      </c>
      <c r="AT16" s="6" t="e">
        <f t="shared" si="15"/>
        <v>#DIV/0!</v>
      </c>
      <c r="AU16" s="6" t="e">
        <f t="shared" si="16"/>
        <v>#DIV/0!</v>
      </c>
      <c r="AV16" s="6" t="e">
        <f t="shared" si="17"/>
        <v>#DIV/0!</v>
      </c>
      <c r="AW16" s="6" t="e">
        <f t="shared" si="0"/>
        <v>#DIV/0!</v>
      </c>
      <c r="AX16" s="20" t="e">
        <f t="shared" si="18"/>
        <v>#DIV/0!</v>
      </c>
      <c r="AY16" s="20" t="e">
        <f t="shared" si="19"/>
        <v>#DIV/0!</v>
      </c>
      <c r="AZ16" s="20" t="e">
        <f t="shared" si="20"/>
        <v>#DIV/0!</v>
      </c>
      <c r="BA16" s="1" t="e">
        <f t="shared" si="21"/>
        <v>#DIV/0!</v>
      </c>
      <c r="BB16" s="1" t="e">
        <f t="shared" si="22"/>
        <v>#DIV/0!</v>
      </c>
    </row>
    <row r="17" spans="1:54" x14ac:dyDescent="0.25">
      <c r="O17" s="6">
        <v>13</v>
      </c>
      <c r="P17" s="7" t="e">
        <f>AVERAGE(B574:B623)</f>
        <v>#DIV/0!</v>
      </c>
      <c r="Q17" s="8" t="e">
        <f>STDEV(B574:B623)</f>
        <v>#DIV/0!</v>
      </c>
      <c r="R17" s="9" t="e">
        <f>AVERAGE(C574:C623)</f>
        <v>#DIV/0!</v>
      </c>
      <c r="S17" s="10" t="e">
        <f>STDEV(C574:C623)</f>
        <v>#DIV/0!</v>
      </c>
      <c r="T17" s="11" t="e">
        <f>AVERAGE(D574:D623)</f>
        <v>#DIV/0!</v>
      </c>
      <c r="U17" s="12" t="e">
        <f>STDEV(D574:D623)</f>
        <v>#DIV/0!</v>
      </c>
      <c r="V17" s="13" t="e">
        <f>AVERAGE(E574:E623)</f>
        <v>#DIV/0!</v>
      </c>
      <c r="W17" s="14" t="e">
        <f>STDEV(E574:E623)</f>
        <v>#DIV/0!</v>
      </c>
      <c r="X17" s="15" t="e">
        <f>AVERAGE(F574:F623)</f>
        <v>#DIV/0!</v>
      </c>
      <c r="Y17" s="16" t="e">
        <f>STDEV(F574:F623)</f>
        <v>#DIV/0!</v>
      </c>
      <c r="Z17" s="17" t="e">
        <f>AVERAGE(G574:G623)</f>
        <v>#DIV/0!</v>
      </c>
      <c r="AA17" s="18" t="e">
        <f>AVERAGE(H574:H623)</f>
        <v>#DIV/0!</v>
      </c>
      <c r="AB17" s="6" t="e">
        <f t="shared" si="1"/>
        <v>#DIV/0!</v>
      </c>
      <c r="AC17" s="6" t="e">
        <f t="shared" si="23"/>
        <v>#DIV/0!</v>
      </c>
      <c r="AD17" s="6" t="e">
        <f>-(E$3)*AC17*(1/10000)</f>
        <v>#DIV/0!</v>
      </c>
      <c r="AE17" s="6" t="e">
        <f t="shared" si="24"/>
        <v>#DIV/0!</v>
      </c>
      <c r="AF17" s="19"/>
      <c r="AG17" s="19"/>
      <c r="AH17" s="6" t="e">
        <f t="shared" si="3"/>
        <v>#DIV/0!</v>
      </c>
      <c r="AI17" s="6" t="e">
        <f t="shared" si="4"/>
        <v>#DIV/0!</v>
      </c>
      <c r="AJ17" s="6" t="e">
        <f t="shared" si="5"/>
        <v>#DIV/0!</v>
      </c>
      <c r="AK17" s="6" t="e">
        <f t="shared" si="6"/>
        <v>#DIV/0!</v>
      </c>
      <c r="AL17" s="6" t="e">
        <f t="shared" si="7"/>
        <v>#DIV/0!</v>
      </c>
      <c r="AM17" s="6" t="e">
        <f t="shared" si="8"/>
        <v>#DIV/0!</v>
      </c>
      <c r="AN17" s="6" t="e">
        <f t="shared" si="9"/>
        <v>#DIV/0!</v>
      </c>
      <c r="AO17" s="6">
        <f t="shared" si="10"/>
        <v>3.6666666666666667E-2</v>
      </c>
      <c r="AP17" s="6" t="e">
        <f t="shared" si="11"/>
        <v>#DIV/0!</v>
      </c>
      <c r="AQ17" s="6" t="e">
        <f t="shared" si="12"/>
        <v>#DIV/0!</v>
      </c>
      <c r="AR17" s="6" t="e">
        <f t="shared" si="13"/>
        <v>#DIV/0!</v>
      </c>
      <c r="AS17" s="6" t="e">
        <f t="shared" si="14"/>
        <v>#DIV/0!</v>
      </c>
      <c r="AT17" s="6" t="e">
        <f t="shared" si="15"/>
        <v>#DIV/0!</v>
      </c>
      <c r="AU17" s="6" t="e">
        <f t="shared" si="16"/>
        <v>#DIV/0!</v>
      </c>
      <c r="AV17" s="6" t="e">
        <f t="shared" si="17"/>
        <v>#DIV/0!</v>
      </c>
      <c r="AW17" s="6" t="e">
        <f t="shared" si="0"/>
        <v>#DIV/0!</v>
      </c>
      <c r="AX17" s="20" t="e">
        <f t="shared" si="18"/>
        <v>#DIV/0!</v>
      </c>
      <c r="AY17" s="20" t="e">
        <f t="shared" si="19"/>
        <v>#DIV/0!</v>
      </c>
      <c r="AZ17" s="20" t="e">
        <f t="shared" si="20"/>
        <v>#DIV/0!</v>
      </c>
      <c r="BA17" s="1" t="e">
        <f t="shared" si="21"/>
        <v>#DIV/0!</v>
      </c>
      <c r="BB17" s="1" t="e">
        <f t="shared" si="22"/>
        <v>#DIV/0!</v>
      </c>
    </row>
    <row r="18" spans="1:54" x14ac:dyDescent="0.25">
      <c r="O18" s="6">
        <v>14</v>
      </c>
      <c r="P18" s="7" t="e">
        <f>AVERAGE(B624:B673)</f>
        <v>#DIV/0!</v>
      </c>
      <c r="Q18" s="8" t="e">
        <f>STDEV(B624:B673)</f>
        <v>#DIV/0!</v>
      </c>
      <c r="R18" s="9" t="e">
        <f>AVERAGE(C624:C673)</f>
        <v>#DIV/0!</v>
      </c>
      <c r="S18" s="10" t="e">
        <f>STDEV(C624:C673)</f>
        <v>#DIV/0!</v>
      </c>
      <c r="T18" s="11" t="e">
        <f>AVERAGE(D624:D673)</f>
        <v>#DIV/0!</v>
      </c>
      <c r="U18" s="12" t="e">
        <f>STDEV(D624:D673)</f>
        <v>#DIV/0!</v>
      </c>
      <c r="V18" s="13" t="e">
        <f>AVERAGE(E624:E673)</f>
        <v>#DIV/0!</v>
      </c>
      <c r="W18" s="14" t="e">
        <f>STDEV(E624:E673)</f>
        <v>#DIV/0!</v>
      </c>
      <c r="X18" s="15" t="e">
        <f>AVERAGE(F624:F673)</f>
        <v>#DIV/0!</v>
      </c>
      <c r="Y18" s="16" t="e">
        <f>STDEV(F624:F673)</f>
        <v>#DIV/0!</v>
      </c>
      <c r="Z18" s="17" t="e">
        <f>AVERAGE(G624:G673)</f>
        <v>#DIV/0!</v>
      </c>
      <c r="AA18" s="18" t="e">
        <f>AVERAGE(H624:H673)</f>
        <v>#DIV/0!</v>
      </c>
      <c r="AB18" s="6" t="e">
        <f t="shared" si="1"/>
        <v>#DIV/0!</v>
      </c>
      <c r="AC18" s="6" t="e">
        <f t="shared" si="23"/>
        <v>#DIV/0!</v>
      </c>
      <c r="AD18" s="6" t="e">
        <f t="shared" si="2"/>
        <v>#DIV/0!</v>
      </c>
      <c r="AE18" s="6" t="e">
        <f t="shared" si="24"/>
        <v>#DIV/0!</v>
      </c>
      <c r="AF18" s="19"/>
      <c r="AG18" s="19"/>
      <c r="AH18" s="6" t="e">
        <f t="shared" si="3"/>
        <v>#DIV/0!</v>
      </c>
      <c r="AI18" s="6" t="e">
        <f t="shared" si="4"/>
        <v>#DIV/0!</v>
      </c>
      <c r="AJ18" s="6" t="e">
        <f t="shared" si="5"/>
        <v>#DIV/0!</v>
      </c>
      <c r="AK18" s="6" t="e">
        <f t="shared" si="6"/>
        <v>#DIV/0!</v>
      </c>
      <c r="AL18" s="6" t="e">
        <f t="shared" si="7"/>
        <v>#DIV/0!</v>
      </c>
      <c r="AM18" s="6" t="e">
        <f t="shared" si="8"/>
        <v>#DIV/0!</v>
      </c>
      <c r="AN18" s="6" t="e">
        <f t="shared" si="9"/>
        <v>#DIV/0!</v>
      </c>
      <c r="AO18" s="6">
        <f t="shared" si="10"/>
        <v>3.6666666666666667E-2</v>
      </c>
      <c r="AP18" s="6" t="e">
        <f t="shared" si="11"/>
        <v>#DIV/0!</v>
      </c>
      <c r="AQ18" s="6" t="e">
        <f t="shared" si="12"/>
        <v>#DIV/0!</v>
      </c>
      <c r="AR18" s="6" t="e">
        <f t="shared" si="13"/>
        <v>#DIV/0!</v>
      </c>
      <c r="AS18" s="6" t="e">
        <f t="shared" si="14"/>
        <v>#DIV/0!</v>
      </c>
      <c r="AT18" s="6" t="e">
        <f t="shared" si="15"/>
        <v>#DIV/0!</v>
      </c>
      <c r="AU18" s="6" t="e">
        <f t="shared" si="16"/>
        <v>#DIV/0!</v>
      </c>
      <c r="AV18" s="6" t="e">
        <f t="shared" si="17"/>
        <v>#DIV/0!</v>
      </c>
      <c r="AW18" s="6" t="e">
        <f t="shared" si="0"/>
        <v>#DIV/0!</v>
      </c>
      <c r="AX18" s="20" t="e">
        <f t="shared" si="18"/>
        <v>#DIV/0!</v>
      </c>
      <c r="AY18" s="20" t="e">
        <f t="shared" si="19"/>
        <v>#DIV/0!</v>
      </c>
      <c r="AZ18" s="20" t="e">
        <f t="shared" si="20"/>
        <v>#DIV/0!</v>
      </c>
      <c r="BA18" s="1" t="e">
        <f t="shared" si="21"/>
        <v>#DIV/0!</v>
      </c>
      <c r="BB18" s="1" t="e">
        <f t="shared" si="22"/>
        <v>#DIV/0!</v>
      </c>
    </row>
    <row r="19" spans="1:54" x14ac:dyDescent="0.25">
      <c r="O19" s="6">
        <v>15</v>
      </c>
      <c r="P19" s="7" t="e">
        <f>AVERAGE(B674:B723)</f>
        <v>#DIV/0!</v>
      </c>
      <c r="Q19" s="8" t="e">
        <f>STDEV(B674:B723)</f>
        <v>#DIV/0!</v>
      </c>
      <c r="R19" s="9" t="e">
        <f>AVERAGE(C674:C723)</f>
        <v>#DIV/0!</v>
      </c>
      <c r="S19" s="10" t="e">
        <f>STDEV(C674:C723)</f>
        <v>#DIV/0!</v>
      </c>
      <c r="T19" s="11" t="e">
        <f>AVERAGE(D674:D723)</f>
        <v>#DIV/0!</v>
      </c>
      <c r="U19" s="12" t="e">
        <f>STDEV(D674:D723)</f>
        <v>#DIV/0!</v>
      </c>
      <c r="V19" s="13" t="e">
        <f>AVERAGE(E674:E723)</f>
        <v>#DIV/0!</v>
      </c>
      <c r="W19" s="14" t="e">
        <f>STDEV(E674:E723)</f>
        <v>#DIV/0!</v>
      </c>
      <c r="X19" s="15" t="e">
        <f>AVERAGE(F674:F723)</f>
        <v>#DIV/0!</v>
      </c>
      <c r="Y19" s="16" t="e">
        <f>STDEV(F674:F723)</f>
        <v>#DIV/0!</v>
      </c>
      <c r="Z19" s="17" t="e">
        <f>AVERAGE(G674:G723)</f>
        <v>#DIV/0!</v>
      </c>
      <c r="AA19" s="18" t="e">
        <f>AVERAGE(H674:H723)</f>
        <v>#DIV/0!</v>
      </c>
      <c r="AB19" s="6" t="e">
        <f t="shared" si="1"/>
        <v>#DIV/0!</v>
      </c>
      <c r="AC19" s="6" t="e">
        <f t="shared" si="23"/>
        <v>#DIV/0!</v>
      </c>
      <c r="AD19" s="6" t="e">
        <f t="shared" si="2"/>
        <v>#DIV/0!</v>
      </c>
      <c r="AE19" s="6" t="e">
        <f t="shared" si="24"/>
        <v>#DIV/0!</v>
      </c>
      <c r="AF19" s="19"/>
      <c r="AG19" s="19"/>
      <c r="AH19" s="6" t="e">
        <f t="shared" si="3"/>
        <v>#DIV/0!</v>
      </c>
      <c r="AI19" s="6" t="e">
        <f t="shared" si="4"/>
        <v>#DIV/0!</v>
      </c>
      <c r="AJ19" s="6" t="e">
        <f t="shared" si="5"/>
        <v>#DIV/0!</v>
      </c>
      <c r="AK19" s="6" t="e">
        <f t="shared" si="6"/>
        <v>#DIV/0!</v>
      </c>
      <c r="AL19" s="6" t="e">
        <f t="shared" si="7"/>
        <v>#DIV/0!</v>
      </c>
      <c r="AM19" s="6" t="e">
        <f t="shared" si="8"/>
        <v>#DIV/0!</v>
      </c>
      <c r="AN19" s="6" t="e">
        <f t="shared" si="9"/>
        <v>#DIV/0!</v>
      </c>
      <c r="AO19" s="6">
        <f t="shared" si="10"/>
        <v>3.6666666666666667E-2</v>
      </c>
      <c r="AP19" s="6" t="e">
        <f t="shared" si="11"/>
        <v>#DIV/0!</v>
      </c>
      <c r="AQ19" s="6" t="e">
        <f t="shared" si="12"/>
        <v>#DIV/0!</v>
      </c>
      <c r="AR19" s="6" t="e">
        <f t="shared" si="13"/>
        <v>#DIV/0!</v>
      </c>
      <c r="AS19" s="6" t="e">
        <f t="shared" si="14"/>
        <v>#DIV/0!</v>
      </c>
      <c r="AT19" s="6" t="e">
        <f t="shared" si="15"/>
        <v>#DIV/0!</v>
      </c>
      <c r="AU19" s="6" t="e">
        <f t="shared" si="16"/>
        <v>#DIV/0!</v>
      </c>
      <c r="AV19" s="6" t="e">
        <f t="shared" si="17"/>
        <v>#DIV/0!</v>
      </c>
      <c r="AW19" s="6" t="e">
        <f t="shared" si="0"/>
        <v>#DIV/0!</v>
      </c>
      <c r="AX19" s="20" t="e">
        <f t="shared" si="18"/>
        <v>#DIV/0!</v>
      </c>
      <c r="AY19" s="20" t="e">
        <f t="shared" si="19"/>
        <v>#DIV/0!</v>
      </c>
      <c r="AZ19" s="20" t="e">
        <f t="shared" si="20"/>
        <v>#DIV/0!</v>
      </c>
      <c r="BA19" s="1" t="e">
        <f t="shared" si="21"/>
        <v>#DIV/0!</v>
      </c>
      <c r="BB19" s="1" t="e">
        <f t="shared" si="22"/>
        <v>#DIV/0!</v>
      </c>
    </row>
    <row r="20" spans="1:54" x14ac:dyDescent="0.25">
      <c r="O20" s="6">
        <v>16</v>
      </c>
      <c r="P20" s="7" t="e">
        <f>AVERAGE(B724:B773)</f>
        <v>#DIV/0!</v>
      </c>
      <c r="Q20" s="8" t="e">
        <f>STDEV(B724:B773)</f>
        <v>#DIV/0!</v>
      </c>
      <c r="R20" s="9" t="e">
        <f>AVERAGE(C724:C773)</f>
        <v>#DIV/0!</v>
      </c>
      <c r="S20" s="10" t="e">
        <f>STDEV(C724:C773)</f>
        <v>#DIV/0!</v>
      </c>
      <c r="T20" s="11" t="e">
        <f>AVERAGE(D724:D773)</f>
        <v>#DIV/0!</v>
      </c>
      <c r="U20" s="12" t="e">
        <f>STDEV(D724:D773)</f>
        <v>#DIV/0!</v>
      </c>
      <c r="V20" s="13" t="e">
        <f>AVERAGE(E724:E773)</f>
        <v>#DIV/0!</v>
      </c>
      <c r="W20" s="14" t="e">
        <f>STDEV(E724:E773)</f>
        <v>#DIV/0!</v>
      </c>
      <c r="X20" s="15" t="e">
        <f>AVERAGE(F724:F773)</f>
        <v>#DIV/0!</v>
      </c>
      <c r="Y20" s="16" t="e">
        <f>STDEV(F724:F773)</f>
        <v>#DIV/0!</v>
      </c>
      <c r="Z20" s="17" t="e">
        <f>AVERAGE(G724:G773)</f>
        <v>#DIV/0!</v>
      </c>
      <c r="AA20" s="18" t="e">
        <f>AVERAGE(H724:H773)</f>
        <v>#DIV/0!</v>
      </c>
      <c r="AB20" s="6" t="e">
        <f t="shared" si="1"/>
        <v>#DIV/0!</v>
      </c>
      <c r="AC20" s="6" t="e">
        <f t="shared" si="23"/>
        <v>#DIV/0!</v>
      </c>
      <c r="AD20" s="6" t="e">
        <f t="shared" si="2"/>
        <v>#DIV/0!</v>
      </c>
      <c r="AE20" s="6" t="e">
        <f t="shared" si="24"/>
        <v>#DIV/0!</v>
      </c>
      <c r="AF20" s="19"/>
      <c r="AG20" s="19"/>
      <c r="AH20" s="6" t="e">
        <f t="shared" si="3"/>
        <v>#DIV/0!</v>
      </c>
      <c r="AI20" s="6" t="e">
        <f t="shared" si="4"/>
        <v>#DIV/0!</v>
      </c>
      <c r="AJ20" s="6" t="e">
        <f t="shared" si="5"/>
        <v>#DIV/0!</v>
      </c>
      <c r="AK20" s="6" t="e">
        <f t="shared" si="6"/>
        <v>#DIV/0!</v>
      </c>
      <c r="AL20" s="6" t="e">
        <f t="shared" si="7"/>
        <v>#DIV/0!</v>
      </c>
      <c r="AM20" s="6" t="e">
        <f t="shared" si="8"/>
        <v>#DIV/0!</v>
      </c>
      <c r="AN20" s="6" t="e">
        <f t="shared" si="9"/>
        <v>#DIV/0!</v>
      </c>
      <c r="AO20" s="6">
        <f t="shared" si="10"/>
        <v>3.6666666666666667E-2</v>
      </c>
      <c r="AP20" s="6" t="e">
        <f t="shared" si="11"/>
        <v>#DIV/0!</v>
      </c>
      <c r="AQ20" s="6" t="e">
        <f t="shared" si="12"/>
        <v>#DIV/0!</v>
      </c>
      <c r="AR20" s="6" t="e">
        <f t="shared" si="13"/>
        <v>#DIV/0!</v>
      </c>
      <c r="AS20" s="6" t="e">
        <f t="shared" si="14"/>
        <v>#DIV/0!</v>
      </c>
      <c r="AT20" s="6" t="e">
        <f t="shared" si="15"/>
        <v>#DIV/0!</v>
      </c>
      <c r="AU20" s="6" t="e">
        <f t="shared" si="16"/>
        <v>#DIV/0!</v>
      </c>
      <c r="AV20" s="6" t="e">
        <f t="shared" si="17"/>
        <v>#DIV/0!</v>
      </c>
      <c r="AW20" s="6" t="e">
        <f t="shared" si="0"/>
        <v>#DIV/0!</v>
      </c>
      <c r="AX20" s="20" t="e">
        <f t="shared" si="18"/>
        <v>#DIV/0!</v>
      </c>
      <c r="AY20" s="20" t="e">
        <f t="shared" si="19"/>
        <v>#DIV/0!</v>
      </c>
      <c r="AZ20" s="20" t="e">
        <f t="shared" si="20"/>
        <v>#DIV/0!</v>
      </c>
      <c r="BA20" s="1" t="e">
        <f t="shared" si="21"/>
        <v>#DIV/0!</v>
      </c>
      <c r="BB20" s="1" t="e">
        <f t="shared" si="22"/>
        <v>#DIV/0!</v>
      </c>
    </row>
    <row r="21" spans="1:54" x14ac:dyDescent="0.25">
      <c r="O21" s="6">
        <v>17</v>
      </c>
      <c r="P21" s="7" t="e">
        <f>AVERAGE(B774:B823)</f>
        <v>#DIV/0!</v>
      </c>
      <c r="Q21" s="8" t="e">
        <f>STDEV(B774:B823)</f>
        <v>#DIV/0!</v>
      </c>
      <c r="R21" s="9" t="e">
        <f>AVERAGE(C774:C823)</f>
        <v>#DIV/0!</v>
      </c>
      <c r="S21" s="10" t="e">
        <f>STDEV(C774:C823)</f>
        <v>#DIV/0!</v>
      </c>
      <c r="T21" s="11" t="e">
        <f>AVERAGE(D774:D823)</f>
        <v>#DIV/0!</v>
      </c>
      <c r="U21" s="12" t="e">
        <f>STDEV(D774:D823)</f>
        <v>#DIV/0!</v>
      </c>
      <c r="V21" s="13" t="e">
        <f>AVERAGE(E774:E823)</f>
        <v>#DIV/0!</v>
      </c>
      <c r="W21" s="14" t="e">
        <f>STDEV(E774:E823)</f>
        <v>#DIV/0!</v>
      </c>
      <c r="X21" s="15" t="e">
        <f>AVERAGE(F774:F823)</f>
        <v>#DIV/0!</v>
      </c>
      <c r="Y21" s="16" t="e">
        <f>STDEV(F774:F823)</f>
        <v>#DIV/0!</v>
      </c>
      <c r="Z21" s="17" t="e">
        <f>AVERAGE(G774:G823)</f>
        <v>#DIV/0!</v>
      </c>
      <c r="AA21" s="18" t="e">
        <f>AVERAGE(H774:H823)</f>
        <v>#DIV/0!</v>
      </c>
      <c r="AB21" s="6" t="e">
        <f t="shared" si="1"/>
        <v>#DIV/0!</v>
      </c>
      <c r="AC21" s="6" t="e">
        <f t="shared" si="23"/>
        <v>#DIV/0!</v>
      </c>
      <c r="AD21" s="6" t="e">
        <f t="shared" si="2"/>
        <v>#DIV/0!</v>
      </c>
      <c r="AE21" s="6" t="e">
        <f t="shared" si="24"/>
        <v>#DIV/0!</v>
      </c>
      <c r="AF21" s="19"/>
      <c r="AG21" s="19"/>
      <c r="AH21" s="6" t="e">
        <f t="shared" si="3"/>
        <v>#DIV/0!</v>
      </c>
      <c r="AI21" s="6" t="e">
        <f t="shared" si="4"/>
        <v>#DIV/0!</v>
      </c>
      <c r="AJ21" s="6" t="e">
        <f t="shared" si="5"/>
        <v>#DIV/0!</v>
      </c>
      <c r="AK21" s="6" t="e">
        <f t="shared" si="6"/>
        <v>#DIV/0!</v>
      </c>
      <c r="AL21" s="6" t="e">
        <f t="shared" si="7"/>
        <v>#DIV/0!</v>
      </c>
      <c r="AM21" s="6" t="e">
        <f t="shared" si="8"/>
        <v>#DIV/0!</v>
      </c>
      <c r="AN21" s="6" t="e">
        <f t="shared" si="9"/>
        <v>#DIV/0!</v>
      </c>
      <c r="AO21" s="6">
        <f t="shared" si="10"/>
        <v>3.6666666666666667E-2</v>
      </c>
      <c r="AP21" s="6" t="e">
        <f t="shared" si="11"/>
        <v>#DIV/0!</v>
      </c>
      <c r="AQ21" s="6" t="e">
        <f t="shared" si="12"/>
        <v>#DIV/0!</v>
      </c>
      <c r="AR21" s="6" t="e">
        <f t="shared" si="13"/>
        <v>#DIV/0!</v>
      </c>
      <c r="AS21" s="6" t="e">
        <f t="shared" si="14"/>
        <v>#DIV/0!</v>
      </c>
      <c r="AT21" s="6" t="e">
        <f t="shared" si="15"/>
        <v>#DIV/0!</v>
      </c>
      <c r="AU21" s="6" t="e">
        <f t="shared" si="16"/>
        <v>#DIV/0!</v>
      </c>
      <c r="AV21" s="6" t="e">
        <f t="shared" si="17"/>
        <v>#DIV/0!</v>
      </c>
      <c r="AW21" s="6" t="e">
        <f t="shared" si="0"/>
        <v>#DIV/0!</v>
      </c>
      <c r="AX21" s="20" t="e">
        <f t="shared" si="18"/>
        <v>#DIV/0!</v>
      </c>
      <c r="AY21" s="20" t="e">
        <f t="shared" si="19"/>
        <v>#DIV/0!</v>
      </c>
      <c r="AZ21" s="20" t="e">
        <f t="shared" si="20"/>
        <v>#DIV/0!</v>
      </c>
      <c r="BA21" s="1" t="e">
        <f t="shared" si="21"/>
        <v>#DIV/0!</v>
      </c>
      <c r="BB21" s="1" t="e">
        <f t="shared" si="22"/>
        <v>#DIV/0!</v>
      </c>
    </row>
    <row r="22" spans="1:54" x14ac:dyDescent="0.25">
      <c r="O22" s="6">
        <v>18</v>
      </c>
      <c r="P22" s="7" t="e">
        <f>AVERAGE(B824:B873)</f>
        <v>#DIV/0!</v>
      </c>
      <c r="Q22" s="8" t="e">
        <f>STDEV(B824:B873)</f>
        <v>#DIV/0!</v>
      </c>
      <c r="R22" s="9" t="e">
        <f>AVERAGE(C824:C873)</f>
        <v>#DIV/0!</v>
      </c>
      <c r="S22" s="10" t="e">
        <f>STDEV(C824:C873)</f>
        <v>#DIV/0!</v>
      </c>
      <c r="T22" s="11" t="e">
        <f>AVERAGE(D824:D873)</f>
        <v>#DIV/0!</v>
      </c>
      <c r="U22" s="12" t="e">
        <f>STDEV(D824:D873)</f>
        <v>#DIV/0!</v>
      </c>
      <c r="V22" s="13" t="e">
        <f>AVERAGE(E824:E873)</f>
        <v>#DIV/0!</v>
      </c>
      <c r="W22" s="14" t="e">
        <f>STDEV(E824:E873)</f>
        <v>#DIV/0!</v>
      </c>
      <c r="X22" s="15" t="e">
        <f>AVERAGE(F824:F873)</f>
        <v>#DIV/0!</v>
      </c>
      <c r="Y22" s="16" t="e">
        <f>STDEV(F824:F873)</f>
        <v>#DIV/0!</v>
      </c>
      <c r="Z22" s="17" t="e">
        <f>AVERAGE(G824:G873)</f>
        <v>#DIV/0!</v>
      </c>
      <c r="AA22" s="18" t="e">
        <f>AVERAGE(H824:H873)</f>
        <v>#DIV/0!</v>
      </c>
      <c r="AB22" s="6" t="e">
        <f t="shared" si="1"/>
        <v>#DIV/0!</v>
      </c>
      <c r="AC22" s="6" t="e">
        <f t="shared" si="23"/>
        <v>#DIV/0!</v>
      </c>
      <c r="AD22" s="6" t="e">
        <f t="shared" si="2"/>
        <v>#DIV/0!</v>
      </c>
      <c r="AE22" s="6" t="e">
        <f t="shared" si="24"/>
        <v>#DIV/0!</v>
      </c>
      <c r="AF22" s="19"/>
      <c r="AG22" s="19"/>
      <c r="AH22" s="6" t="e">
        <f t="shared" si="3"/>
        <v>#DIV/0!</v>
      </c>
      <c r="AI22" s="6" t="e">
        <f t="shared" si="4"/>
        <v>#DIV/0!</v>
      </c>
      <c r="AJ22" s="6" t="e">
        <f t="shared" si="5"/>
        <v>#DIV/0!</v>
      </c>
      <c r="AK22" s="6" t="e">
        <f t="shared" si="6"/>
        <v>#DIV/0!</v>
      </c>
      <c r="AL22" s="6" t="e">
        <f t="shared" si="7"/>
        <v>#DIV/0!</v>
      </c>
      <c r="AM22" s="6" t="e">
        <f t="shared" si="8"/>
        <v>#DIV/0!</v>
      </c>
      <c r="AN22" s="6" t="e">
        <f t="shared" si="9"/>
        <v>#DIV/0!</v>
      </c>
      <c r="AO22" s="6">
        <f t="shared" si="10"/>
        <v>3.6666666666666667E-2</v>
      </c>
      <c r="AP22" s="6" t="e">
        <f t="shared" si="11"/>
        <v>#DIV/0!</v>
      </c>
      <c r="AQ22" s="6" t="e">
        <f t="shared" si="12"/>
        <v>#DIV/0!</v>
      </c>
      <c r="AR22" s="6" t="e">
        <f t="shared" si="13"/>
        <v>#DIV/0!</v>
      </c>
      <c r="AS22" s="6" t="e">
        <f t="shared" si="14"/>
        <v>#DIV/0!</v>
      </c>
      <c r="AT22" s="6" t="e">
        <f t="shared" si="15"/>
        <v>#DIV/0!</v>
      </c>
      <c r="AU22" s="6" t="e">
        <f t="shared" si="16"/>
        <v>#DIV/0!</v>
      </c>
      <c r="AV22" s="6" t="e">
        <f t="shared" si="17"/>
        <v>#DIV/0!</v>
      </c>
      <c r="AW22" s="6" t="e">
        <f t="shared" si="0"/>
        <v>#DIV/0!</v>
      </c>
      <c r="AX22" s="20" t="e">
        <f t="shared" si="18"/>
        <v>#DIV/0!</v>
      </c>
      <c r="AY22" s="20" t="e">
        <f t="shared" si="19"/>
        <v>#DIV/0!</v>
      </c>
      <c r="AZ22" s="20" t="e">
        <f t="shared" si="20"/>
        <v>#DIV/0!</v>
      </c>
      <c r="BA22" s="1" t="e">
        <f t="shared" si="21"/>
        <v>#DIV/0!</v>
      </c>
      <c r="BB22" s="1" t="e">
        <f t="shared" si="22"/>
        <v>#DIV/0!</v>
      </c>
    </row>
    <row r="23" spans="1:54" x14ac:dyDescent="0.25">
      <c r="A23" s="1" t="s">
        <v>48</v>
      </c>
      <c r="B23" s="1" t="s">
        <v>10</v>
      </c>
      <c r="C23" s="1" t="s">
        <v>14</v>
      </c>
      <c r="D23" s="1" t="s">
        <v>15</v>
      </c>
      <c r="E23" s="1" t="s">
        <v>16</v>
      </c>
      <c r="F23" s="1" t="s">
        <v>49</v>
      </c>
      <c r="G23" s="1" t="s">
        <v>50</v>
      </c>
      <c r="H23" s="1" t="s">
        <v>51</v>
      </c>
      <c r="I23" s="1" t="s">
        <v>52</v>
      </c>
      <c r="J23" s="1" t="s">
        <v>53</v>
      </c>
      <c r="K23" s="1" t="s">
        <v>54</v>
      </c>
      <c r="L23" s="1" t="s">
        <v>55</v>
      </c>
      <c r="O23" s="6">
        <v>19</v>
      </c>
      <c r="P23" s="7" t="e">
        <f>AVERAGE(B874:B923)</f>
        <v>#DIV/0!</v>
      </c>
      <c r="Q23" s="8" t="e">
        <f>STDEV(B874:B923)</f>
        <v>#DIV/0!</v>
      </c>
      <c r="R23" s="9" t="e">
        <f>AVERAGE(C874:C923)</f>
        <v>#DIV/0!</v>
      </c>
      <c r="S23" s="10" t="e">
        <f>STDEV(C874:C923)</f>
        <v>#DIV/0!</v>
      </c>
      <c r="T23" s="11" t="e">
        <f>AVERAGE(D874:D923)</f>
        <v>#DIV/0!</v>
      </c>
      <c r="U23" s="12" t="e">
        <f>STDEV(D874:D923)</f>
        <v>#DIV/0!</v>
      </c>
      <c r="V23" s="13" t="e">
        <f>AVERAGE(E874:E923)</f>
        <v>#DIV/0!</v>
      </c>
      <c r="W23" s="14" t="e">
        <f>STDEV(E874:E923)</f>
        <v>#DIV/0!</v>
      </c>
      <c r="X23" s="15" t="e">
        <f>AVERAGE(F874:F923)</f>
        <v>#DIV/0!</v>
      </c>
      <c r="Y23" s="16" t="e">
        <f>STDEV(F874:F923)</f>
        <v>#DIV/0!</v>
      </c>
      <c r="Z23" s="17" t="e">
        <f>AVERAGE(G874:G923)</f>
        <v>#DIV/0!</v>
      </c>
      <c r="AA23" s="18" t="e">
        <f>AVERAGE(H874:H923)</f>
        <v>#DIV/0!</v>
      </c>
      <c r="AB23" s="6" t="e">
        <f t="shared" si="1"/>
        <v>#DIV/0!</v>
      </c>
      <c r="AC23" s="6" t="e">
        <f t="shared" si="23"/>
        <v>#DIV/0!</v>
      </c>
      <c r="AD23" s="6" t="e">
        <f t="shared" si="2"/>
        <v>#DIV/0!</v>
      </c>
      <c r="AE23" s="6" t="e">
        <f t="shared" si="24"/>
        <v>#DIV/0!</v>
      </c>
      <c r="AF23" s="19"/>
      <c r="AG23" s="19"/>
      <c r="AH23" s="6" t="e">
        <f>AG23-X23</f>
        <v>#DIV/0!</v>
      </c>
      <c r="AI23" s="6" t="e">
        <f>AE23-AG23</f>
        <v>#DIV/0!</v>
      </c>
      <c r="AJ23" s="6" t="e">
        <f t="shared" si="5"/>
        <v>#DIV/0!</v>
      </c>
      <c r="AK23" s="6" t="e">
        <f>(AE23-AG23)+(AG23-5)</f>
        <v>#DIV/0!</v>
      </c>
      <c r="AL23" s="6" t="e">
        <f t="shared" si="7"/>
        <v>#DIV/0!</v>
      </c>
      <c r="AM23" s="6" t="e">
        <f t="shared" si="8"/>
        <v>#DIV/0!</v>
      </c>
      <c r="AN23" s="6" t="e">
        <f t="shared" si="9"/>
        <v>#DIV/0!</v>
      </c>
      <c r="AO23" s="6">
        <f t="shared" si="10"/>
        <v>3.6666666666666667E-2</v>
      </c>
      <c r="AP23" s="6" t="e">
        <f t="shared" si="11"/>
        <v>#DIV/0!</v>
      </c>
      <c r="AQ23" s="6" t="e">
        <f t="shared" si="12"/>
        <v>#DIV/0!</v>
      </c>
      <c r="AR23" s="6" t="e">
        <f t="shared" si="13"/>
        <v>#DIV/0!</v>
      </c>
      <c r="AS23" s="6" t="e">
        <f t="shared" si="14"/>
        <v>#DIV/0!</v>
      </c>
      <c r="AT23" s="6" t="e">
        <f t="shared" si="15"/>
        <v>#DIV/0!</v>
      </c>
      <c r="AU23" s="6" t="e">
        <f t="shared" si="16"/>
        <v>#DIV/0!</v>
      </c>
      <c r="AV23" s="6" t="e">
        <f t="shared" si="17"/>
        <v>#DIV/0!</v>
      </c>
      <c r="AW23" s="6" t="e">
        <f t="shared" si="0"/>
        <v>#DIV/0!</v>
      </c>
      <c r="AX23" s="20" t="e">
        <f t="shared" si="18"/>
        <v>#DIV/0!</v>
      </c>
      <c r="AY23" s="20" t="e">
        <f t="shared" si="19"/>
        <v>#DIV/0!</v>
      </c>
      <c r="AZ23" s="20" t="e">
        <f t="shared" si="20"/>
        <v>#DIV/0!</v>
      </c>
      <c r="BA23" s="1" t="e">
        <f t="shared" si="21"/>
        <v>#DIV/0!</v>
      </c>
      <c r="BB23" s="1" t="e">
        <f t="shared" si="22"/>
        <v>#DIV/0!</v>
      </c>
    </row>
    <row r="24" spans="1:54" customFormat="1" x14ac:dyDescent="0.3">
      <c r="A24">
        <v>22</v>
      </c>
      <c r="B24">
        <v>60.909779</v>
      </c>
      <c r="C24">
        <v>61.769052000000002</v>
      </c>
      <c r="D24">
        <v>62.60004</v>
      </c>
      <c r="E24">
        <v>56.786347999999997</v>
      </c>
      <c r="F24">
        <v>24.300329000000001</v>
      </c>
      <c r="G24">
        <v>19.323004000000001</v>
      </c>
      <c r="H24">
        <v>19.910117</v>
      </c>
      <c r="I24" t="s">
        <v>61</v>
      </c>
      <c r="AG24" s="1"/>
      <c r="AX24" s="20" t="e">
        <f t="shared" si="18"/>
        <v>#DIV/0!</v>
      </c>
      <c r="AY24" s="20" t="e">
        <f t="shared" si="19"/>
        <v>#DIV/0!</v>
      </c>
      <c r="AZ24" s="20" t="e">
        <f t="shared" si="20"/>
        <v>#DIV/0!</v>
      </c>
    </row>
    <row r="25" spans="1:54" customFormat="1" x14ac:dyDescent="0.3">
      <c r="A25">
        <v>22.2</v>
      </c>
      <c r="B25">
        <v>60.909779</v>
      </c>
      <c r="C25">
        <v>61.769052000000002</v>
      </c>
      <c r="D25">
        <v>62.60004</v>
      </c>
      <c r="E25">
        <v>56.786347999999997</v>
      </c>
      <c r="F25">
        <v>24.300329000000001</v>
      </c>
      <c r="G25">
        <v>19.323004000000001</v>
      </c>
      <c r="H25">
        <v>19.910117</v>
      </c>
      <c r="AX25" s="20" t="e">
        <f t="shared" si="18"/>
        <v>#DIV/0!</v>
      </c>
      <c r="AY25" s="20" t="e">
        <f t="shared" si="19"/>
        <v>#DIV/0!</v>
      </c>
      <c r="AZ25" s="20" t="e">
        <f t="shared" si="20"/>
        <v>#DIV/0!</v>
      </c>
    </row>
    <row r="26" spans="1:54" customFormat="1" x14ac:dyDescent="0.3">
      <c r="A26">
        <v>22.4</v>
      </c>
      <c r="B26">
        <v>60.893070999999999</v>
      </c>
      <c r="C26">
        <v>61.760173000000002</v>
      </c>
      <c r="D26">
        <v>62.605739999999997</v>
      </c>
      <c r="E26">
        <v>56.779667000000003</v>
      </c>
      <c r="F26">
        <v>24.305911999999999</v>
      </c>
      <c r="G26">
        <v>19.362679</v>
      </c>
      <c r="H26">
        <v>19.903269999999999</v>
      </c>
      <c r="AF26" s="1"/>
      <c r="AX26" s="20" t="e">
        <f t="shared" si="18"/>
        <v>#DIV/0!</v>
      </c>
      <c r="AY26" s="20" t="e">
        <f t="shared" si="19"/>
        <v>#DIV/0!</v>
      </c>
      <c r="AZ26" s="20" t="e">
        <f t="shared" si="20"/>
        <v>#DIV/0!</v>
      </c>
    </row>
    <row r="27" spans="1:54" customFormat="1" x14ac:dyDescent="0.3">
      <c r="A27">
        <v>22.6</v>
      </c>
      <c r="B27">
        <v>60.893070999999999</v>
      </c>
      <c r="C27">
        <v>61.760173000000002</v>
      </c>
      <c r="D27">
        <v>62.605739999999997</v>
      </c>
      <c r="E27">
        <v>56.779667000000003</v>
      </c>
      <c r="F27">
        <v>24.305911999999999</v>
      </c>
      <c r="G27">
        <v>19.362679</v>
      </c>
      <c r="H27">
        <v>19.903269999999999</v>
      </c>
      <c r="AX27" s="20" t="e">
        <f t="shared" si="18"/>
        <v>#DIV/0!</v>
      </c>
      <c r="AY27" s="20" t="e">
        <f t="shared" si="19"/>
        <v>#DIV/0!</v>
      </c>
      <c r="AZ27" s="20" t="e">
        <f t="shared" si="20"/>
        <v>#DIV/0!</v>
      </c>
    </row>
    <row r="28" spans="1:54" customFormat="1" x14ac:dyDescent="0.3">
      <c r="A28">
        <v>22.8</v>
      </c>
      <c r="B28">
        <v>60.930545000000002</v>
      </c>
      <c r="C28">
        <v>61.761899999999997</v>
      </c>
      <c r="D28">
        <v>62.599277000000001</v>
      </c>
      <c r="E28">
        <v>56.782339</v>
      </c>
      <c r="F28">
        <v>24.332547000000002</v>
      </c>
      <c r="G28">
        <v>19.356608999999999</v>
      </c>
      <c r="H28">
        <v>19.919031</v>
      </c>
      <c r="AX28" s="20" t="e">
        <f t="shared" si="18"/>
        <v>#DIV/0!</v>
      </c>
      <c r="AY28" s="20" t="e">
        <f t="shared" si="19"/>
        <v>#DIV/0!</v>
      </c>
      <c r="AZ28" s="20" t="e">
        <f t="shared" si="20"/>
        <v>#DIV/0!</v>
      </c>
    </row>
    <row r="29" spans="1:54" customFormat="1" x14ac:dyDescent="0.3">
      <c r="A29">
        <v>23</v>
      </c>
      <c r="B29">
        <v>60.930545000000002</v>
      </c>
      <c r="C29">
        <v>61.761899999999997</v>
      </c>
      <c r="D29">
        <v>62.599277000000001</v>
      </c>
      <c r="E29">
        <v>56.782339</v>
      </c>
      <c r="F29">
        <v>24.332547000000002</v>
      </c>
      <c r="G29">
        <v>19.356608999999999</v>
      </c>
      <c r="H29">
        <v>19.919031</v>
      </c>
      <c r="I29" t="s">
        <v>61</v>
      </c>
      <c r="AX29" s="20" t="e">
        <f t="shared" si="18"/>
        <v>#DIV/0!</v>
      </c>
      <c r="AY29" s="20" t="e">
        <f t="shared" si="19"/>
        <v>#DIV/0!</v>
      </c>
      <c r="AZ29" s="20" t="e">
        <f t="shared" si="20"/>
        <v>#DIV/0!</v>
      </c>
    </row>
    <row r="30" spans="1:54" customFormat="1" x14ac:dyDescent="0.3">
      <c r="A30">
        <v>23.2</v>
      </c>
      <c r="B30">
        <v>60.900688000000002</v>
      </c>
      <c r="C30">
        <v>61.781441999999998</v>
      </c>
      <c r="D30">
        <v>62.596476000000003</v>
      </c>
      <c r="E30">
        <v>56.794736</v>
      </c>
      <c r="F30">
        <v>24.406454</v>
      </c>
      <c r="G30">
        <v>19.351963000000001</v>
      </c>
      <c r="H30">
        <v>19.921505</v>
      </c>
      <c r="AX30" s="20" t="e">
        <f t="shared" si="18"/>
        <v>#DIV/0!</v>
      </c>
      <c r="AY30" s="20" t="e">
        <f t="shared" si="19"/>
        <v>#DIV/0!</v>
      </c>
      <c r="AZ30" s="20" t="e">
        <f t="shared" si="20"/>
        <v>#DIV/0!</v>
      </c>
    </row>
    <row r="31" spans="1:54" customFormat="1" x14ac:dyDescent="0.3">
      <c r="A31">
        <v>23.4</v>
      </c>
      <c r="B31">
        <v>60.900688000000002</v>
      </c>
      <c r="C31">
        <v>61.781441999999998</v>
      </c>
      <c r="D31">
        <v>62.596476000000003</v>
      </c>
      <c r="E31">
        <v>56.794736</v>
      </c>
      <c r="F31">
        <v>24.406454</v>
      </c>
      <c r="G31">
        <v>19.351963000000001</v>
      </c>
      <c r="H31">
        <v>19.921505</v>
      </c>
    </row>
    <row r="32" spans="1:54" customFormat="1" x14ac:dyDescent="0.3">
      <c r="A32">
        <v>23.6</v>
      </c>
      <c r="B32">
        <v>60.896687</v>
      </c>
      <c r="C32">
        <v>61.770159999999997</v>
      </c>
      <c r="D32">
        <v>62.620696000000002</v>
      </c>
      <c r="E32">
        <v>56.800403000000003</v>
      </c>
      <c r="F32">
        <v>24.467237999999998</v>
      </c>
      <c r="G32">
        <v>19.348648000000001</v>
      </c>
      <c r="H32">
        <v>19.897787000000001</v>
      </c>
    </row>
    <row r="33" spans="1:9" customFormat="1" x14ac:dyDescent="0.3">
      <c r="A33">
        <v>23.8</v>
      </c>
      <c r="B33">
        <v>60.896687</v>
      </c>
      <c r="C33">
        <v>61.770159999999997</v>
      </c>
      <c r="D33">
        <v>62.620696000000002</v>
      </c>
      <c r="E33">
        <v>56.800403000000003</v>
      </c>
      <c r="F33">
        <v>24.467237999999998</v>
      </c>
      <c r="G33">
        <v>19.348648000000001</v>
      </c>
      <c r="H33">
        <v>19.897787000000001</v>
      </c>
    </row>
    <row r="34" spans="1:9" customFormat="1" x14ac:dyDescent="0.3">
      <c r="A34">
        <v>24</v>
      </c>
      <c r="B34">
        <v>60.905329000000002</v>
      </c>
      <c r="C34">
        <v>61.779218999999998</v>
      </c>
      <c r="D34">
        <v>62.640638000000003</v>
      </c>
      <c r="E34">
        <v>56.785094999999998</v>
      </c>
      <c r="F34">
        <v>24.532955000000001</v>
      </c>
      <c r="G34">
        <v>19.355888</v>
      </c>
      <c r="H34">
        <v>19.906448000000001</v>
      </c>
      <c r="I34" t="s">
        <v>61</v>
      </c>
    </row>
    <row r="35" spans="1:9" customFormat="1" x14ac:dyDescent="0.3">
      <c r="A35">
        <v>24.2</v>
      </c>
      <c r="B35">
        <v>60.905329000000002</v>
      </c>
      <c r="C35">
        <v>61.779218999999998</v>
      </c>
      <c r="D35">
        <v>62.640638000000003</v>
      </c>
      <c r="E35">
        <v>56.785094999999998</v>
      </c>
      <c r="F35">
        <v>24.532955000000001</v>
      </c>
      <c r="G35">
        <v>19.355888</v>
      </c>
      <c r="H35">
        <v>19.906448000000001</v>
      </c>
    </row>
    <row r="36" spans="1:9" customFormat="1" x14ac:dyDescent="0.3">
      <c r="A36">
        <v>24.4</v>
      </c>
      <c r="B36">
        <v>60.892400000000002</v>
      </c>
      <c r="C36">
        <v>61.773190999999997</v>
      </c>
      <c r="D36">
        <v>62.632356000000001</v>
      </c>
      <c r="E36">
        <v>56.789614999999998</v>
      </c>
      <c r="F36">
        <v>24.601492</v>
      </c>
      <c r="G36">
        <v>19.348818000000001</v>
      </c>
      <c r="H36">
        <v>19.90033</v>
      </c>
    </row>
    <row r="37" spans="1:9" customFormat="1" x14ac:dyDescent="0.3">
      <c r="A37">
        <v>24.6</v>
      </c>
      <c r="B37">
        <v>60.892400000000002</v>
      </c>
      <c r="C37">
        <v>61.773190999999997</v>
      </c>
      <c r="D37">
        <v>62.632356000000001</v>
      </c>
      <c r="E37">
        <v>56.789614999999998</v>
      </c>
      <c r="F37">
        <v>24.601492</v>
      </c>
      <c r="G37">
        <v>19.348818000000001</v>
      </c>
      <c r="H37">
        <v>19.90033</v>
      </c>
    </row>
    <row r="38" spans="1:9" customFormat="1" x14ac:dyDescent="0.3">
      <c r="A38">
        <v>24.8</v>
      </c>
      <c r="B38">
        <v>60.913862000000002</v>
      </c>
      <c r="C38">
        <v>61.792276999999999</v>
      </c>
      <c r="D38">
        <v>62.609547999999997</v>
      </c>
      <c r="E38">
        <v>56.800626000000001</v>
      </c>
      <c r="F38">
        <v>24.701627999999999</v>
      </c>
      <c r="G38">
        <v>19.341526999999999</v>
      </c>
      <c r="H38">
        <v>19.921987000000001</v>
      </c>
    </row>
    <row r="39" spans="1:9" customFormat="1" x14ac:dyDescent="0.3">
      <c r="A39">
        <v>25</v>
      </c>
      <c r="B39">
        <v>60.913862000000002</v>
      </c>
      <c r="C39">
        <v>61.792276999999999</v>
      </c>
      <c r="D39">
        <v>62.609547999999997</v>
      </c>
      <c r="E39">
        <v>56.800626000000001</v>
      </c>
      <c r="F39">
        <v>24.701627999999999</v>
      </c>
      <c r="G39">
        <v>19.341526999999999</v>
      </c>
      <c r="H39">
        <v>19.921987000000001</v>
      </c>
      <c r="I39" t="s">
        <v>61</v>
      </c>
    </row>
    <row r="40" spans="1:9" customFormat="1" x14ac:dyDescent="0.3">
      <c r="A40">
        <v>25.2</v>
      </c>
      <c r="B40">
        <v>60.923197999999999</v>
      </c>
      <c r="C40">
        <v>61.791536000000001</v>
      </c>
      <c r="D40">
        <v>62.639274</v>
      </c>
      <c r="E40">
        <v>56.792023</v>
      </c>
      <c r="F40">
        <v>24.818856</v>
      </c>
      <c r="G40">
        <v>19.362466000000001</v>
      </c>
      <c r="H40">
        <v>19.915395</v>
      </c>
    </row>
    <row r="41" spans="1:9" customFormat="1" x14ac:dyDescent="0.3">
      <c r="A41">
        <v>25.4</v>
      </c>
      <c r="B41">
        <v>60.923197999999999</v>
      </c>
      <c r="C41">
        <v>61.791536000000001</v>
      </c>
      <c r="D41">
        <v>62.639274</v>
      </c>
      <c r="E41">
        <v>56.792023</v>
      </c>
      <c r="F41">
        <v>24.818856</v>
      </c>
      <c r="G41">
        <v>19.362466000000001</v>
      </c>
      <c r="H41">
        <v>19.915395</v>
      </c>
    </row>
    <row r="42" spans="1:9" customFormat="1" x14ac:dyDescent="0.3">
      <c r="A42">
        <v>25.6</v>
      </c>
      <c r="B42">
        <v>60.907325</v>
      </c>
      <c r="C42">
        <v>61.790329999999997</v>
      </c>
      <c r="D42">
        <v>62.615791999999999</v>
      </c>
      <c r="E42">
        <v>56.804197000000002</v>
      </c>
      <c r="F42">
        <v>24.968494</v>
      </c>
      <c r="G42">
        <v>19.359313</v>
      </c>
      <c r="H42">
        <v>19.893263000000001</v>
      </c>
    </row>
    <row r="43" spans="1:9" customFormat="1" x14ac:dyDescent="0.3">
      <c r="A43">
        <v>25.8</v>
      </c>
      <c r="B43">
        <v>60.907325</v>
      </c>
      <c r="C43">
        <v>61.790329999999997</v>
      </c>
      <c r="D43">
        <v>62.615791999999999</v>
      </c>
      <c r="E43">
        <v>56.804197000000002</v>
      </c>
      <c r="F43">
        <v>24.968494</v>
      </c>
      <c r="G43">
        <v>19.359313</v>
      </c>
      <c r="H43">
        <v>19.893263000000001</v>
      </c>
    </row>
    <row r="44" spans="1:9" customFormat="1" x14ac:dyDescent="0.3">
      <c r="A44">
        <v>26</v>
      </c>
      <c r="B44">
        <v>60.905540999999999</v>
      </c>
      <c r="C44">
        <v>61.766658</v>
      </c>
      <c r="D44">
        <v>62.649033000000003</v>
      </c>
      <c r="E44">
        <v>56.794085000000003</v>
      </c>
      <c r="F44">
        <v>25.130094</v>
      </c>
      <c r="G44">
        <v>19.357516</v>
      </c>
      <c r="H44">
        <v>19.918039</v>
      </c>
      <c r="I44" t="s">
        <v>61</v>
      </c>
    </row>
    <row r="45" spans="1:9" customFormat="1" x14ac:dyDescent="0.3">
      <c r="A45">
        <v>26.2</v>
      </c>
      <c r="B45">
        <v>60.905540999999999</v>
      </c>
      <c r="C45">
        <v>61.766658</v>
      </c>
      <c r="D45">
        <v>62.649033000000003</v>
      </c>
      <c r="E45">
        <v>56.794085000000003</v>
      </c>
      <c r="F45">
        <v>25.130094</v>
      </c>
      <c r="G45">
        <v>19.357516</v>
      </c>
      <c r="H45">
        <v>19.918039</v>
      </c>
    </row>
    <row r="46" spans="1:9" customFormat="1" x14ac:dyDescent="0.3">
      <c r="A46">
        <v>26.4</v>
      </c>
      <c r="B46">
        <v>60.909067999999998</v>
      </c>
      <c r="C46">
        <v>61.801645000000001</v>
      </c>
      <c r="D46">
        <v>62.638438000000001</v>
      </c>
      <c r="E46">
        <v>56.799950000000003</v>
      </c>
      <c r="F46">
        <v>25.278759999999998</v>
      </c>
      <c r="G46">
        <v>19.361991</v>
      </c>
      <c r="H46">
        <v>19.907803000000001</v>
      </c>
    </row>
    <row r="47" spans="1:9" customFormat="1" x14ac:dyDescent="0.3">
      <c r="A47">
        <v>26.6</v>
      </c>
      <c r="B47">
        <v>60.909067999999998</v>
      </c>
      <c r="C47">
        <v>61.801645000000001</v>
      </c>
      <c r="D47">
        <v>62.638438000000001</v>
      </c>
      <c r="E47">
        <v>56.799950000000003</v>
      </c>
      <c r="F47">
        <v>25.278759999999998</v>
      </c>
      <c r="G47">
        <v>19.361991</v>
      </c>
      <c r="H47">
        <v>19.907803000000001</v>
      </c>
    </row>
    <row r="48" spans="1:9" customFormat="1" x14ac:dyDescent="0.3">
      <c r="A48">
        <v>26.8</v>
      </c>
      <c r="B48">
        <v>60.931111000000001</v>
      </c>
      <c r="C48">
        <v>61.790289999999999</v>
      </c>
      <c r="D48">
        <v>62.647126</v>
      </c>
      <c r="E48">
        <v>56.793070999999998</v>
      </c>
      <c r="F48">
        <v>25.406296999999999</v>
      </c>
      <c r="G48">
        <v>19.335229000000002</v>
      </c>
      <c r="H48">
        <v>19.903355000000001</v>
      </c>
    </row>
    <row r="49" spans="1:9" customFormat="1" x14ac:dyDescent="0.3">
      <c r="A49">
        <v>27</v>
      </c>
      <c r="B49">
        <v>60.931111000000001</v>
      </c>
      <c r="C49">
        <v>61.790289999999999</v>
      </c>
      <c r="D49">
        <v>62.647126</v>
      </c>
      <c r="E49">
        <v>56.793070999999998</v>
      </c>
      <c r="F49">
        <v>25.406296999999999</v>
      </c>
      <c r="G49">
        <v>19.335229000000002</v>
      </c>
      <c r="H49">
        <v>19.903355000000001</v>
      </c>
      <c r="I49" t="s">
        <v>61</v>
      </c>
    </row>
    <row r="50" spans="1:9" customFormat="1" x14ac:dyDescent="0.3">
      <c r="A50">
        <v>27.2</v>
      </c>
      <c r="B50">
        <v>60.929589</v>
      </c>
      <c r="C50">
        <v>61.808846000000003</v>
      </c>
      <c r="D50">
        <v>62.643796000000002</v>
      </c>
      <c r="E50">
        <v>56.794308000000001</v>
      </c>
      <c r="F50">
        <v>25.55724</v>
      </c>
      <c r="G50">
        <v>19.364771999999999</v>
      </c>
      <c r="H50">
        <v>19.904413000000002</v>
      </c>
    </row>
    <row r="51" spans="1:9" customFormat="1" x14ac:dyDescent="0.3">
      <c r="A51">
        <v>27.4</v>
      </c>
      <c r="B51">
        <v>60.929589</v>
      </c>
      <c r="C51">
        <v>61.808846000000003</v>
      </c>
      <c r="D51">
        <v>62.643796000000002</v>
      </c>
      <c r="E51">
        <v>56.794308000000001</v>
      </c>
      <c r="F51">
        <v>25.55724</v>
      </c>
      <c r="G51">
        <v>19.364771999999999</v>
      </c>
      <c r="H51">
        <v>19.904413000000002</v>
      </c>
    </row>
    <row r="52" spans="1:9" customFormat="1" x14ac:dyDescent="0.3">
      <c r="A52">
        <v>27.6</v>
      </c>
      <c r="B52">
        <v>60.934564000000002</v>
      </c>
      <c r="C52">
        <v>61.795552000000001</v>
      </c>
      <c r="D52">
        <v>62.635548</v>
      </c>
      <c r="E52">
        <v>56.779000000000003</v>
      </c>
      <c r="F52">
        <v>25.671004</v>
      </c>
      <c r="G52">
        <v>19.364822</v>
      </c>
      <c r="H52">
        <v>19.898769999999999</v>
      </c>
    </row>
    <row r="53" spans="1:9" customFormat="1" x14ac:dyDescent="0.3">
      <c r="A53">
        <v>27.8</v>
      </c>
      <c r="B53">
        <v>60.934564000000002</v>
      </c>
      <c r="C53">
        <v>61.795552000000001</v>
      </c>
      <c r="D53">
        <v>62.635548</v>
      </c>
      <c r="E53">
        <v>56.779000000000003</v>
      </c>
      <c r="F53">
        <v>25.671004</v>
      </c>
      <c r="G53">
        <v>19.364822</v>
      </c>
      <c r="H53">
        <v>19.898769999999999</v>
      </c>
    </row>
    <row r="54" spans="1:9" customFormat="1" x14ac:dyDescent="0.3">
      <c r="A54">
        <v>28</v>
      </c>
      <c r="B54">
        <v>60.921897999999999</v>
      </c>
      <c r="C54">
        <v>61.808031</v>
      </c>
      <c r="D54">
        <v>62.645713000000001</v>
      </c>
      <c r="E54">
        <v>56.750526999999998</v>
      </c>
      <c r="F54">
        <v>25.746997</v>
      </c>
      <c r="G54">
        <v>19.353301999999999</v>
      </c>
      <c r="H54">
        <v>19.910506000000002</v>
      </c>
      <c r="I54" t="s">
        <v>61</v>
      </c>
    </row>
    <row r="55" spans="1:9" customFormat="1" x14ac:dyDescent="0.3">
      <c r="A55">
        <v>28.2</v>
      </c>
      <c r="B55">
        <v>60.921897999999999</v>
      </c>
      <c r="C55">
        <v>61.808031</v>
      </c>
      <c r="D55">
        <v>62.645713000000001</v>
      </c>
      <c r="E55">
        <v>56.750526999999998</v>
      </c>
      <c r="F55">
        <v>25.746997</v>
      </c>
      <c r="G55">
        <v>19.353301999999999</v>
      </c>
      <c r="H55">
        <v>19.910506000000002</v>
      </c>
    </row>
    <row r="56" spans="1:9" customFormat="1" x14ac:dyDescent="0.3">
      <c r="A56">
        <v>28.4</v>
      </c>
      <c r="B56">
        <v>60.934933000000001</v>
      </c>
      <c r="C56">
        <v>61.795462999999998</v>
      </c>
      <c r="D56">
        <v>62.657283999999997</v>
      </c>
      <c r="E56">
        <v>56.798772</v>
      </c>
      <c r="F56">
        <v>25.74606</v>
      </c>
      <c r="G56">
        <v>19.332913999999999</v>
      </c>
      <c r="H56">
        <v>19.915275999999999</v>
      </c>
    </row>
    <row r="57" spans="1:9" customFormat="1" x14ac:dyDescent="0.3">
      <c r="A57">
        <v>28.6</v>
      </c>
      <c r="B57">
        <v>60.934933000000001</v>
      </c>
      <c r="C57">
        <v>61.795462999999998</v>
      </c>
      <c r="D57">
        <v>62.657283999999997</v>
      </c>
      <c r="E57">
        <v>56.798772</v>
      </c>
      <c r="F57">
        <v>25.74606</v>
      </c>
      <c r="G57">
        <v>19.332913999999999</v>
      </c>
      <c r="H57">
        <v>19.915275999999999</v>
      </c>
    </row>
    <row r="58" spans="1:9" customFormat="1" x14ac:dyDescent="0.3">
      <c r="A58">
        <v>28.8</v>
      </c>
      <c r="B58">
        <v>60.938130999999998</v>
      </c>
      <c r="C58">
        <v>61.794998</v>
      </c>
      <c r="D58">
        <v>62.637269000000003</v>
      </c>
      <c r="E58">
        <v>56.815852999999997</v>
      </c>
      <c r="F58">
        <v>25.747555999999999</v>
      </c>
      <c r="G58">
        <v>19.354327999999999</v>
      </c>
      <c r="H58">
        <v>19.928139000000002</v>
      </c>
    </row>
    <row r="59" spans="1:9" customFormat="1" x14ac:dyDescent="0.3">
      <c r="A59">
        <v>29</v>
      </c>
      <c r="B59">
        <v>60.938130999999998</v>
      </c>
      <c r="C59">
        <v>61.794998</v>
      </c>
      <c r="D59">
        <v>62.637269000000003</v>
      </c>
      <c r="E59">
        <v>56.815852999999997</v>
      </c>
      <c r="F59">
        <v>25.747555999999999</v>
      </c>
      <c r="G59">
        <v>19.354327999999999</v>
      </c>
      <c r="H59">
        <v>19.928139000000002</v>
      </c>
      <c r="I59" t="s">
        <v>61</v>
      </c>
    </row>
    <row r="60" spans="1:9" customFormat="1" x14ac:dyDescent="0.3">
      <c r="A60">
        <v>29.2</v>
      </c>
      <c r="B60">
        <v>60.928975999999999</v>
      </c>
      <c r="C60">
        <v>61.793638999999999</v>
      </c>
      <c r="D60">
        <v>62.617271000000002</v>
      </c>
      <c r="E60">
        <v>56.821404000000001</v>
      </c>
      <c r="F60">
        <v>25.666640999999998</v>
      </c>
      <c r="G60">
        <v>19.370494000000001</v>
      </c>
      <c r="H60">
        <v>19.913454000000002</v>
      </c>
    </row>
    <row r="61" spans="1:9" customFormat="1" x14ac:dyDescent="0.3">
      <c r="A61">
        <v>29.4</v>
      </c>
      <c r="B61">
        <v>60.928975999999999</v>
      </c>
      <c r="C61">
        <v>61.793638999999999</v>
      </c>
      <c r="D61">
        <v>62.617271000000002</v>
      </c>
      <c r="E61">
        <v>56.821404000000001</v>
      </c>
      <c r="F61">
        <v>25.666640999999998</v>
      </c>
      <c r="G61">
        <v>19.370494000000001</v>
      </c>
      <c r="H61">
        <v>19.913454000000002</v>
      </c>
    </row>
    <row r="62" spans="1:9" customFormat="1" x14ac:dyDescent="0.3">
      <c r="A62">
        <v>29.6</v>
      </c>
      <c r="B62">
        <v>60.944121000000003</v>
      </c>
      <c r="C62">
        <v>61.817383999999997</v>
      </c>
      <c r="D62">
        <v>62.668675</v>
      </c>
      <c r="E62">
        <v>56.798333999999997</v>
      </c>
      <c r="F62">
        <v>25.571238999999998</v>
      </c>
      <c r="G62">
        <v>19.361474000000001</v>
      </c>
      <c r="H62">
        <v>19.917725000000001</v>
      </c>
    </row>
    <row r="63" spans="1:9" customFormat="1" x14ac:dyDescent="0.3">
      <c r="A63">
        <v>29.8</v>
      </c>
      <c r="B63">
        <v>60.944121000000003</v>
      </c>
      <c r="C63">
        <v>61.817383999999997</v>
      </c>
      <c r="D63">
        <v>62.668675</v>
      </c>
      <c r="E63">
        <v>56.798333999999997</v>
      </c>
      <c r="F63">
        <v>25.571238999999998</v>
      </c>
      <c r="G63">
        <v>19.361474000000001</v>
      </c>
      <c r="H63">
        <v>19.917725000000001</v>
      </c>
    </row>
    <row r="64" spans="1:9" customFormat="1" x14ac:dyDescent="0.3">
      <c r="A64">
        <v>30</v>
      </c>
      <c r="B64">
        <v>60.949979999999996</v>
      </c>
      <c r="C64">
        <v>61.800407999999997</v>
      </c>
      <c r="D64">
        <v>62.635840000000002</v>
      </c>
      <c r="E64">
        <v>56.817635000000003</v>
      </c>
      <c r="F64">
        <v>25.422543999999998</v>
      </c>
      <c r="G64">
        <v>19.364526000000001</v>
      </c>
      <c r="H64">
        <v>19.907015000000001</v>
      </c>
      <c r="I64" t="s">
        <v>61</v>
      </c>
    </row>
    <row r="65" spans="1:9" customFormat="1" x14ac:dyDescent="0.3">
      <c r="A65">
        <v>30.2</v>
      </c>
      <c r="B65">
        <v>60.949979999999996</v>
      </c>
      <c r="C65">
        <v>61.800407999999997</v>
      </c>
      <c r="D65">
        <v>62.635840000000002</v>
      </c>
      <c r="E65">
        <v>56.817635000000003</v>
      </c>
      <c r="F65">
        <v>25.422543999999998</v>
      </c>
      <c r="G65">
        <v>19.364526000000001</v>
      </c>
      <c r="H65">
        <v>19.907015000000001</v>
      </c>
    </row>
    <row r="66" spans="1:9" customFormat="1" x14ac:dyDescent="0.3">
      <c r="A66">
        <v>30.4</v>
      </c>
      <c r="B66">
        <v>60.932321999999999</v>
      </c>
      <c r="C66">
        <v>61.819322</v>
      </c>
      <c r="D66">
        <v>62.656511999999999</v>
      </c>
      <c r="E66">
        <v>56.806302000000002</v>
      </c>
      <c r="F66">
        <v>25.261244999999999</v>
      </c>
      <c r="G66">
        <v>19.368001</v>
      </c>
      <c r="H66">
        <v>19.904793999999999</v>
      </c>
    </row>
    <row r="67" spans="1:9" customFormat="1" x14ac:dyDescent="0.3">
      <c r="A67">
        <v>30.6</v>
      </c>
      <c r="B67">
        <v>60.932321999999999</v>
      </c>
      <c r="C67">
        <v>61.819322</v>
      </c>
      <c r="D67">
        <v>62.656511999999999</v>
      </c>
      <c r="E67">
        <v>56.806302000000002</v>
      </c>
      <c r="F67">
        <v>25.261244999999999</v>
      </c>
      <c r="G67">
        <v>19.368001</v>
      </c>
      <c r="H67">
        <v>19.904793999999999</v>
      </c>
    </row>
    <row r="68" spans="1:9" customFormat="1" x14ac:dyDescent="0.3">
      <c r="A68">
        <v>30.8</v>
      </c>
      <c r="B68">
        <v>60.945545000000003</v>
      </c>
      <c r="C68">
        <v>61.806485000000002</v>
      </c>
      <c r="D68">
        <v>62.662813</v>
      </c>
      <c r="E68">
        <v>56.821016999999998</v>
      </c>
      <c r="F68">
        <v>25.156063</v>
      </c>
      <c r="G68">
        <v>19.375969999999999</v>
      </c>
      <c r="H68">
        <v>19.91703</v>
      </c>
    </row>
    <row r="69" spans="1:9" customFormat="1" x14ac:dyDescent="0.3">
      <c r="A69">
        <v>31</v>
      </c>
      <c r="B69">
        <v>60.945545000000003</v>
      </c>
      <c r="C69">
        <v>61.806485000000002</v>
      </c>
      <c r="D69">
        <v>62.662813</v>
      </c>
      <c r="E69">
        <v>56.821016999999998</v>
      </c>
      <c r="F69">
        <v>25.156063</v>
      </c>
      <c r="G69">
        <v>19.375969999999999</v>
      </c>
      <c r="H69">
        <v>19.91703</v>
      </c>
      <c r="I69" t="s">
        <v>61</v>
      </c>
    </row>
    <row r="70" spans="1:9" customFormat="1" x14ac:dyDescent="0.3">
      <c r="A70">
        <v>31.2</v>
      </c>
      <c r="B70">
        <v>60.948048999999997</v>
      </c>
      <c r="C70">
        <v>61.802134000000002</v>
      </c>
      <c r="D70">
        <v>62.663933</v>
      </c>
      <c r="E70">
        <v>56.814763999999997</v>
      </c>
      <c r="F70">
        <v>25.029582999999999</v>
      </c>
      <c r="G70">
        <v>19.357278000000001</v>
      </c>
      <c r="H70">
        <v>19.913056000000001</v>
      </c>
    </row>
    <row r="71" spans="1:9" customFormat="1" x14ac:dyDescent="0.3">
      <c r="A71">
        <v>31.4</v>
      </c>
      <c r="B71">
        <v>60.948048999999997</v>
      </c>
      <c r="C71">
        <v>61.802134000000002</v>
      </c>
      <c r="D71">
        <v>62.663933</v>
      </c>
      <c r="E71">
        <v>56.814763999999997</v>
      </c>
      <c r="F71">
        <v>25.029582999999999</v>
      </c>
      <c r="G71">
        <v>19.357278000000001</v>
      </c>
      <c r="H71">
        <v>19.913056000000001</v>
      </c>
    </row>
    <row r="72" spans="1:9" customFormat="1" x14ac:dyDescent="0.3">
      <c r="A72">
        <v>31.6</v>
      </c>
      <c r="B72">
        <v>60.934424999999997</v>
      </c>
      <c r="C72">
        <v>61.825521000000002</v>
      </c>
      <c r="D72">
        <v>62.665419</v>
      </c>
      <c r="E72">
        <v>56.801955</v>
      </c>
      <c r="F72">
        <v>24.931189</v>
      </c>
      <c r="G72">
        <v>19.371950999999999</v>
      </c>
      <c r="H72">
        <v>19.927249</v>
      </c>
    </row>
    <row r="73" spans="1:9" customFormat="1" x14ac:dyDescent="0.3">
      <c r="A73">
        <v>31.8</v>
      </c>
      <c r="B73">
        <v>60.934424999999997</v>
      </c>
      <c r="C73">
        <v>61.825521000000002</v>
      </c>
      <c r="D73">
        <v>62.665419</v>
      </c>
      <c r="E73">
        <v>56.801955</v>
      </c>
      <c r="F73">
        <v>24.931189</v>
      </c>
      <c r="G73">
        <v>19.371950999999999</v>
      </c>
      <c r="H73">
        <v>19.927249</v>
      </c>
    </row>
    <row r="74" spans="1:9" customFormat="1" x14ac:dyDescent="0.3">
      <c r="A74">
        <v>340</v>
      </c>
      <c r="B74">
        <v>72.405824999999993</v>
      </c>
      <c r="C74">
        <v>73.610623000000004</v>
      </c>
      <c r="D74">
        <v>74.844468000000006</v>
      </c>
      <c r="E74">
        <v>66.220186999999996</v>
      </c>
      <c r="F74">
        <v>26.153286000000001</v>
      </c>
      <c r="G74">
        <v>19.447520999999998</v>
      </c>
      <c r="H74">
        <v>20.287908000000002</v>
      </c>
      <c r="I74" t="s">
        <v>61</v>
      </c>
    </row>
    <row r="75" spans="1:9" customFormat="1" x14ac:dyDescent="0.3">
      <c r="A75">
        <v>340.2</v>
      </c>
      <c r="B75">
        <v>72.405824999999993</v>
      </c>
      <c r="C75">
        <v>73.610623000000004</v>
      </c>
      <c r="D75">
        <v>74.844468000000006</v>
      </c>
      <c r="E75">
        <v>66.220186999999996</v>
      </c>
      <c r="F75">
        <v>26.153286000000001</v>
      </c>
      <c r="G75">
        <v>19.447520999999998</v>
      </c>
      <c r="H75">
        <v>20.287908000000002</v>
      </c>
    </row>
    <row r="76" spans="1:9" customFormat="1" x14ac:dyDescent="0.3">
      <c r="A76">
        <v>340.4</v>
      </c>
      <c r="B76">
        <v>72.404577000000003</v>
      </c>
      <c r="C76">
        <v>73.628034999999997</v>
      </c>
      <c r="D76">
        <v>74.850033999999994</v>
      </c>
      <c r="E76">
        <v>66.238258000000002</v>
      </c>
      <c r="F76">
        <v>26.535913999999998</v>
      </c>
      <c r="G76">
        <v>19.452573000000001</v>
      </c>
      <c r="H76">
        <v>20.240776</v>
      </c>
    </row>
    <row r="77" spans="1:9" customFormat="1" x14ac:dyDescent="0.3">
      <c r="A77">
        <v>340.6</v>
      </c>
      <c r="B77">
        <v>72.404577000000003</v>
      </c>
      <c r="C77">
        <v>73.628034999999997</v>
      </c>
      <c r="D77">
        <v>74.850033999999994</v>
      </c>
      <c r="E77">
        <v>66.238258000000002</v>
      </c>
      <c r="F77">
        <v>26.535913999999998</v>
      </c>
      <c r="G77">
        <v>19.452573000000001</v>
      </c>
      <c r="H77">
        <v>20.240776</v>
      </c>
    </row>
    <row r="78" spans="1:9" customFormat="1" x14ac:dyDescent="0.3">
      <c r="A78">
        <v>340.8</v>
      </c>
      <c r="B78">
        <v>72.402503999999993</v>
      </c>
      <c r="C78">
        <v>73.636436000000003</v>
      </c>
      <c r="D78">
        <v>74.863854000000003</v>
      </c>
      <c r="E78">
        <v>66.276206000000002</v>
      </c>
      <c r="F78">
        <v>26.800132000000001</v>
      </c>
      <c r="G78">
        <v>19.453472000000001</v>
      </c>
      <c r="H78">
        <v>20.250212000000001</v>
      </c>
    </row>
    <row r="79" spans="1:9" customFormat="1" x14ac:dyDescent="0.3">
      <c r="A79">
        <v>341</v>
      </c>
      <c r="B79">
        <v>72.402503999999993</v>
      </c>
      <c r="C79">
        <v>73.636436000000003</v>
      </c>
      <c r="D79">
        <v>74.863854000000003</v>
      </c>
      <c r="E79">
        <v>66.276206000000002</v>
      </c>
      <c r="F79">
        <v>26.800132000000001</v>
      </c>
      <c r="G79">
        <v>19.453472000000001</v>
      </c>
      <c r="H79">
        <v>20.250212000000001</v>
      </c>
      <c r="I79" t="s">
        <v>61</v>
      </c>
    </row>
    <row r="80" spans="1:9" customFormat="1" x14ac:dyDescent="0.3">
      <c r="A80">
        <v>341.2</v>
      </c>
      <c r="B80">
        <v>72.436586000000005</v>
      </c>
      <c r="C80">
        <v>73.660820000000001</v>
      </c>
      <c r="D80">
        <v>74.867296999999994</v>
      </c>
      <c r="E80">
        <v>66.281999999999996</v>
      </c>
      <c r="F80">
        <v>26.987318999999999</v>
      </c>
      <c r="G80">
        <v>19.458667999999999</v>
      </c>
      <c r="H80">
        <v>20.242122999999999</v>
      </c>
    </row>
    <row r="81" spans="1:9" customFormat="1" x14ac:dyDescent="0.3">
      <c r="A81">
        <v>341.4</v>
      </c>
      <c r="B81">
        <v>72.436586000000005</v>
      </c>
      <c r="C81">
        <v>73.660820000000001</v>
      </c>
      <c r="D81">
        <v>74.867296999999994</v>
      </c>
      <c r="E81">
        <v>66.281999999999996</v>
      </c>
      <c r="F81">
        <v>26.987318999999999</v>
      </c>
      <c r="G81">
        <v>19.458667999999999</v>
      </c>
      <c r="H81">
        <v>20.242122999999999</v>
      </c>
    </row>
    <row r="82" spans="1:9" customFormat="1" x14ac:dyDescent="0.3">
      <c r="A82">
        <v>341.6</v>
      </c>
      <c r="B82">
        <v>72.444058999999996</v>
      </c>
      <c r="C82">
        <v>73.664167000000006</v>
      </c>
      <c r="D82">
        <v>74.878799999999998</v>
      </c>
      <c r="E82">
        <v>66.288606000000001</v>
      </c>
      <c r="F82">
        <v>27.043869999999998</v>
      </c>
      <c r="G82">
        <v>19.46556</v>
      </c>
      <c r="H82">
        <v>20.243317000000001</v>
      </c>
    </row>
    <row r="83" spans="1:9" customFormat="1" x14ac:dyDescent="0.3">
      <c r="A83">
        <v>341.8</v>
      </c>
      <c r="B83">
        <v>72.444058999999996</v>
      </c>
      <c r="C83">
        <v>73.664167000000006</v>
      </c>
      <c r="D83">
        <v>74.878799999999998</v>
      </c>
      <c r="E83">
        <v>66.288606000000001</v>
      </c>
      <c r="F83">
        <v>27.043869999999998</v>
      </c>
      <c r="G83">
        <v>19.46556</v>
      </c>
      <c r="H83">
        <v>20.243317000000001</v>
      </c>
    </row>
    <row r="84" spans="1:9" customFormat="1" x14ac:dyDescent="0.3">
      <c r="A84">
        <v>342</v>
      </c>
      <c r="B84">
        <v>72.449306000000007</v>
      </c>
      <c r="C84">
        <v>73.665751999999998</v>
      </c>
      <c r="D84">
        <v>74.915766000000005</v>
      </c>
      <c r="E84">
        <v>66.316900000000004</v>
      </c>
      <c r="F84">
        <v>27.027087999999999</v>
      </c>
      <c r="G84">
        <v>19.480809000000001</v>
      </c>
      <c r="H84">
        <v>20.246697000000001</v>
      </c>
      <c r="I84" t="s">
        <v>61</v>
      </c>
    </row>
    <row r="85" spans="1:9" customFormat="1" x14ac:dyDescent="0.3">
      <c r="A85">
        <v>342.2</v>
      </c>
      <c r="B85">
        <v>72.449306000000007</v>
      </c>
      <c r="C85">
        <v>73.665751999999998</v>
      </c>
      <c r="D85">
        <v>74.915766000000005</v>
      </c>
      <c r="E85">
        <v>66.316900000000004</v>
      </c>
      <c r="F85">
        <v>27.027087999999999</v>
      </c>
      <c r="G85">
        <v>19.480809000000001</v>
      </c>
      <c r="H85">
        <v>20.246697000000001</v>
      </c>
    </row>
    <row r="86" spans="1:9" customFormat="1" x14ac:dyDescent="0.3">
      <c r="A86">
        <v>342.4</v>
      </c>
      <c r="B86">
        <v>72.489824999999996</v>
      </c>
      <c r="C86">
        <v>73.668790999999999</v>
      </c>
      <c r="D86">
        <v>74.916072999999997</v>
      </c>
      <c r="E86">
        <v>66.357708000000002</v>
      </c>
      <c r="F86">
        <v>26.975082</v>
      </c>
      <c r="G86">
        <v>19.456091000000001</v>
      </c>
      <c r="H86">
        <v>20.257099</v>
      </c>
    </row>
    <row r="87" spans="1:9" customFormat="1" x14ac:dyDescent="0.3">
      <c r="A87">
        <v>342.6</v>
      </c>
      <c r="B87">
        <v>72.489824999999996</v>
      </c>
      <c r="C87">
        <v>73.668790999999999</v>
      </c>
      <c r="D87">
        <v>74.916072999999997</v>
      </c>
      <c r="E87">
        <v>66.357708000000002</v>
      </c>
      <c r="F87">
        <v>26.975082</v>
      </c>
      <c r="G87">
        <v>19.456091000000001</v>
      </c>
      <c r="H87">
        <v>20.257099</v>
      </c>
    </row>
    <row r="88" spans="1:9" customFormat="1" x14ac:dyDescent="0.3">
      <c r="A88">
        <v>342.8</v>
      </c>
      <c r="B88">
        <v>72.483289999999997</v>
      </c>
      <c r="C88">
        <v>73.700049000000007</v>
      </c>
      <c r="D88">
        <v>74.920473000000001</v>
      </c>
      <c r="E88">
        <v>66.357568999999998</v>
      </c>
      <c r="F88">
        <v>26.917615999999999</v>
      </c>
      <c r="G88">
        <v>19.471561000000001</v>
      </c>
      <c r="H88">
        <v>20.273506999999999</v>
      </c>
    </row>
    <row r="89" spans="1:9" customFormat="1" x14ac:dyDescent="0.3">
      <c r="A89">
        <v>343</v>
      </c>
      <c r="B89">
        <v>72.483289999999997</v>
      </c>
      <c r="C89">
        <v>73.700049000000007</v>
      </c>
      <c r="D89">
        <v>74.920473000000001</v>
      </c>
      <c r="E89">
        <v>66.357568999999998</v>
      </c>
      <c r="F89">
        <v>26.917615999999999</v>
      </c>
      <c r="G89">
        <v>19.471561000000001</v>
      </c>
      <c r="H89">
        <v>20.273506999999999</v>
      </c>
      <c r="I89" t="s">
        <v>61</v>
      </c>
    </row>
    <row r="90" spans="1:9" customFormat="1" x14ac:dyDescent="0.3">
      <c r="A90">
        <v>343.2</v>
      </c>
      <c r="B90">
        <v>72.516857000000002</v>
      </c>
      <c r="C90">
        <v>73.713909000000001</v>
      </c>
      <c r="D90">
        <v>74.933839000000006</v>
      </c>
      <c r="E90">
        <v>66.405180000000001</v>
      </c>
      <c r="F90">
        <v>26.860973000000001</v>
      </c>
      <c r="G90">
        <v>19.464110000000002</v>
      </c>
      <c r="H90">
        <v>20.2746</v>
      </c>
    </row>
    <row r="91" spans="1:9" customFormat="1" x14ac:dyDescent="0.3">
      <c r="A91">
        <v>343.4</v>
      </c>
      <c r="B91">
        <v>72.516857000000002</v>
      </c>
      <c r="C91">
        <v>73.713909000000001</v>
      </c>
      <c r="D91">
        <v>74.933839000000006</v>
      </c>
      <c r="E91">
        <v>66.405180000000001</v>
      </c>
      <c r="F91">
        <v>26.860973000000001</v>
      </c>
      <c r="G91">
        <v>19.464110000000002</v>
      </c>
      <c r="H91">
        <v>20.2746</v>
      </c>
    </row>
    <row r="92" spans="1:9" customFormat="1" x14ac:dyDescent="0.3">
      <c r="A92">
        <v>343.6</v>
      </c>
      <c r="B92">
        <v>72.522537</v>
      </c>
      <c r="C92">
        <v>73.725480000000005</v>
      </c>
      <c r="D92">
        <v>74.949911999999998</v>
      </c>
      <c r="E92">
        <v>66.404916999999998</v>
      </c>
      <c r="F92">
        <v>26.758258000000001</v>
      </c>
      <c r="G92">
        <v>19.470085999999998</v>
      </c>
      <c r="H92">
        <v>20.272507999999998</v>
      </c>
    </row>
    <row r="93" spans="1:9" customFormat="1" x14ac:dyDescent="0.3">
      <c r="A93">
        <v>343.8</v>
      </c>
      <c r="B93">
        <v>72.522537</v>
      </c>
      <c r="C93">
        <v>73.725480000000005</v>
      </c>
      <c r="D93">
        <v>74.949911999999998</v>
      </c>
      <c r="E93">
        <v>66.404916999999998</v>
      </c>
      <c r="F93">
        <v>26.758258000000001</v>
      </c>
      <c r="G93">
        <v>19.470085999999998</v>
      </c>
      <c r="H93">
        <v>20.272507999999998</v>
      </c>
    </row>
    <row r="94" spans="1:9" customFormat="1" x14ac:dyDescent="0.3">
      <c r="A94">
        <v>344</v>
      </c>
      <c r="B94">
        <v>72.537752999999995</v>
      </c>
      <c r="C94">
        <v>73.750642999999997</v>
      </c>
      <c r="D94">
        <v>74.965473000000003</v>
      </c>
      <c r="E94">
        <v>66.416560000000004</v>
      </c>
      <c r="F94">
        <v>26.612690000000001</v>
      </c>
      <c r="G94">
        <v>19.476061999999999</v>
      </c>
      <c r="H94">
        <v>20.262826</v>
      </c>
      <c r="I94" t="s">
        <v>61</v>
      </c>
    </row>
    <row r="95" spans="1:9" customFormat="1" x14ac:dyDescent="0.3">
      <c r="A95">
        <v>344.2</v>
      </c>
      <c r="B95">
        <v>72.537752999999995</v>
      </c>
      <c r="C95">
        <v>73.750642999999997</v>
      </c>
      <c r="D95">
        <v>74.965473000000003</v>
      </c>
      <c r="E95">
        <v>66.416560000000004</v>
      </c>
      <c r="F95">
        <v>26.612690000000001</v>
      </c>
      <c r="G95">
        <v>19.476061999999999</v>
      </c>
      <c r="H95">
        <v>20.262826</v>
      </c>
    </row>
    <row r="96" spans="1:9" customFormat="1" x14ac:dyDescent="0.3">
      <c r="A96">
        <v>344.4</v>
      </c>
      <c r="B96">
        <v>72.544509000000005</v>
      </c>
      <c r="C96">
        <v>73.762375000000006</v>
      </c>
      <c r="D96">
        <v>74.971727000000001</v>
      </c>
      <c r="E96">
        <v>66.414620999999997</v>
      </c>
      <c r="F96">
        <v>26.435876</v>
      </c>
      <c r="G96">
        <v>19.476883999999998</v>
      </c>
      <c r="H96">
        <v>20.245621</v>
      </c>
    </row>
    <row r="97" spans="1:9" customFormat="1" x14ac:dyDescent="0.3">
      <c r="A97">
        <v>344.6</v>
      </c>
      <c r="B97">
        <v>72.544509000000005</v>
      </c>
      <c r="C97">
        <v>73.762375000000006</v>
      </c>
      <c r="D97">
        <v>74.971727000000001</v>
      </c>
      <c r="E97">
        <v>66.414620999999997</v>
      </c>
      <c r="F97">
        <v>26.435876</v>
      </c>
      <c r="G97">
        <v>19.476883999999998</v>
      </c>
      <c r="H97">
        <v>20.245621</v>
      </c>
    </row>
    <row r="98" spans="1:9" customFormat="1" x14ac:dyDescent="0.3">
      <c r="A98">
        <v>344.8</v>
      </c>
      <c r="B98">
        <v>72.573451000000006</v>
      </c>
      <c r="C98">
        <v>73.752521000000002</v>
      </c>
      <c r="D98">
        <v>74.987307000000001</v>
      </c>
      <c r="E98">
        <v>66.418000000000006</v>
      </c>
      <c r="F98">
        <v>26.219090999999999</v>
      </c>
      <c r="G98">
        <v>19.462067000000001</v>
      </c>
      <c r="H98">
        <v>20.257853000000001</v>
      </c>
    </row>
    <row r="99" spans="1:9" customFormat="1" x14ac:dyDescent="0.3">
      <c r="A99">
        <v>345</v>
      </c>
      <c r="B99">
        <v>72.573451000000006</v>
      </c>
      <c r="C99">
        <v>73.752521000000002</v>
      </c>
      <c r="D99">
        <v>74.987307000000001</v>
      </c>
      <c r="E99">
        <v>66.418000000000006</v>
      </c>
      <c r="F99">
        <v>26.219090999999999</v>
      </c>
      <c r="G99">
        <v>19.462067000000001</v>
      </c>
      <c r="H99">
        <v>20.257853000000001</v>
      </c>
      <c r="I99" t="s">
        <v>61</v>
      </c>
    </row>
    <row r="100" spans="1:9" customFormat="1" x14ac:dyDescent="0.3">
      <c r="A100">
        <v>345.2</v>
      </c>
      <c r="B100">
        <v>72.593163000000004</v>
      </c>
      <c r="C100">
        <v>73.779430000000005</v>
      </c>
      <c r="D100">
        <v>75.012321999999998</v>
      </c>
      <c r="E100">
        <v>66.422666000000007</v>
      </c>
      <c r="F100">
        <v>26.089739999999999</v>
      </c>
      <c r="G100">
        <v>19.449919999999999</v>
      </c>
      <c r="H100">
        <v>20.273702</v>
      </c>
    </row>
    <row r="101" spans="1:9" customFormat="1" x14ac:dyDescent="0.3">
      <c r="A101">
        <v>345.4</v>
      </c>
      <c r="B101">
        <v>72.593163000000004</v>
      </c>
      <c r="C101">
        <v>73.779430000000005</v>
      </c>
      <c r="D101">
        <v>75.012321999999998</v>
      </c>
      <c r="E101">
        <v>66.422666000000007</v>
      </c>
      <c r="F101">
        <v>26.089739999999999</v>
      </c>
      <c r="G101">
        <v>19.449919999999999</v>
      </c>
      <c r="H101">
        <v>20.273702</v>
      </c>
    </row>
    <row r="102" spans="1:9" customFormat="1" x14ac:dyDescent="0.3">
      <c r="A102">
        <v>345.6</v>
      </c>
      <c r="B102">
        <v>72.573108000000005</v>
      </c>
      <c r="C102">
        <v>73.772654000000003</v>
      </c>
      <c r="D102">
        <v>75.022351</v>
      </c>
      <c r="E102">
        <v>66.456308000000007</v>
      </c>
      <c r="F102">
        <v>26.046676999999999</v>
      </c>
      <c r="G102">
        <v>19.466813999999999</v>
      </c>
      <c r="H102">
        <v>20.259751000000001</v>
      </c>
    </row>
    <row r="103" spans="1:9" customFormat="1" x14ac:dyDescent="0.3">
      <c r="A103">
        <v>345.8</v>
      </c>
      <c r="B103">
        <v>72.573108000000005</v>
      </c>
      <c r="C103">
        <v>73.772654000000003</v>
      </c>
      <c r="D103">
        <v>75.022351</v>
      </c>
      <c r="E103">
        <v>66.456308000000007</v>
      </c>
      <c r="F103">
        <v>26.046676999999999</v>
      </c>
      <c r="G103">
        <v>19.466813999999999</v>
      </c>
      <c r="H103">
        <v>20.259751000000001</v>
      </c>
    </row>
    <row r="104" spans="1:9" customFormat="1" x14ac:dyDescent="0.3">
      <c r="A104">
        <v>346</v>
      </c>
      <c r="B104">
        <v>72.603289000000004</v>
      </c>
      <c r="C104">
        <v>73.773588000000004</v>
      </c>
      <c r="D104">
        <v>75.006951000000001</v>
      </c>
      <c r="E104">
        <v>66.450810000000004</v>
      </c>
      <c r="F104">
        <v>26.032838000000002</v>
      </c>
      <c r="G104">
        <v>19.465042</v>
      </c>
      <c r="H104">
        <v>20.25798</v>
      </c>
      <c r="I104" t="s">
        <v>61</v>
      </c>
    </row>
    <row r="105" spans="1:9" customFormat="1" x14ac:dyDescent="0.3">
      <c r="A105">
        <v>346.2</v>
      </c>
      <c r="B105">
        <v>72.603289000000004</v>
      </c>
      <c r="C105">
        <v>73.773588000000004</v>
      </c>
      <c r="D105">
        <v>75.006951000000001</v>
      </c>
      <c r="E105">
        <v>66.450810000000004</v>
      </c>
      <c r="F105">
        <v>26.032838000000002</v>
      </c>
      <c r="G105">
        <v>19.465042</v>
      </c>
      <c r="H105">
        <v>20.25798</v>
      </c>
    </row>
    <row r="106" spans="1:9" customFormat="1" x14ac:dyDescent="0.3">
      <c r="A106">
        <v>346.4</v>
      </c>
      <c r="B106">
        <v>72.602300999999997</v>
      </c>
      <c r="C106">
        <v>73.803090999999995</v>
      </c>
      <c r="D106">
        <v>75.036365000000004</v>
      </c>
      <c r="E106">
        <v>66.476966000000004</v>
      </c>
      <c r="F106">
        <v>25.987313</v>
      </c>
      <c r="G106">
        <v>19.471442</v>
      </c>
      <c r="H106">
        <v>20.251093000000001</v>
      </c>
    </row>
    <row r="107" spans="1:9" customFormat="1" x14ac:dyDescent="0.3">
      <c r="A107">
        <v>346.6</v>
      </c>
      <c r="B107">
        <v>72.602300999999997</v>
      </c>
      <c r="C107">
        <v>73.803090999999995</v>
      </c>
      <c r="D107">
        <v>75.036365000000004</v>
      </c>
      <c r="E107">
        <v>66.476966000000004</v>
      </c>
      <c r="F107">
        <v>25.987313</v>
      </c>
      <c r="G107">
        <v>19.471442</v>
      </c>
      <c r="H107">
        <v>20.251093000000001</v>
      </c>
    </row>
    <row r="108" spans="1:9" customFormat="1" x14ac:dyDescent="0.3">
      <c r="A108">
        <v>346.8</v>
      </c>
      <c r="B108">
        <v>72.624926000000002</v>
      </c>
      <c r="C108">
        <v>73.813336000000007</v>
      </c>
      <c r="D108">
        <v>75.042044000000004</v>
      </c>
      <c r="E108">
        <v>66.490088</v>
      </c>
      <c r="F108">
        <v>25.934199</v>
      </c>
      <c r="G108">
        <v>19.466567999999999</v>
      </c>
      <c r="H108">
        <v>20.263300000000001</v>
      </c>
    </row>
    <row r="109" spans="1:9" customFormat="1" x14ac:dyDescent="0.3">
      <c r="A109">
        <v>347</v>
      </c>
      <c r="B109">
        <v>72.624926000000002</v>
      </c>
      <c r="C109">
        <v>73.813336000000007</v>
      </c>
      <c r="D109">
        <v>75.042044000000004</v>
      </c>
      <c r="E109">
        <v>66.490088</v>
      </c>
      <c r="F109">
        <v>25.934199</v>
      </c>
      <c r="G109">
        <v>19.466567999999999</v>
      </c>
      <c r="H109">
        <v>20.263300000000001</v>
      </c>
      <c r="I109" t="s">
        <v>61</v>
      </c>
    </row>
    <row r="110" spans="1:9" customFormat="1" x14ac:dyDescent="0.3">
      <c r="A110">
        <v>347.2</v>
      </c>
      <c r="B110">
        <v>72.633150999999998</v>
      </c>
      <c r="C110">
        <v>73.827895999999996</v>
      </c>
      <c r="D110">
        <v>75.057468</v>
      </c>
      <c r="E110">
        <v>66.502052000000006</v>
      </c>
      <c r="F110">
        <v>25.953493000000002</v>
      </c>
      <c r="G110">
        <v>19.478460999999999</v>
      </c>
      <c r="H110">
        <v>20.277082</v>
      </c>
    </row>
    <row r="111" spans="1:9" customFormat="1" x14ac:dyDescent="0.3">
      <c r="A111">
        <v>347.4</v>
      </c>
      <c r="B111">
        <v>72.633150999999998</v>
      </c>
      <c r="C111">
        <v>73.827895999999996</v>
      </c>
      <c r="D111">
        <v>75.057468</v>
      </c>
      <c r="E111">
        <v>66.502052000000006</v>
      </c>
      <c r="F111">
        <v>25.953493000000002</v>
      </c>
      <c r="G111">
        <v>19.478460999999999</v>
      </c>
      <c r="H111">
        <v>20.277082</v>
      </c>
    </row>
    <row r="112" spans="1:9" customFormat="1" x14ac:dyDescent="0.3">
      <c r="A112">
        <v>347.6</v>
      </c>
      <c r="B112">
        <v>72.626901000000004</v>
      </c>
      <c r="C112">
        <v>73.846243000000001</v>
      </c>
      <c r="D112">
        <v>75.074399999999997</v>
      </c>
      <c r="E112">
        <v>66.497598999999994</v>
      </c>
      <c r="F112">
        <v>26.020788</v>
      </c>
      <c r="G112">
        <v>19.448419999999999</v>
      </c>
      <c r="H112">
        <v>20.266984999999998</v>
      </c>
    </row>
    <row r="113" spans="1:9" customFormat="1" x14ac:dyDescent="0.3">
      <c r="A113">
        <v>347.8</v>
      </c>
      <c r="B113">
        <v>72.626901000000004</v>
      </c>
      <c r="C113">
        <v>73.846243000000001</v>
      </c>
      <c r="D113">
        <v>75.074399999999997</v>
      </c>
      <c r="E113">
        <v>66.497598999999994</v>
      </c>
      <c r="F113">
        <v>26.020788</v>
      </c>
      <c r="G113">
        <v>19.448419999999999</v>
      </c>
      <c r="H113">
        <v>20.266984999999998</v>
      </c>
    </row>
    <row r="114" spans="1:9" customFormat="1" x14ac:dyDescent="0.3">
      <c r="A114">
        <v>348</v>
      </c>
      <c r="B114">
        <v>72.649861000000001</v>
      </c>
      <c r="C114">
        <v>73.850451000000007</v>
      </c>
      <c r="D114">
        <v>75.066800000000001</v>
      </c>
      <c r="E114">
        <v>66.505536000000006</v>
      </c>
      <c r="F114">
        <v>26.163709000000001</v>
      </c>
      <c r="G114">
        <v>19.470611999999999</v>
      </c>
      <c r="H114">
        <v>20.273033000000002</v>
      </c>
      <c r="I114" t="s">
        <v>61</v>
      </c>
    </row>
    <row r="115" spans="1:9" customFormat="1" x14ac:dyDescent="0.3">
      <c r="A115">
        <v>348.2</v>
      </c>
      <c r="B115">
        <v>72.649861000000001</v>
      </c>
      <c r="C115">
        <v>73.850451000000007</v>
      </c>
      <c r="D115">
        <v>75.066800000000001</v>
      </c>
      <c r="E115">
        <v>66.505536000000006</v>
      </c>
      <c r="F115">
        <v>26.163709000000001</v>
      </c>
      <c r="G115">
        <v>19.470611999999999</v>
      </c>
      <c r="H115">
        <v>20.273033000000002</v>
      </c>
    </row>
    <row r="116" spans="1:9" customFormat="1" x14ac:dyDescent="0.3">
      <c r="A116">
        <v>348.4</v>
      </c>
      <c r="B116">
        <v>72.660034999999993</v>
      </c>
      <c r="C116">
        <v>73.857853000000006</v>
      </c>
      <c r="D116">
        <v>75.085521999999997</v>
      </c>
      <c r="E116">
        <v>66.488173000000003</v>
      </c>
      <c r="F116">
        <v>26.264813</v>
      </c>
      <c r="G116">
        <v>19.480080000000001</v>
      </c>
      <c r="H116">
        <v>20.251660999999999</v>
      </c>
    </row>
    <row r="117" spans="1:9" customFormat="1" x14ac:dyDescent="0.3">
      <c r="A117">
        <v>348.6</v>
      </c>
      <c r="B117">
        <v>72.660034999999993</v>
      </c>
      <c r="C117">
        <v>73.857853000000006</v>
      </c>
      <c r="D117">
        <v>75.085521999999997</v>
      </c>
      <c r="E117">
        <v>66.488173000000003</v>
      </c>
      <c r="F117">
        <v>26.264813</v>
      </c>
      <c r="G117">
        <v>19.480080000000001</v>
      </c>
      <c r="H117">
        <v>20.251660999999999</v>
      </c>
    </row>
    <row r="118" spans="1:9" customFormat="1" x14ac:dyDescent="0.3">
      <c r="A118">
        <v>348.8</v>
      </c>
      <c r="B118">
        <v>72.644019</v>
      </c>
      <c r="C118">
        <v>73.856917999999993</v>
      </c>
      <c r="D118">
        <v>75.093663000000006</v>
      </c>
      <c r="E118">
        <v>66.493669999999995</v>
      </c>
      <c r="F118">
        <v>26.315837999999999</v>
      </c>
      <c r="G118">
        <v>19.463923000000001</v>
      </c>
      <c r="H118">
        <v>20.251643999999999</v>
      </c>
    </row>
    <row r="119" spans="1:9" customFormat="1" x14ac:dyDescent="0.3">
      <c r="A119">
        <v>349</v>
      </c>
      <c r="B119">
        <v>72.644019</v>
      </c>
      <c r="C119">
        <v>73.856917999999993</v>
      </c>
      <c r="D119">
        <v>75.093663000000006</v>
      </c>
      <c r="E119">
        <v>66.493669999999995</v>
      </c>
      <c r="F119">
        <v>26.315837999999999</v>
      </c>
      <c r="G119">
        <v>19.463923000000001</v>
      </c>
      <c r="H119">
        <v>20.251643999999999</v>
      </c>
      <c r="I119" t="s">
        <v>61</v>
      </c>
    </row>
    <row r="120" spans="1:9" customFormat="1" x14ac:dyDescent="0.3">
      <c r="A120">
        <v>349.2</v>
      </c>
      <c r="B120">
        <v>72.661888000000005</v>
      </c>
      <c r="C120">
        <v>73.897917000000007</v>
      </c>
      <c r="D120">
        <v>75.090990000000005</v>
      </c>
      <c r="E120">
        <v>66.497861</v>
      </c>
      <c r="F120">
        <v>26.315932</v>
      </c>
      <c r="G120">
        <v>19.461642999999999</v>
      </c>
      <c r="H120">
        <v>20.269289000000001</v>
      </c>
    </row>
    <row r="121" spans="1:9" customFormat="1" x14ac:dyDescent="0.3">
      <c r="A121">
        <v>349.4</v>
      </c>
      <c r="B121">
        <v>72.661888000000005</v>
      </c>
      <c r="C121">
        <v>73.897917000000007</v>
      </c>
      <c r="D121">
        <v>75.090990000000005</v>
      </c>
      <c r="E121">
        <v>66.497861</v>
      </c>
      <c r="F121">
        <v>26.315932</v>
      </c>
      <c r="G121">
        <v>19.461642999999999</v>
      </c>
      <c r="H121">
        <v>20.269289000000001</v>
      </c>
    </row>
    <row r="122" spans="1:9" customFormat="1" x14ac:dyDescent="0.3">
      <c r="A122">
        <v>349.6</v>
      </c>
      <c r="B122">
        <v>72.675334000000007</v>
      </c>
      <c r="C122">
        <v>73.868538000000001</v>
      </c>
      <c r="D122">
        <v>75.119765000000001</v>
      </c>
      <c r="E122">
        <v>66.502200000000002</v>
      </c>
      <c r="F122">
        <v>26.287393000000002</v>
      </c>
      <c r="G122">
        <v>19.46294</v>
      </c>
      <c r="H122">
        <v>20.274380000000001</v>
      </c>
    </row>
    <row r="123" spans="1:9" customFormat="1" x14ac:dyDescent="0.3">
      <c r="A123">
        <v>349.8</v>
      </c>
      <c r="B123">
        <v>72.675334000000007</v>
      </c>
      <c r="C123">
        <v>73.868538000000001</v>
      </c>
      <c r="D123">
        <v>75.119765000000001</v>
      </c>
      <c r="E123">
        <v>66.502200000000002</v>
      </c>
      <c r="F123">
        <v>26.287393000000002</v>
      </c>
      <c r="G123">
        <v>19.46294</v>
      </c>
      <c r="H123">
        <v>20.274380000000001</v>
      </c>
    </row>
    <row r="124" spans="1:9" customFormat="1" x14ac:dyDescent="0.3">
      <c r="A124">
        <v>652</v>
      </c>
      <c r="B124">
        <v>82.689170000000004</v>
      </c>
      <c r="C124">
        <v>84.607934999999998</v>
      </c>
      <c r="D124">
        <v>86.519816000000006</v>
      </c>
      <c r="E124">
        <v>72.460149000000001</v>
      </c>
      <c r="F124">
        <v>29.696031000000001</v>
      </c>
      <c r="G124">
        <v>19.581064000000001</v>
      </c>
      <c r="H124">
        <v>20.857161999999999</v>
      </c>
      <c r="I124" t="s">
        <v>61</v>
      </c>
    </row>
    <row r="125" spans="1:9" customFormat="1" x14ac:dyDescent="0.3">
      <c r="A125">
        <v>652.20000000000005</v>
      </c>
      <c r="B125">
        <v>82.689170000000004</v>
      </c>
      <c r="C125">
        <v>84.607934999999998</v>
      </c>
      <c r="D125">
        <v>86.519816000000006</v>
      </c>
      <c r="E125">
        <v>72.460149000000001</v>
      </c>
      <c r="F125">
        <v>29.696031000000001</v>
      </c>
      <c r="G125">
        <v>19.581064000000001</v>
      </c>
      <c r="H125">
        <v>20.857161999999999</v>
      </c>
    </row>
    <row r="126" spans="1:9" customFormat="1" x14ac:dyDescent="0.3">
      <c r="A126">
        <v>652.4</v>
      </c>
      <c r="B126">
        <v>82.709742000000006</v>
      </c>
      <c r="C126">
        <v>84.613855999999998</v>
      </c>
      <c r="D126">
        <v>86.547528999999997</v>
      </c>
      <c r="E126">
        <v>70.919612999999998</v>
      </c>
      <c r="F126">
        <v>29.606718000000001</v>
      </c>
      <c r="G126">
        <v>19.590056000000001</v>
      </c>
      <c r="H126">
        <v>20.88748</v>
      </c>
    </row>
    <row r="127" spans="1:9" customFormat="1" x14ac:dyDescent="0.3">
      <c r="A127">
        <v>652.6</v>
      </c>
      <c r="B127">
        <v>82.709742000000006</v>
      </c>
      <c r="C127">
        <v>84.613855999999998</v>
      </c>
      <c r="D127">
        <v>86.547528999999997</v>
      </c>
      <c r="E127">
        <v>70.919612999999998</v>
      </c>
      <c r="F127">
        <v>29.606718000000001</v>
      </c>
      <c r="G127">
        <v>19.590056000000001</v>
      </c>
      <c r="H127">
        <v>20.88748</v>
      </c>
    </row>
    <row r="128" spans="1:9" customFormat="1" x14ac:dyDescent="0.3">
      <c r="A128">
        <v>652.79999999999995</v>
      </c>
      <c r="B128">
        <v>82.507785999999996</v>
      </c>
      <c r="C128">
        <v>84.572053999999994</v>
      </c>
      <c r="D128">
        <v>86.533996999999999</v>
      </c>
      <c r="E128">
        <v>70.438779999999994</v>
      </c>
      <c r="F128">
        <v>29.531199999999998</v>
      </c>
      <c r="G128">
        <v>19.574248999999998</v>
      </c>
      <c r="H128">
        <v>20.892551000000001</v>
      </c>
    </row>
    <row r="129" spans="1:9" customFormat="1" x14ac:dyDescent="0.3">
      <c r="A129">
        <v>653</v>
      </c>
      <c r="B129">
        <v>82.507785999999996</v>
      </c>
      <c r="C129">
        <v>84.572053999999994</v>
      </c>
      <c r="D129">
        <v>86.533996999999999</v>
      </c>
      <c r="E129">
        <v>70.438779999999994</v>
      </c>
      <c r="F129">
        <v>29.531199999999998</v>
      </c>
      <c r="G129">
        <v>19.574248999999998</v>
      </c>
      <c r="H129">
        <v>20.892551000000001</v>
      </c>
      <c r="I129" t="s">
        <v>61</v>
      </c>
    </row>
    <row r="130" spans="1:9" customFormat="1" x14ac:dyDescent="0.3">
      <c r="A130">
        <v>653.20000000000005</v>
      </c>
      <c r="B130">
        <v>82.300465000000003</v>
      </c>
      <c r="C130">
        <v>84.487555999999998</v>
      </c>
      <c r="D130">
        <v>86.508765999999994</v>
      </c>
      <c r="E130">
        <v>70.877626000000006</v>
      </c>
      <c r="F130">
        <v>29.485008000000001</v>
      </c>
      <c r="G130">
        <v>19.584115000000001</v>
      </c>
      <c r="H130">
        <v>20.915680999999999</v>
      </c>
    </row>
    <row r="131" spans="1:9" customFormat="1" x14ac:dyDescent="0.3">
      <c r="A131">
        <v>653.4</v>
      </c>
      <c r="B131">
        <v>82.300465000000003</v>
      </c>
      <c r="C131">
        <v>84.487555999999998</v>
      </c>
      <c r="D131">
        <v>86.508765999999994</v>
      </c>
      <c r="E131">
        <v>70.877626000000006</v>
      </c>
      <c r="F131">
        <v>29.485008000000001</v>
      </c>
      <c r="G131">
        <v>19.584115000000001</v>
      </c>
      <c r="H131">
        <v>20.915680999999999</v>
      </c>
    </row>
    <row r="132" spans="1:9" customFormat="1" x14ac:dyDescent="0.3">
      <c r="A132">
        <v>653.6</v>
      </c>
      <c r="B132">
        <v>82.216553000000005</v>
      </c>
      <c r="C132">
        <v>84.413062999999994</v>
      </c>
      <c r="D132">
        <v>86.462620000000001</v>
      </c>
      <c r="E132">
        <v>71.116439999999997</v>
      </c>
      <c r="F132">
        <v>29.512605000000001</v>
      </c>
      <c r="G132">
        <v>19.577698999999999</v>
      </c>
      <c r="H132">
        <v>20.925391999999999</v>
      </c>
    </row>
    <row r="133" spans="1:9" customFormat="1" x14ac:dyDescent="0.3">
      <c r="A133">
        <v>653.79999999999995</v>
      </c>
      <c r="B133">
        <v>82.216553000000005</v>
      </c>
      <c r="C133">
        <v>84.413062999999994</v>
      </c>
      <c r="D133">
        <v>86.462620000000001</v>
      </c>
      <c r="E133">
        <v>71.116439999999997</v>
      </c>
      <c r="F133">
        <v>29.512605000000001</v>
      </c>
      <c r="G133">
        <v>19.577698999999999</v>
      </c>
      <c r="H133">
        <v>20.925391999999999</v>
      </c>
    </row>
    <row r="134" spans="1:9" customFormat="1" x14ac:dyDescent="0.3">
      <c r="A134">
        <v>654</v>
      </c>
      <c r="B134">
        <v>82.223743999999996</v>
      </c>
      <c r="C134">
        <v>84.388347999999993</v>
      </c>
      <c r="D134">
        <v>86.431151</v>
      </c>
      <c r="E134">
        <v>71.150797999999995</v>
      </c>
      <c r="F134">
        <v>29.561496999999999</v>
      </c>
      <c r="G134">
        <v>19.588539000000001</v>
      </c>
      <c r="H134">
        <v>20.939064999999999</v>
      </c>
      <c r="I134" t="s">
        <v>61</v>
      </c>
    </row>
    <row r="135" spans="1:9" customFormat="1" x14ac:dyDescent="0.3">
      <c r="A135">
        <v>654.20000000000005</v>
      </c>
      <c r="B135">
        <v>82.223743999999996</v>
      </c>
      <c r="C135">
        <v>84.388347999999993</v>
      </c>
      <c r="D135">
        <v>86.431151</v>
      </c>
      <c r="E135">
        <v>71.150797999999995</v>
      </c>
      <c r="F135">
        <v>29.561496999999999</v>
      </c>
      <c r="G135">
        <v>19.588539000000001</v>
      </c>
      <c r="H135">
        <v>20.939064999999999</v>
      </c>
    </row>
    <row r="136" spans="1:9" customFormat="1" x14ac:dyDescent="0.3">
      <c r="A136">
        <v>654.4</v>
      </c>
      <c r="B136">
        <v>82.195713999999995</v>
      </c>
      <c r="C136">
        <v>84.363153999999994</v>
      </c>
      <c r="D136">
        <v>86.377396000000005</v>
      </c>
      <c r="E136">
        <v>71.394774999999996</v>
      </c>
      <c r="F136">
        <v>29.623023</v>
      </c>
      <c r="G136">
        <v>19.590039000000001</v>
      </c>
      <c r="H136">
        <v>20.955259999999999</v>
      </c>
    </row>
    <row r="137" spans="1:9" customFormat="1" x14ac:dyDescent="0.3">
      <c r="A137">
        <v>654.6</v>
      </c>
      <c r="B137">
        <v>82.195713999999995</v>
      </c>
      <c r="C137">
        <v>84.363153999999994</v>
      </c>
      <c r="D137">
        <v>86.377396000000005</v>
      </c>
      <c r="E137">
        <v>71.394774999999996</v>
      </c>
      <c r="F137">
        <v>29.623023</v>
      </c>
      <c r="G137">
        <v>19.590039000000001</v>
      </c>
      <c r="H137">
        <v>20.955259999999999</v>
      </c>
    </row>
    <row r="138" spans="1:9" customFormat="1" x14ac:dyDescent="0.3">
      <c r="A138">
        <v>654.79999999999995</v>
      </c>
      <c r="B138">
        <v>82.189387999999994</v>
      </c>
      <c r="C138">
        <v>84.338179999999994</v>
      </c>
      <c r="D138">
        <v>86.366566000000006</v>
      </c>
      <c r="E138">
        <v>71.570926999999998</v>
      </c>
      <c r="F138">
        <v>29.674257999999998</v>
      </c>
      <c r="G138">
        <v>19.588014000000001</v>
      </c>
      <c r="H138">
        <v>20.934747000000002</v>
      </c>
    </row>
    <row r="139" spans="1:9" customFormat="1" x14ac:dyDescent="0.3">
      <c r="A139">
        <v>655</v>
      </c>
      <c r="B139">
        <v>82.189387999999994</v>
      </c>
      <c r="C139">
        <v>84.338179999999994</v>
      </c>
      <c r="D139">
        <v>86.366566000000006</v>
      </c>
      <c r="E139">
        <v>71.570926999999998</v>
      </c>
      <c r="F139">
        <v>29.674257999999998</v>
      </c>
      <c r="G139">
        <v>19.588014000000001</v>
      </c>
      <c r="H139">
        <v>20.934747000000002</v>
      </c>
      <c r="I139" t="s">
        <v>61</v>
      </c>
    </row>
    <row r="140" spans="1:9" customFormat="1" x14ac:dyDescent="0.3">
      <c r="A140">
        <v>655.20000000000005</v>
      </c>
      <c r="B140">
        <v>82.194253000000003</v>
      </c>
      <c r="C140">
        <v>84.300218999999998</v>
      </c>
      <c r="D140">
        <v>86.342326</v>
      </c>
      <c r="E140">
        <v>71.733965999999995</v>
      </c>
      <c r="F140">
        <v>29.743079999999999</v>
      </c>
      <c r="G140">
        <v>19.577275</v>
      </c>
      <c r="H140">
        <v>20.952466000000001</v>
      </c>
    </row>
    <row r="141" spans="1:9" customFormat="1" x14ac:dyDescent="0.3">
      <c r="A141">
        <v>655.4</v>
      </c>
      <c r="B141">
        <v>82.194253000000003</v>
      </c>
      <c r="C141">
        <v>84.300218999999998</v>
      </c>
      <c r="D141">
        <v>86.342326</v>
      </c>
      <c r="E141">
        <v>71.733965999999995</v>
      </c>
      <c r="F141">
        <v>29.743079999999999</v>
      </c>
      <c r="G141">
        <v>19.577275</v>
      </c>
      <c r="H141">
        <v>20.952466000000001</v>
      </c>
    </row>
    <row r="142" spans="1:9" customFormat="1" x14ac:dyDescent="0.3">
      <c r="A142">
        <v>655.6</v>
      </c>
      <c r="B142">
        <v>82.242259000000004</v>
      </c>
      <c r="C142">
        <v>84.299773000000002</v>
      </c>
      <c r="D142">
        <v>86.337338000000003</v>
      </c>
      <c r="E142">
        <v>72.088873000000007</v>
      </c>
      <c r="F142">
        <v>29.769221999999999</v>
      </c>
      <c r="G142">
        <v>19.576546</v>
      </c>
      <c r="H142">
        <v>20.937041000000001</v>
      </c>
    </row>
    <row r="143" spans="1:9" customFormat="1" x14ac:dyDescent="0.3">
      <c r="A143">
        <v>655.8</v>
      </c>
      <c r="B143">
        <v>82.242259000000004</v>
      </c>
      <c r="C143">
        <v>84.299773000000002</v>
      </c>
      <c r="D143">
        <v>86.337338000000003</v>
      </c>
      <c r="E143">
        <v>72.088873000000007</v>
      </c>
      <c r="F143">
        <v>29.769221999999999</v>
      </c>
      <c r="G143">
        <v>19.576546</v>
      </c>
      <c r="H143">
        <v>20.937041000000001</v>
      </c>
    </row>
    <row r="144" spans="1:9" customFormat="1" x14ac:dyDescent="0.3">
      <c r="A144">
        <v>656</v>
      </c>
      <c r="B144">
        <v>82.304923000000002</v>
      </c>
      <c r="C144">
        <v>84.337611999999993</v>
      </c>
      <c r="D144">
        <v>86.340558000000001</v>
      </c>
      <c r="E144">
        <v>72.417596000000003</v>
      </c>
      <c r="F144">
        <v>29.791481000000001</v>
      </c>
      <c r="G144">
        <v>19.565332999999999</v>
      </c>
      <c r="H144">
        <v>20.925840999999998</v>
      </c>
      <c r="I144" t="s">
        <v>61</v>
      </c>
    </row>
    <row r="145" spans="1:9" customFormat="1" x14ac:dyDescent="0.3">
      <c r="A145">
        <v>656.2</v>
      </c>
      <c r="B145">
        <v>82.304923000000002</v>
      </c>
      <c r="C145">
        <v>84.337611999999993</v>
      </c>
      <c r="D145">
        <v>86.340558000000001</v>
      </c>
      <c r="E145">
        <v>72.417596000000003</v>
      </c>
      <c r="F145">
        <v>29.791481000000001</v>
      </c>
      <c r="G145">
        <v>19.565332999999999</v>
      </c>
      <c r="H145">
        <v>20.925840999999998</v>
      </c>
    </row>
    <row r="146" spans="1:9" customFormat="1" x14ac:dyDescent="0.3">
      <c r="A146">
        <v>656.4</v>
      </c>
      <c r="B146">
        <v>82.374183000000002</v>
      </c>
      <c r="C146">
        <v>84.377011999999993</v>
      </c>
      <c r="D146">
        <v>86.324438000000001</v>
      </c>
      <c r="E146">
        <v>72.743288000000007</v>
      </c>
      <c r="F146">
        <v>29.809574999999999</v>
      </c>
      <c r="G146">
        <v>19.575631000000001</v>
      </c>
      <c r="H146">
        <v>20.919059000000001</v>
      </c>
    </row>
    <row r="147" spans="1:9" customFormat="1" x14ac:dyDescent="0.3">
      <c r="A147">
        <v>656.6</v>
      </c>
      <c r="B147">
        <v>82.374183000000002</v>
      </c>
      <c r="C147">
        <v>84.377011999999993</v>
      </c>
      <c r="D147">
        <v>86.324438000000001</v>
      </c>
      <c r="E147">
        <v>72.743288000000007</v>
      </c>
      <c r="F147">
        <v>29.809574999999999</v>
      </c>
      <c r="G147">
        <v>19.575631000000001</v>
      </c>
      <c r="H147">
        <v>20.919059000000001</v>
      </c>
    </row>
    <row r="148" spans="1:9" customFormat="1" x14ac:dyDescent="0.3">
      <c r="A148">
        <v>656.8</v>
      </c>
      <c r="B148">
        <v>82.465534000000005</v>
      </c>
      <c r="C148">
        <v>84.428399999999996</v>
      </c>
      <c r="D148">
        <v>86.372066000000004</v>
      </c>
      <c r="E148">
        <v>73.049353999999994</v>
      </c>
      <c r="F148">
        <v>29.778796</v>
      </c>
      <c r="G148">
        <v>19.591235000000001</v>
      </c>
      <c r="H148">
        <v>20.890553000000001</v>
      </c>
    </row>
    <row r="149" spans="1:9" customFormat="1" x14ac:dyDescent="0.3">
      <c r="A149">
        <v>657</v>
      </c>
      <c r="B149">
        <v>82.465534000000005</v>
      </c>
      <c r="C149">
        <v>84.428399999999996</v>
      </c>
      <c r="D149">
        <v>86.372066000000004</v>
      </c>
      <c r="E149">
        <v>73.049353999999994</v>
      </c>
      <c r="F149">
        <v>29.778796</v>
      </c>
      <c r="G149">
        <v>19.591235000000001</v>
      </c>
      <c r="H149">
        <v>20.890553000000001</v>
      </c>
      <c r="I149" t="s">
        <v>61</v>
      </c>
    </row>
    <row r="150" spans="1:9" customFormat="1" x14ac:dyDescent="0.3">
      <c r="A150">
        <v>657.2</v>
      </c>
      <c r="B150">
        <v>82.557897999999994</v>
      </c>
      <c r="C150">
        <v>84.539091999999997</v>
      </c>
      <c r="D150">
        <v>86.41207</v>
      </c>
      <c r="E150">
        <v>73.295297000000005</v>
      </c>
      <c r="F150">
        <v>29.778908000000001</v>
      </c>
      <c r="G150">
        <v>19.575206999999999</v>
      </c>
      <c r="H150">
        <v>20.905835</v>
      </c>
    </row>
    <row r="151" spans="1:9" customFormat="1" x14ac:dyDescent="0.3">
      <c r="A151">
        <v>657.4</v>
      </c>
      <c r="B151">
        <v>82.557897999999994</v>
      </c>
      <c r="C151">
        <v>84.539091999999997</v>
      </c>
      <c r="D151">
        <v>86.41207</v>
      </c>
      <c r="E151">
        <v>73.295297000000005</v>
      </c>
      <c r="F151">
        <v>29.778908000000001</v>
      </c>
      <c r="G151">
        <v>19.575206999999999</v>
      </c>
      <c r="H151">
        <v>20.905835</v>
      </c>
    </row>
    <row r="152" spans="1:9" customFormat="1" x14ac:dyDescent="0.3">
      <c r="A152">
        <v>657.6</v>
      </c>
      <c r="B152">
        <v>82.693725999999998</v>
      </c>
      <c r="C152">
        <v>84.591980000000007</v>
      </c>
      <c r="D152">
        <v>86.445293000000007</v>
      </c>
      <c r="E152">
        <v>73.508634000000001</v>
      </c>
      <c r="F152">
        <v>29.755337000000001</v>
      </c>
      <c r="G152">
        <v>19.582750000000001</v>
      </c>
      <c r="H152">
        <v>20.901990999999999</v>
      </c>
    </row>
    <row r="153" spans="1:9" customFormat="1" x14ac:dyDescent="0.3">
      <c r="A153">
        <v>657.8</v>
      </c>
      <c r="B153">
        <v>82.693725999999998</v>
      </c>
      <c r="C153">
        <v>84.591980000000007</v>
      </c>
      <c r="D153">
        <v>86.445293000000007</v>
      </c>
      <c r="E153">
        <v>73.508634000000001</v>
      </c>
      <c r="F153">
        <v>29.755337000000001</v>
      </c>
      <c r="G153">
        <v>19.582750000000001</v>
      </c>
      <c r="H153">
        <v>20.901990999999999</v>
      </c>
    </row>
    <row r="154" spans="1:9" customFormat="1" x14ac:dyDescent="0.3">
      <c r="A154">
        <v>658</v>
      </c>
      <c r="B154">
        <v>82.768167000000005</v>
      </c>
      <c r="C154">
        <v>84.666143000000005</v>
      </c>
      <c r="D154">
        <v>86.520182000000005</v>
      </c>
      <c r="E154">
        <v>73.725971999999999</v>
      </c>
      <c r="F154">
        <v>29.726931</v>
      </c>
      <c r="G154">
        <v>19.610669000000001</v>
      </c>
      <c r="H154">
        <v>20.892423999999998</v>
      </c>
      <c r="I154" t="s">
        <v>61</v>
      </c>
    </row>
    <row r="155" spans="1:9" customFormat="1" x14ac:dyDescent="0.3">
      <c r="A155">
        <v>658.2</v>
      </c>
      <c r="B155">
        <v>82.768167000000005</v>
      </c>
      <c r="C155">
        <v>84.666143000000005</v>
      </c>
      <c r="D155">
        <v>86.520182000000005</v>
      </c>
      <c r="E155">
        <v>73.725971999999999</v>
      </c>
      <c r="F155">
        <v>29.726931</v>
      </c>
      <c r="G155">
        <v>19.610669000000001</v>
      </c>
      <c r="H155">
        <v>20.892423999999998</v>
      </c>
    </row>
    <row r="156" spans="1:9" customFormat="1" x14ac:dyDescent="0.3">
      <c r="A156">
        <v>658.4</v>
      </c>
      <c r="B156">
        <v>82.893491999999995</v>
      </c>
      <c r="C156">
        <v>84.760938999999993</v>
      </c>
      <c r="D156">
        <v>86.584305999999998</v>
      </c>
      <c r="E156">
        <v>73.914948999999993</v>
      </c>
      <c r="F156">
        <v>29.663526000000001</v>
      </c>
      <c r="G156">
        <v>19.594964000000001</v>
      </c>
      <c r="H156">
        <v>20.878633000000001</v>
      </c>
    </row>
    <row r="157" spans="1:9" customFormat="1" x14ac:dyDescent="0.3">
      <c r="A157">
        <v>658.6</v>
      </c>
      <c r="B157">
        <v>82.893491999999995</v>
      </c>
      <c r="C157">
        <v>84.760938999999993</v>
      </c>
      <c r="D157">
        <v>86.584305999999998</v>
      </c>
      <c r="E157">
        <v>73.914948999999993</v>
      </c>
      <c r="F157">
        <v>29.663526000000001</v>
      </c>
      <c r="G157">
        <v>19.594964000000001</v>
      </c>
      <c r="H157">
        <v>20.878633000000001</v>
      </c>
    </row>
    <row r="158" spans="1:9" customFormat="1" x14ac:dyDescent="0.3">
      <c r="A158">
        <v>658.8</v>
      </c>
      <c r="B158">
        <v>82.998418000000001</v>
      </c>
      <c r="C158">
        <v>84.837235000000007</v>
      </c>
      <c r="D158">
        <v>86.631791000000007</v>
      </c>
      <c r="E158">
        <v>74.034693000000004</v>
      </c>
      <c r="F158">
        <v>29.614509999999999</v>
      </c>
      <c r="G158">
        <v>19.584945999999999</v>
      </c>
      <c r="H158">
        <v>20.859617</v>
      </c>
    </row>
    <row r="159" spans="1:9" customFormat="1" x14ac:dyDescent="0.3">
      <c r="A159">
        <v>659</v>
      </c>
      <c r="B159">
        <v>82.998418000000001</v>
      </c>
      <c r="C159">
        <v>84.837235000000007</v>
      </c>
      <c r="D159">
        <v>86.631791000000007</v>
      </c>
      <c r="E159">
        <v>74.034693000000004</v>
      </c>
      <c r="F159">
        <v>29.614509999999999</v>
      </c>
      <c r="G159">
        <v>19.584945999999999</v>
      </c>
      <c r="H159">
        <v>20.859617</v>
      </c>
      <c r="I159" t="s">
        <v>61</v>
      </c>
    </row>
    <row r="160" spans="1:9" customFormat="1" x14ac:dyDescent="0.3">
      <c r="A160">
        <v>659.2</v>
      </c>
      <c r="B160">
        <v>83.077640000000002</v>
      </c>
      <c r="C160">
        <v>84.912972999999994</v>
      </c>
      <c r="D160">
        <v>86.730513999999999</v>
      </c>
      <c r="E160">
        <v>73.925432000000001</v>
      </c>
      <c r="F160">
        <v>29.560210999999999</v>
      </c>
      <c r="G160">
        <v>19.586319</v>
      </c>
      <c r="H160">
        <v>20.890384000000001</v>
      </c>
    </row>
    <row r="161" spans="1:9" customFormat="1" x14ac:dyDescent="0.3">
      <c r="A161">
        <v>659.4</v>
      </c>
      <c r="B161">
        <v>83.077640000000002</v>
      </c>
      <c r="C161">
        <v>84.912972999999994</v>
      </c>
      <c r="D161">
        <v>86.730513999999999</v>
      </c>
      <c r="E161">
        <v>73.925432000000001</v>
      </c>
      <c r="F161">
        <v>29.560210999999999</v>
      </c>
      <c r="G161">
        <v>19.586319</v>
      </c>
      <c r="H161">
        <v>20.890384000000001</v>
      </c>
    </row>
    <row r="162" spans="1:9" customFormat="1" x14ac:dyDescent="0.3">
      <c r="A162">
        <v>659.6</v>
      </c>
      <c r="B162">
        <v>83.178087000000005</v>
      </c>
      <c r="C162">
        <v>84.973873999999995</v>
      </c>
      <c r="D162">
        <v>86.784450000000007</v>
      </c>
      <c r="E162">
        <v>71.585080000000005</v>
      </c>
      <c r="F162">
        <v>29.522583999999998</v>
      </c>
      <c r="G162">
        <v>19.593734999999999</v>
      </c>
      <c r="H162">
        <v>20.874085999999998</v>
      </c>
    </row>
    <row r="163" spans="1:9" customFormat="1" x14ac:dyDescent="0.3">
      <c r="A163">
        <v>659.8</v>
      </c>
      <c r="B163">
        <v>83.178087000000005</v>
      </c>
      <c r="C163">
        <v>84.973873999999995</v>
      </c>
      <c r="D163">
        <v>86.784450000000007</v>
      </c>
      <c r="E163">
        <v>71.585080000000005</v>
      </c>
      <c r="F163">
        <v>29.522583999999998</v>
      </c>
      <c r="G163">
        <v>19.593734999999999</v>
      </c>
      <c r="H163">
        <v>20.874085999999998</v>
      </c>
    </row>
    <row r="164" spans="1:9" customFormat="1" x14ac:dyDescent="0.3">
      <c r="A164">
        <v>660</v>
      </c>
      <c r="B164">
        <v>82.983699999999999</v>
      </c>
      <c r="C164">
        <v>84.915030000000002</v>
      </c>
      <c r="D164">
        <v>86.780272999999994</v>
      </c>
      <c r="E164">
        <v>70.267758000000001</v>
      </c>
      <c r="F164">
        <v>29.554252999999999</v>
      </c>
      <c r="G164">
        <v>19.587073</v>
      </c>
      <c r="H164">
        <v>20.895405</v>
      </c>
      <c r="I164" t="s">
        <v>61</v>
      </c>
    </row>
    <row r="165" spans="1:9" customFormat="1" x14ac:dyDescent="0.3">
      <c r="A165">
        <v>660.2</v>
      </c>
      <c r="B165">
        <v>82.983699999999999</v>
      </c>
      <c r="C165">
        <v>84.915030000000002</v>
      </c>
      <c r="D165">
        <v>86.780272999999994</v>
      </c>
      <c r="E165">
        <v>70.267758000000001</v>
      </c>
      <c r="F165">
        <v>29.554252999999999</v>
      </c>
      <c r="G165">
        <v>19.587073</v>
      </c>
      <c r="H165">
        <v>20.895405</v>
      </c>
    </row>
    <row r="166" spans="1:9" customFormat="1" x14ac:dyDescent="0.3">
      <c r="A166">
        <v>660.4</v>
      </c>
      <c r="B166">
        <v>82.659848999999994</v>
      </c>
      <c r="C166">
        <v>84.781395000000003</v>
      </c>
      <c r="D166">
        <v>86.795989000000006</v>
      </c>
      <c r="E166">
        <v>69.922244000000006</v>
      </c>
      <c r="F166">
        <v>29.861881</v>
      </c>
      <c r="G166">
        <v>19.577521000000001</v>
      </c>
      <c r="H166">
        <v>20.892026999999999</v>
      </c>
    </row>
    <row r="167" spans="1:9" customFormat="1" x14ac:dyDescent="0.3">
      <c r="A167">
        <v>660.6</v>
      </c>
      <c r="B167">
        <v>82.659848999999994</v>
      </c>
      <c r="C167">
        <v>84.781395000000003</v>
      </c>
      <c r="D167">
        <v>86.795989000000006</v>
      </c>
      <c r="E167">
        <v>69.922244000000006</v>
      </c>
      <c r="F167">
        <v>29.861881</v>
      </c>
      <c r="G167">
        <v>19.577521000000001</v>
      </c>
      <c r="H167">
        <v>20.892026999999999</v>
      </c>
    </row>
    <row r="168" spans="1:9" customFormat="1" x14ac:dyDescent="0.3">
      <c r="A168">
        <v>660.8</v>
      </c>
      <c r="B168">
        <v>82.435781000000006</v>
      </c>
      <c r="C168">
        <v>84.681122999999999</v>
      </c>
      <c r="D168">
        <v>86.745029000000002</v>
      </c>
      <c r="E168">
        <v>70.231171000000003</v>
      </c>
      <c r="F168">
        <v>30.267264000000001</v>
      </c>
      <c r="G168">
        <v>19.597836999999998</v>
      </c>
      <c r="H168">
        <v>20.882451</v>
      </c>
    </row>
    <row r="169" spans="1:9" customFormat="1" x14ac:dyDescent="0.3">
      <c r="A169">
        <v>661</v>
      </c>
      <c r="B169">
        <v>82.435781000000006</v>
      </c>
      <c r="C169">
        <v>84.681122999999999</v>
      </c>
      <c r="D169">
        <v>86.745029000000002</v>
      </c>
      <c r="E169">
        <v>70.231171000000003</v>
      </c>
      <c r="F169">
        <v>30.267264000000001</v>
      </c>
      <c r="G169">
        <v>19.597836999999998</v>
      </c>
      <c r="H169">
        <v>20.882451</v>
      </c>
      <c r="I169" t="s">
        <v>61</v>
      </c>
    </row>
    <row r="170" spans="1:9" customFormat="1" x14ac:dyDescent="0.3">
      <c r="A170">
        <v>661.2</v>
      </c>
      <c r="B170">
        <v>82.280190000000005</v>
      </c>
      <c r="C170">
        <v>84.578935000000001</v>
      </c>
      <c r="D170">
        <v>86.649445999999998</v>
      </c>
      <c r="E170">
        <v>70.875624000000002</v>
      </c>
      <c r="F170">
        <v>30.148849999999999</v>
      </c>
      <c r="G170">
        <v>19.580369000000001</v>
      </c>
      <c r="H170">
        <v>20.882069999999999</v>
      </c>
    </row>
    <row r="171" spans="1:9" customFormat="1" x14ac:dyDescent="0.3">
      <c r="A171">
        <v>661.4</v>
      </c>
      <c r="B171">
        <v>82.280190000000005</v>
      </c>
      <c r="C171">
        <v>84.578935000000001</v>
      </c>
      <c r="D171">
        <v>86.649445999999998</v>
      </c>
      <c r="E171">
        <v>70.875624000000002</v>
      </c>
      <c r="F171">
        <v>30.148849999999999</v>
      </c>
      <c r="G171">
        <v>19.580369000000001</v>
      </c>
      <c r="H171">
        <v>20.882069999999999</v>
      </c>
    </row>
    <row r="172" spans="1:9" customFormat="1" x14ac:dyDescent="0.3">
      <c r="A172">
        <v>661.6</v>
      </c>
      <c r="B172">
        <v>82.252860999999996</v>
      </c>
      <c r="C172">
        <v>84.522103999999999</v>
      </c>
      <c r="D172">
        <v>86.605473000000003</v>
      </c>
      <c r="E172">
        <v>71.619594000000006</v>
      </c>
      <c r="F172">
        <v>30.217573000000002</v>
      </c>
      <c r="G172">
        <v>19.582377999999999</v>
      </c>
      <c r="H172">
        <v>20.869852999999999</v>
      </c>
    </row>
    <row r="173" spans="1:9" customFormat="1" x14ac:dyDescent="0.3">
      <c r="A173">
        <v>661.8</v>
      </c>
      <c r="B173">
        <v>82.252860999999996</v>
      </c>
      <c r="C173">
        <v>84.522103999999999</v>
      </c>
      <c r="D173">
        <v>86.605473000000003</v>
      </c>
      <c r="E173">
        <v>71.619594000000006</v>
      </c>
      <c r="F173">
        <v>30.217573000000002</v>
      </c>
      <c r="G173">
        <v>19.582377999999999</v>
      </c>
      <c r="H173">
        <v>20.869852999999999</v>
      </c>
    </row>
    <row r="174" spans="1:9" customFormat="1" x14ac:dyDescent="0.3">
      <c r="A174">
        <v>858</v>
      </c>
      <c r="B174">
        <v>90.175059000000005</v>
      </c>
      <c r="C174">
        <v>93.002323000000004</v>
      </c>
      <c r="D174">
        <v>95.669754999999995</v>
      </c>
      <c r="E174">
        <v>75.616844999999998</v>
      </c>
      <c r="F174">
        <v>34.224454000000001</v>
      </c>
      <c r="G174">
        <v>19.604151999999999</v>
      </c>
      <c r="H174">
        <v>21.367516999999999</v>
      </c>
      <c r="I174" t="s">
        <v>61</v>
      </c>
    </row>
    <row r="175" spans="1:9" customFormat="1" x14ac:dyDescent="0.3">
      <c r="A175">
        <v>858.2</v>
      </c>
      <c r="B175">
        <v>90.175059000000005</v>
      </c>
      <c r="C175">
        <v>93.002323000000004</v>
      </c>
      <c r="D175">
        <v>95.669754999999995</v>
      </c>
      <c r="E175">
        <v>75.616844999999998</v>
      </c>
      <c r="F175">
        <v>34.224454000000001</v>
      </c>
      <c r="G175">
        <v>19.604151999999999</v>
      </c>
      <c r="H175">
        <v>21.367516999999999</v>
      </c>
    </row>
    <row r="176" spans="1:9" customFormat="1" x14ac:dyDescent="0.3">
      <c r="A176">
        <v>858.4</v>
      </c>
      <c r="B176">
        <v>90.228905999999995</v>
      </c>
      <c r="C176">
        <v>93.025868000000003</v>
      </c>
      <c r="D176">
        <v>95.714678000000006</v>
      </c>
      <c r="E176">
        <v>74.606868000000006</v>
      </c>
      <c r="F176">
        <v>34.019970999999998</v>
      </c>
      <c r="G176">
        <v>19.590515</v>
      </c>
      <c r="H176">
        <v>21.345844</v>
      </c>
    </row>
    <row r="177" spans="1:9" customFormat="1" x14ac:dyDescent="0.3">
      <c r="A177">
        <v>858.6</v>
      </c>
      <c r="B177">
        <v>90.228905999999995</v>
      </c>
      <c r="C177">
        <v>93.025868000000003</v>
      </c>
      <c r="D177">
        <v>95.714678000000006</v>
      </c>
      <c r="E177">
        <v>74.606868000000006</v>
      </c>
      <c r="F177">
        <v>34.019970999999998</v>
      </c>
      <c r="G177">
        <v>19.590515</v>
      </c>
      <c r="H177">
        <v>21.345844</v>
      </c>
    </row>
    <row r="178" spans="1:9" customFormat="1" x14ac:dyDescent="0.3">
      <c r="A178">
        <v>858.8</v>
      </c>
      <c r="B178">
        <v>90.118292999999994</v>
      </c>
      <c r="C178">
        <v>93.004174000000006</v>
      </c>
      <c r="D178">
        <v>95.699403000000004</v>
      </c>
      <c r="E178">
        <v>74.387849000000003</v>
      </c>
      <c r="F178">
        <v>34.682862999999998</v>
      </c>
      <c r="G178">
        <v>19.61373</v>
      </c>
      <c r="H178">
        <v>21.336323</v>
      </c>
    </row>
    <row r="179" spans="1:9" customFormat="1" x14ac:dyDescent="0.3">
      <c r="A179">
        <v>859</v>
      </c>
      <c r="B179">
        <v>90.118292999999994</v>
      </c>
      <c r="C179">
        <v>93.004174000000006</v>
      </c>
      <c r="D179">
        <v>95.699403000000004</v>
      </c>
      <c r="E179">
        <v>74.387849000000003</v>
      </c>
      <c r="F179">
        <v>34.682862999999998</v>
      </c>
      <c r="G179">
        <v>19.61373</v>
      </c>
      <c r="H179">
        <v>21.336323</v>
      </c>
      <c r="I179" t="s">
        <v>61</v>
      </c>
    </row>
    <row r="180" spans="1:9" customFormat="1" x14ac:dyDescent="0.3">
      <c r="A180">
        <v>859.2</v>
      </c>
      <c r="B180">
        <v>90.021373999999994</v>
      </c>
      <c r="C180">
        <v>92.958689000000007</v>
      </c>
      <c r="D180">
        <v>95.695929000000007</v>
      </c>
      <c r="E180">
        <v>74.547971000000004</v>
      </c>
      <c r="F180">
        <v>35.685070000000003</v>
      </c>
      <c r="G180">
        <v>19.622468000000001</v>
      </c>
      <c r="H180">
        <v>21.302394</v>
      </c>
    </row>
    <row r="181" spans="1:9" customFormat="1" x14ac:dyDescent="0.3">
      <c r="A181">
        <v>859.4</v>
      </c>
      <c r="B181">
        <v>90.021373999999994</v>
      </c>
      <c r="C181">
        <v>92.958689000000007</v>
      </c>
      <c r="D181">
        <v>95.695929000000007</v>
      </c>
      <c r="E181">
        <v>74.547971000000004</v>
      </c>
      <c r="F181">
        <v>35.685070000000003</v>
      </c>
      <c r="G181">
        <v>19.622468000000001</v>
      </c>
      <c r="H181">
        <v>21.302394</v>
      </c>
    </row>
    <row r="182" spans="1:9" customFormat="1" x14ac:dyDescent="0.3">
      <c r="A182">
        <v>859.6</v>
      </c>
      <c r="B182">
        <v>89.959647000000004</v>
      </c>
      <c r="C182">
        <v>92.942807000000002</v>
      </c>
      <c r="D182">
        <v>95.703318999999993</v>
      </c>
      <c r="E182">
        <v>74.835334000000003</v>
      </c>
      <c r="F182">
        <v>36.128909</v>
      </c>
      <c r="G182">
        <v>19.599643</v>
      </c>
      <c r="H182">
        <v>21.318466000000001</v>
      </c>
    </row>
    <row r="183" spans="1:9" customFormat="1" x14ac:dyDescent="0.3">
      <c r="A183">
        <v>859.8</v>
      </c>
      <c r="B183">
        <v>89.959647000000004</v>
      </c>
      <c r="C183">
        <v>92.942807000000002</v>
      </c>
      <c r="D183">
        <v>95.703318999999993</v>
      </c>
      <c r="E183">
        <v>74.835334000000003</v>
      </c>
      <c r="F183">
        <v>36.128909</v>
      </c>
      <c r="G183">
        <v>19.599643</v>
      </c>
      <c r="H183">
        <v>21.318466000000001</v>
      </c>
    </row>
    <row r="184" spans="1:9" customFormat="1" x14ac:dyDescent="0.3">
      <c r="A184">
        <v>860</v>
      </c>
      <c r="B184">
        <v>89.958445999999995</v>
      </c>
      <c r="C184">
        <v>92.932478000000003</v>
      </c>
      <c r="D184">
        <v>95.653357999999997</v>
      </c>
      <c r="E184">
        <v>75.437145999999998</v>
      </c>
      <c r="F184">
        <v>35.610655000000001</v>
      </c>
      <c r="G184">
        <v>19.597847000000002</v>
      </c>
      <c r="H184">
        <v>21.335156000000001</v>
      </c>
      <c r="I184" t="s">
        <v>61</v>
      </c>
    </row>
    <row r="185" spans="1:9" customFormat="1" x14ac:dyDescent="0.3">
      <c r="A185">
        <v>860.2</v>
      </c>
      <c r="B185">
        <v>89.958445999999995</v>
      </c>
      <c r="C185">
        <v>92.932478000000003</v>
      </c>
      <c r="D185">
        <v>95.653357999999997</v>
      </c>
      <c r="E185">
        <v>75.437145999999998</v>
      </c>
      <c r="F185">
        <v>35.610655000000001</v>
      </c>
      <c r="G185">
        <v>19.597847000000002</v>
      </c>
      <c r="H185">
        <v>21.335156000000001</v>
      </c>
    </row>
    <row r="186" spans="1:9" customFormat="1" x14ac:dyDescent="0.3">
      <c r="A186">
        <v>860.4</v>
      </c>
      <c r="B186">
        <v>89.996145999999996</v>
      </c>
      <c r="C186">
        <v>92.956823</v>
      </c>
      <c r="D186">
        <v>95.669455999999997</v>
      </c>
      <c r="E186">
        <v>75.515428</v>
      </c>
      <c r="F186">
        <v>35.037075000000002</v>
      </c>
      <c r="G186">
        <v>19.589251999999998</v>
      </c>
      <c r="H186">
        <v>21.339369999999999</v>
      </c>
    </row>
    <row r="187" spans="1:9" customFormat="1" x14ac:dyDescent="0.3">
      <c r="A187">
        <v>860.6</v>
      </c>
      <c r="B187">
        <v>89.996145999999996</v>
      </c>
      <c r="C187">
        <v>92.956823</v>
      </c>
      <c r="D187">
        <v>95.669455999999997</v>
      </c>
      <c r="E187">
        <v>75.515428</v>
      </c>
      <c r="F187">
        <v>35.037075000000002</v>
      </c>
      <c r="G187">
        <v>19.589251999999998</v>
      </c>
      <c r="H187">
        <v>21.339369999999999</v>
      </c>
    </row>
    <row r="188" spans="1:9" customFormat="1" x14ac:dyDescent="0.3">
      <c r="A188">
        <v>860.8</v>
      </c>
      <c r="B188">
        <v>90.083988000000005</v>
      </c>
      <c r="C188">
        <v>92.970431000000005</v>
      </c>
      <c r="D188">
        <v>95.687596999999997</v>
      </c>
      <c r="E188">
        <v>75.055723999999998</v>
      </c>
      <c r="F188">
        <v>34.668964000000003</v>
      </c>
      <c r="G188">
        <v>19.585684000000001</v>
      </c>
      <c r="H188">
        <v>21.386990999999998</v>
      </c>
    </row>
    <row r="189" spans="1:9" customFormat="1" x14ac:dyDescent="0.3">
      <c r="A189">
        <v>861</v>
      </c>
      <c r="B189">
        <v>90.083988000000005</v>
      </c>
      <c r="C189">
        <v>92.970431000000005</v>
      </c>
      <c r="D189">
        <v>95.687596999999997</v>
      </c>
      <c r="E189">
        <v>75.055723999999998</v>
      </c>
      <c r="F189">
        <v>34.668964000000003</v>
      </c>
      <c r="G189">
        <v>19.585684000000001</v>
      </c>
      <c r="H189">
        <v>21.386990999999998</v>
      </c>
      <c r="I189" t="s">
        <v>61</v>
      </c>
    </row>
    <row r="190" spans="1:9" customFormat="1" x14ac:dyDescent="0.3">
      <c r="A190">
        <v>861.2</v>
      </c>
      <c r="B190">
        <v>90.082776999999993</v>
      </c>
      <c r="C190">
        <v>92.973788999999996</v>
      </c>
      <c r="D190">
        <v>95.668617999999995</v>
      </c>
      <c r="E190">
        <v>74.497446999999994</v>
      </c>
      <c r="F190">
        <v>34.320106000000003</v>
      </c>
      <c r="G190">
        <v>19.596609999999998</v>
      </c>
      <c r="H190">
        <v>21.391739000000001</v>
      </c>
    </row>
    <row r="191" spans="1:9" customFormat="1" x14ac:dyDescent="0.3">
      <c r="A191">
        <v>861.4</v>
      </c>
      <c r="B191">
        <v>90.082776999999993</v>
      </c>
      <c r="C191">
        <v>92.973788999999996</v>
      </c>
      <c r="D191">
        <v>95.668617999999995</v>
      </c>
      <c r="E191">
        <v>74.497446999999994</v>
      </c>
      <c r="F191">
        <v>34.320106000000003</v>
      </c>
      <c r="G191">
        <v>19.596609999999998</v>
      </c>
      <c r="H191">
        <v>21.391739000000001</v>
      </c>
    </row>
    <row r="192" spans="1:9" customFormat="1" x14ac:dyDescent="0.3">
      <c r="A192">
        <v>861.6</v>
      </c>
      <c r="B192">
        <v>89.981925000000004</v>
      </c>
      <c r="C192">
        <v>92.928492000000006</v>
      </c>
      <c r="D192">
        <v>95.657126000000005</v>
      </c>
      <c r="E192">
        <v>74.296951000000007</v>
      </c>
      <c r="F192">
        <v>34.265059999999998</v>
      </c>
      <c r="G192">
        <v>19.623587000000001</v>
      </c>
      <c r="H192">
        <v>21.350905999999998</v>
      </c>
    </row>
    <row r="193" spans="1:9" customFormat="1" x14ac:dyDescent="0.3">
      <c r="A193">
        <v>861.8</v>
      </c>
      <c r="B193">
        <v>89.981925000000004</v>
      </c>
      <c r="C193">
        <v>92.928492000000006</v>
      </c>
      <c r="D193">
        <v>95.657126000000005</v>
      </c>
      <c r="E193">
        <v>74.296951000000007</v>
      </c>
      <c r="F193">
        <v>34.265059999999998</v>
      </c>
      <c r="G193">
        <v>19.623587000000001</v>
      </c>
      <c r="H193">
        <v>21.350905999999998</v>
      </c>
    </row>
    <row r="194" spans="1:9" customFormat="1" x14ac:dyDescent="0.3">
      <c r="A194">
        <v>862</v>
      </c>
      <c r="B194">
        <v>89.904525000000007</v>
      </c>
      <c r="C194">
        <v>92.895157999999995</v>
      </c>
      <c r="D194">
        <v>95.659400000000005</v>
      </c>
      <c r="E194">
        <v>74.745080000000002</v>
      </c>
      <c r="F194">
        <v>34.554195999999997</v>
      </c>
      <c r="G194">
        <v>19.591296</v>
      </c>
      <c r="H194">
        <v>21.37032</v>
      </c>
      <c r="I194" t="s">
        <v>61</v>
      </c>
    </row>
    <row r="195" spans="1:9" customFormat="1" x14ac:dyDescent="0.3">
      <c r="A195">
        <v>862.2</v>
      </c>
      <c r="B195">
        <v>89.904525000000007</v>
      </c>
      <c r="C195">
        <v>92.895157999999995</v>
      </c>
      <c r="D195">
        <v>95.659400000000005</v>
      </c>
      <c r="E195">
        <v>74.745080000000002</v>
      </c>
      <c r="F195">
        <v>34.554195999999997</v>
      </c>
      <c r="G195">
        <v>19.591296</v>
      </c>
      <c r="H195">
        <v>21.37032</v>
      </c>
    </row>
    <row r="196" spans="1:9" customFormat="1" x14ac:dyDescent="0.3">
      <c r="A196">
        <v>862.4</v>
      </c>
      <c r="B196">
        <v>89.896901999999997</v>
      </c>
      <c r="C196">
        <v>92.877058000000005</v>
      </c>
      <c r="D196">
        <v>95.642698999999993</v>
      </c>
      <c r="E196">
        <v>74.616549000000006</v>
      </c>
      <c r="F196">
        <v>35.002718000000002</v>
      </c>
      <c r="G196">
        <v>19.597829999999998</v>
      </c>
      <c r="H196">
        <v>21.366892</v>
      </c>
    </row>
    <row r="197" spans="1:9" customFormat="1" x14ac:dyDescent="0.3">
      <c r="A197">
        <v>862.6</v>
      </c>
      <c r="B197">
        <v>89.896901999999997</v>
      </c>
      <c r="C197">
        <v>92.877058000000005</v>
      </c>
      <c r="D197">
        <v>95.642698999999993</v>
      </c>
      <c r="E197">
        <v>74.616549000000006</v>
      </c>
      <c r="F197">
        <v>35.002718000000002</v>
      </c>
      <c r="G197">
        <v>19.597829999999998</v>
      </c>
      <c r="H197">
        <v>21.366892</v>
      </c>
    </row>
    <row r="198" spans="1:9" customFormat="1" x14ac:dyDescent="0.3">
      <c r="A198">
        <v>862.8</v>
      </c>
      <c r="B198">
        <v>89.878968</v>
      </c>
      <c r="C198">
        <v>92.863744999999994</v>
      </c>
      <c r="D198">
        <v>95.618471</v>
      </c>
      <c r="E198">
        <v>74.526848000000001</v>
      </c>
      <c r="F198">
        <v>35.236936</v>
      </c>
      <c r="G198">
        <v>19.589465000000001</v>
      </c>
      <c r="H198">
        <v>21.374179000000002</v>
      </c>
    </row>
    <row r="199" spans="1:9" customFormat="1" x14ac:dyDescent="0.3">
      <c r="A199">
        <v>863</v>
      </c>
      <c r="B199">
        <v>89.878968</v>
      </c>
      <c r="C199">
        <v>92.863744999999994</v>
      </c>
      <c r="D199">
        <v>95.618471</v>
      </c>
      <c r="E199">
        <v>74.526848000000001</v>
      </c>
      <c r="F199">
        <v>35.236936</v>
      </c>
      <c r="G199">
        <v>19.589465000000001</v>
      </c>
      <c r="H199">
        <v>21.374179000000002</v>
      </c>
      <c r="I199" t="s">
        <v>61</v>
      </c>
    </row>
    <row r="200" spans="1:9" customFormat="1" x14ac:dyDescent="0.3">
      <c r="A200">
        <v>863.2</v>
      </c>
      <c r="B200">
        <v>89.871493000000001</v>
      </c>
      <c r="C200">
        <v>92.855379999999997</v>
      </c>
      <c r="D200">
        <v>95.624249000000006</v>
      </c>
      <c r="E200">
        <v>75.092493000000005</v>
      </c>
      <c r="F200">
        <v>35.289288999999997</v>
      </c>
      <c r="G200">
        <v>19.611594</v>
      </c>
      <c r="H200">
        <v>21.356466000000001</v>
      </c>
    </row>
    <row r="201" spans="1:9" customFormat="1" x14ac:dyDescent="0.3">
      <c r="A201">
        <v>863.4</v>
      </c>
      <c r="B201">
        <v>89.871493000000001</v>
      </c>
      <c r="C201">
        <v>92.855379999999997</v>
      </c>
      <c r="D201">
        <v>95.624249000000006</v>
      </c>
      <c r="E201">
        <v>75.092493000000005</v>
      </c>
      <c r="F201">
        <v>35.289288999999997</v>
      </c>
      <c r="G201">
        <v>19.611594</v>
      </c>
      <c r="H201">
        <v>21.356466000000001</v>
      </c>
    </row>
    <row r="202" spans="1:9" customFormat="1" x14ac:dyDescent="0.3">
      <c r="A202">
        <v>863.6</v>
      </c>
      <c r="B202">
        <v>89.908917000000002</v>
      </c>
      <c r="C202">
        <v>92.897254000000004</v>
      </c>
      <c r="D202">
        <v>95.599967000000007</v>
      </c>
      <c r="E202">
        <v>75.944489000000004</v>
      </c>
      <c r="F202">
        <v>35.217883</v>
      </c>
      <c r="G202">
        <v>19.596634999999999</v>
      </c>
      <c r="H202">
        <v>21.365224999999999</v>
      </c>
    </row>
    <row r="203" spans="1:9" customFormat="1" x14ac:dyDescent="0.3">
      <c r="A203">
        <v>863.8</v>
      </c>
      <c r="B203">
        <v>89.908917000000002</v>
      </c>
      <c r="C203">
        <v>92.897254000000004</v>
      </c>
      <c r="D203">
        <v>95.599967000000007</v>
      </c>
      <c r="E203">
        <v>75.944489000000004</v>
      </c>
      <c r="F203">
        <v>35.217883</v>
      </c>
      <c r="G203">
        <v>19.596634999999999</v>
      </c>
      <c r="H203">
        <v>21.365224999999999</v>
      </c>
    </row>
    <row r="204" spans="1:9" customFormat="1" x14ac:dyDescent="0.3">
      <c r="A204">
        <v>864</v>
      </c>
      <c r="B204">
        <v>90.035650000000004</v>
      </c>
      <c r="C204">
        <v>92.941873999999999</v>
      </c>
      <c r="D204">
        <v>95.620808999999994</v>
      </c>
      <c r="E204">
        <v>76.836934999999997</v>
      </c>
      <c r="F204">
        <v>35.135641999999997</v>
      </c>
      <c r="G204">
        <v>19.606984000000001</v>
      </c>
      <c r="H204">
        <v>21.349492999999999</v>
      </c>
      <c r="I204" t="s">
        <v>61</v>
      </c>
    </row>
    <row r="205" spans="1:9" customFormat="1" x14ac:dyDescent="0.3">
      <c r="A205">
        <v>864.2</v>
      </c>
      <c r="B205">
        <v>90.035650000000004</v>
      </c>
      <c r="C205">
        <v>92.941873999999999</v>
      </c>
      <c r="D205">
        <v>95.620808999999994</v>
      </c>
      <c r="E205">
        <v>76.836934999999997</v>
      </c>
      <c r="F205">
        <v>35.135641999999997</v>
      </c>
      <c r="G205">
        <v>19.606984000000001</v>
      </c>
      <c r="H205">
        <v>21.349492999999999</v>
      </c>
    </row>
    <row r="206" spans="1:9" customFormat="1" x14ac:dyDescent="0.3">
      <c r="A206">
        <v>864.4</v>
      </c>
      <c r="B206">
        <v>90.210452000000004</v>
      </c>
      <c r="C206">
        <v>93.046280999999993</v>
      </c>
      <c r="D206">
        <v>95.665323999999998</v>
      </c>
      <c r="E206">
        <v>77.364429999999999</v>
      </c>
      <c r="F206">
        <v>35.049163</v>
      </c>
      <c r="G206">
        <v>19.585599999999999</v>
      </c>
      <c r="H206">
        <v>21.353732999999998</v>
      </c>
    </row>
    <row r="207" spans="1:9" customFormat="1" x14ac:dyDescent="0.3">
      <c r="A207">
        <v>864.6</v>
      </c>
      <c r="B207">
        <v>90.210452000000004</v>
      </c>
      <c r="C207">
        <v>93.046280999999993</v>
      </c>
      <c r="D207">
        <v>95.665323999999998</v>
      </c>
      <c r="E207">
        <v>77.364429999999999</v>
      </c>
      <c r="F207">
        <v>35.049163</v>
      </c>
      <c r="G207">
        <v>19.585599999999999</v>
      </c>
      <c r="H207">
        <v>21.353732999999998</v>
      </c>
    </row>
    <row r="208" spans="1:9" customFormat="1" x14ac:dyDescent="0.3">
      <c r="A208">
        <v>864.8</v>
      </c>
      <c r="B208">
        <v>90.450226000000001</v>
      </c>
      <c r="C208">
        <v>93.139655000000005</v>
      </c>
      <c r="D208">
        <v>95.737108000000006</v>
      </c>
      <c r="E208">
        <v>75.472426999999996</v>
      </c>
      <c r="F208">
        <v>35.121893</v>
      </c>
      <c r="G208">
        <v>19.596170000000001</v>
      </c>
      <c r="H208">
        <v>21.369026000000002</v>
      </c>
    </row>
    <row r="209" spans="1:9" customFormat="1" x14ac:dyDescent="0.3">
      <c r="A209">
        <v>865</v>
      </c>
      <c r="B209">
        <v>90.450226000000001</v>
      </c>
      <c r="C209">
        <v>93.139655000000005</v>
      </c>
      <c r="D209">
        <v>95.737108000000006</v>
      </c>
      <c r="E209">
        <v>75.472426999999996</v>
      </c>
      <c r="F209">
        <v>35.121893</v>
      </c>
      <c r="G209">
        <v>19.596170000000001</v>
      </c>
      <c r="H209">
        <v>21.369026000000002</v>
      </c>
      <c r="I209" t="s">
        <v>61</v>
      </c>
    </row>
    <row r="210" spans="1:9" customFormat="1" x14ac:dyDescent="0.3">
      <c r="A210">
        <v>865.2</v>
      </c>
      <c r="B210">
        <v>90.406786999999994</v>
      </c>
      <c r="C210">
        <v>93.162558000000004</v>
      </c>
      <c r="D210">
        <v>95.787315000000007</v>
      </c>
      <c r="E210">
        <v>74.532121000000004</v>
      </c>
      <c r="F210">
        <v>35.100876999999997</v>
      </c>
      <c r="G210">
        <v>19.596170000000001</v>
      </c>
      <c r="H210">
        <v>21.341538</v>
      </c>
    </row>
    <row r="211" spans="1:9" customFormat="1" x14ac:dyDescent="0.3">
      <c r="A211">
        <v>865.4</v>
      </c>
      <c r="B211">
        <v>90.406786999999994</v>
      </c>
      <c r="C211">
        <v>93.162558000000004</v>
      </c>
      <c r="D211">
        <v>95.787315000000007</v>
      </c>
      <c r="E211">
        <v>74.532121000000004</v>
      </c>
      <c r="F211">
        <v>35.100876999999997</v>
      </c>
      <c r="G211">
        <v>19.596170000000001</v>
      </c>
      <c r="H211">
        <v>21.341538</v>
      </c>
    </row>
    <row r="212" spans="1:9" customFormat="1" x14ac:dyDescent="0.3">
      <c r="A212">
        <v>865.6</v>
      </c>
      <c r="B212">
        <v>90.227024</v>
      </c>
      <c r="C212">
        <v>93.132659000000004</v>
      </c>
      <c r="D212">
        <v>95.800768000000005</v>
      </c>
      <c r="E212">
        <v>74.476743999999997</v>
      </c>
      <c r="F212">
        <v>35.078581999999997</v>
      </c>
      <c r="G212">
        <v>19.602492999999999</v>
      </c>
      <c r="H212">
        <v>21.345008</v>
      </c>
    </row>
    <row r="213" spans="1:9" customFormat="1" x14ac:dyDescent="0.3">
      <c r="A213">
        <v>865.8</v>
      </c>
      <c r="B213">
        <v>90.227024</v>
      </c>
      <c r="C213">
        <v>93.132659000000004</v>
      </c>
      <c r="D213">
        <v>95.800768000000005</v>
      </c>
      <c r="E213">
        <v>74.476743999999997</v>
      </c>
      <c r="F213">
        <v>35.078581999999997</v>
      </c>
      <c r="G213">
        <v>19.602492999999999</v>
      </c>
      <c r="H213">
        <v>21.345008</v>
      </c>
    </row>
    <row r="214" spans="1:9" customFormat="1" x14ac:dyDescent="0.3">
      <c r="A214">
        <v>866</v>
      </c>
      <c r="B214">
        <v>90.113874999999993</v>
      </c>
      <c r="C214">
        <v>93.091998000000004</v>
      </c>
      <c r="D214">
        <v>95.815327999999994</v>
      </c>
      <c r="E214">
        <v>74.656431999999995</v>
      </c>
      <c r="F214">
        <v>34.972265999999998</v>
      </c>
      <c r="G214">
        <v>19.593202999999999</v>
      </c>
      <c r="H214">
        <v>21.371751</v>
      </c>
      <c r="I214" t="s">
        <v>61</v>
      </c>
    </row>
    <row r="215" spans="1:9" customFormat="1" x14ac:dyDescent="0.3">
      <c r="A215">
        <v>866.2</v>
      </c>
      <c r="B215">
        <v>90.113874999999993</v>
      </c>
      <c r="C215">
        <v>93.091998000000004</v>
      </c>
      <c r="D215">
        <v>95.815327999999994</v>
      </c>
      <c r="E215">
        <v>74.656431999999995</v>
      </c>
      <c r="F215">
        <v>34.972265999999998</v>
      </c>
      <c r="G215">
        <v>19.593202999999999</v>
      </c>
      <c r="H215">
        <v>21.371751</v>
      </c>
    </row>
    <row r="216" spans="1:9" customFormat="1" x14ac:dyDescent="0.3">
      <c r="A216">
        <v>866.4</v>
      </c>
      <c r="B216">
        <v>90.047698999999994</v>
      </c>
      <c r="C216">
        <v>93.063006999999999</v>
      </c>
      <c r="D216">
        <v>95.813278999999994</v>
      </c>
      <c r="E216">
        <v>75.285882000000001</v>
      </c>
      <c r="F216">
        <v>34.96754</v>
      </c>
      <c r="G216">
        <v>19.608443000000001</v>
      </c>
      <c r="H216">
        <v>21.352844999999999</v>
      </c>
    </row>
    <row r="217" spans="1:9" customFormat="1" x14ac:dyDescent="0.3">
      <c r="A217">
        <v>866.6</v>
      </c>
      <c r="B217">
        <v>90.047698999999994</v>
      </c>
      <c r="C217">
        <v>93.063006999999999</v>
      </c>
      <c r="D217">
        <v>95.813278999999994</v>
      </c>
      <c r="E217">
        <v>75.285882000000001</v>
      </c>
      <c r="F217">
        <v>34.96754</v>
      </c>
      <c r="G217">
        <v>19.608443000000001</v>
      </c>
      <c r="H217">
        <v>21.352844999999999</v>
      </c>
    </row>
    <row r="218" spans="1:9" customFormat="1" x14ac:dyDescent="0.3">
      <c r="A218">
        <v>866.8</v>
      </c>
      <c r="B218">
        <v>90.078980000000001</v>
      </c>
      <c r="C218">
        <v>93.054469999999995</v>
      </c>
      <c r="D218">
        <v>95.799288000000004</v>
      </c>
      <c r="E218">
        <v>75.961192999999994</v>
      </c>
      <c r="F218">
        <v>35.074488000000002</v>
      </c>
      <c r="G218">
        <v>19.602222000000001</v>
      </c>
      <c r="H218">
        <v>21.358955000000002</v>
      </c>
    </row>
    <row r="219" spans="1:9" customFormat="1" x14ac:dyDescent="0.3">
      <c r="A219">
        <v>867</v>
      </c>
      <c r="B219">
        <v>90.078980000000001</v>
      </c>
      <c r="C219">
        <v>93.054469999999995</v>
      </c>
      <c r="D219">
        <v>95.799288000000004</v>
      </c>
      <c r="E219">
        <v>75.961192999999994</v>
      </c>
      <c r="F219">
        <v>35.074488000000002</v>
      </c>
      <c r="G219">
        <v>19.602222000000001</v>
      </c>
      <c r="H219">
        <v>21.358955000000002</v>
      </c>
      <c r="I219" t="s">
        <v>61</v>
      </c>
    </row>
    <row r="220" spans="1:9" customFormat="1" x14ac:dyDescent="0.3">
      <c r="A220">
        <v>867.2</v>
      </c>
      <c r="B220">
        <v>90.184005999999997</v>
      </c>
      <c r="C220">
        <v>93.068314000000001</v>
      </c>
      <c r="D220">
        <v>95.796244000000002</v>
      </c>
      <c r="E220">
        <v>76.189308999999994</v>
      </c>
      <c r="F220">
        <v>35.234386000000001</v>
      </c>
      <c r="G220">
        <v>19.588355</v>
      </c>
      <c r="H220">
        <v>21.353166000000002</v>
      </c>
    </row>
    <row r="221" spans="1:9" customFormat="1" x14ac:dyDescent="0.3">
      <c r="A221">
        <v>867.4</v>
      </c>
      <c r="B221">
        <v>90.184005999999997</v>
      </c>
      <c r="C221">
        <v>93.068314000000001</v>
      </c>
      <c r="D221">
        <v>95.796244000000002</v>
      </c>
      <c r="E221">
        <v>76.189308999999994</v>
      </c>
      <c r="F221">
        <v>35.234386000000001</v>
      </c>
      <c r="G221">
        <v>19.588355</v>
      </c>
      <c r="H221">
        <v>21.353166000000002</v>
      </c>
    </row>
    <row r="222" spans="1:9" customFormat="1" x14ac:dyDescent="0.3">
      <c r="A222">
        <v>867.6</v>
      </c>
      <c r="B222">
        <v>90.297304999999994</v>
      </c>
      <c r="C222">
        <v>93.158890999999997</v>
      </c>
      <c r="D222">
        <v>95.806443000000002</v>
      </c>
      <c r="E222">
        <v>76.034592000000004</v>
      </c>
      <c r="F222">
        <v>35.236834999999999</v>
      </c>
      <c r="G222">
        <v>19.625436000000001</v>
      </c>
      <c r="H222">
        <v>21.380240000000001</v>
      </c>
    </row>
    <row r="223" spans="1:9" customFormat="1" x14ac:dyDescent="0.3">
      <c r="A223">
        <v>867.8</v>
      </c>
      <c r="B223">
        <v>90.297304999999994</v>
      </c>
      <c r="C223">
        <v>93.158890999999997</v>
      </c>
      <c r="D223">
        <v>95.806443000000002</v>
      </c>
      <c r="E223">
        <v>76.034592000000004</v>
      </c>
      <c r="F223">
        <v>35.236834999999999</v>
      </c>
      <c r="G223">
        <v>19.625436000000001</v>
      </c>
      <c r="H223">
        <v>21.380240000000001</v>
      </c>
    </row>
    <row r="224" spans="1:9" customFormat="1" x14ac:dyDescent="0.3">
      <c r="A224">
        <v>1087</v>
      </c>
      <c r="B224">
        <v>100.442915</v>
      </c>
      <c r="C224">
        <v>104.449563</v>
      </c>
      <c r="D224">
        <v>108.16007999999999</v>
      </c>
      <c r="E224">
        <v>79.363656000000006</v>
      </c>
      <c r="F224">
        <v>39.472147999999997</v>
      </c>
      <c r="G224">
        <v>19.668144000000002</v>
      </c>
      <c r="H224">
        <v>22.061519000000001</v>
      </c>
      <c r="I224" t="s">
        <v>61</v>
      </c>
    </row>
    <row r="225" spans="1:9" customFormat="1" x14ac:dyDescent="0.3">
      <c r="A225">
        <v>1087.2</v>
      </c>
      <c r="B225">
        <v>100.44059</v>
      </c>
      <c r="C225">
        <v>104.471568</v>
      </c>
      <c r="D225">
        <v>108.170602</v>
      </c>
      <c r="E225">
        <v>79.575543999999994</v>
      </c>
      <c r="F225">
        <v>39.623555000000003</v>
      </c>
      <c r="G225">
        <v>19.682019</v>
      </c>
      <c r="H225">
        <v>22.060683999999998</v>
      </c>
    </row>
    <row r="226" spans="1:9" customFormat="1" x14ac:dyDescent="0.3">
      <c r="A226">
        <v>1087.4000000000001</v>
      </c>
      <c r="B226">
        <v>100.44059</v>
      </c>
      <c r="C226">
        <v>104.471568</v>
      </c>
      <c r="D226">
        <v>108.170602</v>
      </c>
      <c r="E226">
        <v>79.575543999999994</v>
      </c>
      <c r="F226">
        <v>39.623555000000003</v>
      </c>
      <c r="G226">
        <v>19.682019</v>
      </c>
      <c r="H226">
        <v>22.060683999999998</v>
      </c>
    </row>
    <row r="227" spans="1:9" customFormat="1" x14ac:dyDescent="0.3">
      <c r="A227">
        <v>1087.5999999999999</v>
      </c>
      <c r="B227">
        <v>100.464827</v>
      </c>
      <c r="C227">
        <v>104.461792</v>
      </c>
      <c r="D227">
        <v>108.180094</v>
      </c>
      <c r="E227">
        <v>79.597010999999995</v>
      </c>
      <c r="F227">
        <v>40.611809000000001</v>
      </c>
      <c r="G227">
        <v>19.672604</v>
      </c>
      <c r="H227">
        <v>22.058865000000001</v>
      </c>
    </row>
    <row r="228" spans="1:9" customFormat="1" x14ac:dyDescent="0.3">
      <c r="A228">
        <v>1087.8</v>
      </c>
      <c r="B228">
        <v>100.464827</v>
      </c>
      <c r="C228">
        <v>104.461792</v>
      </c>
      <c r="D228">
        <v>108.180094</v>
      </c>
      <c r="E228">
        <v>79.597010999999995</v>
      </c>
      <c r="F228">
        <v>40.611809000000001</v>
      </c>
      <c r="G228">
        <v>19.672604</v>
      </c>
      <c r="H228">
        <v>22.058865000000001</v>
      </c>
    </row>
    <row r="229" spans="1:9" customFormat="1" x14ac:dyDescent="0.3">
      <c r="A229">
        <v>1088</v>
      </c>
      <c r="B229">
        <v>100.45828899999999</v>
      </c>
      <c r="C229">
        <v>104.46169399999999</v>
      </c>
      <c r="D229">
        <v>108.18962500000001</v>
      </c>
      <c r="E229">
        <v>79.555539999999993</v>
      </c>
      <c r="F229">
        <v>40.772142000000002</v>
      </c>
      <c r="G229">
        <v>19.676553999999999</v>
      </c>
      <c r="H229">
        <v>22.080805000000002</v>
      </c>
      <c r="I229" t="s">
        <v>61</v>
      </c>
    </row>
    <row r="230" spans="1:9" customFormat="1" x14ac:dyDescent="0.3">
      <c r="A230">
        <v>1088.2</v>
      </c>
      <c r="B230">
        <v>100.45828899999999</v>
      </c>
      <c r="C230">
        <v>104.46169399999999</v>
      </c>
      <c r="D230">
        <v>108.18962500000001</v>
      </c>
      <c r="E230">
        <v>79.555539999999993</v>
      </c>
      <c r="F230">
        <v>40.772142000000002</v>
      </c>
      <c r="G230">
        <v>19.676553999999999</v>
      </c>
      <c r="H230">
        <v>22.080805000000002</v>
      </c>
    </row>
    <row r="231" spans="1:9" customFormat="1" x14ac:dyDescent="0.3">
      <c r="A231">
        <v>1088.4000000000001</v>
      </c>
      <c r="B231">
        <v>100.495913</v>
      </c>
      <c r="C231">
        <v>104.507042</v>
      </c>
      <c r="D231">
        <v>108.168902</v>
      </c>
      <c r="E231">
        <v>79.431797000000003</v>
      </c>
      <c r="F231">
        <v>40.492220000000003</v>
      </c>
      <c r="G231">
        <v>19.675180999999998</v>
      </c>
      <c r="H231">
        <v>22.096958999999998</v>
      </c>
    </row>
    <row r="232" spans="1:9" customFormat="1" x14ac:dyDescent="0.3">
      <c r="A232">
        <v>1088.5999999999999</v>
      </c>
      <c r="B232">
        <v>100.495913</v>
      </c>
      <c r="C232">
        <v>104.507042</v>
      </c>
      <c r="D232">
        <v>108.168902</v>
      </c>
      <c r="E232">
        <v>79.431797000000003</v>
      </c>
      <c r="F232">
        <v>40.492220000000003</v>
      </c>
      <c r="G232">
        <v>19.675180999999998</v>
      </c>
      <c r="H232">
        <v>22.096958999999998</v>
      </c>
    </row>
    <row r="233" spans="1:9" customFormat="1" x14ac:dyDescent="0.3">
      <c r="A233">
        <v>1088.8</v>
      </c>
      <c r="B233">
        <v>100.503445</v>
      </c>
      <c r="C233">
        <v>104.504002</v>
      </c>
      <c r="D233">
        <v>108.212639</v>
      </c>
      <c r="E233">
        <v>79.856722000000005</v>
      </c>
      <c r="F233">
        <v>40.529232999999998</v>
      </c>
      <c r="G233">
        <v>19.675588999999999</v>
      </c>
      <c r="H233">
        <v>22.068474999999999</v>
      </c>
    </row>
    <row r="234" spans="1:9" customFormat="1" x14ac:dyDescent="0.3">
      <c r="A234">
        <v>1089</v>
      </c>
      <c r="B234">
        <v>100.503445</v>
      </c>
      <c r="C234">
        <v>104.504002</v>
      </c>
      <c r="D234">
        <v>108.212639</v>
      </c>
      <c r="E234">
        <v>79.856722000000005</v>
      </c>
      <c r="F234">
        <v>40.529232999999998</v>
      </c>
      <c r="G234">
        <v>19.675588999999999</v>
      </c>
      <c r="H234">
        <v>22.068474999999999</v>
      </c>
      <c r="I234" t="s">
        <v>61</v>
      </c>
    </row>
    <row r="235" spans="1:9" customFormat="1" x14ac:dyDescent="0.3">
      <c r="A235">
        <v>1089.2</v>
      </c>
      <c r="B235">
        <v>100.546301</v>
      </c>
      <c r="C235">
        <v>104.539427</v>
      </c>
      <c r="D235">
        <v>108.231984</v>
      </c>
      <c r="E235">
        <v>80.359268</v>
      </c>
      <c r="F235">
        <v>40.175347000000002</v>
      </c>
      <c r="G235">
        <v>19.667366999999999</v>
      </c>
      <c r="H235">
        <v>22.080162999999999</v>
      </c>
    </row>
    <row r="236" spans="1:9" customFormat="1" x14ac:dyDescent="0.3">
      <c r="A236">
        <v>1089.4000000000001</v>
      </c>
      <c r="B236">
        <v>100.546301</v>
      </c>
      <c r="C236">
        <v>104.539427</v>
      </c>
      <c r="D236">
        <v>108.231984</v>
      </c>
      <c r="E236">
        <v>80.359268</v>
      </c>
      <c r="F236">
        <v>40.175347000000002</v>
      </c>
      <c r="G236">
        <v>19.667366999999999</v>
      </c>
      <c r="H236">
        <v>22.080162999999999</v>
      </c>
    </row>
    <row r="237" spans="1:9" customFormat="1" x14ac:dyDescent="0.3">
      <c r="A237">
        <v>1089.5999999999999</v>
      </c>
      <c r="B237">
        <v>100.602526</v>
      </c>
      <c r="C237">
        <v>104.55698099999999</v>
      </c>
      <c r="D237">
        <v>108.229804</v>
      </c>
      <c r="E237">
        <v>79.977361000000002</v>
      </c>
      <c r="F237">
        <v>40.433228999999997</v>
      </c>
      <c r="G237">
        <v>19.678936</v>
      </c>
      <c r="H237">
        <v>22.084603999999999</v>
      </c>
    </row>
    <row r="238" spans="1:9" customFormat="1" x14ac:dyDescent="0.3">
      <c r="A238">
        <v>1089.8</v>
      </c>
      <c r="B238">
        <v>100.602526</v>
      </c>
      <c r="C238">
        <v>104.55698099999999</v>
      </c>
      <c r="D238">
        <v>108.229804</v>
      </c>
      <c r="E238">
        <v>79.977361000000002</v>
      </c>
      <c r="F238">
        <v>40.433228999999997</v>
      </c>
      <c r="G238">
        <v>19.678936</v>
      </c>
      <c r="H238">
        <v>22.084603999999999</v>
      </c>
    </row>
    <row r="239" spans="1:9" customFormat="1" x14ac:dyDescent="0.3">
      <c r="A239">
        <v>1090</v>
      </c>
      <c r="B239">
        <v>100.612021</v>
      </c>
      <c r="C239">
        <v>104.572423</v>
      </c>
      <c r="D239">
        <v>108.25532200000001</v>
      </c>
      <c r="E239">
        <v>79.628291000000004</v>
      </c>
      <c r="F239">
        <v>40.644252999999999</v>
      </c>
      <c r="G239">
        <v>19.672249999999998</v>
      </c>
      <c r="H239">
        <v>22.108716999999999</v>
      </c>
      <c r="I239" t="s">
        <v>61</v>
      </c>
    </row>
    <row r="240" spans="1:9" customFormat="1" x14ac:dyDescent="0.3">
      <c r="A240">
        <v>1090.2</v>
      </c>
      <c r="B240">
        <v>100.612021</v>
      </c>
      <c r="C240">
        <v>104.572423</v>
      </c>
      <c r="D240">
        <v>108.25532200000001</v>
      </c>
      <c r="E240">
        <v>79.628291000000004</v>
      </c>
      <c r="F240">
        <v>40.644252999999999</v>
      </c>
      <c r="G240">
        <v>19.672249999999998</v>
      </c>
      <c r="H240">
        <v>22.108716999999999</v>
      </c>
    </row>
    <row r="241" spans="1:9" customFormat="1" x14ac:dyDescent="0.3">
      <c r="A241">
        <v>1090.4000000000001</v>
      </c>
      <c r="B241">
        <v>100.606587</v>
      </c>
      <c r="C241">
        <v>104.57709800000001</v>
      </c>
      <c r="D241">
        <v>108.245777</v>
      </c>
      <c r="E241">
        <v>79.564479000000006</v>
      </c>
      <c r="F241">
        <v>39.962764</v>
      </c>
      <c r="G241">
        <v>19.688718000000001</v>
      </c>
      <c r="H241">
        <v>22.073052000000001</v>
      </c>
    </row>
    <row r="242" spans="1:9" customFormat="1" x14ac:dyDescent="0.3">
      <c r="A242">
        <v>1090.5999999999999</v>
      </c>
      <c r="B242">
        <v>100.606587</v>
      </c>
      <c r="C242">
        <v>104.57709800000001</v>
      </c>
      <c r="D242">
        <v>108.245777</v>
      </c>
      <c r="E242">
        <v>79.564479000000006</v>
      </c>
      <c r="F242">
        <v>39.962764</v>
      </c>
      <c r="G242">
        <v>19.688718000000001</v>
      </c>
      <c r="H242">
        <v>22.073052000000001</v>
      </c>
    </row>
    <row r="243" spans="1:9" customFormat="1" x14ac:dyDescent="0.3">
      <c r="A243">
        <v>1090.8</v>
      </c>
      <c r="B243">
        <v>100.57826900000001</v>
      </c>
      <c r="C243">
        <v>104.557101</v>
      </c>
      <c r="D243">
        <v>108.262942</v>
      </c>
      <c r="E243">
        <v>79.484233000000003</v>
      </c>
      <c r="F243">
        <v>39.128231999999997</v>
      </c>
      <c r="G243">
        <v>19.687743999999999</v>
      </c>
      <c r="H243">
        <v>22.084394</v>
      </c>
    </row>
    <row r="244" spans="1:9" customFormat="1" x14ac:dyDescent="0.3">
      <c r="A244">
        <v>1091</v>
      </c>
      <c r="B244">
        <v>100.57826900000001</v>
      </c>
      <c r="C244">
        <v>104.557101</v>
      </c>
      <c r="D244">
        <v>108.262942</v>
      </c>
      <c r="E244">
        <v>79.484233000000003</v>
      </c>
      <c r="F244">
        <v>39.128231999999997</v>
      </c>
      <c r="G244">
        <v>19.687743999999999</v>
      </c>
      <c r="H244">
        <v>22.084394</v>
      </c>
      <c r="I244" t="s">
        <v>61</v>
      </c>
    </row>
    <row r="245" spans="1:9" customFormat="1" x14ac:dyDescent="0.3">
      <c r="A245">
        <v>1091.2</v>
      </c>
      <c r="B245">
        <v>100.58595</v>
      </c>
      <c r="C245">
        <v>104.57624</v>
      </c>
      <c r="D245">
        <v>108.26830699999999</v>
      </c>
      <c r="E245">
        <v>79.418360000000007</v>
      </c>
      <c r="F245">
        <v>39.010924000000003</v>
      </c>
      <c r="G245">
        <v>19.688948</v>
      </c>
      <c r="H245">
        <v>22.055282999999999</v>
      </c>
    </row>
    <row r="246" spans="1:9" customFormat="1" x14ac:dyDescent="0.3">
      <c r="A246">
        <v>1091.4000000000001</v>
      </c>
      <c r="B246">
        <v>100.58595</v>
      </c>
      <c r="C246">
        <v>104.57624</v>
      </c>
      <c r="D246">
        <v>108.26830699999999</v>
      </c>
      <c r="E246">
        <v>79.418360000000007</v>
      </c>
      <c r="F246">
        <v>39.010924000000003</v>
      </c>
      <c r="G246">
        <v>19.688948</v>
      </c>
      <c r="H246">
        <v>22.055282999999999</v>
      </c>
    </row>
    <row r="247" spans="1:9" customFormat="1" x14ac:dyDescent="0.3">
      <c r="A247">
        <v>1091.5999999999999</v>
      </c>
      <c r="B247">
        <v>100.53346999999999</v>
      </c>
      <c r="C247">
        <v>104.569765</v>
      </c>
      <c r="D247">
        <v>108.288436</v>
      </c>
      <c r="E247">
        <v>79.960745000000003</v>
      </c>
      <c r="F247">
        <v>39.712902</v>
      </c>
      <c r="G247">
        <v>19.683828999999999</v>
      </c>
      <c r="H247">
        <v>22.059647999999999</v>
      </c>
    </row>
    <row r="248" spans="1:9" customFormat="1" x14ac:dyDescent="0.3">
      <c r="A248">
        <v>1091.8</v>
      </c>
      <c r="B248">
        <v>100.53346999999999</v>
      </c>
      <c r="C248">
        <v>104.569765</v>
      </c>
      <c r="D248">
        <v>108.288436</v>
      </c>
      <c r="E248">
        <v>79.960745000000003</v>
      </c>
      <c r="F248">
        <v>39.712902</v>
      </c>
      <c r="G248">
        <v>19.683828999999999</v>
      </c>
      <c r="H248">
        <v>22.059647999999999</v>
      </c>
    </row>
    <row r="249" spans="1:9" customFormat="1" x14ac:dyDescent="0.3">
      <c r="A249">
        <v>1092</v>
      </c>
      <c r="B249">
        <v>100.56425900000001</v>
      </c>
      <c r="C249">
        <v>104.573871</v>
      </c>
      <c r="D249">
        <v>108.28290800000001</v>
      </c>
      <c r="E249">
        <v>79.932219000000003</v>
      </c>
      <c r="F249">
        <v>40.214086999999999</v>
      </c>
      <c r="G249">
        <v>19.680879000000001</v>
      </c>
      <c r="H249">
        <v>22.072334000000001</v>
      </c>
      <c r="I249" t="s">
        <v>61</v>
      </c>
    </row>
    <row r="250" spans="1:9" customFormat="1" x14ac:dyDescent="0.3">
      <c r="A250">
        <v>1092.2</v>
      </c>
      <c r="B250">
        <v>100.56425900000001</v>
      </c>
      <c r="C250">
        <v>104.573871</v>
      </c>
      <c r="D250">
        <v>108.28290800000001</v>
      </c>
      <c r="E250">
        <v>79.932219000000003</v>
      </c>
      <c r="F250">
        <v>40.214086999999999</v>
      </c>
      <c r="G250">
        <v>19.680879000000001</v>
      </c>
      <c r="H250">
        <v>22.072334000000001</v>
      </c>
    </row>
    <row r="251" spans="1:9" customFormat="1" x14ac:dyDescent="0.3">
      <c r="A251">
        <v>1092.4000000000001</v>
      </c>
      <c r="B251">
        <v>100.610089</v>
      </c>
      <c r="C251">
        <v>104.600329</v>
      </c>
      <c r="D251">
        <v>108.302007</v>
      </c>
      <c r="E251">
        <v>79.484776999999994</v>
      </c>
      <c r="F251">
        <v>40.659804999999999</v>
      </c>
      <c r="G251">
        <v>19.671168000000002</v>
      </c>
      <c r="H251">
        <v>22.072115</v>
      </c>
    </row>
    <row r="252" spans="1:9" customFormat="1" x14ac:dyDescent="0.3">
      <c r="A252">
        <v>1092.5999999999999</v>
      </c>
      <c r="B252">
        <v>100.610089</v>
      </c>
      <c r="C252">
        <v>104.600329</v>
      </c>
      <c r="D252">
        <v>108.302007</v>
      </c>
      <c r="E252">
        <v>79.484776999999994</v>
      </c>
      <c r="F252">
        <v>40.659804999999999</v>
      </c>
      <c r="G252">
        <v>19.671168000000002</v>
      </c>
      <c r="H252">
        <v>22.072115</v>
      </c>
    </row>
    <row r="253" spans="1:9" customFormat="1" x14ac:dyDescent="0.3">
      <c r="A253">
        <v>1092.8</v>
      </c>
      <c r="B253">
        <v>100.57226199999999</v>
      </c>
      <c r="C253">
        <v>104.605724</v>
      </c>
      <c r="D253">
        <v>108.293639</v>
      </c>
      <c r="E253">
        <v>79.348598999999993</v>
      </c>
      <c r="F253">
        <v>40.774481000000002</v>
      </c>
      <c r="G253">
        <v>19.682686</v>
      </c>
      <c r="H253">
        <v>22.082661999999999</v>
      </c>
    </row>
    <row r="254" spans="1:9" customFormat="1" x14ac:dyDescent="0.3">
      <c r="A254">
        <v>1093</v>
      </c>
      <c r="B254">
        <v>100.57226199999999</v>
      </c>
      <c r="C254">
        <v>104.605724</v>
      </c>
      <c r="D254">
        <v>108.293639</v>
      </c>
      <c r="E254">
        <v>79.348598999999993</v>
      </c>
      <c r="F254">
        <v>40.774481000000002</v>
      </c>
      <c r="G254">
        <v>19.682686</v>
      </c>
      <c r="H254">
        <v>22.082661999999999</v>
      </c>
      <c r="I254" t="s">
        <v>61</v>
      </c>
    </row>
    <row r="255" spans="1:9" customFormat="1" x14ac:dyDescent="0.3">
      <c r="A255">
        <v>1093.2</v>
      </c>
      <c r="B255">
        <v>100.551081</v>
      </c>
      <c r="C255">
        <v>104.608453</v>
      </c>
      <c r="D255">
        <v>108.29178</v>
      </c>
      <c r="E255">
        <v>79.627600999999999</v>
      </c>
      <c r="F255">
        <v>41.631861000000001</v>
      </c>
      <c r="G255">
        <v>19.668253</v>
      </c>
      <c r="H255">
        <v>22.072521999999999</v>
      </c>
    </row>
    <row r="256" spans="1:9" customFormat="1" x14ac:dyDescent="0.3">
      <c r="A256">
        <v>1093.4000000000001</v>
      </c>
      <c r="B256">
        <v>100.551081</v>
      </c>
      <c r="C256">
        <v>104.608453</v>
      </c>
      <c r="D256">
        <v>108.29178</v>
      </c>
      <c r="E256">
        <v>79.627600999999999</v>
      </c>
      <c r="F256">
        <v>41.631861000000001</v>
      </c>
      <c r="G256">
        <v>19.668253</v>
      </c>
      <c r="H256">
        <v>22.072521999999999</v>
      </c>
    </row>
    <row r="257" spans="1:9" customFormat="1" x14ac:dyDescent="0.3">
      <c r="A257">
        <v>1093.5999999999999</v>
      </c>
      <c r="B257">
        <v>100.54443000000001</v>
      </c>
      <c r="C257">
        <v>104.625683</v>
      </c>
      <c r="D257">
        <v>108.306702</v>
      </c>
      <c r="E257">
        <v>80.118346000000003</v>
      </c>
      <c r="F257">
        <v>41.129022999999997</v>
      </c>
      <c r="G257">
        <v>19.666584</v>
      </c>
      <c r="H257">
        <v>22.047173999999998</v>
      </c>
    </row>
    <row r="258" spans="1:9" customFormat="1" x14ac:dyDescent="0.3">
      <c r="A258">
        <v>1093.8</v>
      </c>
      <c r="B258">
        <v>100.54443000000001</v>
      </c>
      <c r="C258">
        <v>104.625683</v>
      </c>
      <c r="D258">
        <v>108.306702</v>
      </c>
      <c r="E258">
        <v>80.118346000000003</v>
      </c>
      <c r="F258">
        <v>41.129022999999997</v>
      </c>
      <c r="G258">
        <v>19.666584</v>
      </c>
      <c r="H258">
        <v>22.047173999999998</v>
      </c>
    </row>
    <row r="259" spans="1:9" customFormat="1" x14ac:dyDescent="0.3">
      <c r="A259">
        <v>1094</v>
      </c>
      <c r="B259">
        <v>100.62785</v>
      </c>
      <c r="C259">
        <v>104.62952799999999</v>
      </c>
      <c r="D259">
        <v>108.31192</v>
      </c>
      <c r="E259">
        <v>79.502987000000005</v>
      </c>
      <c r="F259">
        <v>40.37209</v>
      </c>
      <c r="G259">
        <v>19.681975000000001</v>
      </c>
      <c r="H259">
        <v>22.085742</v>
      </c>
      <c r="I259" t="s">
        <v>61</v>
      </c>
    </row>
    <row r="260" spans="1:9" customFormat="1" x14ac:dyDescent="0.3">
      <c r="A260">
        <v>1094.2</v>
      </c>
      <c r="B260">
        <v>100.62785</v>
      </c>
      <c r="C260">
        <v>104.62952799999999</v>
      </c>
      <c r="D260">
        <v>108.31192</v>
      </c>
      <c r="E260">
        <v>79.502987000000005</v>
      </c>
      <c r="F260">
        <v>40.37209</v>
      </c>
      <c r="G260">
        <v>19.681975000000001</v>
      </c>
      <c r="H260">
        <v>22.085742</v>
      </c>
    </row>
    <row r="261" spans="1:9" customFormat="1" x14ac:dyDescent="0.3">
      <c r="A261">
        <v>1094.4000000000001</v>
      </c>
      <c r="B261">
        <v>100.62507600000001</v>
      </c>
      <c r="C261">
        <v>104.63548</v>
      </c>
      <c r="D261">
        <v>108.332543</v>
      </c>
      <c r="E261">
        <v>78.920569999999998</v>
      </c>
      <c r="F261">
        <v>40.293021000000003</v>
      </c>
      <c r="G261">
        <v>19.663322999999998</v>
      </c>
      <c r="H261">
        <v>22.056234</v>
      </c>
    </row>
    <row r="262" spans="1:9" customFormat="1" x14ac:dyDescent="0.3">
      <c r="A262">
        <v>1094.5999999999999</v>
      </c>
      <c r="B262">
        <v>100.62507600000001</v>
      </c>
      <c r="C262">
        <v>104.63548</v>
      </c>
      <c r="D262">
        <v>108.332543</v>
      </c>
      <c r="E262">
        <v>78.920569999999998</v>
      </c>
      <c r="F262">
        <v>40.293021000000003</v>
      </c>
      <c r="G262">
        <v>19.663322999999998</v>
      </c>
      <c r="H262">
        <v>22.056234</v>
      </c>
    </row>
    <row r="263" spans="1:9" customFormat="1" x14ac:dyDescent="0.3">
      <c r="A263">
        <v>1094.8</v>
      </c>
      <c r="B263">
        <v>100.56352</v>
      </c>
      <c r="C263">
        <v>104.61811299999999</v>
      </c>
      <c r="D263">
        <v>108.33766199999999</v>
      </c>
      <c r="E263">
        <v>79.155992999999995</v>
      </c>
      <c r="F263">
        <v>41.203212999999998</v>
      </c>
      <c r="G263">
        <v>19.692283</v>
      </c>
      <c r="H263">
        <v>22.067610999999999</v>
      </c>
    </row>
    <row r="264" spans="1:9" customFormat="1" x14ac:dyDescent="0.3">
      <c r="A264">
        <v>1095</v>
      </c>
      <c r="B264">
        <v>100.56352</v>
      </c>
      <c r="C264">
        <v>104.61811299999999</v>
      </c>
      <c r="D264">
        <v>108.33766199999999</v>
      </c>
      <c r="E264">
        <v>79.155992999999995</v>
      </c>
      <c r="F264">
        <v>41.203212999999998</v>
      </c>
      <c r="G264">
        <v>19.692283</v>
      </c>
      <c r="H264">
        <v>22.067610999999999</v>
      </c>
      <c r="I264" t="s">
        <v>61</v>
      </c>
    </row>
    <row r="265" spans="1:9" customFormat="1" x14ac:dyDescent="0.3">
      <c r="A265">
        <v>1095.2</v>
      </c>
      <c r="B265">
        <v>100.50150600000001</v>
      </c>
      <c r="C265">
        <v>104.61130199999999</v>
      </c>
      <c r="D265">
        <v>108.33773600000001</v>
      </c>
      <c r="E265">
        <v>79.470944000000003</v>
      </c>
      <c r="F265">
        <v>41.947881000000002</v>
      </c>
      <c r="G265">
        <v>19.677493999999999</v>
      </c>
      <c r="H265">
        <v>22.073218000000001</v>
      </c>
    </row>
    <row r="266" spans="1:9" customFormat="1" x14ac:dyDescent="0.3">
      <c r="A266">
        <v>1095.4000000000001</v>
      </c>
      <c r="B266">
        <v>100.50150600000001</v>
      </c>
      <c r="C266">
        <v>104.61130199999999</v>
      </c>
      <c r="D266">
        <v>108.33773600000001</v>
      </c>
      <c r="E266">
        <v>79.470944000000003</v>
      </c>
      <c r="F266">
        <v>41.947881000000002</v>
      </c>
      <c r="G266">
        <v>19.677493999999999</v>
      </c>
      <c r="H266">
        <v>22.073218000000001</v>
      </c>
    </row>
    <row r="267" spans="1:9" customFormat="1" x14ac:dyDescent="0.3">
      <c r="A267">
        <v>1095.5999999999999</v>
      </c>
      <c r="B267">
        <v>100.536608</v>
      </c>
      <c r="C267">
        <v>104.58528800000001</v>
      </c>
      <c r="D267">
        <v>108.330546</v>
      </c>
      <c r="E267">
        <v>79.590149999999994</v>
      </c>
      <c r="F267">
        <v>42.432270000000003</v>
      </c>
      <c r="G267">
        <v>19.696646999999999</v>
      </c>
      <c r="H267">
        <v>22.048283999999999</v>
      </c>
    </row>
    <row r="268" spans="1:9" customFormat="1" x14ac:dyDescent="0.3">
      <c r="A268">
        <v>1095.8</v>
      </c>
      <c r="B268">
        <v>100.536608</v>
      </c>
      <c r="C268">
        <v>104.58528800000001</v>
      </c>
      <c r="D268">
        <v>108.330546</v>
      </c>
      <c r="E268">
        <v>79.590149999999994</v>
      </c>
      <c r="F268">
        <v>42.432270000000003</v>
      </c>
      <c r="G268">
        <v>19.696646999999999</v>
      </c>
      <c r="H268">
        <v>22.048283999999999</v>
      </c>
    </row>
    <row r="269" spans="1:9" customFormat="1" x14ac:dyDescent="0.3">
      <c r="A269">
        <v>1096</v>
      </c>
      <c r="B269">
        <v>100.54835300000001</v>
      </c>
      <c r="C269">
        <v>104.58278199999999</v>
      </c>
      <c r="D269">
        <v>108.329876</v>
      </c>
      <c r="E269">
        <v>79.360557</v>
      </c>
      <c r="F269">
        <v>42.651617000000002</v>
      </c>
      <c r="G269">
        <v>19.677274000000001</v>
      </c>
      <c r="H269">
        <v>22.046002000000001</v>
      </c>
      <c r="I269" t="s">
        <v>61</v>
      </c>
    </row>
    <row r="270" spans="1:9" customFormat="1" x14ac:dyDescent="0.3">
      <c r="A270">
        <v>1096.2</v>
      </c>
      <c r="B270">
        <v>100.54835300000001</v>
      </c>
      <c r="C270">
        <v>104.58278199999999</v>
      </c>
      <c r="D270">
        <v>108.329876</v>
      </c>
      <c r="E270">
        <v>79.360557</v>
      </c>
      <c r="F270">
        <v>42.651617000000002</v>
      </c>
      <c r="G270">
        <v>19.677274000000001</v>
      </c>
      <c r="H270">
        <v>22.046002000000001</v>
      </c>
    </row>
    <row r="271" spans="1:9" customFormat="1" x14ac:dyDescent="0.3">
      <c r="A271">
        <v>1096.4000000000001</v>
      </c>
      <c r="B271">
        <v>100.55646900000001</v>
      </c>
      <c r="C271">
        <v>104.61382999999999</v>
      </c>
      <c r="D271">
        <v>108.339344</v>
      </c>
      <c r="E271">
        <v>79.262944000000005</v>
      </c>
      <c r="F271">
        <v>42.546762999999999</v>
      </c>
      <c r="G271">
        <v>19.685842999999998</v>
      </c>
      <c r="H271">
        <v>22.048394999999999</v>
      </c>
    </row>
    <row r="272" spans="1:9" customFormat="1" x14ac:dyDescent="0.3">
      <c r="A272">
        <v>1096.5999999999999</v>
      </c>
      <c r="B272">
        <v>100.55646900000001</v>
      </c>
      <c r="C272">
        <v>104.61382999999999</v>
      </c>
      <c r="D272">
        <v>108.339344</v>
      </c>
      <c r="E272">
        <v>79.262944000000005</v>
      </c>
      <c r="F272">
        <v>42.546762999999999</v>
      </c>
      <c r="G272">
        <v>19.685842999999998</v>
      </c>
      <c r="H272">
        <v>22.048394999999999</v>
      </c>
    </row>
    <row r="273" spans="1:9" customFormat="1" x14ac:dyDescent="0.3">
      <c r="A273">
        <v>1096.8</v>
      </c>
      <c r="B273">
        <v>100.541974</v>
      </c>
      <c r="C273">
        <v>104.610381</v>
      </c>
      <c r="D273">
        <v>108.32122200000001</v>
      </c>
      <c r="E273">
        <v>79.381763000000007</v>
      </c>
      <c r="F273">
        <v>42.375562000000002</v>
      </c>
      <c r="G273">
        <v>19.689776999999999</v>
      </c>
      <c r="H273">
        <v>22.055163</v>
      </c>
    </row>
    <row r="274" spans="1:9" customFormat="1" x14ac:dyDescent="0.3">
      <c r="A274">
        <v>1247</v>
      </c>
      <c r="B274">
        <v>110.017617</v>
      </c>
      <c r="C274">
        <v>115.02977799999999</v>
      </c>
      <c r="D274">
        <v>119.617493</v>
      </c>
      <c r="E274">
        <v>83.547196</v>
      </c>
      <c r="F274">
        <v>44.410696000000002</v>
      </c>
      <c r="G274">
        <v>19.76765</v>
      </c>
      <c r="H274">
        <v>22.722833999999999</v>
      </c>
      <c r="I274" t="s">
        <v>61</v>
      </c>
    </row>
    <row r="275" spans="1:9" customFormat="1" x14ac:dyDescent="0.3">
      <c r="A275">
        <v>1247.2</v>
      </c>
      <c r="B275">
        <v>110.003112</v>
      </c>
      <c r="C275">
        <v>115.048067</v>
      </c>
      <c r="D275">
        <v>119.654246</v>
      </c>
      <c r="E275">
        <v>83.437098000000006</v>
      </c>
      <c r="F275">
        <v>43.668022000000001</v>
      </c>
      <c r="G275">
        <v>19.756388000000001</v>
      </c>
      <c r="H275">
        <v>22.727221</v>
      </c>
    </row>
    <row r="276" spans="1:9" customFormat="1" x14ac:dyDescent="0.3">
      <c r="A276">
        <v>1247.4000000000001</v>
      </c>
      <c r="B276">
        <v>110.003112</v>
      </c>
      <c r="C276">
        <v>115.048067</v>
      </c>
      <c r="D276">
        <v>119.654246</v>
      </c>
      <c r="E276">
        <v>83.437098000000006</v>
      </c>
      <c r="F276">
        <v>43.668022000000001</v>
      </c>
      <c r="G276">
        <v>19.756388000000001</v>
      </c>
      <c r="H276">
        <v>22.727221</v>
      </c>
    </row>
    <row r="277" spans="1:9" customFormat="1" x14ac:dyDescent="0.3">
      <c r="A277">
        <v>1247.5999999999999</v>
      </c>
      <c r="B277">
        <v>109.991834</v>
      </c>
      <c r="C277">
        <v>115.06034699999999</v>
      </c>
      <c r="D277">
        <v>119.63790400000001</v>
      </c>
      <c r="E277">
        <v>83.621343999999993</v>
      </c>
      <c r="F277">
        <v>44.741439999999997</v>
      </c>
      <c r="G277">
        <v>19.775728000000001</v>
      </c>
      <c r="H277">
        <v>22.749825000000001</v>
      </c>
    </row>
    <row r="278" spans="1:9" customFormat="1" x14ac:dyDescent="0.3">
      <c r="A278">
        <v>1247.8</v>
      </c>
      <c r="B278">
        <v>109.991834</v>
      </c>
      <c r="C278">
        <v>115.06034699999999</v>
      </c>
      <c r="D278">
        <v>119.63790400000001</v>
      </c>
      <c r="E278">
        <v>83.621343999999993</v>
      </c>
      <c r="F278">
        <v>44.741439999999997</v>
      </c>
      <c r="G278">
        <v>19.775728000000001</v>
      </c>
      <c r="H278">
        <v>22.749825000000001</v>
      </c>
    </row>
    <row r="279" spans="1:9" customFormat="1" x14ac:dyDescent="0.3">
      <c r="A279">
        <v>1248</v>
      </c>
      <c r="B279">
        <v>110.01167</v>
      </c>
      <c r="C279">
        <v>115.08062099999999</v>
      </c>
      <c r="D279">
        <v>119.66556199999999</v>
      </c>
      <c r="E279">
        <v>83.824601000000001</v>
      </c>
      <c r="F279">
        <v>45.439104</v>
      </c>
      <c r="G279">
        <v>19.776187</v>
      </c>
      <c r="H279">
        <v>22.75123</v>
      </c>
      <c r="I279" t="s">
        <v>61</v>
      </c>
    </row>
    <row r="280" spans="1:9" customFormat="1" x14ac:dyDescent="0.3">
      <c r="A280">
        <v>1248.2</v>
      </c>
      <c r="B280">
        <v>110.01167</v>
      </c>
      <c r="C280">
        <v>115.08062099999999</v>
      </c>
      <c r="D280">
        <v>119.66556199999999</v>
      </c>
      <c r="E280">
        <v>83.824601000000001</v>
      </c>
      <c r="F280">
        <v>45.439104</v>
      </c>
      <c r="G280">
        <v>19.776187</v>
      </c>
      <c r="H280">
        <v>22.75123</v>
      </c>
    </row>
    <row r="281" spans="1:9" customFormat="1" x14ac:dyDescent="0.3">
      <c r="A281">
        <v>1248.4000000000001</v>
      </c>
      <c r="B281">
        <v>110.056528</v>
      </c>
      <c r="C281">
        <v>115.116195</v>
      </c>
      <c r="D281">
        <v>119.680359</v>
      </c>
      <c r="E281">
        <v>83.994350999999995</v>
      </c>
      <c r="F281">
        <v>44.837943000000003</v>
      </c>
      <c r="G281">
        <v>19.758975</v>
      </c>
      <c r="H281">
        <v>22.767669999999999</v>
      </c>
    </row>
    <row r="282" spans="1:9" customFormat="1" x14ac:dyDescent="0.3">
      <c r="A282">
        <v>1248.5999999999999</v>
      </c>
      <c r="B282">
        <v>110.056528</v>
      </c>
      <c r="C282">
        <v>115.116195</v>
      </c>
      <c r="D282">
        <v>119.680359</v>
      </c>
      <c r="E282">
        <v>83.994350999999995</v>
      </c>
      <c r="F282">
        <v>44.837943000000003</v>
      </c>
      <c r="G282">
        <v>19.758975</v>
      </c>
      <c r="H282">
        <v>22.767669999999999</v>
      </c>
    </row>
    <row r="283" spans="1:9" customFormat="1" x14ac:dyDescent="0.3">
      <c r="A283">
        <v>1248.8</v>
      </c>
      <c r="B283">
        <v>110.095129</v>
      </c>
      <c r="C283">
        <v>115.13259100000001</v>
      </c>
      <c r="D283">
        <v>119.6986</v>
      </c>
      <c r="E283">
        <v>83.850620000000006</v>
      </c>
      <c r="F283">
        <v>44.686084000000001</v>
      </c>
      <c r="G283">
        <v>19.769161</v>
      </c>
      <c r="H283">
        <v>22.762208000000001</v>
      </c>
    </row>
    <row r="284" spans="1:9" customFormat="1" x14ac:dyDescent="0.3">
      <c r="A284">
        <v>1249</v>
      </c>
      <c r="B284">
        <v>110.095129</v>
      </c>
      <c r="C284">
        <v>115.13259100000001</v>
      </c>
      <c r="D284">
        <v>119.6986</v>
      </c>
      <c r="E284">
        <v>83.850620000000006</v>
      </c>
      <c r="F284">
        <v>44.686084000000001</v>
      </c>
      <c r="G284">
        <v>19.769161</v>
      </c>
      <c r="H284">
        <v>22.762208000000001</v>
      </c>
      <c r="I284" t="s">
        <v>61</v>
      </c>
    </row>
    <row r="285" spans="1:9" customFormat="1" x14ac:dyDescent="0.3">
      <c r="A285">
        <v>1249.2</v>
      </c>
      <c r="B285">
        <v>110.10298400000001</v>
      </c>
      <c r="C285">
        <v>115.17367900000001</v>
      </c>
      <c r="D285">
        <v>119.72745</v>
      </c>
      <c r="E285">
        <v>83.961008000000007</v>
      </c>
      <c r="F285">
        <v>44.852848000000002</v>
      </c>
      <c r="G285">
        <v>19.790990000000001</v>
      </c>
      <c r="H285">
        <v>22.777828</v>
      </c>
    </row>
    <row r="286" spans="1:9" customFormat="1" x14ac:dyDescent="0.3">
      <c r="A286">
        <v>1249.4000000000001</v>
      </c>
      <c r="B286">
        <v>110.10298400000001</v>
      </c>
      <c r="C286">
        <v>115.17367900000001</v>
      </c>
      <c r="D286">
        <v>119.72745</v>
      </c>
      <c r="E286">
        <v>83.961008000000007</v>
      </c>
      <c r="F286">
        <v>44.852848000000002</v>
      </c>
      <c r="G286">
        <v>19.790990000000001</v>
      </c>
      <c r="H286">
        <v>22.777828</v>
      </c>
    </row>
    <row r="287" spans="1:9" customFormat="1" x14ac:dyDescent="0.3">
      <c r="A287">
        <v>1249.5999999999999</v>
      </c>
      <c r="B287">
        <v>110.121636</v>
      </c>
      <c r="C287">
        <v>115.148449</v>
      </c>
      <c r="D287">
        <v>119.758312</v>
      </c>
      <c r="E287">
        <v>83.719234999999998</v>
      </c>
      <c r="F287">
        <v>43.870148</v>
      </c>
      <c r="G287">
        <v>19.774570000000001</v>
      </c>
      <c r="H287">
        <v>22.738256</v>
      </c>
    </row>
    <row r="288" spans="1:9" customFormat="1" x14ac:dyDescent="0.3">
      <c r="A288">
        <v>1249.8</v>
      </c>
      <c r="B288">
        <v>110.121636</v>
      </c>
      <c r="C288">
        <v>115.148449</v>
      </c>
      <c r="D288">
        <v>119.758312</v>
      </c>
      <c r="E288">
        <v>83.719234999999998</v>
      </c>
      <c r="F288">
        <v>43.870148</v>
      </c>
      <c r="G288">
        <v>19.774570000000001</v>
      </c>
      <c r="H288">
        <v>22.738256</v>
      </c>
    </row>
    <row r="289" spans="1:9" customFormat="1" x14ac:dyDescent="0.3">
      <c r="A289">
        <v>1250</v>
      </c>
      <c r="B289">
        <v>110.120811</v>
      </c>
      <c r="C289">
        <v>115.17348</v>
      </c>
      <c r="D289">
        <v>119.748717</v>
      </c>
      <c r="E289">
        <v>83.634245000000007</v>
      </c>
      <c r="F289">
        <v>43.905923999999999</v>
      </c>
      <c r="G289">
        <v>19.777636000000001</v>
      </c>
      <c r="H289">
        <v>22.720960999999999</v>
      </c>
      <c r="I289" t="s">
        <v>61</v>
      </c>
    </row>
    <row r="290" spans="1:9" customFormat="1" x14ac:dyDescent="0.3">
      <c r="A290">
        <v>1250.2</v>
      </c>
      <c r="B290">
        <v>110.120811</v>
      </c>
      <c r="C290">
        <v>115.17348</v>
      </c>
      <c r="D290">
        <v>119.748717</v>
      </c>
      <c r="E290">
        <v>83.634245000000007</v>
      </c>
      <c r="F290">
        <v>43.905923999999999</v>
      </c>
      <c r="G290">
        <v>19.777636000000001</v>
      </c>
      <c r="H290">
        <v>22.720960999999999</v>
      </c>
    </row>
    <row r="291" spans="1:9" customFormat="1" x14ac:dyDescent="0.3">
      <c r="A291">
        <v>1250.4000000000001</v>
      </c>
      <c r="B291">
        <v>110.12313399999999</v>
      </c>
      <c r="C291">
        <v>115.166566</v>
      </c>
      <c r="D291">
        <v>119.771349</v>
      </c>
      <c r="E291">
        <v>83.700486999999995</v>
      </c>
      <c r="F291">
        <v>44.635154</v>
      </c>
      <c r="G291">
        <v>19.757062000000001</v>
      </c>
      <c r="H291">
        <v>22.710853</v>
      </c>
    </row>
    <row r="292" spans="1:9" customFormat="1" x14ac:dyDescent="0.3">
      <c r="A292">
        <v>1250.5999999999999</v>
      </c>
      <c r="B292">
        <v>110.12313399999999</v>
      </c>
      <c r="C292">
        <v>115.166566</v>
      </c>
      <c r="D292">
        <v>119.771349</v>
      </c>
      <c r="E292">
        <v>83.700486999999995</v>
      </c>
      <c r="F292">
        <v>44.635154</v>
      </c>
      <c r="G292">
        <v>19.757062000000001</v>
      </c>
      <c r="H292">
        <v>22.710853</v>
      </c>
    </row>
    <row r="293" spans="1:9" customFormat="1" x14ac:dyDescent="0.3">
      <c r="A293">
        <v>1250.8</v>
      </c>
      <c r="B293">
        <v>110.12106</v>
      </c>
      <c r="C293">
        <v>115.17280599999999</v>
      </c>
      <c r="D293">
        <v>119.76143</v>
      </c>
      <c r="E293">
        <v>83.249538999999999</v>
      </c>
      <c r="F293">
        <v>44.879438</v>
      </c>
      <c r="G293">
        <v>19.792950000000001</v>
      </c>
      <c r="H293">
        <v>22.708307999999999</v>
      </c>
    </row>
    <row r="294" spans="1:9" customFormat="1" x14ac:dyDescent="0.3">
      <c r="A294">
        <v>1251</v>
      </c>
      <c r="B294">
        <v>110.12106</v>
      </c>
      <c r="C294">
        <v>115.17280599999999</v>
      </c>
      <c r="D294">
        <v>119.76143</v>
      </c>
      <c r="E294">
        <v>83.249538999999999</v>
      </c>
      <c r="F294">
        <v>44.879438</v>
      </c>
      <c r="G294">
        <v>19.792950000000001</v>
      </c>
      <c r="H294">
        <v>22.708307999999999</v>
      </c>
      <c r="I294" t="s">
        <v>61</v>
      </c>
    </row>
    <row r="295" spans="1:9" customFormat="1" x14ac:dyDescent="0.3">
      <c r="A295">
        <v>1251.2</v>
      </c>
      <c r="B295">
        <v>110.08447099999999</v>
      </c>
      <c r="C295">
        <v>115.174578</v>
      </c>
      <c r="D295">
        <v>119.792748</v>
      </c>
      <c r="E295">
        <v>83.359842999999998</v>
      </c>
      <c r="F295">
        <v>45.719551000000003</v>
      </c>
      <c r="G295">
        <v>19.786306</v>
      </c>
      <c r="H295">
        <v>22.704521</v>
      </c>
    </row>
    <row r="296" spans="1:9" customFormat="1" x14ac:dyDescent="0.3">
      <c r="A296">
        <v>1251.4000000000001</v>
      </c>
      <c r="B296">
        <v>110.08447099999999</v>
      </c>
      <c r="C296">
        <v>115.174578</v>
      </c>
      <c r="D296">
        <v>119.792748</v>
      </c>
      <c r="E296">
        <v>83.359842999999998</v>
      </c>
      <c r="F296">
        <v>45.719551000000003</v>
      </c>
      <c r="G296">
        <v>19.786306</v>
      </c>
      <c r="H296">
        <v>22.704521</v>
      </c>
    </row>
    <row r="297" spans="1:9" customFormat="1" x14ac:dyDescent="0.3">
      <c r="A297">
        <v>1251.5999999999999</v>
      </c>
      <c r="B297">
        <v>110.072976</v>
      </c>
      <c r="C297">
        <v>115.16609699999999</v>
      </c>
      <c r="D297">
        <v>119.799733</v>
      </c>
      <c r="E297">
        <v>83.360822999999996</v>
      </c>
      <c r="F297">
        <v>45.936140999999999</v>
      </c>
      <c r="G297">
        <v>19.773748000000001</v>
      </c>
      <c r="H297">
        <v>22.698148</v>
      </c>
    </row>
    <row r="298" spans="1:9" customFormat="1" x14ac:dyDescent="0.3">
      <c r="A298">
        <v>1251.8</v>
      </c>
      <c r="B298">
        <v>110.072976</v>
      </c>
      <c r="C298">
        <v>115.16609699999999</v>
      </c>
      <c r="D298">
        <v>119.799733</v>
      </c>
      <c r="E298">
        <v>83.360822999999996</v>
      </c>
      <c r="F298">
        <v>45.936140999999999</v>
      </c>
      <c r="G298">
        <v>19.773748000000001</v>
      </c>
      <c r="H298">
        <v>22.698148</v>
      </c>
    </row>
    <row r="299" spans="1:9" customFormat="1" x14ac:dyDescent="0.3">
      <c r="A299">
        <v>1252</v>
      </c>
      <c r="B299">
        <v>110.04326</v>
      </c>
      <c r="C299">
        <v>115.16896300000001</v>
      </c>
      <c r="D299">
        <v>119.79313500000001</v>
      </c>
      <c r="E299">
        <v>83.521201000000005</v>
      </c>
      <c r="F299">
        <v>46.196083999999999</v>
      </c>
      <c r="G299">
        <v>19.772901000000001</v>
      </c>
      <c r="H299">
        <v>22.674581</v>
      </c>
      <c r="I299" t="s">
        <v>61</v>
      </c>
    </row>
    <row r="300" spans="1:9" customFormat="1" x14ac:dyDescent="0.3">
      <c r="A300">
        <v>1252.2</v>
      </c>
      <c r="B300">
        <v>110.04326</v>
      </c>
      <c r="C300">
        <v>115.16896300000001</v>
      </c>
      <c r="D300">
        <v>119.79313500000001</v>
      </c>
      <c r="E300">
        <v>83.521201000000005</v>
      </c>
      <c r="F300">
        <v>46.196083999999999</v>
      </c>
      <c r="G300">
        <v>19.772901000000001</v>
      </c>
      <c r="H300">
        <v>22.674581</v>
      </c>
    </row>
    <row r="301" spans="1:9" customFormat="1" x14ac:dyDescent="0.3">
      <c r="A301">
        <v>1252.4000000000001</v>
      </c>
      <c r="B301">
        <v>110.062797</v>
      </c>
      <c r="C301">
        <v>115.177167</v>
      </c>
      <c r="D301">
        <v>119.79556700000001</v>
      </c>
      <c r="E301">
        <v>83.757732000000004</v>
      </c>
      <c r="F301">
        <v>46.549838000000001</v>
      </c>
      <c r="G301">
        <v>19.766062999999999</v>
      </c>
      <c r="H301">
        <v>22.692848999999999</v>
      </c>
    </row>
    <row r="302" spans="1:9" customFormat="1" x14ac:dyDescent="0.3">
      <c r="A302">
        <v>1252.5999999999999</v>
      </c>
      <c r="B302">
        <v>110.062797</v>
      </c>
      <c r="C302">
        <v>115.177167</v>
      </c>
      <c r="D302">
        <v>119.79556700000001</v>
      </c>
      <c r="E302">
        <v>83.757732000000004</v>
      </c>
      <c r="F302">
        <v>46.549838000000001</v>
      </c>
      <c r="G302">
        <v>19.766062999999999</v>
      </c>
      <c r="H302">
        <v>22.692848999999999</v>
      </c>
    </row>
    <row r="303" spans="1:9" customFormat="1" x14ac:dyDescent="0.3">
      <c r="A303">
        <v>1252.8</v>
      </c>
      <c r="B303">
        <v>110.080265</v>
      </c>
      <c r="C303">
        <v>115.194616</v>
      </c>
      <c r="D303">
        <v>119.807244</v>
      </c>
      <c r="E303">
        <v>83.964388</v>
      </c>
      <c r="F303">
        <v>46.422635999999997</v>
      </c>
      <c r="G303">
        <v>19.769462000000001</v>
      </c>
      <c r="H303">
        <v>22.700500000000002</v>
      </c>
    </row>
    <row r="304" spans="1:9" customFormat="1" x14ac:dyDescent="0.3">
      <c r="A304">
        <v>1253</v>
      </c>
      <c r="B304">
        <v>110.080265</v>
      </c>
      <c r="C304">
        <v>115.194616</v>
      </c>
      <c r="D304">
        <v>119.807244</v>
      </c>
      <c r="E304">
        <v>83.964388</v>
      </c>
      <c r="F304">
        <v>46.422635999999997</v>
      </c>
      <c r="G304">
        <v>19.769462000000001</v>
      </c>
      <c r="H304">
        <v>22.700500000000002</v>
      </c>
      <c r="I304" t="s">
        <v>61</v>
      </c>
    </row>
    <row r="305" spans="1:9" customFormat="1" x14ac:dyDescent="0.3">
      <c r="A305">
        <v>1253.2</v>
      </c>
      <c r="B305">
        <v>110.14704500000001</v>
      </c>
      <c r="C305">
        <v>115.201992</v>
      </c>
      <c r="D305">
        <v>119.808618</v>
      </c>
      <c r="E305">
        <v>83.831447999999995</v>
      </c>
      <c r="F305">
        <v>46.101033000000001</v>
      </c>
      <c r="G305">
        <v>19.772029</v>
      </c>
      <c r="H305">
        <v>22.715841000000001</v>
      </c>
    </row>
    <row r="306" spans="1:9" customFormat="1" x14ac:dyDescent="0.3">
      <c r="A306">
        <v>1253.4000000000001</v>
      </c>
      <c r="B306">
        <v>110.14704500000001</v>
      </c>
      <c r="C306">
        <v>115.201992</v>
      </c>
      <c r="D306">
        <v>119.808618</v>
      </c>
      <c r="E306">
        <v>83.831447999999995</v>
      </c>
      <c r="F306">
        <v>46.101033000000001</v>
      </c>
      <c r="G306">
        <v>19.772029</v>
      </c>
      <c r="H306">
        <v>22.715841000000001</v>
      </c>
    </row>
    <row r="307" spans="1:9" customFormat="1" x14ac:dyDescent="0.3">
      <c r="A307">
        <v>1253.5999999999999</v>
      </c>
      <c r="B307">
        <v>110.172315</v>
      </c>
      <c r="C307">
        <v>115.242009</v>
      </c>
      <c r="D307">
        <v>119.839859</v>
      </c>
      <c r="E307">
        <v>83.427473000000006</v>
      </c>
      <c r="F307">
        <v>45.827930000000002</v>
      </c>
      <c r="G307">
        <v>19.772513</v>
      </c>
      <c r="H307">
        <v>22.697389999999999</v>
      </c>
    </row>
    <row r="308" spans="1:9" customFormat="1" x14ac:dyDescent="0.3">
      <c r="A308">
        <v>1253.8</v>
      </c>
      <c r="B308">
        <v>110.172315</v>
      </c>
      <c r="C308">
        <v>115.242009</v>
      </c>
      <c r="D308">
        <v>119.839859</v>
      </c>
      <c r="E308">
        <v>83.427473000000006</v>
      </c>
      <c r="F308">
        <v>45.827930000000002</v>
      </c>
      <c r="G308">
        <v>19.772513</v>
      </c>
      <c r="H308">
        <v>22.697389999999999</v>
      </c>
    </row>
    <row r="309" spans="1:9" customFormat="1" x14ac:dyDescent="0.3">
      <c r="A309">
        <v>1254</v>
      </c>
      <c r="B309">
        <v>110.138274</v>
      </c>
      <c r="C309">
        <v>115.229705</v>
      </c>
      <c r="D309">
        <v>119.80955299999999</v>
      </c>
      <c r="E309">
        <v>83.374745000000004</v>
      </c>
      <c r="F309">
        <v>45.665126999999998</v>
      </c>
      <c r="G309">
        <v>19.773987999999999</v>
      </c>
      <c r="H309">
        <v>22.685133</v>
      </c>
      <c r="I309" t="s">
        <v>61</v>
      </c>
    </row>
    <row r="310" spans="1:9" customFormat="1" x14ac:dyDescent="0.3">
      <c r="A310">
        <v>1254.2</v>
      </c>
      <c r="B310">
        <v>110.138274</v>
      </c>
      <c r="C310">
        <v>115.229705</v>
      </c>
      <c r="D310">
        <v>119.80955299999999</v>
      </c>
      <c r="E310">
        <v>83.374745000000004</v>
      </c>
      <c r="F310">
        <v>45.665126999999998</v>
      </c>
      <c r="G310">
        <v>19.773987999999999</v>
      </c>
      <c r="H310">
        <v>22.685133</v>
      </c>
    </row>
    <row r="311" spans="1:9" customFormat="1" x14ac:dyDescent="0.3">
      <c r="A311">
        <v>1254.4000000000001</v>
      </c>
      <c r="B311">
        <v>110.13180199999999</v>
      </c>
      <c r="C311">
        <v>115.21770100000001</v>
      </c>
      <c r="D311">
        <v>119.83679100000001</v>
      </c>
      <c r="E311">
        <v>83.488344999999995</v>
      </c>
      <c r="F311">
        <v>46.043495</v>
      </c>
      <c r="G311">
        <v>19.751352000000001</v>
      </c>
      <c r="H311">
        <v>22.685749000000001</v>
      </c>
    </row>
    <row r="312" spans="1:9" customFormat="1" x14ac:dyDescent="0.3">
      <c r="A312">
        <v>1254.5999999999999</v>
      </c>
      <c r="B312">
        <v>110.13180199999999</v>
      </c>
      <c r="C312">
        <v>115.21770100000001</v>
      </c>
      <c r="D312">
        <v>119.83679100000001</v>
      </c>
      <c r="E312">
        <v>83.488344999999995</v>
      </c>
      <c r="F312">
        <v>46.043495</v>
      </c>
      <c r="G312">
        <v>19.751352000000001</v>
      </c>
      <c r="H312">
        <v>22.685749000000001</v>
      </c>
    </row>
    <row r="313" spans="1:9" customFormat="1" x14ac:dyDescent="0.3">
      <c r="A313">
        <v>1254.8</v>
      </c>
      <c r="B313">
        <v>110.120884</v>
      </c>
      <c r="C313">
        <v>115.205871</v>
      </c>
      <c r="D313">
        <v>119.85681700000001</v>
      </c>
      <c r="E313">
        <v>83.608099999999993</v>
      </c>
      <c r="F313">
        <v>45.996636000000002</v>
      </c>
      <c r="G313">
        <v>19.765588999999999</v>
      </c>
      <c r="H313">
        <v>22.681488999999999</v>
      </c>
    </row>
    <row r="314" spans="1:9" customFormat="1" x14ac:dyDescent="0.3">
      <c r="A314">
        <v>1255</v>
      </c>
      <c r="B314">
        <v>110.120884</v>
      </c>
      <c r="C314">
        <v>115.205871</v>
      </c>
      <c r="D314">
        <v>119.85681700000001</v>
      </c>
      <c r="E314">
        <v>83.608099999999993</v>
      </c>
      <c r="F314">
        <v>45.996636000000002</v>
      </c>
      <c r="G314">
        <v>19.765588999999999</v>
      </c>
      <c r="H314">
        <v>22.681488999999999</v>
      </c>
      <c r="I314" t="s">
        <v>61</v>
      </c>
    </row>
    <row r="315" spans="1:9" customFormat="1" x14ac:dyDescent="0.3">
      <c r="A315">
        <v>1255.2</v>
      </c>
      <c r="B315">
        <v>110.12563</v>
      </c>
      <c r="C315">
        <v>115.241085</v>
      </c>
      <c r="D315">
        <v>119.825086</v>
      </c>
      <c r="E315">
        <v>83.585688000000005</v>
      </c>
      <c r="F315">
        <v>46.305615000000003</v>
      </c>
      <c r="G315">
        <v>19.775963000000001</v>
      </c>
      <c r="H315">
        <v>22.677161999999999</v>
      </c>
    </row>
    <row r="316" spans="1:9" customFormat="1" x14ac:dyDescent="0.3">
      <c r="A316">
        <v>1255.4000000000001</v>
      </c>
      <c r="B316">
        <v>110.12563</v>
      </c>
      <c r="C316">
        <v>115.241085</v>
      </c>
      <c r="D316">
        <v>119.825086</v>
      </c>
      <c r="E316">
        <v>83.585688000000005</v>
      </c>
      <c r="F316">
        <v>46.305615000000003</v>
      </c>
      <c r="G316">
        <v>19.775963000000001</v>
      </c>
      <c r="H316">
        <v>22.677161999999999</v>
      </c>
    </row>
    <row r="317" spans="1:9" customFormat="1" x14ac:dyDescent="0.3">
      <c r="A317">
        <v>1255.5999999999999</v>
      </c>
      <c r="B317">
        <v>110.139284</v>
      </c>
      <c r="C317">
        <v>115.236717</v>
      </c>
      <c r="D317">
        <v>119.85165000000001</v>
      </c>
      <c r="E317">
        <v>83.480152000000004</v>
      </c>
      <c r="F317">
        <v>46.484132000000002</v>
      </c>
      <c r="G317">
        <v>19.755683999999999</v>
      </c>
      <c r="H317">
        <v>22.658353999999999</v>
      </c>
    </row>
    <row r="318" spans="1:9" customFormat="1" x14ac:dyDescent="0.3">
      <c r="A318">
        <v>1255.8</v>
      </c>
      <c r="B318">
        <v>110.139284</v>
      </c>
      <c r="C318">
        <v>115.236717</v>
      </c>
      <c r="D318">
        <v>119.85165000000001</v>
      </c>
      <c r="E318">
        <v>83.480152000000004</v>
      </c>
      <c r="F318">
        <v>46.484132000000002</v>
      </c>
      <c r="G318">
        <v>19.755683999999999</v>
      </c>
      <c r="H318">
        <v>22.658353999999999</v>
      </c>
    </row>
    <row r="319" spans="1:9" customFormat="1" x14ac:dyDescent="0.3">
      <c r="A319">
        <v>1256</v>
      </c>
      <c r="B319">
        <v>110.120158</v>
      </c>
      <c r="C319">
        <v>115.237697</v>
      </c>
      <c r="D319">
        <v>119.857478</v>
      </c>
      <c r="E319">
        <v>83.660730999999998</v>
      </c>
      <c r="F319">
        <v>46.528328000000002</v>
      </c>
      <c r="G319">
        <v>19.782454000000001</v>
      </c>
      <c r="H319">
        <v>22.672276</v>
      </c>
      <c r="I319" t="s">
        <v>61</v>
      </c>
    </row>
    <row r="320" spans="1:9" customFormat="1" x14ac:dyDescent="0.3">
      <c r="A320">
        <v>1256.2</v>
      </c>
      <c r="B320">
        <v>110.120158</v>
      </c>
      <c r="C320">
        <v>115.237697</v>
      </c>
      <c r="D320">
        <v>119.857478</v>
      </c>
      <c r="E320">
        <v>83.660730999999998</v>
      </c>
      <c r="F320">
        <v>46.528328000000002</v>
      </c>
      <c r="G320">
        <v>19.782454000000001</v>
      </c>
      <c r="H320">
        <v>22.672276</v>
      </c>
    </row>
    <row r="321" spans="1:9" customFormat="1" x14ac:dyDescent="0.3">
      <c r="A321">
        <v>1256.4000000000001</v>
      </c>
      <c r="B321">
        <v>110.14125799999999</v>
      </c>
      <c r="C321">
        <v>115.24284400000001</v>
      </c>
      <c r="D321">
        <v>119.838386</v>
      </c>
      <c r="E321">
        <v>83.589738999999994</v>
      </c>
      <c r="F321">
        <v>46.512698999999998</v>
      </c>
      <c r="G321">
        <v>19.773422</v>
      </c>
      <c r="H321">
        <v>22.671786999999998</v>
      </c>
    </row>
    <row r="322" spans="1:9" customFormat="1" x14ac:dyDescent="0.3">
      <c r="A322">
        <v>1256.5999999999999</v>
      </c>
      <c r="B322">
        <v>110.14125799999999</v>
      </c>
      <c r="C322">
        <v>115.24284400000001</v>
      </c>
      <c r="D322">
        <v>119.838386</v>
      </c>
      <c r="E322">
        <v>83.589738999999994</v>
      </c>
      <c r="F322">
        <v>46.512698999999998</v>
      </c>
      <c r="G322">
        <v>19.773422</v>
      </c>
      <c r="H322">
        <v>22.671786999999998</v>
      </c>
    </row>
    <row r="323" spans="1:9" customFormat="1" x14ac:dyDescent="0.3">
      <c r="A323">
        <v>1256.8</v>
      </c>
      <c r="B323">
        <v>110.17563699999999</v>
      </c>
      <c r="C323">
        <v>115.265642</v>
      </c>
      <c r="D323">
        <v>119.86626099999999</v>
      </c>
      <c r="E323">
        <v>83.696618000000001</v>
      </c>
      <c r="F323">
        <v>46.611659000000003</v>
      </c>
      <c r="G323">
        <v>19.771599999999999</v>
      </c>
      <c r="H323">
        <v>22.691272000000001</v>
      </c>
    </row>
    <row r="324" spans="1:9" customFormat="1" x14ac:dyDescent="0.3">
      <c r="A324">
        <v>1456</v>
      </c>
      <c r="B324">
        <v>123.785482</v>
      </c>
      <c r="C324">
        <v>130.44217699999999</v>
      </c>
      <c r="D324">
        <v>136.296436</v>
      </c>
      <c r="E324">
        <v>89.076856000000006</v>
      </c>
      <c r="F324">
        <v>49.554383999999999</v>
      </c>
      <c r="G324">
        <v>19.906586999999998</v>
      </c>
      <c r="H324">
        <v>23.668566999999999</v>
      </c>
      <c r="I324" t="s">
        <v>61</v>
      </c>
    </row>
    <row r="325" spans="1:9" customFormat="1" x14ac:dyDescent="0.3">
      <c r="A325">
        <v>1456.2</v>
      </c>
      <c r="B325">
        <v>123.785482</v>
      </c>
      <c r="C325">
        <v>130.44217699999999</v>
      </c>
      <c r="D325">
        <v>136.296436</v>
      </c>
      <c r="E325">
        <v>89.076856000000006</v>
      </c>
      <c r="F325">
        <v>49.554383999999999</v>
      </c>
      <c r="G325">
        <v>19.906586999999998</v>
      </c>
      <c r="H325">
        <v>23.668566999999999</v>
      </c>
    </row>
    <row r="326" spans="1:9" customFormat="1" x14ac:dyDescent="0.3">
      <c r="A326">
        <v>1456.4</v>
      </c>
      <c r="B326">
        <v>123.82088299999999</v>
      </c>
      <c r="C326">
        <v>130.449623</v>
      </c>
      <c r="D326">
        <v>136.29479799999999</v>
      </c>
      <c r="E326">
        <v>89.052441000000002</v>
      </c>
      <c r="F326">
        <v>49.511341999999999</v>
      </c>
      <c r="G326">
        <v>19.874717</v>
      </c>
      <c r="H326">
        <v>23.664234</v>
      </c>
    </row>
    <row r="327" spans="1:9" customFormat="1" x14ac:dyDescent="0.3">
      <c r="A327">
        <v>1456.6</v>
      </c>
      <c r="B327">
        <v>123.82088299999999</v>
      </c>
      <c r="C327">
        <v>130.449623</v>
      </c>
      <c r="D327">
        <v>136.29479799999999</v>
      </c>
      <c r="E327">
        <v>89.052441000000002</v>
      </c>
      <c r="F327">
        <v>49.511341999999999</v>
      </c>
      <c r="G327">
        <v>19.874717</v>
      </c>
      <c r="H327">
        <v>23.664234</v>
      </c>
    </row>
    <row r="328" spans="1:9" customFormat="1" x14ac:dyDescent="0.3">
      <c r="A328">
        <v>1456.8</v>
      </c>
      <c r="B328">
        <v>123.810892</v>
      </c>
      <c r="C328">
        <v>130.44336000000001</v>
      </c>
      <c r="D328">
        <v>136.31346400000001</v>
      </c>
      <c r="E328">
        <v>88.773397000000003</v>
      </c>
      <c r="F328">
        <v>49.032783000000002</v>
      </c>
      <c r="G328">
        <v>19.879269000000001</v>
      </c>
      <c r="H328">
        <v>23.657419999999998</v>
      </c>
    </row>
    <row r="329" spans="1:9" customFormat="1" x14ac:dyDescent="0.3">
      <c r="A329">
        <v>1457</v>
      </c>
      <c r="B329">
        <v>123.810892</v>
      </c>
      <c r="C329">
        <v>130.44336000000001</v>
      </c>
      <c r="D329">
        <v>136.31346400000001</v>
      </c>
      <c r="E329">
        <v>88.773397000000003</v>
      </c>
      <c r="F329">
        <v>49.032783000000002</v>
      </c>
      <c r="G329">
        <v>19.879269000000001</v>
      </c>
      <c r="H329">
        <v>23.657419999999998</v>
      </c>
      <c r="I329" t="s">
        <v>61</v>
      </c>
    </row>
    <row r="330" spans="1:9" customFormat="1" x14ac:dyDescent="0.3">
      <c r="A330">
        <v>1457.2</v>
      </c>
      <c r="B330">
        <v>123.807045</v>
      </c>
      <c r="C330">
        <v>130.42716899999999</v>
      </c>
      <c r="D330">
        <v>136.326393</v>
      </c>
      <c r="E330">
        <v>88.915342999999993</v>
      </c>
      <c r="F330">
        <v>48.827865000000003</v>
      </c>
      <c r="G330">
        <v>19.882667000000001</v>
      </c>
      <c r="H330">
        <v>23.672630999999999</v>
      </c>
    </row>
    <row r="331" spans="1:9" customFormat="1" x14ac:dyDescent="0.3">
      <c r="A331">
        <v>1457.4</v>
      </c>
      <c r="B331">
        <v>123.807045</v>
      </c>
      <c r="C331">
        <v>130.42716899999999</v>
      </c>
      <c r="D331">
        <v>136.326393</v>
      </c>
      <c r="E331">
        <v>88.915342999999993</v>
      </c>
      <c r="F331">
        <v>48.827865000000003</v>
      </c>
      <c r="G331">
        <v>19.882667000000001</v>
      </c>
      <c r="H331">
        <v>23.672630999999999</v>
      </c>
    </row>
    <row r="332" spans="1:9" customFormat="1" x14ac:dyDescent="0.3">
      <c r="A332">
        <v>1457.6</v>
      </c>
      <c r="B332">
        <v>123.817232</v>
      </c>
      <c r="C332">
        <v>130.468098</v>
      </c>
      <c r="D332">
        <v>136.335418</v>
      </c>
      <c r="E332">
        <v>88.949359000000001</v>
      </c>
      <c r="F332">
        <v>48.508457</v>
      </c>
      <c r="G332">
        <v>19.886887000000002</v>
      </c>
      <c r="H332">
        <v>23.660283</v>
      </c>
    </row>
    <row r="333" spans="1:9" customFormat="1" x14ac:dyDescent="0.3">
      <c r="A333">
        <v>1457.8</v>
      </c>
      <c r="B333">
        <v>123.817232</v>
      </c>
      <c r="C333">
        <v>130.468098</v>
      </c>
      <c r="D333">
        <v>136.335418</v>
      </c>
      <c r="E333">
        <v>88.949359000000001</v>
      </c>
      <c r="F333">
        <v>48.508457</v>
      </c>
      <c r="G333">
        <v>19.886887000000002</v>
      </c>
      <c r="H333">
        <v>23.660283</v>
      </c>
    </row>
    <row r="334" spans="1:9" customFormat="1" x14ac:dyDescent="0.3">
      <c r="A334">
        <v>1458</v>
      </c>
      <c r="B334">
        <v>123.842189</v>
      </c>
      <c r="C334">
        <v>130.45252500000001</v>
      </c>
      <c r="D334">
        <v>136.34383700000001</v>
      </c>
      <c r="E334">
        <v>89.030210999999994</v>
      </c>
      <c r="F334">
        <v>49.301383000000001</v>
      </c>
      <c r="G334">
        <v>19.875356</v>
      </c>
      <c r="H334">
        <v>23.688044999999999</v>
      </c>
      <c r="I334" t="s">
        <v>61</v>
      </c>
    </row>
    <row r="335" spans="1:9" customFormat="1" x14ac:dyDescent="0.3">
      <c r="A335">
        <v>1458.2</v>
      </c>
      <c r="B335">
        <v>123.842189</v>
      </c>
      <c r="C335">
        <v>130.45252500000001</v>
      </c>
      <c r="D335">
        <v>136.34383700000001</v>
      </c>
      <c r="E335">
        <v>89.030210999999994</v>
      </c>
      <c r="F335">
        <v>49.301383000000001</v>
      </c>
      <c r="G335">
        <v>19.875356</v>
      </c>
      <c r="H335">
        <v>23.688044999999999</v>
      </c>
    </row>
    <row r="336" spans="1:9" customFormat="1" x14ac:dyDescent="0.3">
      <c r="A336">
        <v>1458.4</v>
      </c>
      <c r="B336">
        <v>123.834633</v>
      </c>
      <c r="C336">
        <v>130.447765</v>
      </c>
      <c r="D336">
        <v>136.34956099999999</v>
      </c>
      <c r="E336">
        <v>88.885508999999999</v>
      </c>
      <c r="F336">
        <v>49.108589000000002</v>
      </c>
      <c r="G336">
        <v>19.881408</v>
      </c>
      <c r="H336">
        <v>23.680361999999999</v>
      </c>
    </row>
    <row r="337" spans="1:9" customFormat="1" x14ac:dyDescent="0.3">
      <c r="A337">
        <v>1458.6</v>
      </c>
      <c r="B337">
        <v>123.834633</v>
      </c>
      <c r="C337">
        <v>130.447765</v>
      </c>
      <c r="D337">
        <v>136.34956099999999</v>
      </c>
      <c r="E337">
        <v>88.885508999999999</v>
      </c>
      <c r="F337">
        <v>49.108589000000002</v>
      </c>
      <c r="G337">
        <v>19.881408</v>
      </c>
      <c r="H337">
        <v>23.680361999999999</v>
      </c>
    </row>
    <row r="338" spans="1:9" customFormat="1" x14ac:dyDescent="0.3">
      <c r="A338">
        <v>1458.8</v>
      </c>
      <c r="B338">
        <v>123.84718700000001</v>
      </c>
      <c r="C338">
        <v>130.45705599999999</v>
      </c>
      <c r="D338">
        <v>136.32110900000001</v>
      </c>
      <c r="E338">
        <v>88.952027999999999</v>
      </c>
      <c r="F338">
        <v>49.103164999999997</v>
      </c>
      <c r="G338">
        <v>19.880229</v>
      </c>
      <c r="H338">
        <v>23.656012</v>
      </c>
    </row>
    <row r="339" spans="1:9" customFormat="1" x14ac:dyDescent="0.3">
      <c r="A339">
        <v>1459</v>
      </c>
      <c r="B339">
        <v>123.84718700000001</v>
      </c>
      <c r="C339">
        <v>130.45705599999999</v>
      </c>
      <c r="D339">
        <v>136.32110900000001</v>
      </c>
      <c r="E339">
        <v>88.952027999999999</v>
      </c>
      <c r="F339">
        <v>49.103164999999997</v>
      </c>
      <c r="G339">
        <v>19.880229</v>
      </c>
      <c r="H339">
        <v>23.656012</v>
      </c>
      <c r="I339" t="s">
        <v>61</v>
      </c>
    </row>
    <row r="340" spans="1:9" customFormat="1" x14ac:dyDescent="0.3">
      <c r="A340">
        <v>1459.2</v>
      </c>
      <c r="B340">
        <v>123.85657399999999</v>
      </c>
      <c r="C340">
        <v>130.452933</v>
      </c>
      <c r="D340">
        <v>136.36568299999999</v>
      </c>
      <c r="E340">
        <v>89.012423999999996</v>
      </c>
      <c r="F340">
        <v>49.221307000000003</v>
      </c>
      <c r="G340">
        <v>19.879830999999999</v>
      </c>
      <c r="H340">
        <v>23.680209000000001</v>
      </c>
    </row>
    <row r="341" spans="1:9" customFormat="1" x14ac:dyDescent="0.3">
      <c r="A341">
        <v>1459.4</v>
      </c>
      <c r="B341">
        <v>123.85657399999999</v>
      </c>
      <c r="C341">
        <v>130.452933</v>
      </c>
      <c r="D341">
        <v>136.36568299999999</v>
      </c>
      <c r="E341">
        <v>89.012423999999996</v>
      </c>
      <c r="F341">
        <v>49.221307000000003</v>
      </c>
      <c r="G341">
        <v>19.879830999999999</v>
      </c>
      <c r="H341">
        <v>23.680209000000001</v>
      </c>
    </row>
    <row r="342" spans="1:9" customFormat="1" x14ac:dyDescent="0.3">
      <c r="A342">
        <v>1459.6</v>
      </c>
      <c r="B342">
        <v>123.86219</v>
      </c>
      <c r="C342">
        <v>130.47694799999999</v>
      </c>
      <c r="D342">
        <v>136.369437</v>
      </c>
      <c r="E342">
        <v>89.139094999999998</v>
      </c>
      <c r="F342">
        <v>49.616919000000003</v>
      </c>
      <c r="G342">
        <v>19.880229</v>
      </c>
      <c r="H342">
        <v>23.681550999999999</v>
      </c>
    </row>
    <row r="343" spans="1:9" customFormat="1" x14ac:dyDescent="0.3">
      <c r="A343">
        <v>1459.8</v>
      </c>
      <c r="B343">
        <v>123.86219</v>
      </c>
      <c r="C343">
        <v>130.47694799999999</v>
      </c>
      <c r="D343">
        <v>136.369437</v>
      </c>
      <c r="E343">
        <v>89.139094999999998</v>
      </c>
      <c r="F343">
        <v>49.616919000000003</v>
      </c>
      <c r="G343">
        <v>19.880229</v>
      </c>
      <c r="H343">
        <v>23.681550999999999</v>
      </c>
    </row>
    <row r="344" spans="1:9" customFormat="1" x14ac:dyDescent="0.3">
      <c r="A344">
        <v>1460</v>
      </c>
      <c r="B344">
        <v>123.848629</v>
      </c>
      <c r="C344">
        <v>130.49273600000001</v>
      </c>
      <c r="D344">
        <v>136.36938599999999</v>
      </c>
      <c r="E344">
        <v>89.146413999999993</v>
      </c>
      <c r="F344">
        <v>49.49259</v>
      </c>
      <c r="G344">
        <v>19.874378</v>
      </c>
      <c r="H344">
        <v>23.669098000000002</v>
      </c>
      <c r="I344" t="s">
        <v>61</v>
      </c>
    </row>
    <row r="345" spans="1:9" customFormat="1" x14ac:dyDescent="0.3">
      <c r="A345">
        <v>1460.2</v>
      </c>
      <c r="B345">
        <v>123.848629</v>
      </c>
      <c r="C345">
        <v>130.49273600000001</v>
      </c>
      <c r="D345">
        <v>136.36938599999999</v>
      </c>
      <c r="E345">
        <v>89.146413999999993</v>
      </c>
      <c r="F345">
        <v>49.49259</v>
      </c>
      <c r="G345">
        <v>19.874378</v>
      </c>
      <c r="H345">
        <v>23.669098000000002</v>
      </c>
    </row>
    <row r="346" spans="1:9" customFormat="1" x14ac:dyDescent="0.3">
      <c r="A346">
        <v>1460.4</v>
      </c>
      <c r="B346">
        <v>123.888564</v>
      </c>
      <c r="C346">
        <v>130.479793</v>
      </c>
      <c r="D346">
        <v>136.35550499999999</v>
      </c>
      <c r="E346">
        <v>88.980722</v>
      </c>
      <c r="F346">
        <v>49.748990999999997</v>
      </c>
      <c r="G346">
        <v>19.894348000000001</v>
      </c>
      <c r="H346">
        <v>23.668665000000001</v>
      </c>
    </row>
    <row r="347" spans="1:9" customFormat="1" x14ac:dyDescent="0.3">
      <c r="A347">
        <v>1460.6</v>
      </c>
      <c r="B347">
        <v>123.888564</v>
      </c>
      <c r="C347">
        <v>130.479793</v>
      </c>
      <c r="D347">
        <v>136.35550499999999</v>
      </c>
      <c r="E347">
        <v>88.980722</v>
      </c>
      <c r="F347">
        <v>49.748990999999997</v>
      </c>
      <c r="G347">
        <v>19.894348000000001</v>
      </c>
      <c r="H347">
        <v>23.668665000000001</v>
      </c>
    </row>
    <row r="348" spans="1:9" customFormat="1" x14ac:dyDescent="0.3">
      <c r="A348">
        <v>1460.8</v>
      </c>
      <c r="B348">
        <v>123.894244</v>
      </c>
      <c r="C348">
        <v>130.50130899999999</v>
      </c>
      <c r="D348">
        <v>136.379828</v>
      </c>
      <c r="E348">
        <v>88.946270999999996</v>
      </c>
      <c r="F348">
        <v>49.899779000000002</v>
      </c>
      <c r="G348">
        <v>19.891231000000001</v>
      </c>
      <c r="H348">
        <v>23.665558000000001</v>
      </c>
    </row>
    <row r="349" spans="1:9" customFormat="1" x14ac:dyDescent="0.3">
      <c r="A349">
        <v>1461</v>
      </c>
      <c r="B349">
        <v>123.894244</v>
      </c>
      <c r="C349">
        <v>130.50130899999999</v>
      </c>
      <c r="D349">
        <v>136.379828</v>
      </c>
      <c r="E349">
        <v>88.946270999999996</v>
      </c>
      <c r="F349">
        <v>49.899779000000002</v>
      </c>
      <c r="G349">
        <v>19.891231000000001</v>
      </c>
      <c r="H349">
        <v>23.665558000000001</v>
      </c>
      <c r="I349" t="s">
        <v>61</v>
      </c>
    </row>
    <row r="350" spans="1:9" customFormat="1" x14ac:dyDescent="0.3">
      <c r="A350">
        <v>1461.2</v>
      </c>
      <c r="B350">
        <v>123.880996</v>
      </c>
      <c r="C350">
        <v>130.515548</v>
      </c>
      <c r="D350">
        <v>136.39453900000001</v>
      </c>
      <c r="E350">
        <v>89.063274000000007</v>
      </c>
      <c r="F350">
        <v>49.841602000000002</v>
      </c>
      <c r="G350">
        <v>19.893485999999999</v>
      </c>
      <c r="H350">
        <v>23.664496</v>
      </c>
    </row>
    <row r="351" spans="1:9" customFormat="1" x14ac:dyDescent="0.3">
      <c r="A351">
        <v>1461.4</v>
      </c>
      <c r="B351">
        <v>123.880996</v>
      </c>
      <c r="C351">
        <v>130.515548</v>
      </c>
      <c r="D351">
        <v>136.39453900000001</v>
      </c>
      <c r="E351">
        <v>89.063274000000007</v>
      </c>
      <c r="F351">
        <v>49.841602000000002</v>
      </c>
      <c r="G351">
        <v>19.893485999999999</v>
      </c>
      <c r="H351">
        <v>23.664496</v>
      </c>
    </row>
    <row r="352" spans="1:9" customFormat="1" x14ac:dyDescent="0.3">
      <c r="A352">
        <v>1461.6</v>
      </c>
      <c r="B352">
        <v>123.900942</v>
      </c>
      <c r="C352">
        <v>130.50567699999999</v>
      </c>
      <c r="D352">
        <v>136.4075</v>
      </c>
      <c r="E352">
        <v>89.358169000000004</v>
      </c>
      <c r="F352">
        <v>50.038510000000002</v>
      </c>
      <c r="G352">
        <v>19.879802000000002</v>
      </c>
      <c r="H352">
        <v>23.665044999999999</v>
      </c>
    </row>
    <row r="353" spans="1:9" customFormat="1" x14ac:dyDescent="0.3">
      <c r="A353">
        <v>1461.8</v>
      </c>
      <c r="B353">
        <v>123.900942</v>
      </c>
      <c r="C353">
        <v>130.50567699999999</v>
      </c>
      <c r="D353">
        <v>136.4075</v>
      </c>
      <c r="E353">
        <v>89.358169000000004</v>
      </c>
      <c r="F353">
        <v>50.038510000000002</v>
      </c>
      <c r="G353">
        <v>19.879802000000002</v>
      </c>
      <c r="H353">
        <v>23.665044999999999</v>
      </c>
    </row>
    <row r="354" spans="1:9" customFormat="1" x14ac:dyDescent="0.3">
      <c r="A354">
        <v>1462</v>
      </c>
      <c r="B354">
        <v>123.951697</v>
      </c>
      <c r="C354">
        <v>130.53569200000001</v>
      </c>
      <c r="D354">
        <v>136.41422600000001</v>
      </c>
      <c r="E354">
        <v>89.405576999999994</v>
      </c>
      <c r="F354">
        <v>50.156503000000001</v>
      </c>
      <c r="G354">
        <v>19.876006</v>
      </c>
      <c r="H354">
        <v>23.662680999999999</v>
      </c>
      <c r="I354" t="s">
        <v>61</v>
      </c>
    </row>
    <row r="355" spans="1:9" customFormat="1" x14ac:dyDescent="0.3">
      <c r="A355">
        <v>1462.2</v>
      </c>
      <c r="B355">
        <v>123.951697</v>
      </c>
      <c r="C355">
        <v>130.53569200000001</v>
      </c>
      <c r="D355">
        <v>136.41422600000001</v>
      </c>
      <c r="E355">
        <v>89.405576999999994</v>
      </c>
      <c r="F355">
        <v>50.156503000000001</v>
      </c>
      <c r="G355">
        <v>19.876006</v>
      </c>
      <c r="H355">
        <v>23.662680999999999</v>
      </c>
    </row>
    <row r="356" spans="1:9" customFormat="1" x14ac:dyDescent="0.3">
      <c r="A356">
        <v>1462.4</v>
      </c>
      <c r="B356">
        <v>123.964586</v>
      </c>
      <c r="C356">
        <v>130.55579800000001</v>
      </c>
      <c r="D356">
        <v>136.40218400000001</v>
      </c>
      <c r="E356">
        <v>89.228104000000002</v>
      </c>
      <c r="F356">
        <v>49.864986999999999</v>
      </c>
      <c r="G356">
        <v>19.872388999999998</v>
      </c>
      <c r="H356">
        <v>23.665697000000002</v>
      </c>
    </row>
    <row r="357" spans="1:9" customFormat="1" x14ac:dyDescent="0.3">
      <c r="A357">
        <v>1462.6</v>
      </c>
      <c r="B357">
        <v>123.964586</v>
      </c>
      <c r="C357">
        <v>130.55579800000001</v>
      </c>
      <c r="D357">
        <v>136.40218400000001</v>
      </c>
      <c r="E357">
        <v>89.228104000000002</v>
      </c>
      <c r="F357">
        <v>49.864986999999999</v>
      </c>
      <c r="G357">
        <v>19.872388999999998</v>
      </c>
      <c r="H357">
        <v>23.665697000000002</v>
      </c>
    </row>
    <row r="358" spans="1:9" customFormat="1" x14ac:dyDescent="0.3">
      <c r="A358">
        <v>1462.8</v>
      </c>
      <c r="B358">
        <v>123.968603</v>
      </c>
      <c r="C358">
        <v>130.55888300000001</v>
      </c>
      <c r="D358">
        <v>136.43882600000001</v>
      </c>
      <c r="E358">
        <v>89.332015999999996</v>
      </c>
      <c r="F358">
        <v>49.349952000000002</v>
      </c>
      <c r="G358">
        <v>19.871016000000001</v>
      </c>
      <c r="H358">
        <v>23.663383</v>
      </c>
    </row>
    <row r="359" spans="1:9" customFormat="1" x14ac:dyDescent="0.3">
      <c r="A359">
        <v>1463</v>
      </c>
      <c r="B359">
        <v>123.968603</v>
      </c>
      <c r="C359">
        <v>130.55888300000001</v>
      </c>
      <c r="D359">
        <v>136.43882600000001</v>
      </c>
      <c r="E359">
        <v>89.332015999999996</v>
      </c>
      <c r="F359">
        <v>49.349952000000002</v>
      </c>
      <c r="G359">
        <v>19.871016000000001</v>
      </c>
      <c r="H359">
        <v>23.663383</v>
      </c>
      <c r="I359" t="s">
        <v>61</v>
      </c>
    </row>
    <row r="360" spans="1:9" customFormat="1" x14ac:dyDescent="0.3">
      <c r="A360">
        <v>1463.2</v>
      </c>
      <c r="B360">
        <v>123.985339</v>
      </c>
      <c r="C360">
        <v>130.58120600000001</v>
      </c>
      <c r="D360">
        <v>136.446944</v>
      </c>
      <c r="E360">
        <v>89.197496000000001</v>
      </c>
      <c r="F360">
        <v>49.646298999999999</v>
      </c>
      <c r="G360">
        <v>19.867052000000001</v>
      </c>
      <c r="H360">
        <v>23.672675000000002</v>
      </c>
    </row>
    <row r="361" spans="1:9" customFormat="1" x14ac:dyDescent="0.3">
      <c r="A361">
        <v>1463.4</v>
      </c>
      <c r="B361">
        <v>123.985339</v>
      </c>
      <c r="C361">
        <v>130.58120600000001</v>
      </c>
      <c r="D361">
        <v>136.446944</v>
      </c>
      <c r="E361">
        <v>89.197496000000001</v>
      </c>
      <c r="F361">
        <v>49.646298999999999</v>
      </c>
      <c r="G361">
        <v>19.867052000000001</v>
      </c>
      <c r="H361">
        <v>23.672675000000002</v>
      </c>
    </row>
    <row r="362" spans="1:9" customFormat="1" x14ac:dyDescent="0.3">
      <c r="A362">
        <v>1463.6</v>
      </c>
      <c r="B362">
        <v>123.967923</v>
      </c>
      <c r="C362">
        <v>130.55866900000001</v>
      </c>
      <c r="D362">
        <v>136.457719</v>
      </c>
      <c r="E362">
        <v>89.259495999999999</v>
      </c>
      <c r="F362">
        <v>49.627566999999999</v>
      </c>
      <c r="G362">
        <v>19.871476000000001</v>
      </c>
      <c r="H362">
        <v>23.662894999999999</v>
      </c>
    </row>
    <row r="363" spans="1:9" customFormat="1" x14ac:dyDescent="0.3">
      <c r="A363">
        <v>1463.8</v>
      </c>
      <c r="B363">
        <v>123.967923</v>
      </c>
      <c r="C363">
        <v>130.55866900000001</v>
      </c>
      <c r="D363">
        <v>136.457719</v>
      </c>
      <c r="E363">
        <v>89.259495999999999</v>
      </c>
      <c r="F363">
        <v>49.627566999999999</v>
      </c>
      <c r="G363">
        <v>19.871476000000001</v>
      </c>
      <c r="H363">
        <v>23.662894999999999</v>
      </c>
    </row>
    <row r="364" spans="1:9" customFormat="1" x14ac:dyDescent="0.3">
      <c r="A364">
        <v>1464</v>
      </c>
      <c r="B364">
        <v>123.987454</v>
      </c>
      <c r="C364">
        <v>130.58634900000001</v>
      </c>
      <c r="D364">
        <v>136.462808</v>
      </c>
      <c r="E364">
        <v>89.265214999999998</v>
      </c>
      <c r="F364">
        <v>49.711576000000001</v>
      </c>
      <c r="G364">
        <v>19.885686</v>
      </c>
      <c r="H364">
        <v>23.680368999999999</v>
      </c>
      <c r="I364" t="s">
        <v>61</v>
      </c>
    </row>
    <row r="365" spans="1:9" customFormat="1" x14ac:dyDescent="0.3">
      <c r="A365">
        <v>1464.2</v>
      </c>
      <c r="B365">
        <v>123.987454</v>
      </c>
      <c r="C365">
        <v>130.58634900000001</v>
      </c>
      <c r="D365">
        <v>136.462808</v>
      </c>
      <c r="E365">
        <v>89.265214999999998</v>
      </c>
      <c r="F365">
        <v>49.711576000000001</v>
      </c>
      <c r="G365">
        <v>19.885686</v>
      </c>
      <c r="H365">
        <v>23.680368999999999</v>
      </c>
    </row>
    <row r="366" spans="1:9" customFormat="1" x14ac:dyDescent="0.3">
      <c r="A366">
        <v>1464.4</v>
      </c>
      <c r="B366">
        <v>123.991024</v>
      </c>
      <c r="C366">
        <v>130.590384</v>
      </c>
      <c r="D366">
        <v>136.486186</v>
      </c>
      <c r="E366">
        <v>89.125973999999999</v>
      </c>
      <c r="F366">
        <v>49.737794999999998</v>
      </c>
      <c r="G366">
        <v>19.893533999999999</v>
      </c>
      <c r="H366">
        <v>23.688663999999999</v>
      </c>
    </row>
    <row r="367" spans="1:9" customFormat="1" x14ac:dyDescent="0.3">
      <c r="A367">
        <v>1464.6</v>
      </c>
      <c r="B367">
        <v>123.991024</v>
      </c>
      <c r="C367">
        <v>130.590384</v>
      </c>
      <c r="D367">
        <v>136.486186</v>
      </c>
      <c r="E367">
        <v>89.125973999999999</v>
      </c>
      <c r="F367">
        <v>49.737794999999998</v>
      </c>
      <c r="G367">
        <v>19.893533999999999</v>
      </c>
      <c r="H367">
        <v>23.688663999999999</v>
      </c>
    </row>
    <row r="368" spans="1:9" customFormat="1" x14ac:dyDescent="0.3">
      <c r="A368">
        <v>1464.8</v>
      </c>
      <c r="B368">
        <v>123.971007</v>
      </c>
      <c r="C368">
        <v>130.62371099999999</v>
      </c>
      <c r="D368">
        <v>136.48154400000001</v>
      </c>
      <c r="E368">
        <v>89.185171999999994</v>
      </c>
      <c r="F368">
        <v>49.820903999999999</v>
      </c>
      <c r="G368">
        <v>19.885967000000001</v>
      </c>
      <c r="H368">
        <v>23.669298000000001</v>
      </c>
    </row>
    <row r="369" spans="1:9" customFormat="1" x14ac:dyDescent="0.3">
      <c r="A369">
        <v>1465</v>
      </c>
      <c r="B369">
        <v>123.971007</v>
      </c>
      <c r="C369">
        <v>130.62371099999999</v>
      </c>
      <c r="D369">
        <v>136.48154400000001</v>
      </c>
      <c r="E369">
        <v>89.185171999999994</v>
      </c>
      <c r="F369">
        <v>49.820903999999999</v>
      </c>
      <c r="G369">
        <v>19.885967000000001</v>
      </c>
      <c r="H369">
        <v>23.669298000000001</v>
      </c>
      <c r="I369" t="s">
        <v>61</v>
      </c>
    </row>
    <row r="370" spans="1:9" customFormat="1" x14ac:dyDescent="0.3">
      <c r="A370">
        <v>1465.2</v>
      </c>
      <c r="B370">
        <v>123.953705</v>
      </c>
      <c r="C370">
        <v>130.603151</v>
      </c>
      <c r="D370">
        <v>136.478219</v>
      </c>
      <c r="E370">
        <v>89.346305000000001</v>
      </c>
      <c r="F370">
        <v>49.770597000000002</v>
      </c>
      <c r="G370">
        <v>19.894238000000001</v>
      </c>
      <c r="H370">
        <v>23.673759</v>
      </c>
    </row>
    <row r="371" spans="1:9" customFormat="1" x14ac:dyDescent="0.3">
      <c r="A371">
        <v>1465.4</v>
      </c>
      <c r="B371">
        <v>123.953705</v>
      </c>
      <c r="C371">
        <v>130.603151</v>
      </c>
      <c r="D371">
        <v>136.478219</v>
      </c>
      <c r="E371">
        <v>89.346305000000001</v>
      </c>
      <c r="F371">
        <v>49.770597000000002</v>
      </c>
      <c r="G371">
        <v>19.894238000000001</v>
      </c>
      <c r="H371">
        <v>23.673759</v>
      </c>
    </row>
    <row r="372" spans="1:9" customFormat="1" x14ac:dyDescent="0.3">
      <c r="A372">
        <v>1465.6</v>
      </c>
      <c r="B372">
        <v>123.965592</v>
      </c>
      <c r="C372">
        <v>130.618763</v>
      </c>
      <c r="D372">
        <v>136.50013000000001</v>
      </c>
      <c r="E372">
        <v>89.181892000000005</v>
      </c>
      <c r="F372">
        <v>49.486511</v>
      </c>
      <c r="G372">
        <v>19.881554000000001</v>
      </c>
      <c r="H372">
        <v>23.695169</v>
      </c>
    </row>
    <row r="373" spans="1:9" customFormat="1" x14ac:dyDescent="0.3">
      <c r="A373">
        <v>1465.8</v>
      </c>
      <c r="B373">
        <v>123.965592</v>
      </c>
      <c r="C373">
        <v>130.618763</v>
      </c>
      <c r="D373">
        <v>136.50013000000001</v>
      </c>
      <c r="E373">
        <v>89.181892000000005</v>
      </c>
      <c r="F373">
        <v>49.486511</v>
      </c>
      <c r="G373">
        <v>19.881554000000001</v>
      </c>
      <c r="H373">
        <v>23.695169</v>
      </c>
    </row>
    <row r="374" spans="1:9" customFormat="1" x14ac:dyDescent="0.3">
      <c r="A374">
        <v>1697</v>
      </c>
      <c r="B374">
        <v>139.841037</v>
      </c>
      <c r="C374">
        <v>147.99816200000001</v>
      </c>
      <c r="D374">
        <v>155.15751599999999</v>
      </c>
      <c r="E374">
        <v>95.934442000000004</v>
      </c>
      <c r="F374">
        <v>49.425221000000001</v>
      </c>
      <c r="G374">
        <v>20.005966000000001</v>
      </c>
      <c r="H374">
        <v>24.748470999999999</v>
      </c>
      <c r="I374" t="s">
        <v>61</v>
      </c>
    </row>
    <row r="375" spans="1:9" customFormat="1" x14ac:dyDescent="0.3">
      <c r="A375">
        <v>1697.2</v>
      </c>
      <c r="B375">
        <v>139.82406399999999</v>
      </c>
      <c r="C375">
        <v>147.968503</v>
      </c>
      <c r="D375">
        <v>155.17885000000001</v>
      </c>
      <c r="E375">
        <v>95.574567999999999</v>
      </c>
      <c r="F375">
        <v>49.751767000000001</v>
      </c>
      <c r="G375">
        <v>20.000578999999998</v>
      </c>
      <c r="H375">
        <v>24.728459000000001</v>
      </c>
    </row>
    <row r="376" spans="1:9" customFormat="1" x14ac:dyDescent="0.3">
      <c r="A376">
        <v>1697.4</v>
      </c>
      <c r="B376">
        <v>139.82406399999999</v>
      </c>
      <c r="C376">
        <v>147.968503</v>
      </c>
      <c r="D376">
        <v>155.17885000000001</v>
      </c>
      <c r="E376">
        <v>95.574567999999999</v>
      </c>
      <c r="F376">
        <v>49.751767000000001</v>
      </c>
      <c r="G376">
        <v>20.000578999999998</v>
      </c>
      <c r="H376">
        <v>24.728459000000001</v>
      </c>
    </row>
    <row r="377" spans="1:9" customFormat="1" x14ac:dyDescent="0.3">
      <c r="A377">
        <v>1697.6</v>
      </c>
      <c r="B377">
        <v>139.786551</v>
      </c>
      <c r="C377">
        <v>147.96530200000001</v>
      </c>
      <c r="D377">
        <v>155.155204</v>
      </c>
      <c r="E377">
        <v>95.424879000000004</v>
      </c>
      <c r="F377">
        <v>50.157891999999997</v>
      </c>
      <c r="G377">
        <v>19.995553000000001</v>
      </c>
      <c r="H377">
        <v>24.710697</v>
      </c>
    </row>
    <row r="378" spans="1:9" customFormat="1" x14ac:dyDescent="0.3">
      <c r="A378">
        <v>1697.8</v>
      </c>
      <c r="B378">
        <v>139.786551</v>
      </c>
      <c r="C378">
        <v>147.96530200000001</v>
      </c>
      <c r="D378">
        <v>155.155204</v>
      </c>
      <c r="E378">
        <v>95.424879000000004</v>
      </c>
      <c r="F378">
        <v>50.157891999999997</v>
      </c>
      <c r="G378">
        <v>19.995553000000001</v>
      </c>
      <c r="H378">
        <v>24.710697</v>
      </c>
    </row>
    <row r="379" spans="1:9" customFormat="1" x14ac:dyDescent="0.3">
      <c r="A379">
        <v>1698</v>
      </c>
      <c r="B379">
        <v>139.74803399999999</v>
      </c>
      <c r="C379">
        <v>147.95122900000001</v>
      </c>
      <c r="D379">
        <v>155.15382</v>
      </c>
      <c r="E379">
        <v>95.668381999999994</v>
      </c>
      <c r="F379">
        <v>50.070487999999997</v>
      </c>
      <c r="G379">
        <v>19.989768000000002</v>
      </c>
      <c r="H379">
        <v>24.700683999999999</v>
      </c>
      <c r="I379" t="s">
        <v>61</v>
      </c>
    </row>
    <row r="380" spans="1:9" customFormat="1" x14ac:dyDescent="0.3">
      <c r="A380">
        <v>1698.2</v>
      </c>
      <c r="B380">
        <v>139.74803399999999</v>
      </c>
      <c r="C380">
        <v>147.95122900000001</v>
      </c>
      <c r="D380">
        <v>155.15382</v>
      </c>
      <c r="E380">
        <v>95.668381999999994</v>
      </c>
      <c r="F380">
        <v>50.070487999999997</v>
      </c>
      <c r="G380">
        <v>19.989768000000002</v>
      </c>
      <c r="H380">
        <v>24.700683999999999</v>
      </c>
    </row>
    <row r="381" spans="1:9" customFormat="1" x14ac:dyDescent="0.3">
      <c r="A381">
        <v>1698.4</v>
      </c>
      <c r="B381">
        <v>139.70191</v>
      </c>
      <c r="C381">
        <v>147.91850299999999</v>
      </c>
      <c r="D381">
        <v>155.130257</v>
      </c>
      <c r="E381">
        <v>95.467072999999999</v>
      </c>
      <c r="F381">
        <v>50.247520000000002</v>
      </c>
      <c r="G381">
        <v>19.99409</v>
      </c>
      <c r="H381">
        <v>24.673801000000001</v>
      </c>
    </row>
    <row r="382" spans="1:9" customFormat="1" x14ac:dyDescent="0.3">
      <c r="A382">
        <v>1698.6</v>
      </c>
      <c r="B382">
        <v>139.70191</v>
      </c>
      <c r="C382">
        <v>147.91850299999999</v>
      </c>
      <c r="D382">
        <v>155.130257</v>
      </c>
      <c r="E382">
        <v>95.467072999999999</v>
      </c>
      <c r="F382">
        <v>50.247520000000002</v>
      </c>
      <c r="G382">
        <v>19.99409</v>
      </c>
      <c r="H382">
        <v>24.673801000000001</v>
      </c>
    </row>
    <row r="383" spans="1:9" customFormat="1" x14ac:dyDescent="0.3">
      <c r="A383">
        <v>1698.8</v>
      </c>
      <c r="B383">
        <v>139.70522500000001</v>
      </c>
      <c r="C383">
        <v>147.92087799999999</v>
      </c>
      <c r="D383">
        <v>155.15989099999999</v>
      </c>
      <c r="E383">
        <v>95.436635999999993</v>
      </c>
      <c r="F383">
        <v>49.877676999999998</v>
      </c>
      <c r="G383">
        <v>19.989061</v>
      </c>
      <c r="H383">
        <v>24.691002000000001</v>
      </c>
    </row>
    <row r="384" spans="1:9" customFormat="1" x14ac:dyDescent="0.3">
      <c r="A384">
        <v>1699</v>
      </c>
      <c r="B384">
        <v>139.70522500000001</v>
      </c>
      <c r="C384">
        <v>147.92087799999999</v>
      </c>
      <c r="D384">
        <v>155.15989099999999</v>
      </c>
      <c r="E384">
        <v>95.436635999999993</v>
      </c>
      <c r="F384">
        <v>49.877676999999998</v>
      </c>
      <c r="G384">
        <v>19.989061</v>
      </c>
      <c r="H384">
        <v>24.691002000000001</v>
      </c>
      <c r="I384" t="s">
        <v>61</v>
      </c>
    </row>
    <row r="385" spans="1:9" customFormat="1" x14ac:dyDescent="0.3">
      <c r="A385">
        <v>1699.2</v>
      </c>
      <c r="B385">
        <v>139.68407500000001</v>
      </c>
      <c r="C385">
        <v>147.91312400000001</v>
      </c>
      <c r="D385">
        <v>155.16130100000001</v>
      </c>
      <c r="E385">
        <v>95.521562000000003</v>
      </c>
      <c r="F385">
        <v>50.477787999999997</v>
      </c>
      <c r="G385">
        <v>20.015900999999999</v>
      </c>
      <c r="H385">
        <v>24.680402999999998</v>
      </c>
    </row>
    <row r="386" spans="1:9" customFormat="1" x14ac:dyDescent="0.3">
      <c r="A386">
        <v>1699.4</v>
      </c>
      <c r="B386">
        <v>139.68407500000001</v>
      </c>
      <c r="C386">
        <v>147.91312400000001</v>
      </c>
      <c r="D386">
        <v>155.16130100000001</v>
      </c>
      <c r="E386">
        <v>95.521562000000003</v>
      </c>
      <c r="F386">
        <v>50.477787999999997</v>
      </c>
      <c r="G386">
        <v>20.015900999999999</v>
      </c>
      <c r="H386">
        <v>24.680402999999998</v>
      </c>
    </row>
    <row r="387" spans="1:9" customFormat="1" x14ac:dyDescent="0.3">
      <c r="A387">
        <v>1699.6</v>
      </c>
      <c r="B387">
        <v>139.671639</v>
      </c>
      <c r="C387">
        <v>147.91408300000001</v>
      </c>
      <c r="D387">
        <v>155.11643699999999</v>
      </c>
      <c r="E387">
        <v>95.745220000000003</v>
      </c>
      <c r="F387">
        <v>50.969101999999999</v>
      </c>
      <c r="G387">
        <v>20.008027999999999</v>
      </c>
      <c r="H387">
        <v>24.697133000000001</v>
      </c>
    </row>
    <row r="388" spans="1:9" customFormat="1" x14ac:dyDescent="0.3">
      <c r="A388">
        <v>1699.8</v>
      </c>
      <c r="B388">
        <v>139.671639</v>
      </c>
      <c r="C388">
        <v>147.91408300000001</v>
      </c>
      <c r="D388">
        <v>155.11643699999999</v>
      </c>
      <c r="E388">
        <v>95.745220000000003</v>
      </c>
      <c r="F388">
        <v>50.969101999999999</v>
      </c>
      <c r="G388">
        <v>20.008027999999999</v>
      </c>
      <c r="H388">
        <v>24.697133000000001</v>
      </c>
    </row>
    <row r="389" spans="1:9" customFormat="1" x14ac:dyDescent="0.3">
      <c r="A389">
        <v>1700</v>
      </c>
      <c r="B389">
        <v>139.68923799999999</v>
      </c>
      <c r="C389">
        <v>147.90489299999999</v>
      </c>
      <c r="D389">
        <v>155.14343500000001</v>
      </c>
      <c r="E389">
        <v>95.737116999999998</v>
      </c>
      <c r="F389">
        <v>51.238793000000001</v>
      </c>
      <c r="G389">
        <v>20.012671000000001</v>
      </c>
      <c r="H389">
        <v>24.695141</v>
      </c>
      <c r="I389" t="s">
        <v>61</v>
      </c>
    </row>
    <row r="390" spans="1:9" customFormat="1" x14ac:dyDescent="0.3">
      <c r="A390">
        <v>1700.2</v>
      </c>
      <c r="B390">
        <v>139.68923799999999</v>
      </c>
      <c r="C390">
        <v>147.90489299999999</v>
      </c>
      <c r="D390">
        <v>155.14343500000001</v>
      </c>
      <c r="E390">
        <v>95.737116999999998</v>
      </c>
      <c r="F390">
        <v>51.238793000000001</v>
      </c>
      <c r="G390">
        <v>20.012671000000001</v>
      </c>
      <c r="H390">
        <v>24.695141</v>
      </c>
    </row>
    <row r="391" spans="1:9" customFormat="1" x14ac:dyDescent="0.3">
      <c r="A391">
        <v>1700.4</v>
      </c>
      <c r="B391">
        <v>139.70932199999999</v>
      </c>
      <c r="C391">
        <v>147.931084</v>
      </c>
      <c r="D391">
        <v>155.151298</v>
      </c>
      <c r="E391">
        <v>96.314989999999995</v>
      </c>
      <c r="F391">
        <v>50.267251000000002</v>
      </c>
      <c r="G391">
        <v>20.00159</v>
      </c>
      <c r="H391">
        <v>24.696864000000001</v>
      </c>
    </row>
    <row r="392" spans="1:9" customFormat="1" x14ac:dyDescent="0.3">
      <c r="A392">
        <v>1700.6</v>
      </c>
      <c r="B392">
        <v>139.70932199999999</v>
      </c>
      <c r="C392">
        <v>147.931084</v>
      </c>
      <c r="D392">
        <v>155.151298</v>
      </c>
      <c r="E392">
        <v>96.314989999999995</v>
      </c>
      <c r="F392">
        <v>50.267251000000002</v>
      </c>
      <c r="G392">
        <v>20.00159</v>
      </c>
      <c r="H392">
        <v>24.696864000000001</v>
      </c>
    </row>
    <row r="393" spans="1:9" customFormat="1" x14ac:dyDescent="0.3">
      <c r="A393">
        <v>1700.8</v>
      </c>
      <c r="B393">
        <v>139.76942</v>
      </c>
      <c r="C393">
        <v>147.95169799999999</v>
      </c>
      <c r="D393">
        <v>155.157814</v>
      </c>
      <c r="E393">
        <v>96.530557999999999</v>
      </c>
      <c r="F393">
        <v>50.271382000000003</v>
      </c>
      <c r="G393">
        <v>20.017130999999999</v>
      </c>
      <c r="H393">
        <v>24.752974999999999</v>
      </c>
    </row>
    <row r="394" spans="1:9" customFormat="1" x14ac:dyDescent="0.3">
      <c r="A394">
        <v>1701</v>
      </c>
      <c r="B394">
        <v>139.76942</v>
      </c>
      <c r="C394">
        <v>147.95169799999999</v>
      </c>
      <c r="D394">
        <v>155.157814</v>
      </c>
      <c r="E394">
        <v>96.530557999999999</v>
      </c>
      <c r="F394">
        <v>50.271382000000003</v>
      </c>
      <c r="G394">
        <v>20.017130999999999</v>
      </c>
      <c r="H394">
        <v>24.752974999999999</v>
      </c>
      <c r="I394" t="s">
        <v>61</v>
      </c>
    </row>
    <row r="395" spans="1:9" customFormat="1" x14ac:dyDescent="0.3">
      <c r="A395">
        <v>1701.2</v>
      </c>
      <c r="B395">
        <v>139.82158100000001</v>
      </c>
      <c r="C395">
        <v>147.970484</v>
      </c>
      <c r="D395">
        <v>155.14534699999999</v>
      </c>
      <c r="E395">
        <v>96.101613</v>
      </c>
      <c r="F395">
        <v>49.955165000000001</v>
      </c>
      <c r="G395">
        <v>20.019504000000001</v>
      </c>
      <c r="H395">
        <v>24.752503000000001</v>
      </c>
    </row>
    <row r="396" spans="1:9" customFormat="1" x14ac:dyDescent="0.3">
      <c r="A396">
        <v>1701.4</v>
      </c>
      <c r="B396">
        <v>139.82158100000001</v>
      </c>
      <c r="C396">
        <v>147.970484</v>
      </c>
      <c r="D396">
        <v>155.14534699999999</v>
      </c>
      <c r="E396">
        <v>96.101613</v>
      </c>
      <c r="F396">
        <v>49.955165000000001</v>
      </c>
      <c r="G396">
        <v>20.019504000000001</v>
      </c>
      <c r="H396">
        <v>24.752503000000001</v>
      </c>
    </row>
    <row r="397" spans="1:9" customFormat="1" x14ac:dyDescent="0.3">
      <c r="A397">
        <v>1701.6</v>
      </c>
      <c r="B397">
        <v>139.80142000000001</v>
      </c>
      <c r="C397">
        <v>148.01001299999999</v>
      </c>
      <c r="D397">
        <v>155.14821800000001</v>
      </c>
      <c r="E397">
        <v>96.012330000000006</v>
      </c>
      <c r="F397">
        <v>49.821274000000003</v>
      </c>
      <c r="G397">
        <v>20.009708</v>
      </c>
      <c r="H397">
        <v>24.765426999999999</v>
      </c>
    </row>
    <row r="398" spans="1:9" customFormat="1" x14ac:dyDescent="0.3">
      <c r="A398">
        <v>1701.8</v>
      </c>
      <c r="B398">
        <v>139.80142000000001</v>
      </c>
      <c r="C398">
        <v>148.01001299999999</v>
      </c>
      <c r="D398">
        <v>155.14821800000001</v>
      </c>
      <c r="E398">
        <v>96.012330000000006</v>
      </c>
      <c r="F398">
        <v>49.821274000000003</v>
      </c>
      <c r="G398">
        <v>20.009708</v>
      </c>
      <c r="H398">
        <v>24.765426999999999</v>
      </c>
    </row>
    <row r="399" spans="1:9" customFormat="1" x14ac:dyDescent="0.3">
      <c r="A399">
        <v>1702</v>
      </c>
      <c r="B399">
        <v>139.80151499999999</v>
      </c>
      <c r="C399">
        <v>147.998358</v>
      </c>
      <c r="D399">
        <v>155.17580699999999</v>
      </c>
      <c r="E399">
        <v>96.330295000000007</v>
      </c>
      <c r="F399">
        <v>49.894669999999998</v>
      </c>
      <c r="G399">
        <v>20.024172</v>
      </c>
      <c r="H399">
        <v>24.77983</v>
      </c>
      <c r="I399" t="s">
        <v>61</v>
      </c>
    </row>
    <row r="400" spans="1:9" customFormat="1" x14ac:dyDescent="0.3">
      <c r="A400">
        <v>1702.2</v>
      </c>
      <c r="B400">
        <v>139.80151499999999</v>
      </c>
      <c r="C400">
        <v>147.998358</v>
      </c>
      <c r="D400">
        <v>155.17580699999999</v>
      </c>
      <c r="E400">
        <v>96.330295000000007</v>
      </c>
      <c r="F400">
        <v>49.894669999999998</v>
      </c>
      <c r="G400">
        <v>20.024172</v>
      </c>
      <c r="H400">
        <v>24.77983</v>
      </c>
    </row>
    <row r="401" spans="1:9" customFormat="1" x14ac:dyDescent="0.3">
      <c r="A401">
        <v>1702.4</v>
      </c>
      <c r="B401">
        <v>139.83942300000001</v>
      </c>
      <c r="C401">
        <v>148.03226699999999</v>
      </c>
      <c r="D401">
        <v>155.209012</v>
      </c>
      <c r="E401">
        <v>96.383692999999994</v>
      </c>
      <c r="F401">
        <v>49.807864000000002</v>
      </c>
      <c r="G401">
        <v>20.025645999999998</v>
      </c>
      <c r="H401">
        <v>24.790275999999999</v>
      </c>
    </row>
    <row r="402" spans="1:9" customFormat="1" x14ac:dyDescent="0.3">
      <c r="A402">
        <v>1702.6</v>
      </c>
      <c r="B402">
        <v>139.83942300000001</v>
      </c>
      <c r="C402">
        <v>148.03226699999999</v>
      </c>
      <c r="D402">
        <v>155.209012</v>
      </c>
      <c r="E402">
        <v>96.383692999999994</v>
      </c>
      <c r="F402">
        <v>49.807864000000002</v>
      </c>
      <c r="G402">
        <v>20.025645999999998</v>
      </c>
      <c r="H402">
        <v>24.790275999999999</v>
      </c>
    </row>
    <row r="403" spans="1:9" customFormat="1" x14ac:dyDescent="0.3">
      <c r="A403">
        <v>1702.8</v>
      </c>
      <c r="B403">
        <v>139.87245300000001</v>
      </c>
      <c r="C403">
        <v>148.03779800000001</v>
      </c>
      <c r="D403">
        <v>155.220889</v>
      </c>
      <c r="E403">
        <v>96.427682000000004</v>
      </c>
      <c r="F403">
        <v>49.648375999999999</v>
      </c>
      <c r="G403">
        <v>20.023824999999999</v>
      </c>
      <c r="H403">
        <v>24.796966999999999</v>
      </c>
    </row>
    <row r="404" spans="1:9" customFormat="1" x14ac:dyDescent="0.3">
      <c r="A404">
        <v>1703</v>
      </c>
      <c r="B404">
        <v>139.87245300000001</v>
      </c>
      <c r="C404">
        <v>148.03779800000001</v>
      </c>
      <c r="D404">
        <v>155.220889</v>
      </c>
      <c r="E404">
        <v>96.427682000000004</v>
      </c>
      <c r="F404">
        <v>49.648375999999999</v>
      </c>
      <c r="G404">
        <v>20.023824999999999</v>
      </c>
      <c r="H404">
        <v>24.796966999999999</v>
      </c>
      <c r="I404" t="s">
        <v>61</v>
      </c>
    </row>
    <row r="405" spans="1:9" customFormat="1" x14ac:dyDescent="0.3">
      <c r="A405">
        <v>1703.2</v>
      </c>
      <c r="B405">
        <v>139.89566300000001</v>
      </c>
      <c r="C405">
        <v>148.06241499999999</v>
      </c>
      <c r="D405">
        <v>155.21566200000001</v>
      </c>
      <c r="E405">
        <v>96.735393000000002</v>
      </c>
      <c r="F405">
        <v>49.395853000000002</v>
      </c>
      <c r="G405">
        <v>20.024851000000002</v>
      </c>
      <c r="H405">
        <v>24.805074999999999</v>
      </c>
    </row>
    <row r="406" spans="1:9" customFormat="1" x14ac:dyDescent="0.3">
      <c r="A406">
        <v>1703.4</v>
      </c>
      <c r="B406">
        <v>139.89566300000001</v>
      </c>
      <c r="C406">
        <v>148.06241499999999</v>
      </c>
      <c r="D406">
        <v>155.21566200000001</v>
      </c>
      <c r="E406">
        <v>96.735393000000002</v>
      </c>
      <c r="F406">
        <v>49.395853000000002</v>
      </c>
      <c r="G406">
        <v>20.024851000000002</v>
      </c>
      <c r="H406">
        <v>24.805074999999999</v>
      </c>
    </row>
    <row r="407" spans="1:9" customFormat="1" x14ac:dyDescent="0.3">
      <c r="A407">
        <v>1703.6</v>
      </c>
      <c r="B407">
        <v>139.93519900000001</v>
      </c>
      <c r="C407">
        <v>148.08243999999999</v>
      </c>
      <c r="D407">
        <v>155.23404199999999</v>
      </c>
      <c r="E407">
        <v>96.349181999999999</v>
      </c>
      <c r="F407">
        <v>49.557383999999999</v>
      </c>
      <c r="G407">
        <v>20.013988999999999</v>
      </c>
      <c r="H407">
        <v>24.840088000000002</v>
      </c>
    </row>
    <row r="408" spans="1:9" customFormat="1" x14ac:dyDescent="0.3">
      <c r="A408">
        <v>1703.8</v>
      </c>
      <c r="B408">
        <v>139.93519900000001</v>
      </c>
      <c r="C408">
        <v>148.08243999999999</v>
      </c>
      <c r="D408">
        <v>155.23404199999999</v>
      </c>
      <c r="E408">
        <v>96.349181999999999</v>
      </c>
      <c r="F408">
        <v>49.557383999999999</v>
      </c>
      <c r="G408">
        <v>20.013988999999999</v>
      </c>
      <c r="H408">
        <v>24.840088000000002</v>
      </c>
    </row>
    <row r="409" spans="1:9" customFormat="1" x14ac:dyDescent="0.3">
      <c r="A409">
        <v>1704</v>
      </c>
      <c r="B409">
        <v>139.91831500000001</v>
      </c>
      <c r="C409">
        <v>148.09657799999999</v>
      </c>
      <c r="D409">
        <v>155.25734600000001</v>
      </c>
      <c r="E409">
        <v>96.269112000000007</v>
      </c>
      <c r="F409">
        <v>49.981507999999998</v>
      </c>
      <c r="G409">
        <v>19.990945</v>
      </c>
      <c r="H409">
        <v>24.806274999999999</v>
      </c>
      <c r="I409" t="s">
        <v>61</v>
      </c>
    </row>
    <row r="410" spans="1:9" customFormat="1" x14ac:dyDescent="0.3">
      <c r="A410">
        <v>1704.2</v>
      </c>
      <c r="B410">
        <v>139.91831500000001</v>
      </c>
      <c r="C410">
        <v>148.09657799999999</v>
      </c>
      <c r="D410">
        <v>155.25734600000001</v>
      </c>
      <c r="E410">
        <v>96.269112000000007</v>
      </c>
      <c r="F410">
        <v>49.981507999999998</v>
      </c>
      <c r="G410">
        <v>19.990945</v>
      </c>
      <c r="H410">
        <v>24.806274999999999</v>
      </c>
    </row>
    <row r="411" spans="1:9" customFormat="1" x14ac:dyDescent="0.3">
      <c r="A411">
        <v>1704.4</v>
      </c>
      <c r="B411">
        <v>139.96389199999999</v>
      </c>
      <c r="C411">
        <v>148.088334</v>
      </c>
      <c r="D411">
        <v>155.27824200000001</v>
      </c>
      <c r="E411">
        <v>96.192913000000004</v>
      </c>
      <c r="F411">
        <v>49.968763000000003</v>
      </c>
      <c r="G411">
        <v>20.005178999999998</v>
      </c>
      <c r="H411">
        <v>24.794463</v>
      </c>
    </row>
    <row r="412" spans="1:9" customFormat="1" x14ac:dyDescent="0.3">
      <c r="A412">
        <v>1704.6</v>
      </c>
      <c r="B412">
        <v>139.96389199999999</v>
      </c>
      <c r="C412">
        <v>148.088334</v>
      </c>
      <c r="D412">
        <v>155.27824200000001</v>
      </c>
      <c r="E412">
        <v>96.192913000000004</v>
      </c>
      <c r="F412">
        <v>49.968763000000003</v>
      </c>
      <c r="G412">
        <v>20.005178999999998</v>
      </c>
      <c r="H412">
        <v>24.794463</v>
      </c>
    </row>
    <row r="413" spans="1:9" customFormat="1" x14ac:dyDescent="0.3">
      <c r="A413">
        <v>1704.8</v>
      </c>
      <c r="B413">
        <v>139.92147800000001</v>
      </c>
      <c r="C413">
        <v>148.10514599999999</v>
      </c>
      <c r="D413">
        <v>155.25909799999999</v>
      </c>
      <c r="E413">
        <v>96.556185999999997</v>
      </c>
      <c r="F413">
        <v>49.984518000000001</v>
      </c>
      <c r="G413">
        <v>19.998241</v>
      </c>
      <c r="H413">
        <v>24.779995</v>
      </c>
    </row>
    <row r="414" spans="1:9" customFormat="1" x14ac:dyDescent="0.3">
      <c r="A414">
        <v>1705</v>
      </c>
      <c r="B414">
        <v>139.92147800000001</v>
      </c>
      <c r="C414">
        <v>148.10514599999999</v>
      </c>
      <c r="D414">
        <v>155.25909799999999</v>
      </c>
      <c r="E414">
        <v>96.556185999999997</v>
      </c>
      <c r="F414">
        <v>49.984518000000001</v>
      </c>
      <c r="G414">
        <v>19.998241</v>
      </c>
      <c r="H414">
        <v>24.779995</v>
      </c>
      <c r="I414" t="s">
        <v>61</v>
      </c>
    </row>
    <row r="415" spans="1:9" customFormat="1" x14ac:dyDescent="0.3">
      <c r="A415">
        <v>1705.2</v>
      </c>
      <c r="B415">
        <v>139.95651699999999</v>
      </c>
      <c r="C415">
        <v>148.15333999999999</v>
      </c>
      <c r="D415">
        <v>155.285673</v>
      </c>
      <c r="E415">
        <v>96.592453000000006</v>
      </c>
      <c r="F415">
        <v>49.478839999999998</v>
      </c>
      <c r="G415">
        <v>19.982032</v>
      </c>
      <c r="H415">
        <v>24.767634000000001</v>
      </c>
    </row>
    <row r="416" spans="1:9" customFormat="1" x14ac:dyDescent="0.3">
      <c r="A416">
        <v>1705.4</v>
      </c>
      <c r="B416">
        <v>139.95651699999999</v>
      </c>
      <c r="C416">
        <v>148.15333999999999</v>
      </c>
      <c r="D416">
        <v>155.285673</v>
      </c>
      <c r="E416">
        <v>96.592453000000006</v>
      </c>
      <c r="F416">
        <v>49.478839999999998</v>
      </c>
      <c r="G416">
        <v>19.982032</v>
      </c>
      <c r="H416">
        <v>24.767634000000001</v>
      </c>
    </row>
    <row r="417" spans="1:19" customFormat="1" x14ac:dyDescent="0.3">
      <c r="A417">
        <v>1705.6</v>
      </c>
      <c r="B417">
        <v>139.984073</v>
      </c>
      <c r="C417">
        <v>148.15034199999999</v>
      </c>
      <c r="D417">
        <v>155.31651600000001</v>
      </c>
      <c r="E417">
        <v>96.312462999999994</v>
      </c>
      <c r="F417">
        <v>50.041539</v>
      </c>
      <c r="G417">
        <v>20.008113999999999</v>
      </c>
      <c r="H417">
        <v>24.763366999999999</v>
      </c>
    </row>
    <row r="418" spans="1:19" customFormat="1" x14ac:dyDescent="0.3">
      <c r="A418">
        <v>1705.8</v>
      </c>
      <c r="B418">
        <v>139.984073</v>
      </c>
      <c r="C418">
        <v>148.15034199999999</v>
      </c>
      <c r="D418">
        <v>155.31651600000001</v>
      </c>
      <c r="E418">
        <v>96.312462999999994</v>
      </c>
      <c r="F418">
        <v>50.041539</v>
      </c>
      <c r="G418">
        <v>20.008113999999999</v>
      </c>
      <c r="H418">
        <v>24.763366999999999</v>
      </c>
    </row>
    <row r="419" spans="1:19" customFormat="1" x14ac:dyDescent="0.3">
      <c r="A419">
        <v>1706</v>
      </c>
      <c r="B419">
        <v>139.95448400000001</v>
      </c>
      <c r="C419">
        <v>148.143787</v>
      </c>
      <c r="D419">
        <v>155.29609600000001</v>
      </c>
      <c r="E419">
        <v>95.853587000000005</v>
      </c>
      <c r="F419">
        <v>52.575386999999999</v>
      </c>
      <c r="G419">
        <v>20.01418</v>
      </c>
      <c r="H419">
        <v>24.741530999999998</v>
      </c>
      <c r="I419" t="s">
        <v>61</v>
      </c>
    </row>
    <row r="420" spans="1:19" customFormat="1" x14ac:dyDescent="0.3">
      <c r="A420">
        <v>1706.2</v>
      </c>
      <c r="B420">
        <v>139.95448400000001</v>
      </c>
      <c r="C420">
        <v>148.143787</v>
      </c>
      <c r="D420">
        <v>155.29609600000001</v>
      </c>
      <c r="E420">
        <v>95.853587000000005</v>
      </c>
      <c r="F420">
        <v>52.575386999999999</v>
      </c>
      <c r="G420">
        <v>20.01418</v>
      </c>
      <c r="H420">
        <v>24.741530999999998</v>
      </c>
    </row>
    <row r="421" spans="1:19" customFormat="1" x14ac:dyDescent="0.3">
      <c r="A421">
        <v>1706.4</v>
      </c>
      <c r="B421">
        <v>139.905776</v>
      </c>
      <c r="C421">
        <v>148.11694</v>
      </c>
      <c r="D421">
        <v>155.312489</v>
      </c>
      <c r="E421">
        <v>95.965017000000003</v>
      </c>
      <c r="F421">
        <v>51.423744999999997</v>
      </c>
      <c r="G421">
        <v>20.008486000000001</v>
      </c>
      <c r="H421">
        <v>24.714599</v>
      </c>
    </row>
    <row r="422" spans="1:19" customFormat="1" x14ac:dyDescent="0.3">
      <c r="A422">
        <v>1706.6</v>
      </c>
      <c r="B422">
        <v>139.905776</v>
      </c>
      <c r="C422">
        <v>148.11694</v>
      </c>
      <c r="D422">
        <v>155.312489</v>
      </c>
      <c r="E422">
        <v>95.965017000000003</v>
      </c>
      <c r="F422">
        <v>51.423744999999997</v>
      </c>
      <c r="G422">
        <v>20.008486000000001</v>
      </c>
      <c r="H422">
        <v>24.714599</v>
      </c>
    </row>
    <row r="423" spans="1:19" customFormat="1" x14ac:dyDescent="0.3">
      <c r="A423">
        <v>1706.8</v>
      </c>
      <c r="B423">
        <v>139.92038600000001</v>
      </c>
      <c r="C423">
        <v>148.10898900000001</v>
      </c>
      <c r="D423">
        <v>155.309472</v>
      </c>
      <c r="E423">
        <v>95.889807000000005</v>
      </c>
      <c r="F423">
        <v>50.913231000000003</v>
      </c>
      <c r="G423">
        <v>20.013038000000002</v>
      </c>
      <c r="H423">
        <v>24.737559000000001</v>
      </c>
    </row>
    <row r="424" spans="1:19" x14ac:dyDescent="0.3">
      <c r="A424">
        <v>1880</v>
      </c>
      <c r="B424">
        <v>156.74806100000001</v>
      </c>
      <c r="C424">
        <v>166.567283</v>
      </c>
      <c r="D424">
        <v>175.07704699999999</v>
      </c>
      <c r="E424">
        <v>103.67855400000001</v>
      </c>
      <c r="F424">
        <v>52.967950999999999</v>
      </c>
      <c r="G424">
        <v>20.036071</v>
      </c>
      <c r="H424">
        <v>25.661619000000002</v>
      </c>
      <c r="I424" t="s">
        <v>61</v>
      </c>
      <c r="N424"/>
      <c r="O424"/>
      <c r="P424" s="1" t="e">
        <f t="shared" ref="P424:P487" si="25">(B406+Q$35)/P$35</f>
        <v>#DIV/0!</v>
      </c>
      <c r="Q424" s="1" t="e">
        <f t="shared" ref="Q424:Q487" si="26">(C406+Q$35)/P$35</f>
        <v>#DIV/0!</v>
      </c>
      <c r="R424" s="1" t="e">
        <f t="shared" ref="R424:R487" si="27">(D406+Q$37)/P$37</f>
        <v>#DIV/0!</v>
      </c>
      <c r="S424" s="1" t="e">
        <f t="shared" ref="S424:S487" si="28">(E406+Q$38)/P$38</f>
        <v>#DIV/0!</v>
      </c>
    </row>
    <row r="425" spans="1:19" x14ac:dyDescent="0.3">
      <c r="A425">
        <v>1880.2</v>
      </c>
      <c r="B425">
        <v>156.74806100000001</v>
      </c>
      <c r="C425">
        <v>166.567283</v>
      </c>
      <c r="D425">
        <v>175.07704699999999</v>
      </c>
      <c r="E425">
        <v>103.67855400000001</v>
      </c>
      <c r="F425">
        <v>52.967950999999999</v>
      </c>
      <c r="G425">
        <v>20.036071</v>
      </c>
      <c r="H425">
        <v>25.661619000000002</v>
      </c>
      <c r="I425"/>
      <c r="N425"/>
      <c r="O425"/>
      <c r="P425" s="1" t="e">
        <f t="shared" si="25"/>
        <v>#DIV/0!</v>
      </c>
      <c r="Q425" s="1" t="e">
        <f t="shared" si="26"/>
        <v>#DIV/0!</v>
      </c>
      <c r="R425" s="1" t="e">
        <f t="shared" si="27"/>
        <v>#DIV/0!</v>
      </c>
      <c r="S425" s="1" t="e">
        <f t="shared" si="28"/>
        <v>#DIV/0!</v>
      </c>
    </row>
    <row r="426" spans="1:19" x14ac:dyDescent="0.3">
      <c r="A426">
        <v>1880.4</v>
      </c>
      <c r="B426">
        <v>156.74037000000001</v>
      </c>
      <c r="C426">
        <v>166.60287099999999</v>
      </c>
      <c r="D426">
        <v>175.076696</v>
      </c>
      <c r="E426">
        <v>103.60848799999999</v>
      </c>
      <c r="F426">
        <v>53.156267</v>
      </c>
      <c r="G426">
        <v>20.029299999999999</v>
      </c>
      <c r="H426">
        <v>25.678485999999999</v>
      </c>
      <c r="I426"/>
      <c r="N426"/>
      <c r="O426"/>
      <c r="P426" s="1" t="e">
        <f t="shared" si="25"/>
        <v>#DIV/0!</v>
      </c>
      <c r="Q426" s="1" t="e">
        <f t="shared" si="26"/>
        <v>#DIV/0!</v>
      </c>
      <c r="R426" s="1" t="e">
        <f t="shared" si="27"/>
        <v>#DIV/0!</v>
      </c>
      <c r="S426" s="1" t="e">
        <f t="shared" si="28"/>
        <v>#DIV/0!</v>
      </c>
    </row>
    <row r="427" spans="1:19" x14ac:dyDescent="0.3">
      <c r="A427">
        <v>1880.6</v>
      </c>
      <c r="B427">
        <v>156.74037000000001</v>
      </c>
      <c r="C427">
        <v>166.60287099999999</v>
      </c>
      <c r="D427">
        <v>175.076696</v>
      </c>
      <c r="E427">
        <v>103.60848799999999</v>
      </c>
      <c r="F427">
        <v>53.156267</v>
      </c>
      <c r="G427">
        <v>20.029299999999999</v>
      </c>
      <c r="H427">
        <v>25.678485999999999</v>
      </c>
      <c r="I427"/>
      <c r="N427"/>
      <c r="O427"/>
      <c r="P427" s="1" t="e">
        <f t="shared" si="25"/>
        <v>#DIV/0!</v>
      </c>
      <c r="Q427" s="1" t="e">
        <f t="shared" si="26"/>
        <v>#DIV/0!</v>
      </c>
      <c r="R427" s="1" t="e">
        <f t="shared" si="27"/>
        <v>#DIV/0!</v>
      </c>
      <c r="S427" s="1" t="e">
        <f t="shared" si="28"/>
        <v>#DIV/0!</v>
      </c>
    </row>
    <row r="428" spans="1:19" x14ac:dyDescent="0.3">
      <c r="A428">
        <v>1880.8</v>
      </c>
      <c r="B428">
        <v>156.758624</v>
      </c>
      <c r="C428">
        <v>166.58468999999999</v>
      </c>
      <c r="D428">
        <v>175.10104100000001</v>
      </c>
      <c r="E428">
        <v>103.532308</v>
      </c>
      <c r="F428">
        <v>53.485647999999998</v>
      </c>
      <c r="G428">
        <v>20.033224000000001</v>
      </c>
      <c r="H428">
        <v>25.669644000000002</v>
      </c>
      <c r="I428"/>
      <c r="N428"/>
      <c r="O428"/>
      <c r="P428" s="1" t="e">
        <f t="shared" si="25"/>
        <v>#DIV/0!</v>
      </c>
      <c r="Q428" s="1" t="e">
        <f t="shared" si="26"/>
        <v>#DIV/0!</v>
      </c>
      <c r="R428" s="1" t="e">
        <f t="shared" si="27"/>
        <v>#DIV/0!</v>
      </c>
      <c r="S428" s="1" t="e">
        <f t="shared" si="28"/>
        <v>#DIV/0!</v>
      </c>
    </row>
    <row r="429" spans="1:19" x14ac:dyDescent="0.3">
      <c r="A429">
        <v>1881</v>
      </c>
      <c r="B429">
        <v>156.758624</v>
      </c>
      <c r="C429">
        <v>166.58468999999999</v>
      </c>
      <c r="D429">
        <v>175.10104100000001</v>
      </c>
      <c r="E429">
        <v>103.532308</v>
      </c>
      <c r="F429">
        <v>53.485647999999998</v>
      </c>
      <c r="G429">
        <v>20.033224000000001</v>
      </c>
      <c r="H429">
        <v>25.669644000000002</v>
      </c>
      <c r="I429" t="s">
        <v>61</v>
      </c>
      <c r="N429"/>
      <c r="O429"/>
      <c r="P429" s="1" t="e">
        <f t="shared" si="25"/>
        <v>#DIV/0!</v>
      </c>
      <c r="Q429" s="1" t="e">
        <f t="shared" si="26"/>
        <v>#DIV/0!</v>
      </c>
      <c r="R429" s="1" t="e">
        <f t="shared" si="27"/>
        <v>#DIV/0!</v>
      </c>
      <c r="S429" s="1" t="e">
        <f t="shared" si="28"/>
        <v>#DIV/0!</v>
      </c>
    </row>
    <row r="430" spans="1:19" x14ac:dyDescent="0.3">
      <c r="A430">
        <v>1881.2</v>
      </c>
      <c r="B430">
        <v>156.72129200000001</v>
      </c>
      <c r="C430">
        <v>166.612188</v>
      </c>
      <c r="D430">
        <v>175.091195</v>
      </c>
      <c r="E430">
        <v>103.53145000000001</v>
      </c>
      <c r="F430">
        <v>53.489860999999998</v>
      </c>
      <c r="G430">
        <v>20.013746000000001</v>
      </c>
      <c r="H430">
        <v>25.628074000000002</v>
      </c>
      <c r="I430"/>
      <c r="N430"/>
      <c r="O430"/>
      <c r="P430" s="1" t="e">
        <f t="shared" si="25"/>
        <v>#DIV/0!</v>
      </c>
      <c r="Q430" s="1" t="e">
        <f t="shared" si="26"/>
        <v>#DIV/0!</v>
      </c>
      <c r="R430" s="1" t="e">
        <f t="shared" si="27"/>
        <v>#DIV/0!</v>
      </c>
      <c r="S430" s="1" t="e">
        <f t="shared" si="28"/>
        <v>#DIV/0!</v>
      </c>
    </row>
    <row r="431" spans="1:19" x14ac:dyDescent="0.3">
      <c r="A431">
        <v>1881.4</v>
      </c>
      <c r="B431">
        <v>156.72129200000001</v>
      </c>
      <c r="C431">
        <v>166.612188</v>
      </c>
      <c r="D431">
        <v>175.091195</v>
      </c>
      <c r="E431">
        <v>103.53145000000001</v>
      </c>
      <c r="F431">
        <v>53.489860999999998</v>
      </c>
      <c r="G431">
        <v>20.013746000000001</v>
      </c>
      <c r="H431">
        <v>25.628074000000002</v>
      </c>
      <c r="I431"/>
      <c r="N431"/>
      <c r="O431"/>
      <c r="P431" s="1" t="e">
        <f t="shared" si="25"/>
        <v>#DIV/0!</v>
      </c>
      <c r="Q431" s="1" t="e">
        <f t="shared" si="26"/>
        <v>#DIV/0!</v>
      </c>
      <c r="R431" s="1" t="e">
        <f t="shared" si="27"/>
        <v>#DIV/0!</v>
      </c>
      <c r="S431" s="1" t="e">
        <f t="shared" si="28"/>
        <v>#DIV/0!</v>
      </c>
    </row>
    <row r="432" spans="1:19" x14ac:dyDescent="0.3">
      <c r="A432">
        <v>1881.6</v>
      </c>
      <c r="B432">
        <v>156.77255400000001</v>
      </c>
      <c r="C432">
        <v>166.63146900000001</v>
      </c>
      <c r="D432">
        <v>175.09226699999999</v>
      </c>
      <c r="E432">
        <v>103.534587</v>
      </c>
      <c r="F432">
        <v>53.591707</v>
      </c>
      <c r="G432">
        <v>20.028569999999998</v>
      </c>
      <c r="H432">
        <v>25.683423999999999</v>
      </c>
      <c r="I432"/>
      <c r="N432"/>
      <c r="O432"/>
      <c r="P432" s="1" t="e">
        <f t="shared" si="25"/>
        <v>#DIV/0!</v>
      </c>
      <c r="Q432" s="1" t="e">
        <f t="shared" si="26"/>
        <v>#DIV/0!</v>
      </c>
      <c r="R432" s="1" t="e">
        <f t="shared" si="27"/>
        <v>#DIV/0!</v>
      </c>
      <c r="S432" s="1" t="e">
        <f t="shared" si="28"/>
        <v>#DIV/0!</v>
      </c>
    </row>
    <row r="433" spans="1:19" x14ac:dyDescent="0.3">
      <c r="A433">
        <v>1881.8</v>
      </c>
      <c r="B433">
        <v>156.77255400000001</v>
      </c>
      <c r="C433">
        <v>166.63146900000001</v>
      </c>
      <c r="D433">
        <v>175.09226699999999</v>
      </c>
      <c r="E433">
        <v>103.534587</v>
      </c>
      <c r="F433">
        <v>53.591707</v>
      </c>
      <c r="G433">
        <v>20.028569999999998</v>
      </c>
      <c r="H433">
        <v>25.683423999999999</v>
      </c>
      <c r="I433"/>
      <c r="N433"/>
      <c r="O433"/>
      <c r="P433" s="1" t="e">
        <f t="shared" si="25"/>
        <v>#DIV/0!</v>
      </c>
      <c r="Q433" s="1" t="e">
        <f t="shared" si="26"/>
        <v>#DIV/0!</v>
      </c>
      <c r="R433" s="1" t="e">
        <f t="shared" si="27"/>
        <v>#DIV/0!</v>
      </c>
      <c r="S433" s="1" t="e">
        <f t="shared" si="28"/>
        <v>#DIV/0!</v>
      </c>
    </row>
    <row r="434" spans="1:19" x14ac:dyDescent="0.3">
      <c r="A434">
        <v>1882</v>
      </c>
      <c r="B434">
        <v>156.78479999999999</v>
      </c>
      <c r="C434">
        <v>166.636134</v>
      </c>
      <c r="D434">
        <v>175.13069100000001</v>
      </c>
      <c r="E434">
        <v>103.979984</v>
      </c>
      <c r="F434">
        <v>53.307923000000002</v>
      </c>
      <c r="G434">
        <v>20.015041</v>
      </c>
      <c r="H434">
        <v>25.674212000000001</v>
      </c>
      <c r="I434" t="s">
        <v>61</v>
      </c>
      <c r="N434"/>
      <c r="O434"/>
      <c r="P434" s="1" t="e">
        <f t="shared" si="25"/>
        <v>#DIV/0!</v>
      </c>
      <c r="Q434" s="1" t="e">
        <f t="shared" si="26"/>
        <v>#DIV/0!</v>
      </c>
      <c r="R434" s="1" t="e">
        <f t="shared" si="27"/>
        <v>#DIV/0!</v>
      </c>
      <c r="S434" s="1" t="e">
        <f t="shared" si="28"/>
        <v>#DIV/0!</v>
      </c>
    </row>
    <row r="435" spans="1:19" x14ac:dyDescent="0.3">
      <c r="A435">
        <v>1882.2</v>
      </c>
      <c r="B435">
        <v>156.78479999999999</v>
      </c>
      <c r="C435">
        <v>166.636134</v>
      </c>
      <c r="D435">
        <v>175.13069100000001</v>
      </c>
      <c r="E435">
        <v>103.979984</v>
      </c>
      <c r="F435">
        <v>53.307923000000002</v>
      </c>
      <c r="G435">
        <v>20.015041</v>
      </c>
      <c r="H435">
        <v>25.674212000000001</v>
      </c>
      <c r="I435"/>
      <c r="N435"/>
      <c r="O435"/>
      <c r="P435" s="1" t="e">
        <f t="shared" si="25"/>
        <v>#DIV/0!</v>
      </c>
      <c r="Q435" s="1" t="e">
        <f t="shared" si="26"/>
        <v>#DIV/0!</v>
      </c>
      <c r="R435" s="1" t="e">
        <f t="shared" si="27"/>
        <v>#DIV/0!</v>
      </c>
      <c r="S435" s="1" t="e">
        <f t="shared" si="28"/>
        <v>#DIV/0!</v>
      </c>
    </row>
    <row r="436" spans="1:19" x14ac:dyDescent="0.3">
      <c r="A436">
        <v>1882.4</v>
      </c>
      <c r="B436">
        <v>156.818749</v>
      </c>
      <c r="C436">
        <v>166.62629899999999</v>
      </c>
      <c r="D436">
        <v>175.13881499999999</v>
      </c>
      <c r="E436">
        <v>103.876986</v>
      </c>
      <c r="F436">
        <v>53.493488999999997</v>
      </c>
      <c r="G436">
        <v>20.027837999999999</v>
      </c>
      <c r="H436">
        <v>25.660979999999999</v>
      </c>
      <c r="I436"/>
      <c r="N436"/>
      <c r="O436"/>
      <c r="P436" s="1" t="e">
        <f t="shared" si="25"/>
        <v>#DIV/0!</v>
      </c>
      <c r="Q436" s="1" t="e">
        <f t="shared" si="26"/>
        <v>#DIV/0!</v>
      </c>
      <c r="R436" s="1" t="e">
        <f t="shared" si="27"/>
        <v>#DIV/0!</v>
      </c>
      <c r="S436" s="1" t="e">
        <f t="shared" si="28"/>
        <v>#DIV/0!</v>
      </c>
    </row>
    <row r="437" spans="1:19" x14ac:dyDescent="0.3">
      <c r="A437">
        <v>1882.6</v>
      </c>
      <c r="B437">
        <v>156.818749</v>
      </c>
      <c r="C437">
        <v>166.62629899999999</v>
      </c>
      <c r="D437">
        <v>175.13881499999999</v>
      </c>
      <c r="E437">
        <v>103.876986</v>
      </c>
      <c r="F437">
        <v>53.493488999999997</v>
      </c>
      <c r="G437">
        <v>20.027837999999999</v>
      </c>
      <c r="H437">
        <v>25.660979999999999</v>
      </c>
      <c r="I437"/>
      <c r="N437"/>
      <c r="O437"/>
      <c r="P437" s="1" t="e">
        <f t="shared" si="25"/>
        <v>#DIV/0!</v>
      </c>
      <c r="Q437" s="1" t="e">
        <f t="shared" si="26"/>
        <v>#DIV/0!</v>
      </c>
      <c r="R437" s="1" t="e">
        <f t="shared" si="27"/>
        <v>#DIV/0!</v>
      </c>
      <c r="S437" s="1" t="e">
        <f t="shared" si="28"/>
        <v>#DIV/0!</v>
      </c>
    </row>
    <row r="438" spans="1:19" x14ac:dyDescent="0.3">
      <c r="A438">
        <v>1882.8</v>
      </c>
      <c r="B438">
        <v>156.83141800000001</v>
      </c>
      <c r="C438">
        <v>166.682222</v>
      </c>
      <c r="D438">
        <v>175.16254799999999</v>
      </c>
      <c r="E438">
        <v>103.77309099999999</v>
      </c>
      <c r="F438">
        <v>53.667045999999999</v>
      </c>
      <c r="G438">
        <v>20.026658999999999</v>
      </c>
      <c r="H438">
        <v>25.667832000000001</v>
      </c>
      <c r="I438"/>
      <c r="N438"/>
      <c r="O438"/>
      <c r="P438" s="1" t="e">
        <f t="shared" si="25"/>
        <v>#DIV/0!</v>
      </c>
      <c r="Q438" s="1" t="e">
        <f t="shared" si="26"/>
        <v>#DIV/0!</v>
      </c>
      <c r="R438" s="1" t="e">
        <f t="shared" si="27"/>
        <v>#DIV/0!</v>
      </c>
      <c r="S438" s="1" t="e">
        <f t="shared" si="28"/>
        <v>#DIV/0!</v>
      </c>
    </row>
    <row r="439" spans="1:19" x14ac:dyDescent="0.3">
      <c r="A439">
        <v>1883</v>
      </c>
      <c r="B439">
        <v>156.83141800000001</v>
      </c>
      <c r="C439">
        <v>166.682222</v>
      </c>
      <c r="D439">
        <v>175.16254799999999</v>
      </c>
      <c r="E439">
        <v>103.77309099999999</v>
      </c>
      <c r="F439">
        <v>53.667045999999999</v>
      </c>
      <c r="G439">
        <v>20.026658999999999</v>
      </c>
      <c r="H439">
        <v>25.667832000000001</v>
      </c>
      <c r="I439" t="s">
        <v>61</v>
      </c>
      <c r="N439"/>
      <c r="O439"/>
      <c r="P439" s="1" t="e">
        <f t="shared" si="25"/>
        <v>#DIV/0!</v>
      </c>
      <c r="Q439" s="1" t="e">
        <f t="shared" si="26"/>
        <v>#DIV/0!</v>
      </c>
      <c r="R439" s="1" t="e">
        <f t="shared" si="27"/>
        <v>#DIV/0!</v>
      </c>
      <c r="S439" s="1" t="e">
        <f t="shared" si="28"/>
        <v>#DIV/0!</v>
      </c>
    </row>
    <row r="440" spans="1:19" x14ac:dyDescent="0.3">
      <c r="A440">
        <v>1883.2</v>
      </c>
      <c r="B440">
        <v>156.851337</v>
      </c>
      <c r="C440">
        <v>166.70400900000001</v>
      </c>
      <c r="D440">
        <v>175.20177699999999</v>
      </c>
      <c r="E440">
        <v>103.711274</v>
      </c>
      <c r="F440">
        <v>53.695086000000003</v>
      </c>
      <c r="G440">
        <v>20.039251</v>
      </c>
      <c r="H440">
        <v>25.690747000000002</v>
      </c>
      <c r="I440"/>
      <c r="N440"/>
      <c r="O440"/>
      <c r="P440" s="1" t="e">
        <f t="shared" si="25"/>
        <v>#DIV/0!</v>
      </c>
      <c r="Q440" s="1" t="e">
        <f t="shared" si="26"/>
        <v>#DIV/0!</v>
      </c>
      <c r="R440" s="1" t="e">
        <f t="shared" si="27"/>
        <v>#DIV/0!</v>
      </c>
      <c r="S440" s="1" t="e">
        <f t="shared" si="28"/>
        <v>#DIV/0!</v>
      </c>
    </row>
    <row r="441" spans="1:19" x14ac:dyDescent="0.3">
      <c r="A441">
        <v>1883.4</v>
      </c>
      <c r="B441">
        <v>156.851337</v>
      </c>
      <c r="C441">
        <v>166.70400900000001</v>
      </c>
      <c r="D441">
        <v>175.20177699999999</v>
      </c>
      <c r="E441">
        <v>103.711274</v>
      </c>
      <c r="F441">
        <v>53.695086000000003</v>
      </c>
      <c r="G441">
        <v>20.039251</v>
      </c>
      <c r="H441">
        <v>25.690747000000002</v>
      </c>
      <c r="I441"/>
      <c r="N441"/>
      <c r="O441"/>
      <c r="P441" s="1" t="e">
        <f t="shared" si="25"/>
        <v>#DIV/0!</v>
      </c>
      <c r="Q441" s="1" t="e">
        <f t="shared" si="26"/>
        <v>#DIV/0!</v>
      </c>
      <c r="R441" s="1" t="e">
        <f t="shared" si="27"/>
        <v>#DIV/0!</v>
      </c>
      <c r="S441" s="1" t="e">
        <f t="shared" si="28"/>
        <v>#DIV/0!</v>
      </c>
    </row>
    <row r="442" spans="1:19" x14ac:dyDescent="0.3">
      <c r="A442">
        <v>1883.6</v>
      </c>
      <c r="B442">
        <v>156.85088099999999</v>
      </c>
      <c r="C442">
        <v>166.70993799999999</v>
      </c>
      <c r="D442">
        <v>175.19305800000001</v>
      </c>
      <c r="E442">
        <v>103.621184</v>
      </c>
      <c r="F442">
        <v>54.174115</v>
      </c>
      <c r="G442">
        <v>20.013783</v>
      </c>
      <c r="H442">
        <v>25.684763</v>
      </c>
      <c r="I442"/>
      <c r="N442"/>
      <c r="O442"/>
      <c r="P442" s="1" t="e">
        <f t="shared" si="25"/>
        <v>#DIV/0!</v>
      </c>
      <c r="Q442" s="1" t="e">
        <f t="shared" si="26"/>
        <v>#DIV/0!</v>
      </c>
      <c r="R442" s="1" t="e">
        <f t="shared" si="27"/>
        <v>#DIV/0!</v>
      </c>
      <c r="S442" s="1" t="e">
        <f t="shared" si="28"/>
        <v>#DIV/0!</v>
      </c>
    </row>
    <row r="443" spans="1:19" x14ac:dyDescent="0.3">
      <c r="A443">
        <v>1883.8</v>
      </c>
      <c r="B443">
        <v>156.85088099999999</v>
      </c>
      <c r="C443">
        <v>166.70993799999999</v>
      </c>
      <c r="D443">
        <v>175.19305800000001</v>
      </c>
      <c r="E443">
        <v>103.621184</v>
      </c>
      <c r="F443">
        <v>54.174115</v>
      </c>
      <c r="G443">
        <v>20.013783</v>
      </c>
      <c r="H443">
        <v>25.684763</v>
      </c>
      <c r="I443"/>
      <c r="N443"/>
      <c r="O443"/>
      <c r="P443" s="1" t="e">
        <f t="shared" si="25"/>
        <v>#DIV/0!</v>
      </c>
      <c r="Q443" s="1" t="e">
        <f t="shared" si="26"/>
        <v>#DIV/0!</v>
      </c>
      <c r="R443" s="1" t="e">
        <f t="shared" si="27"/>
        <v>#DIV/0!</v>
      </c>
      <c r="S443" s="1" t="e">
        <f t="shared" si="28"/>
        <v>#DIV/0!</v>
      </c>
    </row>
    <row r="444" spans="1:19" x14ac:dyDescent="0.3">
      <c r="A444">
        <v>1884</v>
      </c>
      <c r="B444">
        <v>156.882926</v>
      </c>
      <c r="C444">
        <v>166.715461</v>
      </c>
      <c r="D444">
        <v>175.21179599999999</v>
      </c>
      <c r="E444">
        <v>103.805655</v>
      </c>
      <c r="F444">
        <v>54.228727999999997</v>
      </c>
      <c r="G444">
        <v>20.020426</v>
      </c>
      <c r="H444">
        <v>25.669184000000001</v>
      </c>
      <c r="I444" t="s">
        <v>61</v>
      </c>
      <c r="N444"/>
      <c r="O444"/>
      <c r="P444" s="1" t="e">
        <f t="shared" si="25"/>
        <v>#DIV/0!</v>
      </c>
      <c r="Q444" s="1" t="e">
        <f t="shared" si="26"/>
        <v>#DIV/0!</v>
      </c>
      <c r="R444" s="1" t="e">
        <f t="shared" si="27"/>
        <v>#DIV/0!</v>
      </c>
      <c r="S444" s="1" t="e">
        <f t="shared" si="28"/>
        <v>#DIV/0!</v>
      </c>
    </row>
    <row r="445" spans="1:19" x14ac:dyDescent="0.3">
      <c r="A445">
        <v>1884.2</v>
      </c>
      <c r="B445">
        <v>156.882926</v>
      </c>
      <c r="C445">
        <v>166.715461</v>
      </c>
      <c r="D445">
        <v>175.21179599999999</v>
      </c>
      <c r="E445">
        <v>103.805655</v>
      </c>
      <c r="F445">
        <v>54.228727999999997</v>
      </c>
      <c r="G445">
        <v>20.020426</v>
      </c>
      <c r="H445">
        <v>25.669184000000001</v>
      </c>
      <c r="I445"/>
      <c r="N445"/>
      <c r="O445"/>
      <c r="P445" s="1" t="e">
        <f t="shared" si="25"/>
        <v>#DIV/0!</v>
      </c>
      <c r="Q445" s="1" t="e">
        <f t="shared" si="26"/>
        <v>#DIV/0!</v>
      </c>
      <c r="R445" s="1" t="e">
        <f t="shared" si="27"/>
        <v>#DIV/0!</v>
      </c>
      <c r="S445" s="1" t="e">
        <f t="shared" si="28"/>
        <v>#DIV/0!</v>
      </c>
    </row>
    <row r="446" spans="1:19" x14ac:dyDescent="0.3">
      <c r="A446">
        <v>1884.4</v>
      </c>
      <c r="B446">
        <v>156.89583099999999</v>
      </c>
      <c r="C446">
        <v>166.737099</v>
      </c>
      <c r="D446">
        <v>175.211209</v>
      </c>
      <c r="E446">
        <v>103.883611</v>
      </c>
      <c r="F446">
        <v>54.146248</v>
      </c>
      <c r="G446">
        <v>20.029824999999999</v>
      </c>
      <c r="H446">
        <v>25.644545000000001</v>
      </c>
      <c r="I446"/>
      <c r="N446"/>
      <c r="O446"/>
      <c r="P446" s="1" t="e">
        <f t="shared" si="25"/>
        <v>#DIV/0!</v>
      </c>
      <c r="Q446" s="1" t="e">
        <f t="shared" si="26"/>
        <v>#DIV/0!</v>
      </c>
      <c r="R446" s="1" t="e">
        <f t="shared" si="27"/>
        <v>#DIV/0!</v>
      </c>
      <c r="S446" s="1" t="e">
        <f t="shared" si="28"/>
        <v>#DIV/0!</v>
      </c>
    </row>
    <row r="447" spans="1:19" x14ac:dyDescent="0.3">
      <c r="A447">
        <v>1884.6</v>
      </c>
      <c r="B447">
        <v>156.89583099999999</v>
      </c>
      <c r="C447">
        <v>166.737099</v>
      </c>
      <c r="D447">
        <v>175.211209</v>
      </c>
      <c r="E447">
        <v>103.883611</v>
      </c>
      <c r="F447">
        <v>54.146248</v>
      </c>
      <c r="G447">
        <v>20.029824999999999</v>
      </c>
      <c r="H447">
        <v>25.644545000000001</v>
      </c>
      <c r="I447"/>
      <c r="N447"/>
      <c r="O447"/>
      <c r="P447" s="1" t="e">
        <f t="shared" si="25"/>
        <v>#DIV/0!</v>
      </c>
      <c r="Q447" s="1" t="e">
        <f t="shared" si="26"/>
        <v>#DIV/0!</v>
      </c>
      <c r="R447" s="1" t="e">
        <f t="shared" si="27"/>
        <v>#DIV/0!</v>
      </c>
      <c r="S447" s="1" t="e">
        <f t="shared" si="28"/>
        <v>#DIV/0!</v>
      </c>
    </row>
    <row r="448" spans="1:19" x14ac:dyDescent="0.3">
      <c r="A448">
        <v>1884.8</v>
      </c>
      <c r="B448">
        <v>156.940628</v>
      </c>
      <c r="C448">
        <v>166.763161</v>
      </c>
      <c r="D448">
        <v>175.22967800000001</v>
      </c>
      <c r="E448">
        <v>103.810689</v>
      </c>
      <c r="F448">
        <v>54.010596999999997</v>
      </c>
      <c r="G448">
        <v>20.041634999999999</v>
      </c>
      <c r="H448">
        <v>25.669986999999999</v>
      </c>
      <c r="I448"/>
      <c r="N448"/>
      <c r="O448"/>
      <c r="P448" s="1" t="e">
        <f t="shared" si="25"/>
        <v>#DIV/0!</v>
      </c>
      <c r="Q448" s="1" t="e">
        <f t="shared" si="26"/>
        <v>#DIV/0!</v>
      </c>
      <c r="R448" s="1" t="e">
        <f t="shared" si="27"/>
        <v>#DIV/0!</v>
      </c>
      <c r="S448" s="1" t="e">
        <f t="shared" si="28"/>
        <v>#DIV/0!</v>
      </c>
    </row>
    <row r="449" spans="1:19" x14ac:dyDescent="0.3">
      <c r="A449">
        <v>1885</v>
      </c>
      <c r="B449">
        <v>156.940628</v>
      </c>
      <c r="C449">
        <v>166.763161</v>
      </c>
      <c r="D449">
        <v>175.22967800000001</v>
      </c>
      <c r="E449">
        <v>103.810689</v>
      </c>
      <c r="F449">
        <v>54.010596999999997</v>
      </c>
      <c r="G449">
        <v>20.041634999999999</v>
      </c>
      <c r="H449">
        <v>25.669986999999999</v>
      </c>
      <c r="I449" t="s">
        <v>61</v>
      </c>
      <c r="N449"/>
      <c r="O449"/>
      <c r="P449" s="1" t="e">
        <f t="shared" si="25"/>
        <v>#DIV/0!</v>
      </c>
      <c r="Q449" s="1" t="e">
        <f t="shared" si="26"/>
        <v>#DIV/0!</v>
      </c>
      <c r="R449" s="1" t="e">
        <f t="shared" si="27"/>
        <v>#DIV/0!</v>
      </c>
      <c r="S449" s="1" t="e">
        <f t="shared" si="28"/>
        <v>#DIV/0!</v>
      </c>
    </row>
    <row r="450" spans="1:19" x14ac:dyDescent="0.3">
      <c r="A450">
        <v>1885.2</v>
      </c>
      <c r="B450">
        <v>156.94296800000001</v>
      </c>
      <c r="C450">
        <v>166.75840500000001</v>
      </c>
      <c r="D450">
        <v>175.24499900000001</v>
      </c>
      <c r="E450">
        <v>103.992752</v>
      </c>
      <c r="F450">
        <v>53.718237000000002</v>
      </c>
      <c r="G450">
        <v>20.008011</v>
      </c>
      <c r="H450">
        <v>25.671467</v>
      </c>
      <c r="I450"/>
      <c r="N450"/>
      <c r="O450"/>
      <c r="P450" s="1" t="e">
        <f t="shared" si="25"/>
        <v>#DIV/0!</v>
      </c>
      <c r="Q450" s="1" t="e">
        <f t="shared" si="26"/>
        <v>#DIV/0!</v>
      </c>
      <c r="R450" s="1" t="e">
        <f t="shared" si="27"/>
        <v>#DIV/0!</v>
      </c>
      <c r="S450" s="1" t="e">
        <f t="shared" si="28"/>
        <v>#DIV/0!</v>
      </c>
    </row>
    <row r="451" spans="1:19" x14ac:dyDescent="0.3">
      <c r="A451">
        <v>1885.4</v>
      </c>
      <c r="B451">
        <v>156.94296800000001</v>
      </c>
      <c r="C451">
        <v>166.75840500000001</v>
      </c>
      <c r="D451">
        <v>175.24499900000001</v>
      </c>
      <c r="E451">
        <v>103.992752</v>
      </c>
      <c r="F451">
        <v>53.718237000000002</v>
      </c>
      <c r="G451">
        <v>20.008011</v>
      </c>
      <c r="H451">
        <v>25.671467</v>
      </c>
      <c r="I451"/>
      <c r="N451"/>
      <c r="O451"/>
      <c r="P451" s="1" t="e">
        <f t="shared" si="25"/>
        <v>#DIV/0!</v>
      </c>
      <c r="Q451" s="1" t="e">
        <f t="shared" si="26"/>
        <v>#DIV/0!</v>
      </c>
      <c r="R451" s="1" t="e">
        <f t="shared" si="27"/>
        <v>#DIV/0!</v>
      </c>
      <c r="S451" s="1" t="e">
        <f t="shared" si="28"/>
        <v>#DIV/0!</v>
      </c>
    </row>
    <row r="452" spans="1:19" x14ac:dyDescent="0.3">
      <c r="A452">
        <v>1885.6</v>
      </c>
      <c r="B452">
        <v>156.950762</v>
      </c>
      <c r="C452">
        <v>166.77564799999999</v>
      </c>
      <c r="D452">
        <v>175.26953700000001</v>
      </c>
      <c r="E452">
        <v>103.781688</v>
      </c>
      <c r="F452">
        <v>53.637248</v>
      </c>
      <c r="G452">
        <v>20.033646000000001</v>
      </c>
      <c r="H452">
        <v>25.676200999999999</v>
      </c>
      <c r="I452"/>
      <c r="N452"/>
      <c r="O452"/>
      <c r="P452" s="1" t="e">
        <f t="shared" si="25"/>
        <v>#DIV/0!</v>
      </c>
      <c r="Q452" s="1" t="e">
        <f t="shared" si="26"/>
        <v>#DIV/0!</v>
      </c>
      <c r="R452" s="1" t="e">
        <f t="shared" si="27"/>
        <v>#DIV/0!</v>
      </c>
      <c r="S452" s="1" t="e">
        <f t="shared" si="28"/>
        <v>#DIV/0!</v>
      </c>
    </row>
    <row r="453" spans="1:19" x14ac:dyDescent="0.3">
      <c r="A453">
        <v>1885.8</v>
      </c>
      <c r="B453">
        <v>156.950762</v>
      </c>
      <c r="C453">
        <v>166.77564799999999</v>
      </c>
      <c r="D453">
        <v>175.26953700000001</v>
      </c>
      <c r="E453">
        <v>103.781688</v>
      </c>
      <c r="F453">
        <v>53.637248</v>
      </c>
      <c r="G453">
        <v>20.033646000000001</v>
      </c>
      <c r="H453">
        <v>25.676200999999999</v>
      </c>
      <c r="I453"/>
      <c r="N453"/>
      <c r="O453"/>
      <c r="P453" s="1" t="e">
        <f t="shared" si="25"/>
        <v>#DIV/0!</v>
      </c>
      <c r="Q453" s="1" t="e">
        <f t="shared" si="26"/>
        <v>#DIV/0!</v>
      </c>
      <c r="R453" s="1" t="e">
        <f t="shared" si="27"/>
        <v>#DIV/0!</v>
      </c>
      <c r="S453" s="1" t="e">
        <f t="shared" si="28"/>
        <v>#DIV/0!</v>
      </c>
    </row>
    <row r="454" spans="1:19" x14ac:dyDescent="0.3">
      <c r="A454">
        <v>1886</v>
      </c>
      <c r="B454">
        <v>156.958057</v>
      </c>
      <c r="C454">
        <v>166.77583999999999</v>
      </c>
      <c r="D454">
        <v>175.303258</v>
      </c>
      <c r="E454">
        <v>103.709602</v>
      </c>
      <c r="F454">
        <v>53.617607999999997</v>
      </c>
      <c r="G454">
        <v>20.016231000000001</v>
      </c>
      <c r="H454">
        <v>25.693807</v>
      </c>
      <c r="I454" t="s">
        <v>61</v>
      </c>
      <c r="N454"/>
      <c r="O454"/>
      <c r="P454" s="1" t="e">
        <f t="shared" si="25"/>
        <v>#DIV/0!</v>
      </c>
      <c r="Q454" s="1" t="e">
        <f t="shared" si="26"/>
        <v>#DIV/0!</v>
      </c>
      <c r="R454" s="1" t="e">
        <f t="shared" si="27"/>
        <v>#DIV/0!</v>
      </c>
      <c r="S454" s="1" t="e">
        <f t="shared" si="28"/>
        <v>#DIV/0!</v>
      </c>
    </row>
    <row r="455" spans="1:19" x14ac:dyDescent="0.3">
      <c r="A455">
        <v>1886.2</v>
      </c>
      <c r="B455">
        <v>156.958057</v>
      </c>
      <c r="C455">
        <v>166.77583999999999</v>
      </c>
      <c r="D455">
        <v>175.303258</v>
      </c>
      <c r="E455">
        <v>103.709602</v>
      </c>
      <c r="F455">
        <v>53.617607999999997</v>
      </c>
      <c r="G455">
        <v>20.016231000000001</v>
      </c>
      <c r="H455">
        <v>25.693807</v>
      </c>
      <c r="I455"/>
      <c r="N455"/>
      <c r="O455"/>
      <c r="P455" s="1" t="e">
        <f t="shared" si="25"/>
        <v>#DIV/0!</v>
      </c>
      <c r="Q455" s="1" t="e">
        <f t="shared" si="26"/>
        <v>#DIV/0!</v>
      </c>
      <c r="R455" s="1" t="e">
        <f t="shared" si="27"/>
        <v>#DIV/0!</v>
      </c>
      <c r="S455" s="1" t="e">
        <f t="shared" si="28"/>
        <v>#DIV/0!</v>
      </c>
    </row>
    <row r="456" spans="1:19" x14ac:dyDescent="0.3">
      <c r="A456">
        <v>1886.4</v>
      </c>
      <c r="B456">
        <v>156.96319</v>
      </c>
      <c r="C456">
        <v>166.785695</v>
      </c>
      <c r="D456">
        <v>175.28216800000001</v>
      </c>
      <c r="E456">
        <v>103.780644</v>
      </c>
      <c r="F456">
        <v>53.574598000000002</v>
      </c>
      <c r="G456">
        <v>20.029837000000001</v>
      </c>
      <c r="H456">
        <v>25.717258000000001</v>
      </c>
      <c r="I456"/>
      <c r="N456"/>
      <c r="O456"/>
      <c r="P456" s="1" t="e">
        <f t="shared" si="25"/>
        <v>#DIV/0!</v>
      </c>
      <c r="Q456" s="1" t="e">
        <f t="shared" si="26"/>
        <v>#DIV/0!</v>
      </c>
      <c r="R456" s="1" t="e">
        <f t="shared" si="27"/>
        <v>#DIV/0!</v>
      </c>
      <c r="S456" s="1" t="e">
        <f t="shared" si="28"/>
        <v>#DIV/0!</v>
      </c>
    </row>
    <row r="457" spans="1:19" x14ac:dyDescent="0.3">
      <c r="A457">
        <v>1886.6</v>
      </c>
      <c r="B457">
        <v>156.96319</v>
      </c>
      <c r="C457">
        <v>166.785695</v>
      </c>
      <c r="D457">
        <v>175.28216800000001</v>
      </c>
      <c r="E457">
        <v>103.780644</v>
      </c>
      <c r="F457">
        <v>53.574598000000002</v>
      </c>
      <c r="G457">
        <v>20.029837000000001</v>
      </c>
      <c r="H457">
        <v>25.717258000000001</v>
      </c>
      <c r="I457"/>
      <c r="N457"/>
      <c r="O457"/>
      <c r="P457" s="1" t="e">
        <f t="shared" si="25"/>
        <v>#DIV/0!</v>
      </c>
      <c r="Q457" s="1" t="e">
        <f t="shared" si="26"/>
        <v>#DIV/0!</v>
      </c>
      <c r="R457" s="1" t="e">
        <f t="shared" si="27"/>
        <v>#DIV/0!</v>
      </c>
      <c r="S457" s="1" t="e">
        <f t="shared" si="28"/>
        <v>#DIV/0!</v>
      </c>
    </row>
    <row r="458" spans="1:19" x14ac:dyDescent="0.3">
      <c r="A458">
        <v>1886.8</v>
      </c>
      <c r="B458">
        <v>156.98325</v>
      </c>
      <c r="C458">
        <v>166.80549400000001</v>
      </c>
      <c r="D458">
        <v>175.31398200000001</v>
      </c>
      <c r="E458">
        <v>103.831546</v>
      </c>
      <c r="F458">
        <v>53.474533000000001</v>
      </c>
      <c r="G458">
        <v>20.061406999999999</v>
      </c>
      <c r="H458">
        <v>25.725538</v>
      </c>
      <c r="I458"/>
      <c r="N458"/>
      <c r="O458"/>
      <c r="P458" s="1" t="e">
        <f t="shared" si="25"/>
        <v>#DIV/0!</v>
      </c>
      <c r="Q458" s="1" t="e">
        <f t="shared" si="26"/>
        <v>#DIV/0!</v>
      </c>
      <c r="R458" s="1" t="e">
        <f t="shared" si="27"/>
        <v>#DIV/0!</v>
      </c>
      <c r="S458" s="1" t="e">
        <f t="shared" si="28"/>
        <v>#DIV/0!</v>
      </c>
    </row>
    <row r="459" spans="1:19" x14ac:dyDescent="0.3">
      <c r="A459">
        <v>1887</v>
      </c>
      <c r="B459">
        <v>156.98325</v>
      </c>
      <c r="C459">
        <v>166.80549400000001</v>
      </c>
      <c r="D459">
        <v>175.31398200000001</v>
      </c>
      <c r="E459">
        <v>103.831546</v>
      </c>
      <c r="F459">
        <v>53.474533000000001</v>
      </c>
      <c r="G459">
        <v>20.061406999999999</v>
      </c>
      <c r="H459">
        <v>25.725538</v>
      </c>
      <c r="I459" t="s">
        <v>61</v>
      </c>
      <c r="N459"/>
      <c r="O459"/>
      <c r="P459" s="1" t="e">
        <f t="shared" si="25"/>
        <v>#DIV/0!</v>
      </c>
      <c r="Q459" s="1" t="e">
        <f t="shared" si="26"/>
        <v>#DIV/0!</v>
      </c>
      <c r="R459" s="1" t="e">
        <f t="shared" si="27"/>
        <v>#DIV/0!</v>
      </c>
      <c r="S459" s="1" t="e">
        <f t="shared" si="28"/>
        <v>#DIV/0!</v>
      </c>
    </row>
    <row r="460" spans="1:19" x14ac:dyDescent="0.3">
      <c r="A460">
        <v>1887.2</v>
      </c>
      <c r="B460">
        <v>157.00590700000001</v>
      </c>
      <c r="C460">
        <v>166.81795500000001</v>
      </c>
      <c r="D460">
        <v>175.30210400000001</v>
      </c>
      <c r="E460">
        <v>104.127787</v>
      </c>
      <c r="F460">
        <v>53.303871999999998</v>
      </c>
      <c r="G460">
        <v>20.052239</v>
      </c>
      <c r="H460">
        <v>25.721609000000001</v>
      </c>
      <c r="I460"/>
      <c r="N460"/>
      <c r="O460"/>
      <c r="P460" s="1" t="e">
        <f t="shared" si="25"/>
        <v>#DIV/0!</v>
      </c>
      <c r="Q460" s="1" t="e">
        <f t="shared" si="26"/>
        <v>#DIV/0!</v>
      </c>
      <c r="R460" s="1" t="e">
        <f t="shared" si="27"/>
        <v>#DIV/0!</v>
      </c>
      <c r="S460" s="1" t="e">
        <f t="shared" si="28"/>
        <v>#DIV/0!</v>
      </c>
    </row>
    <row r="461" spans="1:19" x14ac:dyDescent="0.3">
      <c r="A461">
        <v>1887.4</v>
      </c>
      <c r="B461">
        <v>157.00590700000001</v>
      </c>
      <c r="C461">
        <v>166.81795500000001</v>
      </c>
      <c r="D461">
        <v>175.30210400000001</v>
      </c>
      <c r="E461">
        <v>104.127787</v>
      </c>
      <c r="F461">
        <v>53.303871999999998</v>
      </c>
      <c r="G461">
        <v>20.052239</v>
      </c>
      <c r="H461">
        <v>25.721609000000001</v>
      </c>
      <c r="I461"/>
      <c r="N461"/>
      <c r="O461"/>
      <c r="P461" s="1" t="e">
        <f t="shared" si="25"/>
        <v>#DIV/0!</v>
      </c>
      <c r="Q461" s="1" t="e">
        <f t="shared" si="26"/>
        <v>#DIV/0!</v>
      </c>
      <c r="R461" s="1" t="e">
        <f t="shared" si="27"/>
        <v>#DIV/0!</v>
      </c>
      <c r="S461" s="1" t="e">
        <f t="shared" si="28"/>
        <v>#DIV/0!</v>
      </c>
    </row>
    <row r="462" spans="1:19" x14ac:dyDescent="0.3">
      <c r="A462">
        <v>1887.6</v>
      </c>
      <c r="B462">
        <v>157.06302199999999</v>
      </c>
      <c r="C462">
        <v>166.829363</v>
      </c>
      <c r="D462">
        <v>175.33569199999999</v>
      </c>
      <c r="E462">
        <v>103.876706</v>
      </c>
      <c r="F462">
        <v>53.229725999999999</v>
      </c>
      <c r="G462">
        <v>20.008396000000001</v>
      </c>
      <c r="H462">
        <v>25.711974999999999</v>
      </c>
      <c r="I462"/>
      <c r="N462"/>
      <c r="O462"/>
      <c r="P462" s="1" t="e">
        <f t="shared" si="25"/>
        <v>#DIV/0!</v>
      </c>
      <c r="Q462" s="1" t="e">
        <f t="shared" si="26"/>
        <v>#DIV/0!</v>
      </c>
      <c r="R462" s="1" t="e">
        <f t="shared" si="27"/>
        <v>#DIV/0!</v>
      </c>
      <c r="S462" s="1" t="e">
        <f t="shared" si="28"/>
        <v>#DIV/0!</v>
      </c>
    </row>
    <row r="463" spans="1:19" x14ac:dyDescent="0.3">
      <c r="A463">
        <v>1887.8</v>
      </c>
      <c r="B463">
        <v>157.06302199999999</v>
      </c>
      <c r="C463">
        <v>166.829363</v>
      </c>
      <c r="D463">
        <v>175.33569199999999</v>
      </c>
      <c r="E463">
        <v>103.876706</v>
      </c>
      <c r="F463">
        <v>53.229725999999999</v>
      </c>
      <c r="G463">
        <v>20.008396000000001</v>
      </c>
      <c r="H463">
        <v>25.711974999999999</v>
      </c>
      <c r="I463"/>
      <c r="N463"/>
      <c r="P463" s="1" t="e">
        <f t="shared" si="25"/>
        <v>#DIV/0!</v>
      </c>
      <c r="Q463" s="1" t="e">
        <f t="shared" si="26"/>
        <v>#DIV/0!</v>
      </c>
      <c r="R463" s="1" t="e">
        <f t="shared" si="27"/>
        <v>#DIV/0!</v>
      </c>
      <c r="S463" s="1" t="e">
        <f t="shared" si="28"/>
        <v>#DIV/0!</v>
      </c>
    </row>
    <row r="464" spans="1:19" x14ac:dyDescent="0.3">
      <c r="A464">
        <v>1888</v>
      </c>
      <c r="B464">
        <v>157.05129299999999</v>
      </c>
      <c r="C464">
        <v>166.845551</v>
      </c>
      <c r="D464">
        <v>175.363663</v>
      </c>
      <c r="E464">
        <v>103.67990899999999</v>
      </c>
      <c r="F464">
        <v>53.210704999999997</v>
      </c>
      <c r="G464">
        <v>20.042852</v>
      </c>
      <c r="H464">
        <v>25.698578999999999</v>
      </c>
      <c r="I464" t="s">
        <v>61</v>
      </c>
      <c r="N464"/>
      <c r="O464" s="26"/>
      <c r="P464" s="1" t="e">
        <f t="shared" si="25"/>
        <v>#DIV/0!</v>
      </c>
      <c r="Q464" s="1" t="e">
        <f t="shared" si="26"/>
        <v>#DIV/0!</v>
      </c>
      <c r="R464" s="1" t="e">
        <f t="shared" si="27"/>
        <v>#DIV/0!</v>
      </c>
      <c r="S464" s="1" t="e">
        <f t="shared" si="28"/>
        <v>#DIV/0!</v>
      </c>
    </row>
    <row r="465" spans="1:19" x14ac:dyDescent="0.3">
      <c r="A465">
        <v>1888.2</v>
      </c>
      <c r="B465">
        <v>157.05129299999999</v>
      </c>
      <c r="C465">
        <v>166.845551</v>
      </c>
      <c r="D465">
        <v>175.363663</v>
      </c>
      <c r="E465">
        <v>103.67990899999999</v>
      </c>
      <c r="F465">
        <v>53.210704999999997</v>
      </c>
      <c r="G465">
        <v>20.042852</v>
      </c>
      <c r="H465">
        <v>25.698578999999999</v>
      </c>
      <c r="I465"/>
      <c r="N465"/>
      <c r="O465" s="26"/>
      <c r="P465" s="1" t="e">
        <f t="shared" si="25"/>
        <v>#DIV/0!</v>
      </c>
      <c r="Q465" s="1" t="e">
        <f t="shared" si="26"/>
        <v>#DIV/0!</v>
      </c>
      <c r="R465" s="1" t="e">
        <f t="shared" si="27"/>
        <v>#DIV/0!</v>
      </c>
      <c r="S465" s="1" t="e">
        <f t="shared" si="28"/>
        <v>#DIV/0!</v>
      </c>
    </row>
    <row r="466" spans="1:19" x14ac:dyDescent="0.3">
      <c r="A466">
        <v>1888.4</v>
      </c>
      <c r="B466">
        <v>157.053156</v>
      </c>
      <c r="C466">
        <v>166.85734299999999</v>
      </c>
      <c r="D466">
        <v>175.363159</v>
      </c>
      <c r="E466">
        <v>103.881647</v>
      </c>
      <c r="F466">
        <v>53.809415000000001</v>
      </c>
      <c r="G466">
        <v>20.027284000000002</v>
      </c>
      <c r="H466">
        <v>25.715661999999998</v>
      </c>
      <c r="I466"/>
      <c r="N466"/>
      <c r="O466" s="26"/>
      <c r="P466" s="1" t="e">
        <f t="shared" si="25"/>
        <v>#DIV/0!</v>
      </c>
      <c r="Q466" s="1" t="e">
        <f t="shared" si="26"/>
        <v>#DIV/0!</v>
      </c>
      <c r="R466" s="1" t="e">
        <f t="shared" si="27"/>
        <v>#DIV/0!</v>
      </c>
      <c r="S466" s="1" t="e">
        <f t="shared" si="28"/>
        <v>#DIV/0!</v>
      </c>
    </row>
    <row r="467" spans="1:19" x14ac:dyDescent="0.3">
      <c r="A467">
        <v>1888.6</v>
      </c>
      <c r="B467">
        <v>157.053156</v>
      </c>
      <c r="C467">
        <v>166.85734299999999</v>
      </c>
      <c r="D467">
        <v>175.363159</v>
      </c>
      <c r="E467">
        <v>103.881647</v>
      </c>
      <c r="F467">
        <v>53.809415000000001</v>
      </c>
      <c r="G467">
        <v>20.027284000000002</v>
      </c>
      <c r="H467">
        <v>25.715661999999998</v>
      </c>
      <c r="I467"/>
      <c r="N467"/>
      <c r="O467" s="26"/>
      <c r="P467" s="1" t="e">
        <f t="shared" si="25"/>
        <v>#DIV/0!</v>
      </c>
      <c r="Q467" s="1" t="e">
        <f t="shared" si="26"/>
        <v>#DIV/0!</v>
      </c>
      <c r="R467" s="1" t="e">
        <f t="shared" si="27"/>
        <v>#DIV/0!</v>
      </c>
      <c r="S467" s="1" t="e">
        <f t="shared" si="28"/>
        <v>#DIV/0!</v>
      </c>
    </row>
    <row r="468" spans="1:19" x14ac:dyDescent="0.3">
      <c r="A468">
        <v>1888.8</v>
      </c>
      <c r="B468">
        <v>157.05025699999999</v>
      </c>
      <c r="C468">
        <v>166.85326499999999</v>
      </c>
      <c r="D468">
        <v>175.383172</v>
      </c>
      <c r="E468">
        <v>103.740049</v>
      </c>
      <c r="F468">
        <v>54.001559</v>
      </c>
      <c r="G468">
        <v>20.034427000000001</v>
      </c>
      <c r="H468">
        <v>25.719463999999999</v>
      </c>
      <c r="I468"/>
      <c r="N468"/>
      <c r="O468"/>
      <c r="P468" s="1" t="e">
        <f t="shared" si="25"/>
        <v>#DIV/0!</v>
      </c>
      <c r="Q468" s="1" t="e">
        <f t="shared" si="26"/>
        <v>#DIV/0!</v>
      </c>
      <c r="R468" s="1" t="e">
        <f t="shared" si="27"/>
        <v>#DIV/0!</v>
      </c>
      <c r="S468" s="1" t="e">
        <f t="shared" si="28"/>
        <v>#DIV/0!</v>
      </c>
    </row>
    <row r="469" spans="1:19" x14ac:dyDescent="0.3">
      <c r="A469">
        <v>1889</v>
      </c>
      <c r="B469">
        <v>157.05025699999999</v>
      </c>
      <c r="C469">
        <v>166.85326499999999</v>
      </c>
      <c r="D469">
        <v>175.383172</v>
      </c>
      <c r="E469">
        <v>103.740049</v>
      </c>
      <c r="F469">
        <v>54.001559</v>
      </c>
      <c r="G469">
        <v>20.034427000000001</v>
      </c>
      <c r="H469">
        <v>25.719463999999999</v>
      </c>
      <c r="I469" t="s">
        <v>61</v>
      </c>
      <c r="N469"/>
      <c r="O469"/>
      <c r="P469" s="1" t="e">
        <f t="shared" si="25"/>
        <v>#DIV/0!</v>
      </c>
      <c r="Q469" s="1" t="e">
        <f t="shared" si="26"/>
        <v>#DIV/0!</v>
      </c>
      <c r="R469" s="1" t="e">
        <f t="shared" si="27"/>
        <v>#DIV/0!</v>
      </c>
      <c r="S469" s="1" t="e">
        <f t="shared" si="28"/>
        <v>#DIV/0!</v>
      </c>
    </row>
    <row r="470" spans="1:19" x14ac:dyDescent="0.3">
      <c r="A470">
        <v>1889.2</v>
      </c>
      <c r="B470">
        <v>157.048644</v>
      </c>
      <c r="C470">
        <v>166.87269900000001</v>
      </c>
      <c r="D470">
        <v>175.36692400000001</v>
      </c>
      <c r="E470">
        <v>103.741483</v>
      </c>
      <c r="F470">
        <v>53.960569</v>
      </c>
      <c r="G470">
        <v>20.042466999999998</v>
      </c>
      <c r="H470">
        <v>25.735489000000001</v>
      </c>
      <c r="I470"/>
      <c r="N470"/>
      <c r="O470"/>
      <c r="P470" s="1" t="e">
        <f t="shared" si="25"/>
        <v>#DIV/0!</v>
      </c>
      <c r="Q470" s="1" t="e">
        <f t="shared" si="26"/>
        <v>#DIV/0!</v>
      </c>
      <c r="R470" s="1" t="e">
        <f t="shared" si="27"/>
        <v>#DIV/0!</v>
      </c>
      <c r="S470" s="1" t="e">
        <f t="shared" si="28"/>
        <v>#DIV/0!</v>
      </c>
    </row>
    <row r="471" spans="1:19" x14ac:dyDescent="0.3">
      <c r="A471">
        <v>1889.4</v>
      </c>
      <c r="B471">
        <v>157.048644</v>
      </c>
      <c r="C471">
        <v>166.87269900000001</v>
      </c>
      <c r="D471">
        <v>175.36692400000001</v>
      </c>
      <c r="E471">
        <v>103.741483</v>
      </c>
      <c r="F471">
        <v>53.960569</v>
      </c>
      <c r="G471">
        <v>20.042466999999998</v>
      </c>
      <c r="H471">
        <v>25.735489000000001</v>
      </c>
      <c r="I471"/>
      <c r="N471"/>
      <c r="O471"/>
      <c r="P471" s="1" t="e">
        <f t="shared" si="25"/>
        <v>#DIV/0!</v>
      </c>
      <c r="Q471" s="1" t="e">
        <f t="shared" si="26"/>
        <v>#DIV/0!</v>
      </c>
      <c r="R471" s="1" t="e">
        <f t="shared" si="27"/>
        <v>#DIV/0!</v>
      </c>
      <c r="S471" s="1" t="e">
        <f t="shared" si="28"/>
        <v>#DIV/0!</v>
      </c>
    </row>
    <row r="472" spans="1:19" x14ac:dyDescent="0.3">
      <c r="A472">
        <v>1889.6</v>
      </c>
      <c r="B472">
        <v>157.08065199999999</v>
      </c>
      <c r="C472">
        <v>166.86281299999999</v>
      </c>
      <c r="D472">
        <v>175.40498500000001</v>
      </c>
      <c r="E472">
        <v>103.64817499999999</v>
      </c>
      <c r="F472">
        <v>53.75526</v>
      </c>
      <c r="G472">
        <v>20.047211000000001</v>
      </c>
      <c r="H472">
        <v>25.703859999999999</v>
      </c>
      <c r="I472"/>
      <c r="N472"/>
      <c r="O472"/>
      <c r="P472" s="1" t="e">
        <f t="shared" si="25"/>
        <v>#DIV/0!</v>
      </c>
      <c r="Q472" s="1" t="e">
        <f t="shared" si="26"/>
        <v>#DIV/0!</v>
      </c>
      <c r="R472" s="1" t="e">
        <f t="shared" si="27"/>
        <v>#DIV/0!</v>
      </c>
      <c r="S472" s="1" t="e">
        <f t="shared" si="28"/>
        <v>#DIV/0!</v>
      </c>
    </row>
    <row r="473" spans="1:19" x14ac:dyDescent="0.3">
      <c r="A473">
        <v>1889.8</v>
      </c>
      <c r="B473">
        <v>157.08065199999999</v>
      </c>
      <c r="C473">
        <v>166.86281299999999</v>
      </c>
      <c r="D473">
        <v>175.40498500000001</v>
      </c>
      <c r="E473">
        <v>103.64817499999999</v>
      </c>
      <c r="F473">
        <v>53.75526</v>
      </c>
      <c r="G473">
        <v>20.047211000000001</v>
      </c>
      <c r="H473">
        <v>25.703859999999999</v>
      </c>
      <c r="I473"/>
      <c r="N473"/>
      <c r="O473"/>
      <c r="P473" s="1" t="e">
        <f t="shared" si="25"/>
        <v>#DIV/0!</v>
      </c>
      <c r="Q473" s="1" t="e">
        <f t="shared" si="26"/>
        <v>#DIV/0!</v>
      </c>
      <c r="R473" s="1" t="e">
        <f t="shared" si="27"/>
        <v>#DIV/0!</v>
      </c>
      <c r="S473" s="1" t="e">
        <f t="shared" si="28"/>
        <v>#DIV/0!</v>
      </c>
    </row>
    <row r="474" spans="1:19" x14ac:dyDescent="0.3">
      <c r="A474"/>
      <c r="B474"/>
      <c r="C474"/>
      <c r="D474"/>
      <c r="E474"/>
      <c r="F474"/>
      <c r="G474"/>
      <c r="H474"/>
      <c r="I474"/>
      <c r="N474"/>
      <c r="O474"/>
      <c r="P474" s="1" t="e">
        <f t="shared" si="25"/>
        <v>#DIV/0!</v>
      </c>
      <c r="Q474" s="1" t="e">
        <f t="shared" si="26"/>
        <v>#DIV/0!</v>
      </c>
      <c r="R474" s="1" t="e">
        <f t="shared" si="27"/>
        <v>#DIV/0!</v>
      </c>
      <c r="S474" s="1" t="e">
        <f t="shared" si="28"/>
        <v>#DIV/0!</v>
      </c>
    </row>
    <row r="475" spans="1:19" x14ac:dyDescent="0.3">
      <c r="A475"/>
      <c r="B475"/>
      <c r="C475"/>
      <c r="D475"/>
      <c r="E475"/>
      <c r="F475"/>
      <c r="G475"/>
      <c r="H475"/>
      <c r="I475"/>
      <c r="N475"/>
      <c r="O475"/>
      <c r="P475" s="1" t="e">
        <f t="shared" si="25"/>
        <v>#DIV/0!</v>
      </c>
      <c r="Q475" s="1" t="e">
        <f t="shared" si="26"/>
        <v>#DIV/0!</v>
      </c>
      <c r="R475" s="1" t="e">
        <f t="shared" si="27"/>
        <v>#DIV/0!</v>
      </c>
      <c r="S475" s="1" t="e">
        <f t="shared" si="28"/>
        <v>#DIV/0!</v>
      </c>
    </row>
    <row r="476" spans="1:19" x14ac:dyDescent="0.3">
      <c r="A476"/>
      <c r="B476"/>
      <c r="C476"/>
      <c r="D476"/>
      <c r="E476"/>
      <c r="F476"/>
      <c r="G476"/>
      <c r="H476"/>
      <c r="I476"/>
      <c r="N476"/>
      <c r="O476"/>
      <c r="P476" s="1" t="e">
        <f t="shared" si="25"/>
        <v>#DIV/0!</v>
      </c>
      <c r="Q476" s="1" t="e">
        <f t="shared" si="26"/>
        <v>#DIV/0!</v>
      </c>
      <c r="R476" s="1" t="e">
        <f t="shared" si="27"/>
        <v>#DIV/0!</v>
      </c>
      <c r="S476" s="1" t="e">
        <f t="shared" si="28"/>
        <v>#DIV/0!</v>
      </c>
    </row>
    <row r="477" spans="1:19" x14ac:dyDescent="0.3">
      <c r="A477"/>
      <c r="B477"/>
      <c r="C477"/>
      <c r="D477"/>
      <c r="E477"/>
      <c r="F477"/>
      <c r="G477"/>
      <c r="H477"/>
      <c r="I477"/>
      <c r="N477"/>
      <c r="O477"/>
      <c r="P477" s="1" t="e">
        <f t="shared" si="25"/>
        <v>#DIV/0!</v>
      </c>
      <c r="Q477" s="1" t="e">
        <f t="shared" si="26"/>
        <v>#DIV/0!</v>
      </c>
      <c r="R477" s="1" t="e">
        <f t="shared" si="27"/>
        <v>#DIV/0!</v>
      </c>
      <c r="S477" s="1" t="e">
        <f t="shared" si="28"/>
        <v>#DIV/0!</v>
      </c>
    </row>
    <row r="478" spans="1:19" x14ac:dyDescent="0.3">
      <c r="A478"/>
      <c r="B478"/>
      <c r="C478"/>
      <c r="D478"/>
      <c r="E478"/>
      <c r="F478"/>
      <c r="G478"/>
      <c r="H478"/>
      <c r="I478"/>
      <c r="N478"/>
      <c r="O478"/>
      <c r="P478" s="1" t="e">
        <f t="shared" si="25"/>
        <v>#DIV/0!</v>
      </c>
      <c r="Q478" s="1" t="e">
        <f t="shared" si="26"/>
        <v>#DIV/0!</v>
      </c>
      <c r="R478" s="1" t="e">
        <f t="shared" si="27"/>
        <v>#DIV/0!</v>
      </c>
      <c r="S478" s="1" t="e">
        <f t="shared" si="28"/>
        <v>#DIV/0!</v>
      </c>
    </row>
    <row r="479" spans="1:19" x14ac:dyDescent="0.3">
      <c r="A479"/>
      <c r="B479"/>
      <c r="C479"/>
      <c r="D479"/>
      <c r="E479"/>
      <c r="F479"/>
      <c r="G479"/>
      <c r="H479"/>
      <c r="I479"/>
      <c r="N479"/>
      <c r="O479"/>
      <c r="P479" s="1" t="e">
        <f t="shared" si="25"/>
        <v>#DIV/0!</v>
      </c>
      <c r="Q479" s="1" t="e">
        <f t="shared" si="26"/>
        <v>#DIV/0!</v>
      </c>
      <c r="R479" s="1" t="e">
        <f t="shared" si="27"/>
        <v>#DIV/0!</v>
      </c>
      <c r="S479" s="1" t="e">
        <f t="shared" si="28"/>
        <v>#DIV/0!</v>
      </c>
    </row>
    <row r="480" spans="1:19" x14ac:dyDescent="0.3">
      <c r="A480"/>
      <c r="B480"/>
      <c r="C480"/>
      <c r="D480"/>
      <c r="E480"/>
      <c r="F480"/>
      <c r="G480"/>
      <c r="H480"/>
      <c r="I480"/>
      <c r="N480"/>
      <c r="O480"/>
      <c r="P480" s="1" t="e">
        <f t="shared" si="25"/>
        <v>#DIV/0!</v>
      </c>
      <c r="Q480" s="1" t="e">
        <f t="shared" si="26"/>
        <v>#DIV/0!</v>
      </c>
      <c r="R480" s="1" t="e">
        <f t="shared" si="27"/>
        <v>#DIV/0!</v>
      </c>
      <c r="S480" s="1" t="e">
        <f t="shared" si="28"/>
        <v>#DIV/0!</v>
      </c>
    </row>
    <row r="481" spans="1:19" x14ac:dyDescent="0.3">
      <c r="A481"/>
      <c r="B481"/>
      <c r="C481"/>
      <c r="D481"/>
      <c r="E481"/>
      <c r="F481"/>
      <c r="G481"/>
      <c r="H481"/>
      <c r="I481"/>
      <c r="N481"/>
      <c r="O481"/>
      <c r="P481" s="1" t="e">
        <f t="shared" si="25"/>
        <v>#DIV/0!</v>
      </c>
      <c r="Q481" s="1" t="e">
        <f t="shared" si="26"/>
        <v>#DIV/0!</v>
      </c>
      <c r="R481" s="1" t="e">
        <f t="shared" si="27"/>
        <v>#DIV/0!</v>
      </c>
      <c r="S481" s="1" t="e">
        <f t="shared" si="28"/>
        <v>#DIV/0!</v>
      </c>
    </row>
    <row r="482" spans="1:19" x14ac:dyDescent="0.3">
      <c r="A482"/>
      <c r="B482"/>
      <c r="C482"/>
      <c r="D482"/>
      <c r="E482"/>
      <c r="F482"/>
      <c r="G482"/>
      <c r="H482"/>
      <c r="I482"/>
      <c r="N482"/>
      <c r="O482"/>
      <c r="P482" s="1" t="e">
        <f t="shared" si="25"/>
        <v>#DIV/0!</v>
      </c>
      <c r="Q482" s="1" t="e">
        <f t="shared" si="26"/>
        <v>#DIV/0!</v>
      </c>
      <c r="R482" s="1" t="e">
        <f t="shared" si="27"/>
        <v>#DIV/0!</v>
      </c>
      <c r="S482" s="1" t="e">
        <f t="shared" si="28"/>
        <v>#DIV/0!</v>
      </c>
    </row>
    <row r="483" spans="1:19" x14ac:dyDescent="0.3">
      <c r="A483"/>
      <c r="B483"/>
      <c r="C483"/>
      <c r="D483"/>
      <c r="E483"/>
      <c r="F483"/>
      <c r="G483"/>
      <c r="H483"/>
      <c r="I483"/>
      <c r="N483"/>
      <c r="O483"/>
      <c r="P483" s="1" t="e">
        <f t="shared" si="25"/>
        <v>#DIV/0!</v>
      </c>
      <c r="Q483" s="1" t="e">
        <f t="shared" si="26"/>
        <v>#DIV/0!</v>
      </c>
      <c r="R483" s="1" t="e">
        <f t="shared" si="27"/>
        <v>#DIV/0!</v>
      </c>
      <c r="S483" s="1" t="e">
        <f t="shared" si="28"/>
        <v>#DIV/0!</v>
      </c>
    </row>
    <row r="484" spans="1:19" x14ac:dyDescent="0.3">
      <c r="A484"/>
      <c r="B484"/>
      <c r="C484"/>
      <c r="D484"/>
      <c r="E484"/>
      <c r="F484"/>
      <c r="G484"/>
      <c r="H484"/>
      <c r="I484"/>
      <c r="N484"/>
      <c r="O484"/>
      <c r="P484" s="1" t="e">
        <f t="shared" si="25"/>
        <v>#DIV/0!</v>
      </c>
      <c r="Q484" s="1" t="e">
        <f t="shared" si="26"/>
        <v>#DIV/0!</v>
      </c>
      <c r="R484" s="1" t="e">
        <f t="shared" si="27"/>
        <v>#DIV/0!</v>
      </c>
      <c r="S484" s="1" t="e">
        <f t="shared" si="28"/>
        <v>#DIV/0!</v>
      </c>
    </row>
    <row r="485" spans="1:19" x14ac:dyDescent="0.3">
      <c r="A485"/>
      <c r="B485"/>
      <c r="C485"/>
      <c r="D485"/>
      <c r="E485"/>
      <c r="F485"/>
      <c r="G485"/>
      <c r="H485"/>
      <c r="I485"/>
      <c r="N485"/>
      <c r="O485"/>
      <c r="P485" s="1" t="e">
        <f t="shared" si="25"/>
        <v>#DIV/0!</v>
      </c>
      <c r="Q485" s="1" t="e">
        <f t="shared" si="26"/>
        <v>#DIV/0!</v>
      </c>
      <c r="R485" s="1" t="e">
        <f t="shared" si="27"/>
        <v>#DIV/0!</v>
      </c>
      <c r="S485" s="1" t="e">
        <f t="shared" si="28"/>
        <v>#DIV/0!</v>
      </c>
    </row>
    <row r="486" spans="1:19" x14ac:dyDescent="0.3">
      <c r="A486"/>
      <c r="B486"/>
      <c r="C486"/>
      <c r="D486"/>
      <c r="E486"/>
      <c r="F486"/>
      <c r="G486"/>
      <c r="H486"/>
      <c r="I486"/>
      <c r="N486"/>
      <c r="O486"/>
      <c r="P486" s="1" t="e">
        <f t="shared" si="25"/>
        <v>#DIV/0!</v>
      </c>
      <c r="Q486" s="1" t="e">
        <f t="shared" si="26"/>
        <v>#DIV/0!</v>
      </c>
      <c r="R486" s="1" t="e">
        <f t="shared" si="27"/>
        <v>#DIV/0!</v>
      </c>
      <c r="S486" s="1" t="e">
        <f t="shared" si="28"/>
        <v>#DIV/0!</v>
      </c>
    </row>
    <row r="487" spans="1:19" x14ac:dyDescent="0.3">
      <c r="A487"/>
      <c r="B487"/>
      <c r="C487"/>
      <c r="D487"/>
      <c r="E487"/>
      <c r="F487"/>
      <c r="G487"/>
      <c r="H487"/>
      <c r="I487"/>
      <c r="N487"/>
      <c r="O487"/>
      <c r="P487" s="1" t="e">
        <f t="shared" si="25"/>
        <v>#DIV/0!</v>
      </c>
      <c r="Q487" s="1" t="e">
        <f t="shared" si="26"/>
        <v>#DIV/0!</v>
      </c>
      <c r="R487" s="1" t="e">
        <f t="shared" si="27"/>
        <v>#DIV/0!</v>
      </c>
      <c r="S487" s="1" t="e">
        <f t="shared" si="28"/>
        <v>#DIV/0!</v>
      </c>
    </row>
    <row r="488" spans="1:19" x14ac:dyDescent="0.3">
      <c r="A488"/>
      <c r="B488"/>
      <c r="C488"/>
      <c r="D488"/>
      <c r="E488"/>
      <c r="F488"/>
      <c r="G488"/>
      <c r="H488"/>
      <c r="I488"/>
      <c r="N488"/>
      <c r="O488"/>
      <c r="P488" s="1" t="e">
        <f t="shared" ref="P488:P523" si="29">(B470+Q$35)/P$35</f>
        <v>#DIV/0!</v>
      </c>
      <c r="Q488" s="1" t="e">
        <f t="shared" ref="Q488:Q523" si="30">(C470+Q$35)/P$35</f>
        <v>#DIV/0!</v>
      </c>
      <c r="R488" s="1" t="e">
        <f t="shared" ref="R488:R523" si="31">(D470+Q$37)/P$37</f>
        <v>#DIV/0!</v>
      </c>
      <c r="S488" s="1" t="e">
        <f t="shared" ref="S488:S523" si="32">(E470+Q$38)/P$38</f>
        <v>#DIV/0!</v>
      </c>
    </row>
    <row r="489" spans="1:19" x14ac:dyDescent="0.3">
      <c r="A489"/>
      <c r="B489"/>
      <c r="C489"/>
      <c r="D489"/>
      <c r="E489"/>
      <c r="F489"/>
      <c r="G489"/>
      <c r="H489"/>
      <c r="I489"/>
      <c r="N489"/>
      <c r="O489"/>
      <c r="P489" s="1" t="e">
        <f t="shared" si="29"/>
        <v>#DIV/0!</v>
      </c>
      <c r="Q489" s="1" t="e">
        <f t="shared" si="30"/>
        <v>#DIV/0!</v>
      </c>
      <c r="R489" s="1" t="e">
        <f t="shared" si="31"/>
        <v>#DIV/0!</v>
      </c>
      <c r="S489" s="1" t="e">
        <f t="shared" si="32"/>
        <v>#DIV/0!</v>
      </c>
    </row>
    <row r="490" spans="1:19" x14ac:dyDescent="0.3">
      <c r="A490"/>
      <c r="B490"/>
      <c r="C490"/>
      <c r="D490"/>
      <c r="E490"/>
      <c r="F490"/>
      <c r="G490"/>
      <c r="H490"/>
      <c r="I490"/>
      <c r="N490"/>
      <c r="O490"/>
      <c r="P490" s="1" t="e">
        <f t="shared" si="29"/>
        <v>#DIV/0!</v>
      </c>
      <c r="Q490" s="1" t="e">
        <f t="shared" si="30"/>
        <v>#DIV/0!</v>
      </c>
      <c r="R490" s="1" t="e">
        <f t="shared" si="31"/>
        <v>#DIV/0!</v>
      </c>
      <c r="S490" s="1" t="e">
        <f t="shared" si="32"/>
        <v>#DIV/0!</v>
      </c>
    </row>
    <row r="491" spans="1:19" x14ac:dyDescent="0.3">
      <c r="A491"/>
      <c r="B491"/>
      <c r="C491"/>
      <c r="D491"/>
      <c r="E491"/>
      <c r="F491"/>
      <c r="G491"/>
      <c r="H491"/>
      <c r="I491"/>
      <c r="N491"/>
      <c r="O491"/>
      <c r="P491" s="1" t="e">
        <f t="shared" si="29"/>
        <v>#DIV/0!</v>
      </c>
      <c r="Q491" s="1" t="e">
        <f t="shared" si="30"/>
        <v>#DIV/0!</v>
      </c>
      <c r="R491" s="1" t="e">
        <f t="shared" si="31"/>
        <v>#DIV/0!</v>
      </c>
      <c r="S491" s="1" t="e">
        <f t="shared" si="32"/>
        <v>#DIV/0!</v>
      </c>
    </row>
    <row r="492" spans="1:19" x14ac:dyDescent="0.3">
      <c r="A492"/>
      <c r="B492"/>
      <c r="C492"/>
      <c r="D492"/>
      <c r="E492"/>
      <c r="F492"/>
      <c r="G492"/>
      <c r="H492"/>
      <c r="I492"/>
      <c r="N492"/>
      <c r="O492"/>
      <c r="P492" s="1" t="e">
        <f t="shared" si="29"/>
        <v>#DIV/0!</v>
      </c>
      <c r="Q492" s="1" t="e">
        <f t="shared" si="30"/>
        <v>#DIV/0!</v>
      </c>
      <c r="R492" s="1" t="e">
        <f t="shared" si="31"/>
        <v>#DIV/0!</v>
      </c>
      <c r="S492" s="1" t="e">
        <f t="shared" si="32"/>
        <v>#DIV/0!</v>
      </c>
    </row>
    <row r="493" spans="1:19" x14ac:dyDescent="0.3">
      <c r="A493"/>
      <c r="B493"/>
      <c r="C493"/>
      <c r="D493"/>
      <c r="E493"/>
      <c r="F493"/>
      <c r="G493"/>
      <c r="H493"/>
      <c r="I493"/>
      <c r="N493"/>
      <c r="O493"/>
      <c r="P493" s="1" t="e">
        <f t="shared" si="29"/>
        <v>#DIV/0!</v>
      </c>
      <c r="Q493" s="1" t="e">
        <f t="shared" si="30"/>
        <v>#DIV/0!</v>
      </c>
      <c r="R493" s="1" t="e">
        <f t="shared" si="31"/>
        <v>#DIV/0!</v>
      </c>
      <c r="S493" s="1" t="e">
        <f t="shared" si="32"/>
        <v>#DIV/0!</v>
      </c>
    </row>
    <row r="494" spans="1:19" x14ac:dyDescent="0.3">
      <c r="A494"/>
      <c r="B494"/>
      <c r="C494"/>
      <c r="D494"/>
      <c r="E494"/>
      <c r="F494"/>
      <c r="G494"/>
      <c r="H494"/>
      <c r="I494"/>
      <c r="N494"/>
      <c r="O494"/>
      <c r="P494" s="1" t="e">
        <f t="shared" si="29"/>
        <v>#DIV/0!</v>
      </c>
      <c r="Q494" s="1" t="e">
        <f t="shared" si="30"/>
        <v>#DIV/0!</v>
      </c>
      <c r="R494" s="1" t="e">
        <f t="shared" si="31"/>
        <v>#DIV/0!</v>
      </c>
      <c r="S494" s="1" t="e">
        <f t="shared" si="32"/>
        <v>#DIV/0!</v>
      </c>
    </row>
    <row r="495" spans="1:19" x14ac:dyDescent="0.3">
      <c r="A495"/>
      <c r="B495"/>
      <c r="C495"/>
      <c r="D495"/>
      <c r="E495"/>
      <c r="F495"/>
      <c r="G495"/>
      <c r="H495"/>
      <c r="I495"/>
      <c r="N495"/>
      <c r="O495"/>
      <c r="P495" s="1" t="e">
        <f t="shared" si="29"/>
        <v>#DIV/0!</v>
      </c>
      <c r="Q495" s="1" t="e">
        <f t="shared" si="30"/>
        <v>#DIV/0!</v>
      </c>
      <c r="R495" s="1" t="e">
        <f t="shared" si="31"/>
        <v>#DIV/0!</v>
      </c>
      <c r="S495" s="1" t="e">
        <f t="shared" si="32"/>
        <v>#DIV/0!</v>
      </c>
    </row>
    <row r="496" spans="1:19" x14ac:dyDescent="0.3">
      <c r="A496"/>
      <c r="B496"/>
      <c r="C496"/>
      <c r="D496"/>
      <c r="E496"/>
      <c r="F496"/>
      <c r="G496"/>
      <c r="H496"/>
      <c r="I496"/>
      <c r="N496"/>
      <c r="O496"/>
      <c r="P496" s="1" t="e">
        <f t="shared" si="29"/>
        <v>#DIV/0!</v>
      </c>
      <c r="Q496" s="1" t="e">
        <f t="shared" si="30"/>
        <v>#DIV/0!</v>
      </c>
      <c r="R496" s="1" t="e">
        <f t="shared" si="31"/>
        <v>#DIV/0!</v>
      </c>
      <c r="S496" s="1" t="e">
        <f t="shared" si="32"/>
        <v>#DIV/0!</v>
      </c>
    </row>
    <row r="497" spans="1:19" x14ac:dyDescent="0.3">
      <c r="A497"/>
      <c r="B497"/>
      <c r="C497"/>
      <c r="D497"/>
      <c r="E497"/>
      <c r="F497"/>
      <c r="G497"/>
      <c r="H497"/>
      <c r="I497"/>
      <c r="N497"/>
      <c r="O497"/>
      <c r="P497" s="1" t="e">
        <f t="shared" si="29"/>
        <v>#DIV/0!</v>
      </c>
      <c r="Q497" s="1" t="e">
        <f t="shared" si="30"/>
        <v>#DIV/0!</v>
      </c>
      <c r="R497" s="1" t="e">
        <f t="shared" si="31"/>
        <v>#DIV/0!</v>
      </c>
      <c r="S497" s="1" t="e">
        <f t="shared" si="32"/>
        <v>#DIV/0!</v>
      </c>
    </row>
    <row r="498" spans="1:19" x14ac:dyDescent="0.3">
      <c r="A498"/>
      <c r="B498"/>
      <c r="C498"/>
      <c r="D498"/>
      <c r="E498"/>
      <c r="F498"/>
      <c r="G498"/>
      <c r="H498"/>
      <c r="I498"/>
      <c r="N498"/>
      <c r="O498"/>
      <c r="P498" s="1" t="e">
        <f t="shared" si="29"/>
        <v>#DIV/0!</v>
      </c>
      <c r="Q498" s="1" t="e">
        <f t="shared" si="30"/>
        <v>#DIV/0!</v>
      </c>
      <c r="R498" s="1" t="e">
        <f t="shared" si="31"/>
        <v>#DIV/0!</v>
      </c>
      <c r="S498" s="1" t="e">
        <f t="shared" si="32"/>
        <v>#DIV/0!</v>
      </c>
    </row>
    <row r="499" spans="1:19" x14ac:dyDescent="0.3">
      <c r="A499"/>
      <c r="B499"/>
      <c r="C499"/>
      <c r="D499"/>
      <c r="E499"/>
      <c r="F499"/>
      <c r="G499"/>
      <c r="H499"/>
      <c r="I499"/>
      <c r="N499"/>
      <c r="O499"/>
      <c r="P499" s="1" t="e">
        <f t="shared" si="29"/>
        <v>#DIV/0!</v>
      </c>
      <c r="Q499" s="1" t="e">
        <f t="shared" si="30"/>
        <v>#DIV/0!</v>
      </c>
      <c r="R499" s="1" t="e">
        <f t="shared" si="31"/>
        <v>#DIV/0!</v>
      </c>
      <c r="S499" s="1" t="e">
        <f t="shared" si="32"/>
        <v>#DIV/0!</v>
      </c>
    </row>
    <row r="500" spans="1:19" x14ac:dyDescent="0.3">
      <c r="A500"/>
      <c r="B500"/>
      <c r="C500"/>
      <c r="D500"/>
      <c r="E500"/>
      <c r="F500"/>
      <c r="G500"/>
      <c r="H500"/>
      <c r="I500"/>
      <c r="N500"/>
      <c r="O500"/>
      <c r="P500" s="1" t="e">
        <f t="shared" si="29"/>
        <v>#DIV/0!</v>
      </c>
      <c r="Q500" s="1" t="e">
        <f t="shared" si="30"/>
        <v>#DIV/0!</v>
      </c>
      <c r="R500" s="1" t="e">
        <f t="shared" si="31"/>
        <v>#DIV/0!</v>
      </c>
      <c r="S500" s="1" t="e">
        <f t="shared" si="32"/>
        <v>#DIV/0!</v>
      </c>
    </row>
    <row r="501" spans="1:19" x14ac:dyDescent="0.3">
      <c r="A501"/>
      <c r="B501"/>
      <c r="C501"/>
      <c r="D501"/>
      <c r="E501"/>
      <c r="F501"/>
      <c r="G501"/>
      <c r="H501"/>
      <c r="I501"/>
      <c r="N501"/>
      <c r="O501"/>
      <c r="P501" s="1" t="e">
        <f t="shared" si="29"/>
        <v>#DIV/0!</v>
      </c>
      <c r="Q501" s="1" t="e">
        <f t="shared" si="30"/>
        <v>#DIV/0!</v>
      </c>
      <c r="R501" s="1" t="e">
        <f t="shared" si="31"/>
        <v>#DIV/0!</v>
      </c>
      <c r="S501" s="1" t="e">
        <f t="shared" si="32"/>
        <v>#DIV/0!</v>
      </c>
    </row>
    <row r="502" spans="1:19" x14ac:dyDescent="0.3">
      <c r="A502"/>
      <c r="B502"/>
      <c r="C502"/>
      <c r="D502"/>
      <c r="E502"/>
      <c r="F502"/>
      <c r="G502"/>
      <c r="H502"/>
      <c r="I502"/>
      <c r="N502"/>
      <c r="O502"/>
      <c r="P502" s="1" t="e">
        <f t="shared" si="29"/>
        <v>#DIV/0!</v>
      </c>
      <c r="Q502" s="1" t="e">
        <f t="shared" si="30"/>
        <v>#DIV/0!</v>
      </c>
      <c r="R502" s="1" t="e">
        <f t="shared" si="31"/>
        <v>#DIV/0!</v>
      </c>
      <c r="S502" s="1" t="e">
        <f t="shared" si="32"/>
        <v>#DIV/0!</v>
      </c>
    </row>
    <row r="503" spans="1:19" x14ac:dyDescent="0.3">
      <c r="A503"/>
      <c r="B503"/>
      <c r="C503"/>
      <c r="D503"/>
      <c r="E503"/>
      <c r="F503"/>
      <c r="G503"/>
      <c r="H503"/>
      <c r="I503"/>
      <c r="N503"/>
      <c r="O503"/>
      <c r="P503" s="1" t="e">
        <f t="shared" si="29"/>
        <v>#DIV/0!</v>
      </c>
      <c r="Q503" s="1" t="e">
        <f t="shared" si="30"/>
        <v>#DIV/0!</v>
      </c>
      <c r="R503" s="1" t="e">
        <f t="shared" si="31"/>
        <v>#DIV/0!</v>
      </c>
      <c r="S503" s="1" t="e">
        <f t="shared" si="32"/>
        <v>#DIV/0!</v>
      </c>
    </row>
    <row r="504" spans="1:19" x14ac:dyDescent="0.3">
      <c r="A504"/>
      <c r="B504"/>
      <c r="C504"/>
      <c r="D504"/>
      <c r="E504"/>
      <c r="F504"/>
      <c r="G504"/>
      <c r="H504"/>
      <c r="I504"/>
      <c r="N504"/>
      <c r="O504"/>
      <c r="P504" s="1" t="e">
        <f t="shared" si="29"/>
        <v>#DIV/0!</v>
      </c>
      <c r="Q504" s="1" t="e">
        <f t="shared" si="30"/>
        <v>#DIV/0!</v>
      </c>
      <c r="R504" s="1" t="e">
        <f t="shared" si="31"/>
        <v>#DIV/0!</v>
      </c>
      <c r="S504" s="1" t="e">
        <f t="shared" si="32"/>
        <v>#DIV/0!</v>
      </c>
    </row>
    <row r="505" spans="1:19" x14ac:dyDescent="0.3">
      <c r="A505"/>
      <c r="B505"/>
      <c r="C505"/>
      <c r="D505"/>
      <c r="E505"/>
      <c r="F505"/>
      <c r="G505"/>
      <c r="H505"/>
      <c r="I505"/>
      <c r="N505"/>
      <c r="O505"/>
      <c r="P505" s="1" t="e">
        <f t="shared" si="29"/>
        <v>#DIV/0!</v>
      </c>
      <c r="Q505" s="1" t="e">
        <f t="shared" si="30"/>
        <v>#DIV/0!</v>
      </c>
      <c r="R505" s="1" t="e">
        <f t="shared" si="31"/>
        <v>#DIV/0!</v>
      </c>
      <c r="S505" s="1" t="e">
        <f t="shared" si="32"/>
        <v>#DIV/0!</v>
      </c>
    </row>
    <row r="506" spans="1:19" x14ac:dyDescent="0.3">
      <c r="A506"/>
      <c r="B506"/>
      <c r="C506"/>
      <c r="D506"/>
      <c r="E506"/>
      <c r="F506"/>
      <c r="G506"/>
      <c r="H506"/>
      <c r="I506"/>
      <c r="N506"/>
      <c r="O506"/>
      <c r="P506" s="1" t="e">
        <f t="shared" si="29"/>
        <v>#DIV/0!</v>
      </c>
      <c r="Q506" s="1" t="e">
        <f t="shared" si="30"/>
        <v>#DIV/0!</v>
      </c>
      <c r="R506" s="1" t="e">
        <f t="shared" si="31"/>
        <v>#DIV/0!</v>
      </c>
      <c r="S506" s="1" t="e">
        <f t="shared" si="32"/>
        <v>#DIV/0!</v>
      </c>
    </row>
    <row r="507" spans="1:19" x14ac:dyDescent="0.3">
      <c r="A507"/>
      <c r="B507"/>
      <c r="C507"/>
      <c r="D507"/>
      <c r="E507"/>
      <c r="F507"/>
      <c r="G507"/>
      <c r="H507"/>
      <c r="I507"/>
      <c r="N507"/>
      <c r="O507"/>
      <c r="P507" s="1" t="e">
        <f t="shared" si="29"/>
        <v>#DIV/0!</v>
      </c>
      <c r="Q507" s="1" t="e">
        <f t="shared" si="30"/>
        <v>#DIV/0!</v>
      </c>
      <c r="R507" s="1" t="e">
        <f t="shared" si="31"/>
        <v>#DIV/0!</v>
      </c>
      <c r="S507" s="1" t="e">
        <f t="shared" si="32"/>
        <v>#DIV/0!</v>
      </c>
    </row>
    <row r="508" spans="1:19" x14ac:dyDescent="0.3">
      <c r="A508"/>
      <c r="B508"/>
      <c r="C508"/>
      <c r="D508"/>
      <c r="E508"/>
      <c r="F508"/>
      <c r="G508"/>
      <c r="H508"/>
      <c r="I508"/>
      <c r="N508"/>
      <c r="O508"/>
      <c r="P508" s="1" t="e">
        <f t="shared" si="29"/>
        <v>#DIV/0!</v>
      </c>
      <c r="Q508" s="1" t="e">
        <f t="shared" si="30"/>
        <v>#DIV/0!</v>
      </c>
      <c r="R508" s="1" t="e">
        <f t="shared" si="31"/>
        <v>#DIV/0!</v>
      </c>
      <c r="S508" s="1" t="e">
        <f t="shared" si="32"/>
        <v>#DIV/0!</v>
      </c>
    </row>
    <row r="509" spans="1:19" x14ac:dyDescent="0.3">
      <c r="A509"/>
      <c r="B509"/>
      <c r="C509"/>
      <c r="D509"/>
      <c r="E509"/>
      <c r="F509"/>
      <c r="G509"/>
      <c r="H509"/>
      <c r="I509"/>
      <c r="N509"/>
      <c r="O509"/>
      <c r="P509" s="1" t="e">
        <f t="shared" si="29"/>
        <v>#DIV/0!</v>
      </c>
      <c r="Q509" s="1" t="e">
        <f t="shared" si="30"/>
        <v>#DIV/0!</v>
      </c>
      <c r="R509" s="1" t="e">
        <f t="shared" si="31"/>
        <v>#DIV/0!</v>
      </c>
      <c r="S509" s="1" t="e">
        <f t="shared" si="32"/>
        <v>#DIV/0!</v>
      </c>
    </row>
    <row r="510" spans="1:19" x14ac:dyDescent="0.3">
      <c r="A510"/>
      <c r="B510"/>
      <c r="C510"/>
      <c r="D510"/>
      <c r="E510"/>
      <c r="F510"/>
      <c r="G510"/>
      <c r="H510"/>
      <c r="I510"/>
      <c r="N510"/>
      <c r="O510"/>
      <c r="P510" s="1" t="e">
        <f t="shared" si="29"/>
        <v>#DIV/0!</v>
      </c>
      <c r="Q510" s="1" t="e">
        <f t="shared" si="30"/>
        <v>#DIV/0!</v>
      </c>
      <c r="R510" s="1" t="e">
        <f t="shared" si="31"/>
        <v>#DIV/0!</v>
      </c>
      <c r="S510" s="1" t="e">
        <f t="shared" si="32"/>
        <v>#DIV/0!</v>
      </c>
    </row>
    <row r="511" spans="1:19" x14ac:dyDescent="0.3">
      <c r="A511"/>
      <c r="B511"/>
      <c r="C511"/>
      <c r="D511"/>
      <c r="E511"/>
      <c r="F511"/>
      <c r="G511"/>
      <c r="H511"/>
      <c r="I511"/>
      <c r="N511"/>
      <c r="O511"/>
      <c r="P511" s="1" t="e">
        <f t="shared" si="29"/>
        <v>#DIV/0!</v>
      </c>
      <c r="Q511" s="1" t="e">
        <f t="shared" si="30"/>
        <v>#DIV/0!</v>
      </c>
      <c r="R511" s="1" t="e">
        <f t="shared" si="31"/>
        <v>#DIV/0!</v>
      </c>
      <c r="S511" s="1" t="e">
        <f t="shared" si="32"/>
        <v>#DIV/0!</v>
      </c>
    </row>
    <row r="512" spans="1:19" x14ac:dyDescent="0.3">
      <c r="A512"/>
      <c r="B512"/>
      <c r="C512"/>
      <c r="D512"/>
      <c r="E512"/>
      <c r="F512"/>
      <c r="G512"/>
      <c r="H512"/>
      <c r="I512"/>
      <c r="N512"/>
      <c r="O512"/>
      <c r="P512" s="1" t="e">
        <f t="shared" si="29"/>
        <v>#DIV/0!</v>
      </c>
      <c r="Q512" s="1" t="e">
        <f t="shared" si="30"/>
        <v>#DIV/0!</v>
      </c>
      <c r="R512" s="1" t="e">
        <f t="shared" si="31"/>
        <v>#DIV/0!</v>
      </c>
      <c r="S512" s="1" t="e">
        <f t="shared" si="32"/>
        <v>#DIV/0!</v>
      </c>
    </row>
    <row r="513" spans="1:19" x14ac:dyDescent="0.3">
      <c r="A513"/>
      <c r="B513"/>
      <c r="C513"/>
      <c r="D513"/>
      <c r="E513"/>
      <c r="F513"/>
      <c r="G513"/>
      <c r="H513"/>
      <c r="I513"/>
      <c r="N513"/>
      <c r="O513"/>
      <c r="P513" s="1" t="e">
        <f t="shared" si="29"/>
        <v>#DIV/0!</v>
      </c>
      <c r="Q513" s="1" t="e">
        <f t="shared" si="30"/>
        <v>#DIV/0!</v>
      </c>
      <c r="R513" s="1" t="e">
        <f t="shared" si="31"/>
        <v>#DIV/0!</v>
      </c>
      <c r="S513" s="1" t="e">
        <f t="shared" si="32"/>
        <v>#DIV/0!</v>
      </c>
    </row>
    <row r="514" spans="1:19" x14ac:dyDescent="0.3">
      <c r="A514"/>
      <c r="B514"/>
      <c r="C514"/>
      <c r="D514"/>
      <c r="E514"/>
      <c r="F514"/>
      <c r="G514"/>
      <c r="H514"/>
      <c r="I514"/>
      <c r="N514"/>
      <c r="O514"/>
      <c r="P514" s="1" t="e">
        <f t="shared" si="29"/>
        <v>#DIV/0!</v>
      </c>
      <c r="Q514" s="1" t="e">
        <f t="shared" si="30"/>
        <v>#DIV/0!</v>
      </c>
      <c r="R514" s="1" t="e">
        <f t="shared" si="31"/>
        <v>#DIV/0!</v>
      </c>
      <c r="S514" s="1" t="e">
        <f t="shared" si="32"/>
        <v>#DIV/0!</v>
      </c>
    </row>
    <row r="515" spans="1:19" x14ac:dyDescent="0.3">
      <c r="A515"/>
      <c r="B515"/>
      <c r="C515"/>
      <c r="D515"/>
      <c r="E515"/>
      <c r="F515"/>
      <c r="G515"/>
      <c r="H515"/>
      <c r="I515"/>
      <c r="N515"/>
      <c r="O515"/>
      <c r="P515" s="1" t="e">
        <f t="shared" si="29"/>
        <v>#DIV/0!</v>
      </c>
      <c r="Q515" s="1" t="e">
        <f t="shared" si="30"/>
        <v>#DIV/0!</v>
      </c>
      <c r="R515" s="1" t="e">
        <f t="shared" si="31"/>
        <v>#DIV/0!</v>
      </c>
      <c r="S515" s="1" t="e">
        <f t="shared" si="32"/>
        <v>#DIV/0!</v>
      </c>
    </row>
    <row r="516" spans="1:19" x14ac:dyDescent="0.3">
      <c r="A516"/>
      <c r="B516"/>
      <c r="C516"/>
      <c r="D516"/>
      <c r="E516"/>
      <c r="F516"/>
      <c r="G516"/>
      <c r="H516"/>
      <c r="I516"/>
      <c r="N516"/>
      <c r="O516"/>
      <c r="P516" s="1" t="e">
        <f t="shared" si="29"/>
        <v>#DIV/0!</v>
      </c>
      <c r="Q516" s="1" t="e">
        <f t="shared" si="30"/>
        <v>#DIV/0!</v>
      </c>
      <c r="R516" s="1" t="e">
        <f t="shared" si="31"/>
        <v>#DIV/0!</v>
      </c>
      <c r="S516" s="1" t="e">
        <f t="shared" si="32"/>
        <v>#DIV/0!</v>
      </c>
    </row>
    <row r="517" spans="1:19" x14ac:dyDescent="0.3">
      <c r="A517"/>
      <c r="B517"/>
      <c r="C517"/>
      <c r="D517"/>
      <c r="E517"/>
      <c r="F517"/>
      <c r="G517"/>
      <c r="H517"/>
      <c r="I517"/>
      <c r="N517"/>
      <c r="O517"/>
      <c r="P517" s="1" t="e">
        <f t="shared" si="29"/>
        <v>#DIV/0!</v>
      </c>
      <c r="Q517" s="1" t="e">
        <f t="shared" si="30"/>
        <v>#DIV/0!</v>
      </c>
      <c r="R517" s="1" t="e">
        <f t="shared" si="31"/>
        <v>#DIV/0!</v>
      </c>
      <c r="S517" s="1" t="e">
        <f t="shared" si="32"/>
        <v>#DIV/0!</v>
      </c>
    </row>
    <row r="518" spans="1:19" x14ac:dyDescent="0.3">
      <c r="A518"/>
      <c r="B518"/>
      <c r="C518"/>
      <c r="D518"/>
      <c r="E518"/>
      <c r="F518"/>
      <c r="G518"/>
      <c r="H518"/>
      <c r="I518"/>
      <c r="N518"/>
      <c r="O518"/>
      <c r="P518" s="1" t="e">
        <f t="shared" si="29"/>
        <v>#DIV/0!</v>
      </c>
      <c r="Q518" s="1" t="e">
        <f t="shared" si="30"/>
        <v>#DIV/0!</v>
      </c>
      <c r="R518" s="1" t="e">
        <f t="shared" si="31"/>
        <v>#DIV/0!</v>
      </c>
      <c r="S518" s="1" t="e">
        <f t="shared" si="32"/>
        <v>#DIV/0!</v>
      </c>
    </row>
    <row r="519" spans="1:19" x14ac:dyDescent="0.3">
      <c r="A519"/>
      <c r="B519"/>
      <c r="C519"/>
      <c r="D519"/>
      <c r="E519"/>
      <c r="F519"/>
      <c r="G519"/>
      <c r="H519"/>
      <c r="I519"/>
      <c r="N519"/>
      <c r="O519"/>
      <c r="P519" s="1" t="e">
        <f t="shared" si="29"/>
        <v>#DIV/0!</v>
      </c>
      <c r="Q519" s="1" t="e">
        <f t="shared" si="30"/>
        <v>#DIV/0!</v>
      </c>
      <c r="R519" s="1" t="e">
        <f t="shared" si="31"/>
        <v>#DIV/0!</v>
      </c>
      <c r="S519" s="1" t="e">
        <f t="shared" si="32"/>
        <v>#DIV/0!</v>
      </c>
    </row>
    <row r="520" spans="1:19" x14ac:dyDescent="0.3">
      <c r="A520"/>
      <c r="B520"/>
      <c r="C520"/>
      <c r="D520"/>
      <c r="E520"/>
      <c r="F520"/>
      <c r="G520"/>
      <c r="H520"/>
      <c r="I520"/>
      <c r="N520"/>
      <c r="O520"/>
      <c r="P520" s="1" t="e">
        <f t="shared" si="29"/>
        <v>#DIV/0!</v>
      </c>
      <c r="Q520" s="1" t="e">
        <f t="shared" si="30"/>
        <v>#DIV/0!</v>
      </c>
      <c r="R520" s="1" t="e">
        <f t="shared" si="31"/>
        <v>#DIV/0!</v>
      </c>
      <c r="S520" s="1" t="e">
        <f t="shared" si="32"/>
        <v>#DIV/0!</v>
      </c>
    </row>
    <row r="521" spans="1:19" x14ac:dyDescent="0.3">
      <c r="A521"/>
      <c r="B521"/>
      <c r="C521"/>
      <c r="D521"/>
      <c r="E521"/>
      <c r="F521"/>
      <c r="G521"/>
      <c r="H521"/>
      <c r="I521"/>
      <c r="N521"/>
      <c r="O521"/>
      <c r="P521" s="1" t="e">
        <f t="shared" si="29"/>
        <v>#DIV/0!</v>
      </c>
      <c r="Q521" s="1" t="e">
        <f t="shared" si="30"/>
        <v>#DIV/0!</v>
      </c>
      <c r="R521" s="1" t="e">
        <f t="shared" si="31"/>
        <v>#DIV/0!</v>
      </c>
      <c r="S521" s="1" t="e">
        <f t="shared" si="32"/>
        <v>#DIV/0!</v>
      </c>
    </row>
    <row r="522" spans="1:19" x14ac:dyDescent="0.3">
      <c r="A522"/>
      <c r="B522"/>
      <c r="C522"/>
      <c r="D522"/>
      <c r="E522"/>
      <c r="F522"/>
      <c r="G522"/>
      <c r="H522"/>
      <c r="I522"/>
      <c r="N522"/>
      <c r="O522"/>
      <c r="P522" s="1" t="e">
        <f t="shared" si="29"/>
        <v>#DIV/0!</v>
      </c>
      <c r="Q522" s="1" t="e">
        <f t="shared" si="30"/>
        <v>#DIV/0!</v>
      </c>
      <c r="R522" s="1" t="e">
        <f t="shared" si="31"/>
        <v>#DIV/0!</v>
      </c>
      <c r="S522" s="1" t="e">
        <f t="shared" si="32"/>
        <v>#DIV/0!</v>
      </c>
    </row>
    <row r="523" spans="1:19" x14ac:dyDescent="0.3">
      <c r="A523"/>
      <c r="B523"/>
      <c r="C523"/>
      <c r="D523"/>
      <c r="E523"/>
      <c r="F523"/>
      <c r="G523"/>
      <c r="H523"/>
      <c r="I523"/>
      <c r="N523"/>
      <c r="O523"/>
      <c r="P523" s="1" t="e">
        <f t="shared" si="29"/>
        <v>#DIV/0!</v>
      </c>
      <c r="Q523" s="1" t="e">
        <f t="shared" si="30"/>
        <v>#DIV/0!</v>
      </c>
      <c r="R523" s="1" t="e">
        <f t="shared" si="31"/>
        <v>#DIV/0!</v>
      </c>
      <c r="S523" s="1" t="e">
        <f t="shared" si="32"/>
        <v>#DIV/0!</v>
      </c>
    </row>
    <row r="524" spans="1:19" x14ac:dyDescent="0.3">
      <c r="A524"/>
      <c r="B524"/>
      <c r="C524"/>
      <c r="D524"/>
      <c r="E524"/>
      <c r="F524"/>
      <c r="G524"/>
      <c r="H524"/>
      <c r="I524"/>
      <c r="N524"/>
      <c r="O524"/>
      <c r="P524" s="1" t="e">
        <f>(#REF!+Q$35)/P$35</f>
        <v>#REF!</v>
      </c>
      <c r="Q524" s="1" t="e">
        <f>(#REF!+Q$35)/P$35</f>
        <v>#REF!</v>
      </c>
      <c r="R524" s="1" t="e">
        <f>(#REF!+Q$37)/P$37</f>
        <v>#REF!</v>
      </c>
      <c r="S524" s="1" t="e">
        <f>(#REF!+Q$38)/P$38</f>
        <v>#REF!</v>
      </c>
    </row>
    <row r="525" spans="1:19" x14ac:dyDescent="0.3">
      <c r="A525"/>
      <c r="B525"/>
      <c r="C525"/>
      <c r="D525"/>
      <c r="E525"/>
      <c r="F525"/>
      <c r="G525"/>
      <c r="H525"/>
      <c r="I525"/>
      <c r="N525"/>
      <c r="O525"/>
      <c r="P525" s="1" t="e">
        <f>(#REF!+Q$35)/P$35</f>
        <v>#REF!</v>
      </c>
      <c r="Q525" s="1" t="e">
        <f>(#REF!+Q$35)/P$35</f>
        <v>#REF!</v>
      </c>
      <c r="R525" s="1" t="e">
        <f>(#REF!+Q$37)/P$37</f>
        <v>#REF!</v>
      </c>
      <c r="S525" s="1" t="e">
        <f>(#REF!+Q$38)/P$38</f>
        <v>#REF!</v>
      </c>
    </row>
    <row r="526" spans="1:19" x14ac:dyDescent="0.3">
      <c r="A526"/>
      <c r="B526"/>
      <c r="C526"/>
      <c r="D526"/>
      <c r="E526"/>
      <c r="F526"/>
      <c r="G526"/>
      <c r="H526"/>
      <c r="I526"/>
      <c r="N526"/>
      <c r="O526"/>
      <c r="P526" s="1" t="e">
        <f>(#REF!+Q$35)/P$35</f>
        <v>#REF!</v>
      </c>
      <c r="Q526" s="1" t="e">
        <f>(#REF!+Q$35)/P$35</f>
        <v>#REF!</v>
      </c>
      <c r="R526" s="1" t="e">
        <f>(#REF!+Q$37)/P$37</f>
        <v>#REF!</v>
      </c>
      <c r="S526" s="1" t="e">
        <f>(#REF!+Q$38)/P$38</f>
        <v>#REF!</v>
      </c>
    </row>
    <row r="527" spans="1:19" x14ac:dyDescent="0.3">
      <c r="A527"/>
      <c r="B527"/>
      <c r="C527"/>
      <c r="D527"/>
      <c r="E527"/>
      <c r="F527"/>
      <c r="G527"/>
      <c r="H527"/>
      <c r="I527"/>
      <c r="N527"/>
      <c r="O527"/>
      <c r="P527" s="1" t="e">
        <f>(#REF!+Q$35)/P$35</f>
        <v>#REF!</v>
      </c>
      <c r="Q527" s="1" t="e">
        <f>(#REF!+Q$35)/P$35</f>
        <v>#REF!</v>
      </c>
      <c r="R527" s="1" t="e">
        <f>(#REF!+Q$37)/P$37</f>
        <v>#REF!</v>
      </c>
      <c r="S527" s="1" t="e">
        <f>(#REF!+Q$38)/P$38</f>
        <v>#REF!</v>
      </c>
    </row>
    <row r="528" spans="1:19" x14ac:dyDescent="0.3">
      <c r="A528"/>
      <c r="B528"/>
      <c r="C528"/>
      <c r="D528"/>
      <c r="E528"/>
      <c r="F528"/>
      <c r="G528"/>
      <c r="H528"/>
      <c r="I528"/>
      <c r="N528"/>
      <c r="O528"/>
      <c r="P528" s="1" t="e">
        <f>(#REF!+Q$35)/P$35</f>
        <v>#REF!</v>
      </c>
      <c r="Q528" s="1" t="e">
        <f>(#REF!+Q$35)/P$35</f>
        <v>#REF!</v>
      </c>
      <c r="R528" s="1" t="e">
        <f>(#REF!+Q$37)/P$37</f>
        <v>#REF!</v>
      </c>
      <c r="S528" s="1" t="e">
        <f>(#REF!+Q$38)/P$38</f>
        <v>#REF!</v>
      </c>
    </row>
    <row r="529" spans="1:19" x14ac:dyDescent="0.3">
      <c r="A529"/>
      <c r="B529"/>
      <c r="C529"/>
      <c r="D529"/>
      <c r="E529"/>
      <c r="F529"/>
      <c r="G529"/>
      <c r="H529"/>
      <c r="I529"/>
      <c r="N529"/>
      <c r="O529"/>
      <c r="P529" s="1" t="e">
        <f>(#REF!+Q$35)/P$35</f>
        <v>#REF!</v>
      </c>
      <c r="Q529" s="1" t="e">
        <f>(#REF!+Q$35)/P$35</f>
        <v>#REF!</v>
      </c>
      <c r="R529" s="1" t="e">
        <f>(#REF!+Q$37)/P$37</f>
        <v>#REF!</v>
      </c>
      <c r="S529" s="1" t="e">
        <f>(#REF!+Q$38)/P$38</f>
        <v>#REF!</v>
      </c>
    </row>
    <row r="530" spans="1:19" x14ac:dyDescent="0.3">
      <c r="A530"/>
      <c r="B530"/>
      <c r="C530"/>
      <c r="D530"/>
      <c r="E530"/>
      <c r="F530"/>
      <c r="G530"/>
      <c r="H530"/>
      <c r="I530"/>
      <c r="N530"/>
      <c r="O530"/>
      <c r="P530" s="1" t="e">
        <f>(#REF!+Q$35)/P$35</f>
        <v>#REF!</v>
      </c>
      <c r="Q530" s="1" t="e">
        <f>(#REF!+Q$35)/P$35</f>
        <v>#REF!</v>
      </c>
      <c r="R530" s="1" t="e">
        <f>(#REF!+Q$37)/P$37</f>
        <v>#REF!</v>
      </c>
      <c r="S530" s="1" t="e">
        <f>(#REF!+Q$38)/P$38</f>
        <v>#REF!</v>
      </c>
    </row>
    <row r="531" spans="1:19" x14ac:dyDescent="0.3">
      <c r="A531"/>
      <c r="B531"/>
      <c r="C531"/>
      <c r="D531"/>
      <c r="E531"/>
      <c r="F531"/>
      <c r="G531"/>
      <c r="H531"/>
      <c r="I531"/>
      <c r="N531"/>
      <c r="O531"/>
      <c r="P531" s="1" t="e">
        <f>(#REF!+Q$35)/P$35</f>
        <v>#REF!</v>
      </c>
      <c r="Q531" s="1" t="e">
        <f>(#REF!+Q$35)/P$35</f>
        <v>#REF!</v>
      </c>
      <c r="R531" s="1" t="e">
        <f>(#REF!+Q$37)/P$37</f>
        <v>#REF!</v>
      </c>
      <c r="S531" s="1" t="e">
        <f>(#REF!+Q$38)/P$38</f>
        <v>#REF!</v>
      </c>
    </row>
    <row r="532" spans="1:19" x14ac:dyDescent="0.3">
      <c r="A532"/>
      <c r="B532"/>
      <c r="C532"/>
      <c r="D532"/>
      <c r="E532"/>
      <c r="F532"/>
      <c r="G532"/>
      <c r="H532"/>
      <c r="I532"/>
      <c r="N532"/>
      <c r="O532"/>
      <c r="P532" s="1" t="e">
        <f>(#REF!+Q$35)/P$35</f>
        <v>#REF!</v>
      </c>
      <c r="Q532" s="1" t="e">
        <f>(#REF!+Q$35)/P$35</f>
        <v>#REF!</v>
      </c>
      <c r="R532" s="1" t="e">
        <f>(#REF!+Q$37)/P$37</f>
        <v>#REF!</v>
      </c>
      <c r="S532" s="1" t="e">
        <f>(#REF!+Q$38)/P$38</f>
        <v>#REF!</v>
      </c>
    </row>
    <row r="533" spans="1:19" x14ac:dyDescent="0.3">
      <c r="A533"/>
      <c r="B533"/>
      <c r="C533"/>
      <c r="D533"/>
      <c r="E533"/>
      <c r="F533"/>
      <c r="G533"/>
      <c r="H533"/>
      <c r="I533"/>
      <c r="N533"/>
      <c r="O533"/>
      <c r="P533" s="1" t="e">
        <f>(#REF!+Q$35)/P$35</f>
        <v>#REF!</v>
      </c>
      <c r="Q533" s="1" t="e">
        <f>(#REF!+Q$35)/P$35</f>
        <v>#REF!</v>
      </c>
      <c r="R533" s="1" t="e">
        <f>(#REF!+Q$37)/P$37</f>
        <v>#REF!</v>
      </c>
      <c r="S533" s="1" t="e">
        <f>(#REF!+Q$38)/P$38</f>
        <v>#REF!</v>
      </c>
    </row>
    <row r="534" spans="1:19" x14ac:dyDescent="0.3">
      <c r="A534"/>
      <c r="B534"/>
      <c r="C534"/>
      <c r="D534"/>
      <c r="E534"/>
      <c r="F534"/>
      <c r="G534"/>
      <c r="H534"/>
      <c r="I534"/>
      <c r="N534"/>
      <c r="O534"/>
      <c r="P534" s="1" t="e">
        <f>(#REF!+Q$35)/P$35</f>
        <v>#REF!</v>
      </c>
      <c r="Q534" s="1" t="e">
        <f>(#REF!+Q$35)/P$35</f>
        <v>#REF!</v>
      </c>
      <c r="R534" s="1" t="e">
        <f>(#REF!+Q$37)/P$37</f>
        <v>#REF!</v>
      </c>
      <c r="S534" s="1" t="e">
        <f>(#REF!+Q$38)/P$38</f>
        <v>#REF!</v>
      </c>
    </row>
    <row r="535" spans="1:19" x14ac:dyDescent="0.3">
      <c r="A535"/>
      <c r="B535"/>
      <c r="C535"/>
      <c r="D535"/>
      <c r="E535"/>
      <c r="F535"/>
      <c r="G535"/>
      <c r="H535"/>
      <c r="I535"/>
      <c r="N535"/>
      <c r="O535"/>
      <c r="P535" s="1" t="e">
        <f>(#REF!+Q$35)/P$35</f>
        <v>#REF!</v>
      </c>
      <c r="Q535" s="1" t="e">
        <f>(#REF!+Q$35)/P$35</f>
        <v>#REF!</v>
      </c>
      <c r="R535" s="1" t="e">
        <f>(#REF!+Q$37)/P$37</f>
        <v>#REF!</v>
      </c>
      <c r="S535" s="1" t="e">
        <f>(#REF!+Q$38)/P$38</f>
        <v>#REF!</v>
      </c>
    </row>
    <row r="536" spans="1:19" x14ac:dyDescent="0.3">
      <c r="A536"/>
      <c r="B536"/>
      <c r="C536"/>
      <c r="D536"/>
      <c r="E536"/>
      <c r="F536"/>
      <c r="G536"/>
      <c r="H536"/>
      <c r="I536"/>
      <c r="N536"/>
      <c r="O536"/>
      <c r="P536" s="1" t="e">
        <f>(#REF!+Q$35)/P$35</f>
        <v>#REF!</v>
      </c>
      <c r="Q536" s="1" t="e">
        <f>(#REF!+Q$35)/P$35</f>
        <v>#REF!</v>
      </c>
      <c r="R536" s="1" t="e">
        <f>(#REF!+Q$37)/P$37</f>
        <v>#REF!</v>
      </c>
      <c r="S536" s="1" t="e">
        <f>(#REF!+Q$38)/P$38</f>
        <v>#REF!</v>
      </c>
    </row>
    <row r="537" spans="1:19" x14ac:dyDescent="0.3">
      <c r="A537"/>
      <c r="B537"/>
      <c r="C537"/>
      <c r="D537"/>
      <c r="E537"/>
      <c r="F537"/>
      <c r="G537"/>
      <c r="H537"/>
      <c r="I537"/>
      <c r="N537"/>
      <c r="O537"/>
      <c r="P537" s="1" t="e">
        <f>(#REF!+Q$35)/P$35</f>
        <v>#REF!</v>
      </c>
      <c r="Q537" s="1" t="e">
        <f>(#REF!+Q$35)/P$35</f>
        <v>#REF!</v>
      </c>
      <c r="R537" s="1" t="e">
        <f>(#REF!+Q$37)/P$37</f>
        <v>#REF!</v>
      </c>
      <c r="S537" s="1" t="e">
        <f>(#REF!+Q$38)/P$38</f>
        <v>#REF!</v>
      </c>
    </row>
    <row r="538" spans="1:19" x14ac:dyDescent="0.3">
      <c r="A538"/>
      <c r="B538"/>
      <c r="C538"/>
      <c r="D538"/>
      <c r="E538"/>
      <c r="F538"/>
      <c r="G538"/>
      <c r="H538"/>
      <c r="I538"/>
      <c r="N538"/>
      <c r="O538"/>
      <c r="P538" s="1" t="e">
        <f>(#REF!+Q$35)/P$35</f>
        <v>#REF!</v>
      </c>
      <c r="Q538" s="1" t="e">
        <f>(#REF!+Q$35)/P$35</f>
        <v>#REF!</v>
      </c>
      <c r="R538" s="1" t="e">
        <f>(#REF!+Q$37)/P$37</f>
        <v>#REF!</v>
      </c>
      <c r="S538" s="1" t="e">
        <f>(#REF!+Q$38)/P$38</f>
        <v>#REF!</v>
      </c>
    </row>
    <row r="539" spans="1:19" x14ac:dyDescent="0.3">
      <c r="A539"/>
      <c r="B539"/>
      <c r="C539"/>
      <c r="D539"/>
      <c r="E539"/>
      <c r="F539"/>
      <c r="G539"/>
      <c r="H539"/>
      <c r="I539"/>
      <c r="N539"/>
      <c r="O539"/>
      <c r="P539" s="1" t="e">
        <f>(#REF!+Q$35)/P$35</f>
        <v>#REF!</v>
      </c>
      <c r="Q539" s="1" t="e">
        <f>(#REF!+Q$35)/P$35</f>
        <v>#REF!</v>
      </c>
      <c r="R539" s="1" t="e">
        <f>(#REF!+Q$37)/P$37</f>
        <v>#REF!</v>
      </c>
      <c r="S539" s="1" t="e">
        <f>(#REF!+Q$38)/P$38</f>
        <v>#REF!</v>
      </c>
    </row>
    <row r="540" spans="1:19" x14ac:dyDescent="0.3">
      <c r="A540"/>
      <c r="B540"/>
      <c r="C540"/>
      <c r="D540"/>
      <c r="E540"/>
      <c r="F540"/>
      <c r="G540"/>
      <c r="H540"/>
      <c r="I540"/>
      <c r="N540"/>
      <c r="O540"/>
      <c r="P540" s="1" t="e">
        <f>(#REF!+Q$35)/P$35</f>
        <v>#REF!</v>
      </c>
      <c r="Q540" s="1" t="e">
        <f>(#REF!+Q$35)/P$35</f>
        <v>#REF!</v>
      </c>
      <c r="R540" s="1" t="e">
        <f>(#REF!+Q$37)/P$37</f>
        <v>#REF!</v>
      </c>
      <c r="S540" s="1" t="e">
        <f>(#REF!+Q$38)/P$38</f>
        <v>#REF!</v>
      </c>
    </row>
    <row r="541" spans="1:19" x14ac:dyDescent="0.3">
      <c r="A541"/>
      <c r="B541"/>
      <c r="C541"/>
      <c r="D541"/>
      <c r="E541"/>
      <c r="F541"/>
      <c r="G541"/>
      <c r="H541"/>
      <c r="I541"/>
      <c r="N541"/>
      <c r="O541"/>
      <c r="P541" s="1" t="e">
        <f>(#REF!+Q$35)/P$35</f>
        <v>#REF!</v>
      </c>
      <c r="Q541" s="1" t="e">
        <f>(#REF!+Q$35)/P$35</f>
        <v>#REF!</v>
      </c>
      <c r="R541" s="1" t="e">
        <f>(#REF!+Q$37)/P$37</f>
        <v>#REF!</v>
      </c>
      <c r="S541" s="1" t="e">
        <f>(#REF!+Q$38)/P$38</f>
        <v>#REF!</v>
      </c>
    </row>
    <row r="542" spans="1:19" x14ac:dyDescent="0.3">
      <c r="A542"/>
      <c r="B542"/>
      <c r="C542"/>
      <c r="D542"/>
      <c r="E542"/>
      <c r="F542"/>
      <c r="G542"/>
      <c r="H542"/>
      <c r="I542"/>
      <c r="N542"/>
      <c r="O542"/>
      <c r="P542" s="1" t="e">
        <f t="shared" ref="P542:P605" si="33">(B524+Q$35)/P$35</f>
        <v>#DIV/0!</v>
      </c>
      <c r="Q542" s="1" t="e">
        <f t="shared" ref="Q542:Q605" si="34">(C524+Q$35)/P$35</f>
        <v>#DIV/0!</v>
      </c>
      <c r="R542" s="1" t="e">
        <f t="shared" ref="R542:R605" si="35">(D524+Q$37)/P$37</f>
        <v>#DIV/0!</v>
      </c>
      <c r="S542" s="1" t="e">
        <f t="shared" ref="S542:S605" si="36">(E524+Q$38)/P$38</f>
        <v>#DIV/0!</v>
      </c>
    </row>
    <row r="543" spans="1:19" x14ac:dyDescent="0.3">
      <c r="A543"/>
      <c r="B543"/>
      <c r="C543"/>
      <c r="D543"/>
      <c r="E543"/>
      <c r="F543"/>
      <c r="G543"/>
      <c r="H543"/>
      <c r="I543"/>
      <c r="N543"/>
      <c r="O543"/>
      <c r="P543" s="1" t="e">
        <f t="shared" si="33"/>
        <v>#DIV/0!</v>
      </c>
      <c r="Q543" s="1" t="e">
        <f t="shared" si="34"/>
        <v>#DIV/0!</v>
      </c>
      <c r="R543" s="1" t="e">
        <f t="shared" si="35"/>
        <v>#DIV/0!</v>
      </c>
      <c r="S543" s="1" t="e">
        <f t="shared" si="36"/>
        <v>#DIV/0!</v>
      </c>
    </row>
    <row r="544" spans="1:19" x14ac:dyDescent="0.3">
      <c r="A544"/>
      <c r="B544"/>
      <c r="C544"/>
      <c r="D544"/>
      <c r="E544"/>
      <c r="F544"/>
      <c r="G544"/>
      <c r="H544"/>
      <c r="I544"/>
      <c r="N544"/>
      <c r="O544"/>
      <c r="P544" s="1" t="e">
        <f t="shared" si="33"/>
        <v>#DIV/0!</v>
      </c>
      <c r="Q544" s="1" t="e">
        <f t="shared" si="34"/>
        <v>#DIV/0!</v>
      </c>
      <c r="R544" s="1" t="e">
        <f t="shared" si="35"/>
        <v>#DIV/0!</v>
      </c>
      <c r="S544" s="1" t="e">
        <f t="shared" si="36"/>
        <v>#DIV/0!</v>
      </c>
    </row>
    <row r="545" spans="1:19" x14ac:dyDescent="0.3">
      <c r="A545"/>
      <c r="B545"/>
      <c r="C545"/>
      <c r="D545"/>
      <c r="E545"/>
      <c r="F545"/>
      <c r="G545"/>
      <c r="H545"/>
      <c r="I545"/>
      <c r="N545"/>
      <c r="O545"/>
      <c r="P545" s="1" t="e">
        <f t="shared" si="33"/>
        <v>#DIV/0!</v>
      </c>
      <c r="Q545" s="1" t="e">
        <f t="shared" si="34"/>
        <v>#DIV/0!</v>
      </c>
      <c r="R545" s="1" t="e">
        <f t="shared" si="35"/>
        <v>#DIV/0!</v>
      </c>
      <c r="S545" s="1" t="e">
        <f t="shared" si="36"/>
        <v>#DIV/0!</v>
      </c>
    </row>
    <row r="546" spans="1:19" x14ac:dyDescent="0.3">
      <c r="A546"/>
      <c r="B546"/>
      <c r="C546"/>
      <c r="D546"/>
      <c r="E546"/>
      <c r="F546"/>
      <c r="G546"/>
      <c r="H546"/>
      <c r="I546"/>
      <c r="N546"/>
      <c r="O546"/>
      <c r="P546" s="1" t="e">
        <f t="shared" si="33"/>
        <v>#DIV/0!</v>
      </c>
      <c r="Q546" s="1" t="e">
        <f t="shared" si="34"/>
        <v>#DIV/0!</v>
      </c>
      <c r="R546" s="1" t="e">
        <f t="shared" si="35"/>
        <v>#DIV/0!</v>
      </c>
      <c r="S546" s="1" t="e">
        <f t="shared" si="36"/>
        <v>#DIV/0!</v>
      </c>
    </row>
    <row r="547" spans="1:19" x14ac:dyDescent="0.3">
      <c r="A547"/>
      <c r="B547"/>
      <c r="C547"/>
      <c r="D547"/>
      <c r="E547"/>
      <c r="F547"/>
      <c r="G547"/>
      <c r="H547"/>
      <c r="I547"/>
      <c r="N547"/>
      <c r="O547"/>
      <c r="P547" s="1" t="e">
        <f t="shared" si="33"/>
        <v>#DIV/0!</v>
      </c>
      <c r="Q547" s="1" t="e">
        <f t="shared" si="34"/>
        <v>#DIV/0!</v>
      </c>
      <c r="R547" s="1" t="e">
        <f t="shared" si="35"/>
        <v>#DIV/0!</v>
      </c>
      <c r="S547" s="1" t="e">
        <f t="shared" si="36"/>
        <v>#DIV/0!</v>
      </c>
    </row>
    <row r="548" spans="1:19" x14ac:dyDescent="0.3">
      <c r="A548"/>
      <c r="B548"/>
      <c r="C548"/>
      <c r="D548"/>
      <c r="E548"/>
      <c r="F548"/>
      <c r="G548"/>
      <c r="H548"/>
      <c r="I548"/>
      <c r="N548"/>
      <c r="O548"/>
      <c r="P548" s="1" t="e">
        <f t="shared" si="33"/>
        <v>#DIV/0!</v>
      </c>
      <c r="Q548" s="1" t="e">
        <f t="shared" si="34"/>
        <v>#DIV/0!</v>
      </c>
      <c r="R548" s="1" t="e">
        <f t="shared" si="35"/>
        <v>#DIV/0!</v>
      </c>
      <c r="S548" s="1" t="e">
        <f t="shared" si="36"/>
        <v>#DIV/0!</v>
      </c>
    </row>
    <row r="549" spans="1:19" x14ac:dyDescent="0.3">
      <c r="A549"/>
      <c r="B549"/>
      <c r="C549"/>
      <c r="D549"/>
      <c r="E549"/>
      <c r="F549"/>
      <c r="G549"/>
      <c r="H549"/>
      <c r="I549"/>
      <c r="N549"/>
      <c r="O549"/>
      <c r="P549" s="1" t="e">
        <f t="shared" si="33"/>
        <v>#DIV/0!</v>
      </c>
      <c r="Q549" s="1" t="e">
        <f t="shared" si="34"/>
        <v>#DIV/0!</v>
      </c>
      <c r="R549" s="1" t="e">
        <f t="shared" si="35"/>
        <v>#DIV/0!</v>
      </c>
      <c r="S549" s="1" t="e">
        <f t="shared" si="36"/>
        <v>#DIV/0!</v>
      </c>
    </row>
    <row r="550" spans="1:19" x14ac:dyDescent="0.3">
      <c r="A550"/>
      <c r="B550"/>
      <c r="C550"/>
      <c r="D550"/>
      <c r="E550"/>
      <c r="F550"/>
      <c r="G550"/>
      <c r="H550"/>
      <c r="I550"/>
      <c r="N550"/>
      <c r="O550"/>
      <c r="P550" s="1" t="e">
        <f t="shared" si="33"/>
        <v>#DIV/0!</v>
      </c>
      <c r="Q550" s="1" t="e">
        <f t="shared" si="34"/>
        <v>#DIV/0!</v>
      </c>
      <c r="R550" s="1" t="e">
        <f t="shared" si="35"/>
        <v>#DIV/0!</v>
      </c>
      <c r="S550" s="1" t="e">
        <f t="shared" si="36"/>
        <v>#DIV/0!</v>
      </c>
    </row>
    <row r="551" spans="1:19" x14ac:dyDescent="0.3">
      <c r="A551"/>
      <c r="B551"/>
      <c r="C551"/>
      <c r="D551"/>
      <c r="E551"/>
      <c r="F551"/>
      <c r="G551"/>
      <c r="H551"/>
      <c r="I551"/>
      <c r="N551"/>
      <c r="O551"/>
      <c r="P551" s="1" t="e">
        <f t="shared" si="33"/>
        <v>#DIV/0!</v>
      </c>
      <c r="Q551" s="1" t="e">
        <f t="shared" si="34"/>
        <v>#DIV/0!</v>
      </c>
      <c r="R551" s="1" t="e">
        <f t="shared" si="35"/>
        <v>#DIV/0!</v>
      </c>
      <c r="S551" s="1" t="e">
        <f t="shared" si="36"/>
        <v>#DIV/0!</v>
      </c>
    </row>
    <row r="552" spans="1:19" x14ac:dyDescent="0.3">
      <c r="A552"/>
      <c r="B552"/>
      <c r="C552"/>
      <c r="D552"/>
      <c r="E552"/>
      <c r="F552"/>
      <c r="G552"/>
      <c r="H552"/>
      <c r="I552"/>
      <c r="N552"/>
      <c r="O552"/>
      <c r="P552" s="1" t="e">
        <f t="shared" si="33"/>
        <v>#DIV/0!</v>
      </c>
      <c r="Q552" s="1" t="e">
        <f t="shared" si="34"/>
        <v>#DIV/0!</v>
      </c>
      <c r="R552" s="1" t="e">
        <f t="shared" si="35"/>
        <v>#DIV/0!</v>
      </c>
      <c r="S552" s="1" t="e">
        <f t="shared" si="36"/>
        <v>#DIV/0!</v>
      </c>
    </row>
    <row r="553" spans="1:19" x14ac:dyDescent="0.3">
      <c r="A553"/>
      <c r="B553"/>
      <c r="C553"/>
      <c r="D553"/>
      <c r="E553"/>
      <c r="F553"/>
      <c r="G553"/>
      <c r="H553"/>
      <c r="I553"/>
      <c r="N553"/>
      <c r="O553"/>
      <c r="P553" s="1" t="e">
        <f t="shared" si="33"/>
        <v>#DIV/0!</v>
      </c>
      <c r="Q553" s="1" t="e">
        <f t="shared" si="34"/>
        <v>#DIV/0!</v>
      </c>
      <c r="R553" s="1" t="e">
        <f t="shared" si="35"/>
        <v>#DIV/0!</v>
      </c>
      <c r="S553" s="1" t="e">
        <f t="shared" si="36"/>
        <v>#DIV/0!</v>
      </c>
    </row>
    <row r="554" spans="1:19" x14ac:dyDescent="0.3">
      <c r="A554"/>
      <c r="B554"/>
      <c r="C554"/>
      <c r="D554"/>
      <c r="E554"/>
      <c r="F554"/>
      <c r="G554"/>
      <c r="H554"/>
      <c r="I554"/>
      <c r="N554"/>
      <c r="O554"/>
      <c r="P554" s="1" t="e">
        <f t="shared" si="33"/>
        <v>#DIV/0!</v>
      </c>
      <c r="Q554" s="1" t="e">
        <f t="shared" si="34"/>
        <v>#DIV/0!</v>
      </c>
      <c r="R554" s="1" t="e">
        <f t="shared" si="35"/>
        <v>#DIV/0!</v>
      </c>
      <c r="S554" s="1" t="e">
        <f t="shared" si="36"/>
        <v>#DIV/0!</v>
      </c>
    </row>
    <row r="555" spans="1:19" x14ac:dyDescent="0.3">
      <c r="A555"/>
      <c r="B555"/>
      <c r="C555"/>
      <c r="D555"/>
      <c r="E555"/>
      <c r="F555"/>
      <c r="G555"/>
      <c r="H555"/>
      <c r="I555"/>
      <c r="N555"/>
      <c r="O555"/>
      <c r="P555" s="1" t="e">
        <f t="shared" si="33"/>
        <v>#DIV/0!</v>
      </c>
      <c r="Q555" s="1" t="e">
        <f t="shared" si="34"/>
        <v>#DIV/0!</v>
      </c>
      <c r="R555" s="1" t="e">
        <f t="shared" si="35"/>
        <v>#DIV/0!</v>
      </c>
      <c r="S555" s="1" t="e">
        <f t="shared" si="36"/>
        <v>#DIV/0!</v>
      </c>
    </row>
    <row r="556" spans="1:19" x14ac:dyDescent="0.3">
      <c r="A556"/>
      <c r="B556"/>
      <c r="C556"/>
      <c r="D556"/>
      <c r="E556"/>
      <c r="F556"/>
      <c r="G556"/>
      <c r="H556"/>
      <c r="I556"/>
      <c r="N556"/>
      <c r="O556"/>
      <c r="P556" s="1" t="e">
        <f t="shared" si="33"/>
        <v>#DIV/0!</v>
      </c>
      <c r="Q556" s="1" t="e">
        <f t="shared" si="34"/>
        <v>#DIV/0!</v>
      </c>
      <c r="R556" s="1" t="e">
        <f t="shared" si="35"/>
        <v>#DIV/0!</v>
      </c>
      <c r="S556" s="1" t="e">
        <f t="shared" si="36"/>
        <v>#DIV/0!</v>
      </c>
    </row>
    <row r="557" spans="1:19" x14ac:dyDescent="0.3">
      <c r="A557"/>
      <c r="B557"/>
      <c r="C557"/>
      <c r="D557"/>
      <c r="E557"/>
      <c r="F557"/>
      <c r="G557"/>
      <c r="H557"/>
      <c r="I557"/>
      <c r="N557"/>
      <c r="O557"/>
      <c r="P557" s="1" t="e">
        <f t="shared" si="33"/>
        <v>#DIV/0!</v>
      </c>
      <c r="Q557" s="1" t="e">
        <f t="shared" si="34"/>
        <v>#DIV/0!</v>
      </c>
      <c r="R557" s="1" t="e">
        <f t="shared" si="35"/>
        <v>#DIV/0!</v>
      </c>
      <c r="S557" s="1" t="e">
        <f t="shared" si="36"/>
        <v>#DIV/0!</v>
      </c>
    </row>
    <row r="558" spans="1:19" x14ac:dyDescent="0.3">
      <c r="A558"/>
      <c r="B558"/>
      <c r="C558"/>
      <c r="D558"/>
      <c r="E558"/>
      <c r="F558"/>
      <c r="G558"/>
      <c r="H558"/>
      <c r="I558"/>
      <c r="N558"/>
      <c r="O558"/>
      <c r="P558" s="1" t="e">
        <f t="shared" si="33"/>
        <v>#DIV/0!</v>
      </c>
      <c r="Q558" s="1" t="e">
        <f t="shared" si="34"/>
        <v>#DIV/0!</v>
      </c>
      <c r="R558" s="1" t="e">
        <f t="shared" si="35"/>
        <v>#DIV/0!</v>
      </c>
      <c r="S558" s="1" t="e">
        <f t="shared" si="36"/>
        <v>#DIV/0!</v>
      </c>
    </row>
    <row r="559" spans="1:19" x14ac:dyDescent="0.3">
      <c r="A559"/>
      <c r="B559"/>
      <c r="C559"/>
      <c r="D559"/>
      <c r="E559"/>
      <c r="F559"/>
      <c r="G559"/>
      <c r="H559"/>
      <c r="I559"/>
      <c r="N559"/>
      <c r="O559"/>
      <c r="P559" s="1" t="e">
        <f t="shared" si="33"/>
        <v>#DIV/0!</v>
      </c>
      <c r="Q559" s="1" t="e">
        <f t="shared" si="34"/>
        <v>#DIV/0!</v>
      </c>
      <c r="R559" s="1" t="e">
        <f t="shared" si="35"/>
        <v>#DIV/0!</v>
      </c>
      <c r="S559" s="1" t="e">
        <f t="shared" si="36"/>
        <v>#DIV/0!</v>
      </c>
    </row>
    <row r="560" spans="1:19" x14ac:dyDescent="0.3">
      <c r="A560"/>
      <c r="B560"/>
      <c r="C560"/>
      <c r="D560"/>
      <c r="E560"/>
      <c r="F560"/>
      <c r="G560"/>
      <c r="H560"/>
      <c r="I560"/>
      <c r="N560"/>
      <c r="O560"/>
      <c r="P560" s="1" t="e">
        <f t="shared" si="33"/>
        <v>#DIV/0!</v>
      </c>
      <c r="Q560" s="1" t="e">
        <f t="shared" si="34"/>
        <v>#DIV/0!</v>
      </c>
      <c r="R560" s="1" t="e">
        <f t="shared" si="35"/>
        <v>#DIV/0!</v>
      </c>
      <c r="S560" s="1" t="e">
        <f t="shared" si="36"/>
        <v>#DIV/0!</v>
      </c>
    </row>
    <row r="561" spans="1:19" x14ac:dyDescent="0.3">
      <c r="A561"/>
      <c r="B561"/>
      <c r="C561"/>
      <c r="D561"/>
      <c r="E561"/>
      <c r="F561"/>
      <c r="G561"/>
      <c r="H561"/>
      <c r="I561"/>
      <c r="N561"/>
      <c r="O561"/>
      <c r="P561" s="1" t="e">
        <f t="shared" si="33"/>
        <v>#DIV/0!</v>
      </c>
      <c r="Q561" s="1" t="e">
        <f t="shared" si="34"/>
        <v>#DIV/0!</v>
      </c>
      <c r="R561" s="1" t="e">
        <f t="shared" si="35"/>
        <v>#DIV/0!</v>
      </c>
      <c r="S561" s="1" t="e">
        <f t="shared" si="36"/>
        <v>#DIV/0!</v>
      </c>
    </row>
    <row r="562" spans="1:19" x14ac:dyDescent="0.3">
      <c r="A562"/>
      <c r="B562"/>
      <c r="C562"/>
      <c r="D562"/>
      <c r="E562"/>
      <c r="F562"/>
      <c r="G562"/>
      <c r="H562"/>
      <c r="I562"/>
      <c r="N562"/>
      <c r="O562"/>
      <c r="P562" s="1" t="e">
        <f t="shared" si="33"/>
        <v>#DIV/0!</v>
      </c>
      <c r="Q562" s="1" t="e">
        <f t="shared" si="34"/>
        <v>#DIV/0!</v>
      </c>
      <c r="R562" s="1" t="e">
        <f t="shared" si="35"/>
        <v>#DIV/0!</v>
      </c>
      <c r="S562" s="1" t="e">
        <f t="shared" si="36"/>
        <v>#DIV/0!</v>
      </c>
    </row>
    <row r="563" spans="1:19" x14ac:dyDescent="0.3">
      <c r="A563"/>
      <c r="B563"/>
      <c r="C563"/>
      <c r="D563"/>
      <c r="E563"/>
      <c r="F563"/>
      <c r="G563"/>
      <c r="H563"/>
      <c r="I563"/>
      <c r="N563"/>
      <c r="O563"/>
      <c r="P563" s="1" t="e">
        <f t="shared" si="33"/>
        <v>#DIV/0!</v>
      </c>
      <c r="Q563" s="1" t="e">
        <f t="shared" si="34"/>
        <v>#DIV/0!</v>
      </c>
      <c r="R563" s="1" t="e">
        <f t="shared" si="35"/>
        <v>#DIV/0!</v>
      </c>
      <c r="S563" s="1" t="e">
        <f t="shared" si="36"/>
        <v>#DIV/0!</v>
      </c>
    </row>
    <row r="564" spans="1:19" x14ac:dyDescent="0.3">
      <c r="A564"/>
      <c r="B564"/>
      <c r="C564"/>
      <c r="D564"/>
      <c r="E564"/>
      <c r="F564"/>
      <c r="G564"/>
      <c r="H564"/>
      <c r="I564"/>
      <c r="N564"/>
      <c r="O564"/>
      <c r="P564" s="1" t="e">
        <f t="shared" si="33"/>
        <v>#DIV/0!</v>
      </c>
      <c r="Q564" s="1" t="e">
        <f t="shared" si="34"/>
        <v>#DIV/0!</v>
      </c>
      <c r="R564" s="1" t="e">
        <f t="shared" si="35"/>
        <v>#DIV/0!</v>
      </c>
      <c r="S564" s="1" t="e">
        <f t="shared" si="36"/>
        <v>#DIV/0!</v>
      </c>
    </row>
    <row r="565" spans="1:19" x14ac:dyDescent="0.3">
      <c r="A565"/>
      <c r="B565"/>
      <c r="C565"/>
      <c r="D565"/>
      <c r="E565"/>
      <c r="F565"/>
      <c r="G565"/>
      <c r="H565"/>
      <c r="I565"/>
      <c r="N565"/>
      <c r="O565"/>
      <c r="P565" s="1" t="e">
        <f t="shared" si="33"/>
        <v>#DIV/0!</v>
      </c>
      <c r="Q565" s="1" t="e">
        <f t="shared" si="34"/>
        <v>#DIV/0!</v>
      </c>
      <c r="R565" s="1" t="e">
        <f t="shared" si="35"/>
        <v>#DIV/0!</v>
      </c>
      <c r="S565" s="1" t="e">
        <f t="shared" si="36"/>
        <v>#DIV/0!</v>
      </c>
    </row>
    <row r="566" spans="1:19" x14ac:dyDescent="0.3">
      <c r="A566"/>
      <c r="B566"/>
      <c r="C566"/>
      <c r="D566"/>
      <c r="E566"/>
      <c r="F566"/>
      <c r="G566"/>
      <c r="H566"/>
      <c r="I566"/>
      <c r="N566"/>
      <c r="O566"/>
      <c r="P566" s="1" t="e">
        <f t="shared" si="33"/>
        <v>#DIV/0!</v>
      </c>
      <c r="Q566" s="1" t="e">
        <f t="shared" si="34"/>
        <v>#DIV/0!</v>
      </c>
      <c r="R566" s="1" t="e">
        <f t="shared" si="35"/>
        <v>#DIV/0!</v>
      </c>
      <c r="S566" s="1" t="e">
        <f t="shared" si="36"/>
        <v>#DIV/0!</v>
      </c>
    </row>
    <row r="567" spans="1:19" x14ac:dyDescent="0.3">
      <c r="A567"/>
      <c r="B567"/>
      <c r="C567"/>
      <c r="D567"/>
      <c r="E567"/>
      <c r="F567"/>
      <c r="G567"/>
      <c r="H567"/>
      <c r="I567"/>
      <c r="N567"/>
      <c r="O567"/>
      <c r="P567" s="1" t="e">
        <f t="shared" si="33"/>
        <v>#DIV/0!</v>
      </c>
      <c r="Q567" s="1" t="e">
        <f t="shared" si="34"/>
        <v>#DIV/0!</v>
      </c>
      <c r="R567" s="1" t="e">
        <f t="shared" si="35"/>
        <v>#DIV/0!</v>
      </c>
      <c r="S567" s="1" t="e">
        <f t="shared" si="36"/>
        <v>#DIV/0!</v>
      </c>
    </row>
    <row r="568" spans="1:19" x14ac:dyDescent="0.3">
      <c r="A568"/>
      <c r="B568"/>
      <c r="C568"/>
      <c r="D568"/>
      <c r="E568"/>
      <c r="F568"/>
      <c r="G568"/>
      <c r="H568"/>
      <c r="I568"/>
      <c r="N568"/>
      <c r="O568"/>
      <c r="P568" s="1" t="e">
        <f t="shared" si="33"/>
        <v>#DIV/0!</v>
      </c>
      <c r="Q568" s="1" t="e">
        <f t="shared" si="34"/>
        <v>#DIV/0!</v>
      </c>
      <c r="R568" s="1" t="e">
        <f t="shared" si="35"/>
        <v>#DIV/0!</v>
      </c>
      <c r="S568" s="1" t="e">
        <f t="shared" si="36"/>
        <v>#DIV/0!</v>
      </c>
    </row>
    <row r="569" spans="1:19" x14ac:dyDescent="0.3">
      <c r="A569"/>
      <c r="B569"/>
      <c r="C569"/>
      <c r="D569"/>
      <c r="E569"/>
      <c r="F569"/>
      <c r="G569"/>
      <c r="H569"/>
      <c r="I569"/>
      <c r="N569"/>
      <c r="O569"/>
      <c r="P569" s="1" t="e">
        <f t="shared" si="33"/>
        <v>#DIV/0!</v>
      </c>
      <c r="Q569" s="1" t="e">
        <f t="shared" si="34"/>
        <v>#DIV/0!</v>
      </c>
      <c r="R569" s="1" t="e">
        <f t="shared" si="35"/>
        <v>#DIV/0!</v>
      </c>
      <c r="S569" s="1" t="e">
        <f t="shared" si="36"/>
        <v>#DIV/0!</v>
      </c>
    </row>
    <row r="570" spans="1:19" x14ac:dyDescent="0.3">
      <c r="A570"/>
      <c r="B570"/>
      <c r="C570"/>
      <c r="D570"/>
      <c r="E570"/>
      <c r="F570"/>
      <c r="G570"/>
      <c r="H570"/>
      <c r="I570"/>
      <c r="N570"/>
      <c r="O570"/>
      <c r="P570" s="1" t="e">
        <f t="shared" si="33"/>
        <v>#DIV/0!</v>
      </c>
      <c r="Q570" s="1" t="e">
        <f t="shared" si="34"/>
        <v>#DIV/0!</v>
      </c>
      <c r="R570" s="1" t="e">
        <f t="shared" si="35"/>
        <v>#DIV/0!</v>
      </c>
      <c r="S570" s="1" t="e">
        <f t="shared" si="36"/>
        <v>#DIV/0!</v>
      </c>
    </row>
    <row r="571" spans="1:19" x14ac:dyDescent="0.3">
      <c r="A571"/>
      <c r="B571"/>
      <c r="C571"/>
      <c r="D571"/>
      <c r="E571"/>
      <c r="F571"/>
      <c r="G571"/>
      <c r="H571"/>
      <c r="I571"/>
      <c r="N571"/>
      <c r="O571"/>
      <c r="P571" s="1" t="e">
        <f t="shared" si="33"/>
        <v>#DIV/0!</v>
      </c>
      <c r="Q571" s="1" t="e">
        <f t="shared" si="34"/>
        <v>#DIV/0!</v>
      </c>
      <c r="R571" s="1" t="e">
        <f t="shared" si="35"/>
        <v>#DIV/0!</v>
      </c>
      <c r="S571" s="1" t="e">
        <f t="shared" si="36"/>
        <v>#DIV/0!</v>
      </c>
    </row>
    <row r="572" spans="1:19" x14ac:dyDescent="0.3">
      <c r="A572"/>
      <c r="B572"/>
      <c r="C572"/>
      <c r="D572"/>
      <c r="E572"/>
      <c r="F572"/>
      <c r="G572"/>
      <c r="H572"/>
      <c r="I572"/>
      <c r="N572"/>
      <c r="O572"/>
      <c r="P572" s="1" t="e">
        <f t="shared" si="33"/>
        <v>#DIV/0!</v>
      </c>
      <c r="Q572" s="1" t="e">
        <f t="shared" si="34"/>
        <v>#DIV/0!</v>
      </c>
      <c r="R572" s="1" t="e">
        <f t="shared" si="35"/>
        <v>#DIV/0!</v>
      </c>
      <c r="S572" s="1" t="e">
        <f t="shared" si="36"/>
        <v>#DIV/0!</v>
      </c>
    </row>
    <row r="573" spans="1:19" x14ac:dyDescent="0.3">
      <c r="A573"/>
      <c r="B573"/>
      <c r="C573"/>
      <c r="D573"/>
      <c r="E573"/>
      <c r="F573"/>
      <c r="G573"/>
      <c r="H573"/>
      <c r="I573"/>
      <c r="N573"/>
      <c r="O573"/>
      <c r="P573" s="1" t="e">
        <f t="shared" si="33"/>
        <v>#DIV/0!</v>
      </c>
      <c r="Q573" s="1" t="e">
        <f t="shared" si="34"/>
        <v>#DIV/0!</v>
      </c>
      <c r="R573" s="1" t="e">
        <f t="shared" si="35"/>
        <v>#DIV/0!</v>
      </c>
      <c r="S573" s="1" t="e">
        <f t="shared" si="36"/>
        <v>#DIV/0!</v>
      </c>
    </row>
    <row r="574" spans="1:19" x14ac:dyDescent="0.3">
      <c r="A574"/>
      <c r="B574"/>
      <c r="C574"/>
      <c r="D574"/>
      <c r="E574"/>
      <c r="F574"/>
      <c r="G574"/>
      <c r="H574"/>
      <c r="I574"/>
      <c r="N574"/>
      <c r="O574"/>
      <c r="P574" s="1" t="e">
        <f t="shared" si="33"/>
        <v>#DIV/0!</v>
      </c>
      <c r="Q574" s="1" t="e">
        <f t="shared" si="34"/>
        <v>#DIV/0!</v>
      </c>
      <c r="R574" s="1" t="e">
        <f t="shared" si="35"/>
        <v>#DIV/0!</v>
      </c>
      <c r="S574" s="1" t="e">
        <f t="shared" si="36"/>
        <v>#DIV/0!</v>
      </c>
    </row>
    <row r="575" spans="1:19" x14ac:dyDescent="0.3">
      <c r="A575"/>
      <c r="B575"/>
      <c r="C575"/>
      <c r="D575"/>
      <c r="E575"/>
      <c r="F575"/>
      <c r="G575"/>
      <c r="H575"/>
      <c r="I575"/>
      <c r="N575"/>
      <c r="O575"/>
      <c r="P575" s="1" t="e">
        <f t="shared" si="33"/>
        <v>#DIV/0!</v>
      </c>
      <c r="Q575" s="1" t="e">
        <f t="shared" si="34"/>
        <v>#DIV/0!</v>
      </c>
      <c r="R575" s="1" t="e">
        <f t="shared" si="35"/>
        <v>#DIV/0!</v>
      </c>
      <c r="S575" s="1" t="e">
        <f t="shared" si="36"/>
        <v>#DIV/0!</v>
      </c>
    </row>
    <row r="576" spans="1:19" x14ac:dyDescent="0.3">
      <c r="A576"/>
      <c r="B576"/>
      <c r="C576"/>
      <c r="D576"/>
      <c r="E576"/>
      <c r="F576"/>
      <c r="G576"/>
      <c r="H576"/>
      <c r="I576"/>
      <c r="N576"/>
      <c r="O576"/>
      <c r="P576" s="1" t="e">
        <f t="shared" si="33"/>
        <v>#DIV/0!</v>
      </c>
      <c r="Q576" s="1" t="e">
        <f t="shared" si="34"/>
        <v>#DIV/0!</v>
      </c>
      <c r="R576" s="1" t="e">
        <f t="shared" si="35"/>
        <v>#DIV/0!</v>
      </c>
      <c r="S576" s="1" t="e">
        <f t="shared" si="36"/>
        <v>#DIV/0!</v>
      </c>
    </row>
    <row r="577" spans="1:19" x14ac:dyDescent="0.3">
      <c r="A577"/>
      <c r="B577"/>
      <c r="C577"/>
      <c r="D577"/>
      <c r="E577"/>
      <c r="F577"/>
      <c r="G577"/>
      <c r="H577"/>
      <c r="I577"/>
      <c r="N577"/>
      <c r="O577"/>
      <c r="P577" s="1" t="e">
        <f t="shared" si="33"/>
        <v>#DIV/0!</v>
      </c>
      <c r="Q577" s="1" t="e">
        <f t="shared" si="34"/>
        <v>#DIV/0!</v>
      </c>
      <c r="R577" s="1" t="e">
        <f t="shared" si="35"/>
        <v>#DIV/0!</v>
      </c>
      <c r="S577" s="1" t="e">
        <f t="shared" si="36"/>
        <v>#DIV/0!</v>
      </c>
    </row>
    <row r="578" spans="1:19" x14ac:dyDescent="0.3">
      <c r="A578"/>
      <c r="B578"/>
      <c r="C578"/>
      <c r="D578"/>
      <c r="E578"/>
      <c r="F578"/>
      <c r="G578"/>
      <c r="H578"/>
      <c r="I578"/>
      <c r="N578"/>
      <c r="O578"/>
      <c r="P578" s="1" t="e">
        <f t="shared" si="33"/>
        <v>#DIV/0!</v>
      </c>
      <c r="Q578" s="1" t="e">
        <f t="shared" si="34"/>
        <v>#DIV/0!</v>
      </c>
      <c r="R578" s="1" t="e">
        <f t="shared" si="35"/>
        <v>#DIV/0!</v>
      </c>
      <c r="S578" s="1" t="e">
        <f t="shared" si="36"/>
        <v>#DIV/0!</v>
      </c>
    </row>
    <row r="579" spans="1:19" x14ac:dyDescent="0.3">
      <c r="A579"/>
      <c r="B579"/>
      <c r="C579"/>
      <c r="D579"/>
      <c r="E579"/>
      <c r="F579"/>
      <c r="G579"/>
      <c r="H579"/>
      <c r="I579"/>
      <c r="N579"/>
      <c r="O579"/>
      <c r="P579" s="1" t="e">
        <f t="shared" si="33"/>
        <v>#DIV/0!</v>
      </c>
      <c r="Q579" s="1" t="e">
        <f t="shared" si="34"/>
        <v>#DIV/0!</v>
      </c>
      <c r="R579" s="1" t="e">
        <f t="shared" si="35"/>
        <v>#DIV/0!</v>
      </c>
      <c r="S579" s="1" t="e">
        <f t="shared" si="36"/>
        <v>#DIV/0!</v>
      </c>
    </row>
    <row r="580" spans="1:19" x14ac:dyDescent="0.3">
      <c r="A580"/>
      <c r="B580"/>
      <c r="C580"/>
      <c r="D580"/>
      <c r="E580"/>
      <c r="F580"/>
      <c r="G580"/>
      <c r="H580"/>
      <c r="I580"/>
      <c r="N580"/>
      <c r="O580"/>
      <c r="P580" s="1" t="e">
        <f t="shared" si="33"/>
        <v>#DIV/0!</v>
      </c>
      <c r="Q580" s="1" t="e">
        <f t="shared" si="34"/>
        <v>#DIV/0!</v>
      </c>
      <c r="R580" s="1" t="e">
        <f t="shared" si="35"/>
        <v>#DIV/0!</v>
      </c>
      <c r="S580" s="1" t="e">
        <f t="shared" si="36"/>
        <v>#DIV/0!</v>
      </c>
    </row>
    <row r="581" spans="1:19" x14ac:dyDescent="0.3">
      <c r="A581"/>
      <c r="B581"/>
      <c r="C581"/>
      <c r="D581"/>
      <c r="E581"/>
      <c r="F581"/>
      <c r="G581"/>
      <c r="H581"/>
      <c r="I581"/>
      <c r="N581"/>
      <c r="O581"/>
      <c r="P581" s="1" t="e">
        <f t="shared" si="33"/>
        <v>#DIV/0!</v>
      </c>
      <c r="Q581" s="1" t="e">
        <f t="shared" si="34"/>
        <v>#DIV/0!</v>
      </c>
      <c r="R581" s="1" t="e">
        <f t="shared" si="35"/>
        <v>#DIV/0!</v>
      </c>
      <c r="S581" s="1" t="e">
        <f t="shared" si="36"/>
        <v>#DIV/0!</v>
      </c>
    </row>
    <row r="582" spans="1:19" x14ac:dyDescent="0.3">
      <c r="A582"/>
      <c r="B582"/>
      <c r="C582"/>
      <c r="D582"/>
      <c r="E582"/>
      <c r="F582"/>
      <c r="G582"/>
      <c r="H582"/>
      <c r="I582"/>
      <c r="N582"/>
      <c r="O582"/>
      <c r="P582" s="1" t="e">
        <f t="shared" si="33"/>
        <v>#DIV/0!</v>
      </c>
      <c r="Q582" s="1" t="e">
        <f t="shared" si="34"/>
        <v>#DIV/0!</v>
      </c>
      <c r="R582" s="1" t="e">
        <f t="shared" si="35"/>
        <v>#DIV/0!</v>
      </c>
      <c r="S582" s="1" t="e">
        <f t="shared" si="36"/>
        <v>#DIV/0!</v>
      </c>
    </row>
    <row r="583" spans="1:19" x14ac:dyDescent="0.3">
      <c r="A583"/>
      <c r="B583"/>
      <c r="C583"/>
      <c r="D583"/>
      <c r="E583"/>
      <c r="F583"/>
      <c r="G583"/>
      <c r="H583"/>
      <c r="I583"/>
      <c r="N583"/>
      <c r="O583"/>
      <c r="P583" s="1" t="e">
        <f t="shared" si="33"/>
        <v>#DIV/0!</v>
      </c>
      <c r="Q583" s="1" t="e">
        <f t="shared" si="34"/>
        <v>#DIV/0!</v>
      </c>
      <c r="R583" s="1" t="e">
        <f t="shared" si="35"/>
        <v>#DIV/0!</v>
      </c>
      <c r="S583" s="1" t="e">
        <f t="shared" si="36"/>
        <v>#DIV/0!</v>
      </c>
    </row>
    <row r="584" spans="1:19" x14ac:dyDescent="0.3">
      <c r="A584"/>
      <c r="B584"/>
      <c r="C584"/>
      <c r="D584"/>
      <c r="E584"/>
      <c r="F584"/>
      <c r="G584"/>
      <c r="H584"/>
      <c r="I584"/>
      <c r="N584"/>
      <c r="O584"/>
      <c r="P584" s="1" t="e">
        <f t="shared" si="33"/>
        <v>#DIV/0!</v>
      </c>
      <c r="Q584" s="1" t="e">
        <f t="shared" si="34"/>
        <v>#DIV/0!</v>
      </c>
      <c r="R584" s="1" t="e">
        <f t="shared" si="35"/>
        <v>#DIV/0!</v>
      </c>
      <c r="S584" s="1" t="e">
        <f t="shared" si="36"/>
        <v>#DIV/0!</v>
      </c>
    </row>
    <row r="585" spans="1:19" x14ac:dyDescent="0.3">
      <c r="A585"/>
      <c r="B585"/>
      <c r="C585"/>
      <c r="D585"/>
      <c r="E585"/>
      <c r="F585"/>
      <c r="G585"/>
      <c r="H585"/>
      <c r="I585"/>
      <c r="N585"/>
      <c r="O585"/>
      <c r="P585" s="1" t="e">
        <f t="shared" si="33"/>
        <v>#DIV/0!</v>
      </c>
      <c r="Q585" s="1" t="e">
        <f t="shared" si="34"/>
        <v>#DIV/0!</v>
      </c>
      <c r="R585" s="1" t="e">
        <f t="shared" si="35"/>
        <v>#DIV/0!</v>
      </c>
      <c r="S585" s="1" t="e">
        <f t="shared" si="36"/>
        <v>#DIV/0!</v>
      </c>
    </row>
    <row r="586" spans="1:19" x14ac:dyDescent="0.3">
      <c r="A586"/>
      <c r="B586"/>
      <c r="C586"/>
      <c r="D586"/>
      <c r="E586"/>
      <c r="F586"/>
      <c r="G586"/>
      <c r="H586"/>
      <c r="I586"/>
      <c r="N586"/>
      <c r="O586"/>
      <c r="P586" s="1" t="e">
        <f t="shared" si="33"/>
        <v>#DIV/0!</v>
      </c>
      <c r="Q586" s="1" t="e">
        <f t="shared" si="34"/>
        <v>#DIV/0!</v>
      </c>
      <c r="R586" s="1" t="e">
        <f t="shared" si="35"/>
        <v>#DIV/0!</v>
      </c>
      <c r="S586" s="1" t="e">
        <f t="shared" si="36"/>
        <v>#DIV/0!</v>
      </c>
    </row>
    <row r="587" spans="1:19" x14ac:dyDescent="0.3">
      <c r="A587"/>
      <c r="B587"/>
      <c r="C587"/>
      <c r="D587"/>
      <c r="E587"/>
      <c r="F587"/>
      <c r="G587"/>
      <c r="H587"/>
      <c r="I587"/>
      <c r="N587"/>
      <c r="O587"/>
      <c r="P587" s="1" t="e">
        <f t="shared" si="33"/>
        <v>#DIV/0!</v>
      </c>
      <c r="Q587" s="1" t="e">
        <f t="shared" si="34"/>
        <v>#DIV/0!</v>
      </c>
      <c r="R587" s="1" t="e">
        <f t="shared" si="35"/>
        <v>#DIV/0!</v>
      </c>
      <c r="S587" s="1" t="e">
        <f t="shared" si="36"/>
        <v>#DIV/0!</v>
      </c>
    </row>
    <row r="588" spans="1:19" x14ac:dyDescent="0.3">
      <c r="A588"/>
      <c r="B588"/>
      <c r="C588"/>
      <c r="D588"/>
      <c r="E588"/>
      <c r="F588"/>
      <c r="G588"/>
      <c r="H588"/>
      <c r="I588"/>
      <c r="N588"/>
      <c r="O588"/>
      <c r="P588" s="1" t="e">
        <f t="shared" si="33"/>
        <v>#DIV/0!</v>
      </c>
      <c r="Q588" s="1" t="e">
        <f t="shared" si="34"/>
        <v>#DIV/0!</v>
      </c>
      <c r="R588" s="1" t="e">
        <f t="shared" si="35"/>
        <v>#DIV/0!</v>
      </c>
      <c r="S588" s="1" t="e">
        <f t="shared" si="36"/>
        <v>#DIV/0!</v>
      </c>
    </row>
    <row r="589" spans="1:19" x14ac:dyDescent="0.3">
      <c r="A589"/>
      <c r="B589"/>
      <c r="C589"/>
      <c r="D589"/>
      <c r="E589"/>
      <c r="F589"/>
      <c r="G589"/>
      <c r="H589"/>
      <c r="I589"/>
      <c r="N589"/>
      <c r="O589"/>
      <c r="P589" s="1" t="e">
        <f t="shared" si="33"/>
        <v>#DIV/0!</v>
      </c>
      <c r="Q589" s="1" t="e">
        <f t="shared" si="34"/>
        <v>#DIV/0!</v>
      </c>
      <c r="R589" s="1" t="e">
        <f t="shared" si="35"/>
        <v>#DIV/0!</v>
      </c>
      <c r="S589" s="1" t="e">
        <f t="shared" si="36"/>
        <v>#DIV/0!</v>
      </c>
    </row>
    <row r="590" spans="1:19" x14ac:dyDescent="0.3">
      <c r="A590"/>
      <c r="B590"/>
      <c r="C590"/>
      <c r="D590"/>
      <c r="E590"/>
      <c r="F590"/>
      <c r="G590"/>
      <c r="H590"/>
      <c r="I590"/>
      <c r="N590"/>
      <c r="O590"/>
      <c r="P590" s="1" t="e">
        <f t="shared" si="33"/>
        <v>#DIV/0!</v>
      </c>
      <c r="Q590" s="1" t="e">
        <f t="shared" si="34"/>
        <v>#DIV/0!</v>
      </c>
      <c r="R590" s="1" t="e">
        <f t="shared" si="35"/>
        <v>#DIV/0!</v>
      </c>
      <c r="S590" s="1" t="e">
        <f t="shared" si="36"/>
        <v>#DIV/0!</v>
      </c>
    </row>
    <row r="591" spans="1:19" x14ac:dyDescent="0.3">
      <c r="A591"/>
      <c r="B591"/>
      <c r="C591"/>
      <c r="D591"/>
      <c r="E591"/>
      <c r="F591"/>
      <c r="G591"/>
      <c r="H591"/>
      <c r="I591"/>
      <c r="N591"/>
      <c r="O591"/>
      <c r="P591" s="1" t="e">
        <f t="shared" si="33"/>
        <v>#DIV/0!</v>
      </c>
      <c r="Q591" s="1" t="e">
        <f t="shared" si="34"/>
        <v>#DIV/0!</v>
      </c>
      <c r="R591" s="1" t="e">
        <f t="shared" si="35"/>
        <v>#DIV/0!</v>
      </c>
      <c r="S591" s="1" t="e">
        <f t="shared" si="36"/>
        <v>#DIV/0!</v>
      </c>
    </row>
    <row r="592" spans="1:19" x14ac:dyDescent="0.3">
      <c r="A592"/>
      <c r="B592"/>
      <c r="C592"/>
      <c r="D592"/>
      <c r="E592"/>
      <c r="F592"/>
      <c r="G592"/>
      <c r="H592"/>
      <c r="I592"/>
      <c r="N592"/>
      <c r="O592"/>
      <c r="P592" s="1" t="e">
        <f t="shared" si="33"/>
        <v>#DIV/0!</v>
      </c>
      <c r="Q592" s="1" t="e">
        <f t="shared" si="34"/>
        <v>#DIV/0!</v>
      </c>
      <c r="R592" s="1" t="e">
        <f t="shared" si="35"/>
        <v>#DIV/0!</v>
      </c>
      <c r="S592" s="1" t="e">
        <f t="shared" si="36"/>
        <v>#DIV/0!</v>
      </c>
    </row>
    <row r="593" spans="1:19" x14ac:dyDescent="0.3">
      <c r="A593"/>
      <c r="B593"/>
      <c r="C593"/>
      <c r="D593"/>
      <c r="E593"/>
      <c r="F593"/>
      <c r="G593"/>
      <c r="H593"/>
      <c r="I593"/>
      <c r="N593"/>
      <c r="O593"/>
      <c r="P593" s="1" t="e">
        <f t="shared" si="33"/>
        <v>#DIV/0!</v>
      </c>
      <c r="Q593" s="1" t="e">
        <f t="shared" si="34"/>
        <v>#DIV/0!</v>
      </c>
      <c r="R593" s="1" t="e">
        <f t="shared" si="35"/>
        <v>#DIV/0!</v>
      </c>
      <c r="S593" s="1" t="e">
        <f t="shared" si="36"/>
        <v>#DIV/0!</v>
      </c>
    </row>
    <row r="594" spans="1:19" x14ac:dyDescent="0.3">
      <c r="A594"/>
      <c r="B594"/>
      <c r="C594"/>
      <c r="D594"/>
      <c r="E594"/>
      <c r="F594"/>
      <c r="G594"/>
      <c r="H594"/>
      <c r="I594"/>
      <c r="N594"/>
      <c r="O594"/>
      <c r="P594" s="1" t="e">
        <f t="shared" si="33"/>
        <v>#DIV/0!</v>
      </c>
      <c r="Q594" s="1" t="e">
        <f t="shared" si="34"/>
        <v>#DIV/0!</v>
      </c>
      <c r="R594" s="1" t="e">
        <f t="shared" si="35"/>
        <v>#DIV/0!</v>
      </c>
      <c r="S594" s="1" t="e">
        <f t="shared" si="36"/>
        <v>#DIV/0!</v>
      </c>
    </row>
    <row r="595" spans="1:19" x14ac:dyDescent="0.3">
      <c r="A595"/>
      <c r="B595"/>
      <c r="C595"/>
      <c r="D595"/>
      <c r="E595"/>
      <c r="F595"/>
      <c r="G595"/>
      <c r="H595"/>
      <c r="I595"/>
      <c r="N595"/>
      <c r="O595"/>
      <c r="P595" s="1" t="e">
        <f t="shared" si="33"/>
        <v>#DIV/0!</v>
      </c>
      <c r="Q595" s="1" t="e">
        <f t="shared" si="34"/>
        <v>#DIV/0!</v>
      </c>
      <c r="R595" s="1" t="e">
        <f t="shared" si="35"/>
        <v>#DIV/0!</v>
      </c>
      <c r="S595" s="1" t="e">
        <f t="shared" si="36"/>
        <v>#DIV/0!</v>
      </c>
    </row>
    <row r="596" spans="1:19" x14ac:dyDescent="0.3">
      <c r="A596"/>
      <c r="B596"/>
      <c r="C596"/>
      <c r="D596"/>
      <c r="E596"/>
      <c r="F596"/>
      <c r="G596"/>
      <c r="H596"/>
      <c r="I596"/>
      <c r="N596"/>
      <c r="O596"/>
      <c r="P596" s="1" t="e">
        <f t="shared" si="33"/>
        <v>#DIV/0!</v>
      </c>
      <c r="Q596" s="1" t="e">
        <f t="shared" si="34"/>
        <v>#DIV/0!</v>
      </c>
      <c r="R596" s="1" t="e">
        <f t="shared" si="35"/>
        <v>#DIV/0!</v>
      </c>
      <c r="S596" s="1" t="e">
        <f t="shared" si="36"/>
        <v>#DIV/0!</v>
      </c>
    </row>
    <row r="597" spans="1:19" x14ac:dyDescent="0.3">
      <c r="A597"/>
      <c r="B597"/>
      <c r="C597"/>
      <c r="D597"/>
      <c r="E597"/>
      <c r="F597"/>
      <c r="G597"/>
      <c r="H597"/>
      <c r="I597"/>
      <c r="N597"/>
      <c r="O597"/>
      <c r="P597" s="1" t="e">
        <f t="shared" si="33"/>
        <v>#DIV/0!</v>
      </c>
      <c r="Q597" s="1" t="e">
        <f t="shared" si="34"/>
        <v>#DIV/0!</v>
      </c>
      <c r="R597" s="1" t="e">
        <f t="shared" si="35"/>
        <v>#DIV/0!</v>
      </c>
      <c r="S597" s="1" t="e">
        <f t="shared" si="36"/>
        <v>#DIV/0!</v>
      </c>
    </row>
    <row r="598" spans="1:19" x14ac:dyDescent="0.3">
      <c r="A598"/>
      <c r="B598"/>
      <c r="C598"/>
      <c r="D598"/>
      <c r="E598"/>
      <c r="F598"/>
      <c r="G598"/>
      <c r="H598"/>
      <c r="I598"/>
      <c r="N598"/>
      <c r="O598"/>
      <c r="P598" s="1" t="e">
        <f t="shared" si="33"/>
        <v>#DIV/0!</v>
      </c>
      <c r="Q598" s="1" t="e">
        <f t="shared" si="34"/>
        <v>#DIV/0!</v>
      </c>
      <c r="R598" s="1" t="e">
        <f t="shared" si="35"/>
        <v>#DIV/0!</v>
      </c>
      <c r="S598" s="1" t="e">
        <f t="shared" si="36"/>
        <v>#DIV/0!</v>
      </c>
    </row>
    <row r="599" spans="1:19" x14ac:dyDescent="0.3">
      <c r="A599"/>
      <c r="B599"/>
      <c r="C599"/>
      <c r="D599"/>
      <c r="E599"/>
      <c r="F599"/>
      <c r="G599"/>
      <c r="H599"/>
      <c r="I599"/>
      <c r="N599"/>
      <c r="O599"/>
      <c r="P599" s="1" t="e">
        <f t="shared" si="33"/>
        <v>#DIV/0!</v>
      </c>
      <c r="Q599" s="1" t="e">
        <f t="shared" si="34"/>
        <v>#DIV/0!</v>
      </c>
      <c r="R599" s="1" t="e">
        <f t="shared" si="35"/>
        <v>#DIV/0!</v>
      </c>
      <c r="S599" s="1" t="e">
        <f t="shared" si="36"/>
        <v>#DIV/0!</v>
      </c>
    </row>
    <row r="600" spans="1:19" x14ac:dyDescent="0.3">
      <c r="A600"/>
      <c r="B600"/>
      <c r="C600"/>
      <c r="D600"/>
      <c r="E600"/>
      <c r="F600"/>
      <c r="G600"/>
      <c r="H600"/>
      <c r="I600"/>
      <c r="N600"/>
      <c r="O600"/>
      <c r="P600" s="1" t="e">
        <f t="shared" si="33"/>
        <v>#DIV/0!</v>
      </c>
      <c r="Q600" s="1" t="e">
        <f t="shared" si="34"/>
        <v>#DIV/0!</v>
      </c>
      <c r="R600" s="1" t="e">
        <f t="shared" si="35"/>
        <v>#DIV/0!</v>
      </c>
      <c r="S600" s="1" t="e">
        <f t="shared" si="36"/>
        <v>#DIV/0!</v>
      </c>
    </row>
    <row r="601" spans="1:19" x14ac:dyDescent="0.3">
      <c r="A601"/>
      <c r="B601"/>
      <c r="C601"/>
      <c r="D601"/>
      <c r="E601"/>
      <c r="F601"/>
      <c r="G601"/>
      <c r="H601"/>
      <c r="I601"/>
      <c r="N601"/>
      <c r="O601"/>
      <c r="P601" s="1" t="e">
        <f t="shared" si="33"/>
        <v>#DIV/0!</v>
      </c>
      <c r="Q601" s="1" t="e">
        <f t="shared" si="34"/>
        <v>#DIV/0!</v>
      </c>
      <c r="R601" s="1" t="e">
        <f t="shared" si="35"/>
        <v>#DIV/0!</v>
      </c>
      <c r="S601" s="1" t="e">
        <f t="shared" si="36"/>
        <v>#DIV/0!</v>
      </c>
    </row>
    <row r="602" spans="1:19" x14ac:dyDescent="0.3">
      <c r="A602"/>
      <c r="B602"/>
      <c r="C602"/>
      <c r="D602"/>
      <c r="E602"/>
      <c r="F602"/>
      <c r="G602"/>
      <c r="H602"/>
      <c r="I602"/>
      <c r="N602"/>
      <c r="O602"/>
      <c r="P602" s="1" t="e">
        <f t="shared" si="33"/>
        <v>#DIV/0!</v>
      </c>
      <c r="Q602" s="1" t="e">
        <f t="shared" si="34"/>
        <v>#DIV/0!</v>
      </c>
      <c r="R602" s="1" t="e">
        <f t="shared" si="35"/>
        <v>#DIV/0!</v>
      </c>
      <c r="S602" s="1" t="e">
        <f t="shared" si="36"/>
        <v>#DIV/0!</v>
      </c>
    </row>
    <row r="603" spans="1:19" x14ac:dyDescent="0.3">
      <c r="A603"/>
      <c r="B603"/>
      <c r="C603"/>
      <c r="D603"/>
      <c r="E603"/>
      <c r="F603"/>
      <c r="G603"/>
      <c r="H603"/>
      <c r="I603"/>
      <c r="N603"/>
      <c r="O603"/>
      <c r="P603" s="1" t="e">
        <f t="shared" si="33"/>
        <v>#DIV/0!</v>
      </c>
      <c r="Q603" s="1" t="e">
        <f t="shared" si="34"/>
        <v>#DIV/0!</v>
      </c>
      <c r="R603" s="1" t="e">
        <f t="shared" si="35"/>
        <v>#DIV/0!</v>
      </c>
      <c r="S603" s="1" t="e">
        <f t="shared" si="36"/>
        <v>#DIV/0!</v>
      </c>
    </row>
    <row r="604" spans="1:19" x14ac:dyDescent="0.3">
      <c r="A604"/>
      <c r="B604"/>
      <c r="C604"/>
      <c r="D604"/>
      <c r="E604"/>
      <c r="F604"/>
      <c r="G604"/>
      <c r="H604"/>
      <c r="I604"/>
      <c r="N604"/>
      <c r="O604"/>
      <c r="P604" s="1" t="e">
        <f t="shared" si="33"/>
        <v>#DIV/0!</v>
      </c>
      <c r="Q604" s="1" t="e">
        <f t="shared" si="34"/>
        <v>#DIV/0!</v>
      </c>
      <c r="R604" s="1" t="e">
        <f t="shared" si="35"/>
        <v>#DIV/0!</v>
      </c>
      <c r="S604" s="1" t="e">
        <f t="shared" si="36"/>
        <v>#DIV/0!</v>
      </c>
    </row>
    <row r="605" spans="1:19" x14ac:dyDescent="0.3">
      <c r="A605"/>
      <c r="B605"/>
      <c r="C605"/>
      <c r="D605"/>
      <c r="E605"/>
      <c r="F605"/>
      <c r="G605"/>
      <c r="H605"/>
      <c r="I605"/>
      <c r="N605"/>
      <c r="O605"/>
      <c r="P605" s="1" t="e">
        <f t="shared" si="33"/>
        <v>#DIV/0!</v>
      </c>
      <c r="Q605" s="1" t="e">
        <f t="shared" si="34"/>
        <v>#DIV/0!</v>
      </c>
      <c r="R605" s="1" t="e">
        <f t="shared" si="35"/>
        <v>#DIV/0!</v>
      </c>
      <c r="S605" s="1" t="e">
        <f t="shared" si="36"/>
        <v>#DIV/0!</v>
      </c>
    </row>
    <row r="606" spans="1:19" x14ac:dyDescent="0.3">
      <c r="A606"/>
      <c r="B606"/>
      <c r="C606"/>
      <c r="D606"/>
      <c r="E606"/>
      <c r="F606"/>
      <c r="G606"/>
      <c r="H606"/>
      <c r="I606"/>
      <c r="N606"/>
      <c r="O606"/>
      <c r="P606" s="1" t="e">
        <f t="shared" ref="P606:P669" si="37">(B588+Q$35)/P$35</f>
        <v>#DIV/0!</v>
      </c>
      <c r="Q606" s="1" t="e">
        <f t="shared" ref="Q606:Q669" si="38">(C588+Q$35)/P$35</f>
        <v>#DIV/0!</v>
      </c>
      <c r="R606" s="1" t="e">
        <f t="shared" ref="R606:R669" si="39">(D588+Q$37)/P$37</f>
        <v>#DIV/0!</v>
      </c>
      <c r="S606" s="1" t="e">
        <f t="shared" ref="S606:S669" si="40">(E588+Q$38)/P$38</f>
        <v>#DIV/0!</v>
      </c>
    </row>
    <row r="607" spans="1:19" x14ac:dyDescent="0.3">
      <c r="A607"/>
      <c r="B607"/>
      <c r="C607"/>
      <c r="D607"/>
      <c r="E607"/>
      <c r="F607"/>
      <c r="G607"/>
      <c r="H607"/>
      <c r="I607"/>
      <c r="N607"/>
      <c r="O607"/>
      <c r="P607" s="1" t="e">
        <f t="shared" si="37"/>
        <v>#DIV/0!</v>
      </c>
      <c r="Q607" s="1" t="e">
        <f t="shared" si="38"/>
        <v>#DIV/0!</v>
      </c>
      <c r="R607" s="1" t="e">
        <f t="shared" si="39"/>
        <v>#DIV/0!</v>
      </c>
      <c r="S607" s="1" t="e">
        <f t="shared" si="40"/>
        <v>#DIV/0!</v>
      </c>
    </row>
    <row r="608" spans="1:19" x14ac:dyDescent="0.3">
      <c r="A608"/>
      <c r="B608"/>
      <c r="C608"/>
      <c r="D608"/>
      <c r="E608"/>
      <c r="F608"/>
      <c r="G608"/>
      <c r="H608"/>
      <c r="I608"/>
      <c r="N608"/>
      <c r="O608"/>
      <c r="P608" s="1" t="e">
        <f t="shared" si="37"/>
        <v>#DIV/0!</v>
      </c>
      <c r="Q608" s="1" t="e">
        <f t="shared" si="38"/>
        <v>#DIV/0!</v>
      </c>
      <c r="R608" s="1" t="e">
        <f t="shared" si="39"/>
        <v>#DIV/0!</v>
      </c>
      <c r="S608" s="1" t="e">
        <f t="shared" si="40"/>
        <v>#DIV/0!</v>
      </c>
    </row>
    <row r="609" spans="1:19" x14ac:dyDescent="0.3">
      <c r="A609"/>
      <c r="B609"/>
      <c r="C609"/>
      <c r="D609"/>
      <c r="E609"/>
      <c r="F609"/>
      <c r="G609"/>
      <c r="H609"/>
      <c r="I609"/>
      <c r="N609"/>
      <c r="O609"/>
      <c r="P609" s="1" t="e">
        <f t="shared" si="37"/>
        <v>#DIV/0!</v>
      </c>
      <c r="Q609" s="1" t="e">
        <f t="shared" si="38"/>
        <v>#DIV/0!</v>
      </c>
      <c r="R609" s="1" t="e">
        <f t="shared" si="39"/>
        <v>#DIV/0!</v>
      </c>
      <c r="S609" s="1" t="e">
        <f t="shared" si="40"/>
        <v>#DIV/0!</v>
      </c>
    </row>
    <row r="610" spans="1:19" x14ac:dyDescent="0.3">
      <c r="A610"/>
      <c r="B610"/>
      <c r="C610"/>
      <c r="D610"/>
      <c r="E610"/>
      <c r="F610"/>
      <c r="G610"/>
      <c r="H610"/>
      <c r="I610"/>
      <c r="N610"/>
      <c r="O610"/>
      <c r="P610" s="1" t="e">
        <f t="shared" si="37"/>
        <v>#DIV/0!</v>
      </c>
      <c r="Q610" s="1" t="e">
        <f t="shared" si="38"/>
        <v>#DIV/0!</v>
      </c>
      <c r="R610" s="1" t="e">
        <f t="shared" si="39"/>
        <v>#DIV/0!</v>
      </c>
      <c r="S610" s="1" t="e">
        <f t="shared" si="40"/>
        <v>#DIV/0!</v>
      </c>
    </row>
    <row r="611" spans="1:19" x14ac:dyDescent="0.3">
      <c r="A611"/>
      <c r="B611"/>
      <c r="C611"/>
      <c r="D611"/>
      <c r="E611"/>
      <c r="F611"/>
      <c r="G611"/>
      <c r="H611"/>
      <c r="I611"/>
      <c r="N611"/>
      <c r="O611"/>
      <c r="P611" s="1" t="e">
        <f t="shared" si="37"/>
        <v>#DIV/0!</v>
      </c>
      <c r="Q611" s="1" t="e">
        <f t="shared" si="38"/>
        <v>#DIV/0!</v>
      </c>
      <c r="R611" s="1" t="e">
        <f t="shared" si="39"/>
        <v>#DIV/0!</v>
      </c>
      <c r="S611" s="1" t="e">
        <f t="shared" si="40"/>
        <v>#DIV/0!</v>
      </c>
    </row>
    <row r="612" spans="1:19" x14ac:dyDescent="0.3">
      <c r="A612"/>
      <c r="B612"/>
      <c r="C612"/>
      <c r="D612"/>
      <c r="E612"/>
      <c r="F612"/>
      <c r="G612"/>
      <c r="H612"/>
      <c r="I612"/>
      <c r="N612"/>
      <c r="O612"/>
      <c r="P612" s="1" t="e">
        <f t="shared" si="37"/>
        <v>#DIV/0!</v>
      </c>
      <c r="Q612" s="1" t="e">
        <f t="shared" si="38"/>
        <v>#DIV/0!</v>
      </c>
      <c r="R612" s="1" t="e">
        <f t="shared" si="39"/>
        <v>#DIV/0!</v>
      </c>
      <c r="S612" s="1" t="e">
        <f t="shared" si="40"/>
        <v>#DIV/0!</v>
      </c>
    </row>
    <row r="613" spans="1:19" x14ac:dyDescent="0.3">
      <c r="A613"/>
      <c r="B613"/>
      <c r="C613"/>
      <c r="D613"/>
      <c r="E613"/>
      <c r="F613"/>
      <c r="G613"/>
      <c r="H613"/>
      <c r="I613"/>
      <c r="N613"/>
      <c r="O613"/>
      <c r="P613" s="1" t="e">
        <f t="shared" si="37"/>
        <v>#DIV/0!</v>
      </c>
      <c r="Q613" s="1" t="e">
        <f t="shared" si="38"/>
        <v>#DIV/0!</v>
      </c>
      <c r="R613" s="1" t="e">
        <f t="shared" si="39"/>
        <v>#DIV/0!</v>
      </c>
      <c r="S613" s="1" t="e">
        <f t="shared" si="40"/>
        <v>#DIV/0!</v>
      </c>
    </row>
    <row r="614" spans="1:19" x14ac:dyDescent="0.3">
      <c r="A614"/>
      <c r="B614"/>
      <c r="C614"/>
      <c r="D614"/>
      <c r="E614"/>
      <c r="F614"/>
      <c r="G614"/>
      <c r="H614"/>
      <c r="I614"/>
      <c r="N614"/>
      <c r="O614"/>
      <c r="P614" s="1" t="e">
        <f t="shared" si="37"/>
        <v>#DIV/0!</v>
      </c>
      <c r="Q614" s="1" t="e">
        <f t="shared" si="38"/>
        <v>#DIV/0!</v>
      </c>
      <c r="R614" s="1" t="e">
        <f t="shared" si="39"/>
        <v>#DIV/0!</v>
      </c>
      <c r="S614" s="1" t="e">
        <f t="shared" si="40"/>
        <v>#DIV/0!</v>
      </c>
    </row>
    <row r="615" spans="1:19" x14ac:dyDescent="0.3">
      <c r="A615"/>
      <c r="B615"/>
      <c r="C615"/>
      <c r="D615"/>
      <c r="E615"/>
      <c r="F615"/>
      <c r="G615"/>
      <c r="H615"/>
      <c r="I615"/>
      <c r="N615"/>
      <c r="O615"/>
      <c r="P615" s="1" t="e">
        <f t="shared" si="37"/>
        <v>#DIV/0!</v>
      </c>
      <c r="Q615" s="1" t="e">
        <f t="shared" si="38"/>
        <v>#DIV/0!</v>
      </c>
      <c r="R615" s="1" t="e">
        <f t="shared" si="39"/>
        <v>#DIV/0!</v>
      </c>
      <c r="S615" s="1" t="e">
        <f t="shared" si="40"/>
        <v>#DIV/0!</v>
      </c>
    </row>
    <row r="616" spans="1:19" x14ac:dyDescent="0.3">
      <c r="A616"/>
      <c r="B616"/>
      <c r="C616"/>
      <c r="D616"/>
      <c r="E616"/>
      <c r="F616"/>
      <c r="G616"/>
      <c r="H616"/>
      <c r="I616"/>
      <c r="N616"/>
      <c r="O616"/>
      <c r="P616" s="1" t="e">
        <f t="shared" si="37"/>
        <v>#DIV/0!</v>
      </c>
      <c r="Q616" s="1" t="e">
        <f t="shared" si="38"/>
        <v>#DIV/0!</v>
      </c>
      <c r="R616" s="1" t="e">
        <f t="shared" si="39"/>
        <v>#DIV/0!</v>
      </c>
      <c r="S616" s="1" t="e">
        <f t="shared" si="40"/>
        <v>#DIV/0!</v>
      </c>
    </row>
    <row r="617" spans="1:19" x14ac:dyDescent="0.3">
      <c r="A617"/>
      <c r="B617"/>
      <c r="C617"/>
      <c r="D617"/>
      <c r="E617"/>
      <c r="F617"/>
      <c r="G617"/>
      <c r="H617"/>
      <c r="I617"/>
      <c r="N617"/>
      <c r="O617"/>
      <c r="P617" s="1" t="e">
        <f t="shared" si="37"/>
        <v>#DIV/0!</v>
      </c>
      <c r="Q617" s="1" t="e">
        <f t="shared" si="38"/>
        <v>#DIV/0!</v>
      </c>
      <c r="R617" s="1" t="e">
        <f t="shared" si="39"/>
        <v>#DIV/0!</v>
      </c>
      <c r="S617" s="1" t="e">
        <f t="shared" si="40"/>
        <v>#DIV/0!</v>
      </c>
    </row>
    <row r="618" spans="1:19" x14ac:dyDescent="0.3">
      <c r="A618"/>
      <c r="B618"/>
      <c r="C618"/>
      <c r="D618"/>
      <c r="E618"/>
      <c r="F618"/>
      <c r="G618"/>
      <c r="H618"/>
      <c r="I618"/>
      <c r="N618"/>
      <c r="O618"/>
      <c r="P618" s="1" t="e">
        <f t="shared" si="37"/>
        <v>#DIV/0!</v>
      </c>
      <c r="Q618" s="1" t="e">
        <f t="shared" si="38"/>
        <v>#DIV/0!</v>
      </c>
      <c r="R618" s="1" t="e">
        <f t="shared" si="39"/>
        <v>#DIV/0!</v>
      </c>
      <c r="S618" s="1" t="e">
        <f t="shared" si="40"/>
        <v>#DIV/0!</v>
      </c>
    </row>
    <row r="619" spans="1:19" x14ac:dyDescent="0.3">
      <c r="A619"/>
      <c r="B619"/>
      <c r="C619"/>
      <c r="D619"/>
      <c r="E619"/>
      <c r="F619"/>
      <c r="G619"/>
      <c r="H619"/>
      <c r="I619"/>
      <c r="N619"/>
      <c r="O619"/>
      <c r="P619" s="1" t="e">
        <f t="shared" si="37"/>
        <v>#DIV/0!</v>
      </c>
      <c r="Q619" s="1" t="e">
        <f t="shared" si="38"/>
        <v>#DIV/0!</v>
      </c>
      <c r="R619" s="1" t="e">
        <f t="shared" si="39"/>
        <v>#DIV/0!</v>
      </c>
      <c r="S619" s="1" t="e">
        <f t="shared" si="40"/>
        <v>#DIV/0!</v>
      </c>
    </row>
    <row r="620" spans="1:19" x14ac:dyDescent="0.3">
      <c r="A620"/>
      <c r="B620"/>
      <c r="C620"/>
      <c r="D620"/>
      <c r="E620"/>
      <c r="F620"/>
      <c r="G620"/>
      <c r="H620"/>
      <c r="I620"/>
      <c r="N620"/>
      <c r="O620"/>
      <c r="P620" s="1" t="e">
        <f t="shared" si="37"/>
        <v>#DIV/0!</v>
      </c>
      <c r="Q620" s="1" t="e">
        <f t="shared" si="38"/>
        <v>#DIV/0!</v>
      </c>
      <c r="R620" s="1" t="e">
        <f t="shared" si="39"/>
        <v>#DIV/0!</v>
      </c>
      <c r="S620" s="1" t="e">
        <f t="shared" si="40"/>
        <v>#DIV/0!</v>
      </c>
    </row>
    <row r="621" spans="1:19" x14ac:dyDescent="0.3">
      <c r="A621"/>
      <c r="B621"/>
      <c r="C621"/>
      <c r="D621"/>
      <c r="E621"/>
      <c r="F621"/>
      <c r="G621"/>
      <c r="H621"/>
      <c r="I621"/>
      <c r="N621"/>
      <c r="O621"/>
      <c r="P621" s="1" t="e">
        <f t="shared" si="37"/>
        <v>#DIV/0!</v>
      </c>
      <c r="Q621" s="1" t="e">
        <f t="shared" si="38"/>
        <v>#DIV/0!</v>
      </c>
      <c r="R621" s="1" t="e">
        <f t="shared" si="39"/>
        <v>#DIV/0!</v>
      </c>
      <c r="S621" s="1" t="e">
        <f t="shared" si="40"/>
        <v>#DIV/0!</v>
      </c>
    </row>
    <row r="622" spans="1:19" x14ac:dyDescent="0.3">
      <c r="A622"/>
      <c r="B622"/>
      <c r="C622"/>
      <c r="D622"/>
      <c r="E622"/>
      <c r="F622"/>
      <c r="G622"/>
      <c r="H622"/>
      <c r="I622"/>
      <c r="N622"/>
      <c r="O622"/>
      <c r="P622" s="1" t="e">
        <f t="shared" si="37"/>
        <v>#DIV/0!</v>
      </c>
      <c r="Q622" s="1" t="e">
        <f t="shared" si="38"/>
        <v>#DIV/0!</v>
      </c>
      <c r="R622" s="1" t="e">
        <f t="shared" si="39"/>
        <v>#DIV/0!</v>
      </c>
      <c r="S622" s="1" t="e">
        <f t="shared" si="40"/>
        <v>#DIV/0!</v>
      </c>
    </row>
    <row r="623" spans="1:19" x14ac:dyDescent="0.3">
      <c r="A623"/>
      <c r="B623"/>
      <c r="C623"/>
      <c r="D623"/>
      <c r="E623"/>
      <c r="F623"/>
      <c r="G623"/>
      <c r="H623"/>
      <c r="I623"/>
      <c r="N623"/>
      <c r="O623"/>
      <c r="P623" s="1" t="e">
        <f t="shared" si="37"/>
        <v>#DIV/0!</v>
      </c>
      <c r="Q623" s="1" t="e">
        <f t="shared" si="38"/>
        <v>#DIV/0!</v>
      </c>
      <c r="R623" s="1" t="e">
        <f t="shared" si="39"/>
        <v>#DIV/0!</v>
      </c>
      <c r="S623" s="1" t="e">
        <f t="shared" si="40"/>
        <v>#DIV/0!</v>
      </c>
    </row>
    <row r="624" spans="1:19" x14ac:dyDescent="0.3">
      <c r="A624"/>
      <c r="B624"/>
      <c r="C624"/>
      <c r="D624"/>
      <c r="E624"/>
      <c r="F624"/>
      <c r="G624"/>
      <c r="H624"/>
      <c r="I624"/>
      <c r="N624"/>
      <c r="O624"/>
      <c r="P624" s="1" t="e">
        <f t="shared" si="37"/>
        <v>#DIV/0!</v>
      </c>
      <c r="Q624" s="1" t="e">
        <f t="shared" si="38"/>
        <v>#DIV/0!</v>
      </c>
      <c r="R624" s="1" t="e">
        <f t="shared" si="39"/>
        <v>#DIV/0!</v>
      </c>
      <c r="S624" s="1" t="e">
        <f t="shared" si="40"/>
        <v>#DIV/0!</v>
      </c>
    </row>
    <row r="625" spans="1:19" x14ac:dyDescent="0.3">
      <c r="A625"/>
      <c r="B625"/>
      <c r="C625"/>
      <c r="D625"/>
      <c r="E625"/>
      <c r="F625"/>
      <c r="G625"/>
      <c r="H625"/>
      <c r="I625"/>
      <c r="N625"/>
      <c r="O625"/>
      <c r="P625" s="1" t="e">
        <f t="shared" si="37"/>
        <v>#DIV/0!</v>
      </c>
      <c r="Q625" s="1" t="e">
        <f t="shared" si="38"/>
        <v>#DIV/0!</v>
      </c>
      <c r="R625" s="1" t="e">
        <f t="shared" si="39"/>
        <v>#DIV/0!</v>
      </c>
      <c r="S625" s="1" t="e">
        <f t="shared" si="40"/>
        <v>#DIV/0!</v>
      </c>
    </row>
    <row r="626" spans="1:19" x14ac:dyDescent="0.3">
      <c r="A626"/>
      <c r="B626"/>
      <c r="C626"/>
      <c r="D626"/>
      <c r="E626"/>
      <c r="F626"/>
      <c r="G626"/>
      <c r="H626"/>
      <c r="I626"/>
      <c r="N626"/>
      <c r="O626"/>
      <c r="P626" s="1" t="e">
        <f t="shared" si="37"/>
        <v>#DIV/0!</v>
      </c>
      <c r="Q626" s="1" t="e">
        <f t="shared" si="38"/>
        <v>#DIV/0!</v>
      </c>
      <c r="R626" s="1" t="e">
        <f t="shared" si="39"/>
        <v>#DIV/0!</v>
      </c>
      <c r="S626" s="1" t="e">
        <f t="shared" si="40"/>
        <v>#DIV/0!</v>
      </c>
    </row>
    <row r="627" spans="1:19" x14ac:dyDescent="0.3">
      <c r="A627"/>
      <c r="B627"/>
      <c r="C627"/>
      <c r="D627"/>
      <c r="E627"/>
      <c r="F627"/>
      <c r="G627"/>
      <c r="H627"/>
      <c r="I627"/>
      <c r="N627"/>
      <c r="O627"/>
      <c r="P627" s="1" t="e">
        <f t="shared" si="37"/>
        <v>#DIV/0!</v>
      </c>
      <c r="Q627" s="1" t="e">
        <f t="shared" si="38"/>
        <v>#DIV/0!</v>
      </c>
      <c r="R627" s="1" t="e">
        <f t="shared" si="39"/>
        <v>#DIV/0!</v>
      </c>
      <c r="S627" s="1" t="e">
        <f t="shared" si="40"/>
        <v>#DIV/0!</v>
      </c>
    </row>
    <row r="628" spans="1:19" x14ac:dyDescent="0.3">
      <c r="A628"/>
      <c r="B628"/>
      <c r="C628"/>
      <c r="D628"/>
      <c r="E628"/>
      <c r="F628"/>
      <c r="G628"/>
      <c r="H628"/>
      <c r="I628"/>
      <c r="N628"/>
      <c r="O628"/>
      <c r="P628" s="1" t="e">
        <f t="shared" si="37"/>
        <v>#DIV/0!</v>
      </c>
      <c r="Q628" s="1" t="e">
        <f t="shared" si="38"/>
        <v>#DIV/0!</v>
      </c>
      <c r="R628" s="1" t="e">
        <f t="shared" si="39"/>
        <v>#DIV/0!</v>
      </c>
      <c r="S628" s="1" t="e">
        <f t="shared" si="40"/>
        <v>#DIV/0!</v>
      </c>
    </row>
    <row r="629" spans="1:19" x14ac:dyDescent="0.3">
      <c r="A629"/>
      <c r="B629"/>
      <c r="C629"/>
      <c r="D629"/>
      <c r="E629"/>
      <c r="F629"/>
      <c r="G629"/>
      <c r="H629"/>
      <c r="I629"/>
      <c r="N629"/>
      <c r="O629"/>
      <c r="P629" s="1" t="e">
        <f t="shared" si="37"/>
        <v>#DIV/0!</v>
      </c>
      <c r="Q629" s="1" t="e">
        <f t="shared" si="38"/>
        <v>#DIV/0!</v>
      </c>
      <c r="R629" s="1" t="e">
        <f t="shared" si="39"/>
        <v>#DIV/0!</v>
      </c>
      <c r="S629" s="1" t="e">
        <f t="shared" si="40"/>
        <v>#DIV/0!</v>
      </c>
    </row>
    <row r="630" spans="1:19" x14ac:dyDescent="0.3">
      <c r="A630"/>
      <c r="B630"/>
      <c r="C630"/>
      <c r="D630"/>
      <c r="E630"/>
      <c r="F630"/>
      <c r="G630"/>
      <c r="H630"/>
      <c r="I630"/>
      <c r="N630"/>
      <c r="O630"/>
      <c r="P630" s="1" t="e">
        <f t="shared" si="37"/>
        <v>#DIV/0!</v>
      </c>
      <c r="Q630" s="1" t="e">
        <f t="shared" si="38"/>
        <v>#DIV/0!</v>
      </c>
      <c r="R630" s="1" t="e">
        <f t="shared" si="39"/>
        <v>#DIV/0!</v>
      </c>
      <c r="S630" s="1" t="e">
        <f t="shared" si="40"/>
        <v>#DIV/0!</v>
      </c>
    </row>
    <row r="631" spans="1:19" x14ac:dyDescent="0.3">
      <c r="A631"/>
      <c r="B631"/>
      <c r="C631"/>
      <c r="D631"/>
      <c r="E631"/>
      <c r="F631"/>
      <c r="G631"/>
      <c r="H631"/>
      <c r="I631"/>
      <c r="N631"/>
      <c r="O631"/>
      <c r="P631" s="1" t="e">
        <f t="shared" si="37"/>
        <v>#DIV/0!</v>
      </c>
      <c r="Q631" s="1" t="e">
        <f t="shared" si="38"/>
        <v>#DIV/0!</v>
      </c>
      <c r="R631" s="1" t="e">
        <f t="shared" si="39"/>
        <v>#DIV/0!</v>
      </c>
      <c r="S631" s="1" t="e">
        <f t="shared" si="40"/>
        <v>#DIV/0!</v>
      </c>
    </row>
    <row r="632" spans="1:19" x14ac:dyDescent="0.3">
      <c r="A632"/>
      <c r="B632"/>
      <c r="C632"/>
      <c r="D632"/>
      <c r="E632"/>
      <c r="F632"/>
      <c r="G632"/>
      <c r="H632"/>
      <c r="I632"/>
      <c r="N632"/>
      <c r="O632"/>
      <c r="P632" s="1" t="e">
        <f t="shared" si="37"/>
        <v>#DIV/0!</v>
      </c>
      <c r="Q632" s="1" t="e">
        <f t="shared" si="38"/>
        <v>#DIV/0!</v>
      </c>
      <c r="R632" s="1" t="e">
        <f t="shared" si="39"/>
        <v>#DIV/0!</v>
      </c>
      <c r="S632" s="1" t="e">
        <f t="shared" si="40"/>
        <v>#DIV/0!</v>
      </c>
    </row>
    <row r="633" spans="1:19" x14ac:dyDescent="0.3">
      <c r="A633"/>
      <c r="B633"/>
      <c r="C633"/>
      <c r="D633"/>
      <c r="E633"/>
      <c r="F633"/>
      <c r="G633"/>
      <c r="H633"/>
      <c r="I633"/>
      <c r="N633"/>
      <c r="O633"/>
      <c r="P633" s="1" t="e">
        <f t="shared" si="37"/>
        <v>#DIV/0!</v>
      </c>
      <c r="Q633" s="1" t="e">
        <f t="shared" si="38"/>
        <v>#DIV/0!</v>
      </c>
      <c r="R633" s="1" t="e">
        <f t="shared" si="39"/>
        <v>#DIV/0!</v>
      </c>
      <c r="S633" s="1" t="e">
        <f t="shared" si="40"/>
        <v>#DIV/0!</v>
      </c>
    </row>
    <row r="634" spans="1:19" x14ac:dyDescent="0.3">
      <c r="A634"/>
      <c r="B634"/>
      <c r="C634"/>
      <c r="D634"/>
      <c r="E634"/>
      <c r="F634"/>
      <c r="G634"/>
      <c r="H634"/>
      <c r="I634"/>
      <c r="N634"/>
      <c r="O634"/>
      <c r="P634" s="1" t="e">
        <f t="shared" si="37"/>
        <v>#DIV/0!</v>
      </c>
      <c r="Q634" s="1" t="e">
        <f t="shared" si="38"/>
        <v>#DIV/0!</v>
      </c>
      <c r="R634" s="1" t="e">
        <f t="shared" si="39"/>
        <v>#DIV/0!</v>
      </c>
      <c r="S634" s="1" t="e">
        <f t="shared" si="40"/>
        <v>#DIV/0!</v>
      </c>
    </row>
    <row r="635" spans="1:19" x14ac:dyDescent="0.3">
      <c r="A635"/>
      <c r="B635"/>
      <c r="C635"/>
      <c r="D635"/>
      <c r="E635"/>
      <c r="F635"/>
      <c r="G635"/>
      <c r="H635"/>
      <c r="I635"/>
      <c r="N635"/>
      <c r="O635"/>
      <c r="P635" s="1" t="e">
        <f t="shared" si="37"/>
        <v>#DIV/0!</v>
      </c>
      <c r="Q635" s="1" t="e">
        <f t="shared" si="38"/>
        <v>#DIV/0!</v>
      </c>
      <c r="R635" s="1" t="e">
        <f t="shared" si="39"/>
        <v>#DIV/0!</v>
      </c>
      <c r="S635" s="1" t="e">
        <f t="shared" si="40"/>
        <v>#DIV/0!</v>
      </c>
    </row>
    <row r="636" spans="1:19" x14ac:dyDescent="0.3">
      <c r="A636"/>
      <c r="B636"/>
      <c r="C636"/>
      <c r="D636"/>
      <c r="E636"/>
      <c r="F636"/>
      <c r="G636"/>
      <c r="H636"/>
      <c r="I636"/>
      <c r="N636"/>
      <c r="O636"/>
      <c r="P636" s="1" t="e">
        <f t="shared" si="37"/>
        <v>#DIV/0!</v>
      </c>
      <c r="Q636" s="1" t="e">
        <f t="shared" si="38"/>
        <v>#DIV/0!</v>
      </c>
      <c r="R636" s="1" t="e">
        <f t="shared" si="39"/>
        <v>#DIV/0!</v>
      </c>
      <c r="S636" s="1" t="e">
        <f t="shared" si="40"/>
        <v>#DIV/0!</v>
      </c>
    </row>
    <row r="637" spans="1:19" x14ac:dyDescent="0.3">
      <c r="A637"/>
      <c r="B637"/>
      <c r="C637"/>
      <c r="D637"/>
      <c r="E637"/>
      <c r="F637"/>
      <c r="G637"/>
      <c r="H637"/>
      <c r="I637"/>
      <c r="N637"/>
      <c r="O637"/>
      <c r="P637" s="1" t="e">
        <f t="shared" si="37"/>
        <v>#DIV/0!</v>
      </c>
      <c r="Q637" s="1" t="e">
        <f t="shared" si="38"/>
        <v>#DIV/0!</v>
      </c>
      <c r="R637" s="1" t="e">
        <f t="shared" si="39"/>
        <v>#DIV/0!</v>
      </c>
      <c r="S637" s="1" t="e">
        <f t="shared" si="40"/>
        <v>#DIV/0!</v>
      </c>
    </row>
    <row r="638" spans="1:19" x14ac:dyDescent="0.3">
      <c r="A638"/>
      <c r="B638"/>
      <c r="C638"/>
      <c r="D638"/>
      <c r="E638"/>
      <c r="F638"/>
      <c r="G638"/>
      <c r="H638"/>
      <c r="I638"/>
      <c r="N638"/>
      <c r="O638"/>
      <c r="P638" s="1" t="e">
        <f t="shared" si="37"/>
        <v>#DIV/0!</v>
      </c>
      <c r="Q638" s="1" t="e">
        <f t="shared" si="38"/>
        <v>#DIV/0!</v>
      </c>
      <c r="R638" s="1" t="e">
        <f t="shared" si="39"/>
        <v>#DIV/0!</v>
      </c>
      <c r="S638" s="1" t="e">
        <f t="shared" si="40"/>
        <v>#DIV/0!</v>
      </c>
    </row>
    <row r="639" spans="1:19" x14ac:dyDescent="0.3">
      <c r="A639"/>
      <c r="B639"/>
      <c r="C639"/>
      <c r="D639"/>
      <c r="E639"/>
      <c r="F639"/>
      <c r="G639"/>
      <c r="H639"/>
      <c r="I639"/>
      <c r="N639"/>
      <c r="O639"/>
      <c r="P639" s="1" t="e">
        <f t="shared" si="37"/>
        <v>#DIV/0!</v>
      </c>
      <c r="Q639" s="1" t="e">
        <f t="shared" si="38"/>
        <v>#DIV/0!</v>
      </c>
      <c r="R639" s="1" t="e">
        <f t="shared" si="39"/>
        <v>#DIV/0!</v>
      </c>
      <c r="S639" s="1" t="e">
        <f t="shared" si="40"/>
        <v>#DIV/0!</v>
      </c>
    </row>
    <row r="640" spans="1:19" x14ac:dyDescent="0.3">
      <c r="A640"/>
      <c r="B640"/>
      <c r="C640"/>
      <c r="D640"/>
      <c r="E640"/>
      <c r="F640"/>
      <c r="G640"/>
      <c r="H640"/>
      <c r="I640"/>
      <c r="N640"/>
      <c r="O640"/>
      <c r="P640" s="1" t="e">
        <f t="shared" si="37"/>
        <v>#DIV/0!</v>
      </c>
      <c r="Q640" s="1" t="e">
        <f t="shared" si="38"/>
        <v>#DIV/0!</v>
      </c>
      <c r="R640" s="1" t="e">
        <f t="shared" si="39"/>
        <v>#DIV/0!</v>
      </c>
      <c r="S640" s="1" t="e">
        <f t="shared" si="40"/>
        <v>#DIV/0!</v>
      </c>
    </row>
    <row r="641" spans="1:19" x14ac:dyDescent="0.3">
      <c r="A641"/>
      <c r="B641"/>
      <c r="C641"/>
      <c r="D641"/>
      <c r="E641"/>
      <c r="F641"/>
      <c r="G641"/>
      <c r="H641"/>
      <c r="I641"/>
      <c r="N641"/>
      <c r="O641"/>
      <c r="P641" s="1" t="e">
        <f t="shared" si="37"/>
        <v>#DIV/0!</v>
      </c>
      <c r="Q641" s="1" t="e">
        <f t="shared" si="38"/>
        <v>#DIV/0!</v>
      </c>
      <c r="R641" s="1" t="e">
        <f t="shared" si="39"/>
        <v>#DIV/0!</v>
      </c>
      <c r="S641" s="1" t="e">
        <f t="shared" si="40"/>
        <v>#DIV/0!</v>
      </c>
    </row>
    <row r="642" spans="1:19" x14ac:dyDescent="0.3">
      <c r="A642"/>
      <c r="B642"/>
      <c r="C642"/>
      <c r="D642"/>
      <c r="E642"/>
      <c r="F642"/>
      <c r="G642"/>
      <c r="H642"/>
      <c r="I642"/>
      <c r="N642"/>
      <c r="O642"/>
      <c r="P642" s="1" t="e">
        <f t="shared" si="37"/>
        <v>#DIV/0!</v>
      </c>
      <c r="Q642" s="1" t="e">
        <f t="shared" si="38"/>
        <v>#DIV/0!</v>
      </c>
      <c r="R642" s="1" t="e">
        <f t="shared" si="39"/>
        <v>#DIV/0!</v>
      </c>
      <c r="S642" s="1" t="e">
        <f t="shared" si="40"/>
        <v>#DIV/0!</v>
      </c>
    </row>
    <row r="643" spans="1:19" x14ac:dyDescent="0.3">
      <c r="A643"/>
      <c r="B643"/>
      <c r="C643"/>
      <c r="D643"/>
      <c r="E643"/>
      <c r="F643"/>
      <c r="G643"/>
      <c r="H643"/>
      <c r="I643"/>
      <c r="N643"/>
      <c r="O643"/>
      <c r="P643" s="1" t="e">
        <f t="shared" si="37"/>
        <v>#DIV/0!</v>
      </c>
      <c r="Q643" s="1" t="e">
        <f t="shared" si="38"/>
        <v>#DIV/0!</v>
      </c>
      <c r="R643" s="1" t="e">
        <f t="shared" si="39"/>
        <v>#DIV/0!</v>
      </c>
      <c r="S643" s="1" t="e">
        <f t="shared" si="40"/>
        <v>#DIV/0!</v>
      </c>
    </row>
    <row r="644" spans="1:19" x14ac:dyDescent="0.3">
      <c r="A644"/>
      <c r="B644"/>
      <c r="C644"/>
      <c r="D644"/>
      <c r="E644"/>
      <c r="F644"/>
      <c r="G644"/>
      <c r="H644"/>
      <c r="I644"/>
      <c r="N644"/>
      <c r="O644"/>
      <c r="P644" s="1" t="e">
        <f t="shared" si="37"/>
        <v>#DIV/0!</v>
      </c>
      <c r="Q644" s="1" t="e">
        <f t="shared" si="38"/>
        <v>#DIV/0!</v>
      </c>
      <c r="R644" s="1" t="e">
        <f t="shared" si="39"/>
        <v>#DIV/0!</v>
      </c>
      <c r="S644" s="1" t="e">
        <f t="shared" si="40"/>
        <v>#DIV/0!</v>
      </c>
    </row>
    <row r="645" spans="1:19" x14ac:dyDescent="0.3">
      <c r="A645"/>
      <c r="B645"/>
      <c r="C645"/>
      <c r="D645"/>
      <c r="E645"/>
      <c r="F645"/>
      <c r="G645"/>
      <c r="H645"/>
      <c r="I645"/>
      <c r="N645"/>
      <c r="O645"/>
      <c r="P645" s="1" t="e">
        <f t="shared" si="37"/>
        <v>#DIV/0!</v>
      </c>
      <c r="Q645" s="1" t="e">
        <f t="shared" si="38"/>
        <v>#DIV/0!</v>
      </c>
      <c r="R645" s="1" t="e">
        <f t="shared" si="39"/>
        <v>#DIV/0!</v>
      </c>
      <c r="S645" s="1" t="e">
        <f t="shared" si="40"/>
        <v>#DIV/0!</v>
      </c>
    </row>
    <row r="646" spans="1:19" x14ac:dyDescent="0.3">
      <c r="A646"/>
      <c r="B646"/>
      <c r="C646"/>
      <c r="D646"/>
      <c r="E646"/>
      <c r="F646"/>
      <c r="G646"/>
      <c r="H646"/>
      <c r="I646"/>
      <c r="N646"/>
      <c r="O646"/>
      <c r="P646" s="1" t="e">
        <f t="shared" si="37"/>
        <v>#DIV/0!</v>
      </c>
      <c r="Q646" s="1" t="e">
        <f t="shared" si="38"/>
        <v>#DIV/0!</v>
      </c>
      <c r="R646" s="1" t="e">
        <f t="shared" si="39"/>
        <v>#DIV/0!</v>
      </c>
      <c r="S646" s="1" t="e">
        <f t="shared" si="40"/>
        <v>#DIV/0!</v>
      </c>
    </row>
    <row r="647" spans="1:19" x14ac:dyDescent="0.3">
      <c r="A647"/>
      <c r="B647"/>
      <c r="C647"/>
      <c r="D647"/>
      <c r="E647"/>
      <c r="F647"/>
      <c r="G647"/>
      <c r="H647"/>
      <c r="I647"/>
      <c r="N647"/>
      <c r="O647"/>
      <c r="P647" s="1" t="e">
        <f t="shared" si="37"/>
        <v>#DIV/0!</v>
      </c>
      <c r="Q647" s="1" t="e">
        <f t="shared" si="38"/>
        <v>#DIV/0!</v>
      </c>
      <c r="R647" s="1" t="e">
        <f t="shared" si="39"/>
        <v>#DIV/0!</v>
      </c>
      <c r="S647" s="1" t="e">
        <f t="shared" si="40"/>
        <v>#DIV/0!</v>
      </c>
    </row>
    <row r="648" spans="1:19" x14ac:dyDescent="0.3">
      <c r="A648"/>
      <c r="B648"/>
      <c r="C648"/>
      <c r="D648"/>
      <c r="E648"/>
      <c r="F648"/>
      <c r="G648"/>
      <c r="H648"/>
      <c r="I648"/>
      <c r="N648"/>
      <c r="O648"/>
      <c r="P648" s="1" t="e">
        <f t="shared" si="37"/>
        <v>#DIV/0!</v>
      </c>
      <c r="Q648" s="1" t="e">
        <f t="shared" si="38"/>
        <v>#DIV/0!</v>
      </c>
      <c r="R648" s="1" t="e">
        <f t="shared" si="39"/>
        <v>#DIV/0!</v>
      </c>
      <c r="S648" s="1" t="e">
        <f t="shared" si="40"/>
        <v>#DIV/0!</v>
      </c>
    </row>
    <row r="649" spans="1:19" x14ac:dyDescent="0.3">
      <c r="A649"/>
      <c r="B649"/>
      <c r="C649"/>
      <c r="D649"/>
      <c r="E649"/>
      <c r="F649"/>
      <c r="G649"/>
      <c r="H649"/>
      <c r="I649"/>
      <c r="N649"/>
      <c r="O649"/>
      <c r="P649" s="1" t="e">
        <f t="shared" si="37"/>
        <v>#DIV/0!</v>
      </c>
      <c r="Q649" s="1" t="e">
        <f t="shared" si="38"/>
        <v>#DIV/0!</v>
      </c>
      <c r="R649" s="1" t="e">
        <f t="shared" si="39"/>
        <v>#DIV/0!</v>
      </c>
      <c r="S649" s="1" t="e">
        <f t="shared" si="40"/>
        <v>#DIV/0!</v>
      </c>
    </row>
    <row r="650" spans="1:19" x14ac:dyDescent="0.3">
      <c r="A650"/>
      <c r="B650"/>
      <c r="C650"/>
      <c r="D650"/>
      <c r="E650"/>
      <c r="F650"/>
      <c r="G650"/>
      <c r="H650"/>
      <c r="I650"/>
      <c r="N650"/>
      <c r="O650"/>
      <c r="P650" s="1" t="e">
        <f t="shared" si="37"/>
        <v>#DIV/0!</v>
      </c>
      <c r="Q650" s="1" t="e">
        <f t="shared" si="38"/>
        <v>#DIV/0!</v>
      </c>
      <c r="R650" s="1" t="e">
        <f t="shared" si="39"/>
        <v>#DIV/0!</v>
      </c>
      <c r="S650" s="1" t="e">
        <f t="shared" si="40"/>
        <v>#DIV/0!</v>
      </c>
    </row>
    <row r="651" spans="1:19" x14ac:dyDescent="0.3">
      <c r="A651"/>
      <c r="B651"/>
      <c r="C651"/>
      <c r="D651"/>
      <c r="E651"/>
      <c r="F651"/>
      <c r="G651"/>
      <c r="H651"/>
      <c r="I651"/>
      <c r="N651"/>
      <c r="O651"/>
      <c r="P651" s="1" t="e">
        <f t="shared" si="37"/>
        <v>#DIV/0!</v>
      </c>
      <c r="Q651" s="1" t="e">
        <f t="shared" si="38"/>
        <v>#DIV/0!</v>
      </c>
      <c r="R651" s="1" t="e">
        <f t="shared" si="39"/>
        <v>#DIV/0!</v>
      </c>
      <c r="S651" s="1" t="e">
        <f t="shared" si="40"/>
        <v>#DIV/0!</v>
      </c>
    </row>
    <row r="652" spans="1:19" x14ac:dyDescent="0.3">
      <c r="A652"/>
      <c r="B652"/>
      <c r="C652"/>
      <c r="D652"/>
      <c r="E652"/>
      <c r="F652"/>
      <c r="G652"/>
      <c r="H652"/>
      <c r="I652"/>
      <c r="N652"/>
      <c r="O652"/>
      <c r="P652" s="1" t="e">
        <f t="shared" si="37"/>
        <v>#DIV/0!</v>
      </c>
      <c r="Q652" s="1" t="e">
        <f t="shared" si="38"/>
        <v>#DIV/0!</v>
      </c>
      <c r="R652" s="1" t="e">
        <f t="shared" si="39"/>
        <v>#DIV/0!</v>
      </c>
      <c r="S652" s="1" t="e">
        <f t="shared" si="40"/>
        <v>#DIV/0!</v>
      </c>
    </row>
    <row r="653" spans="1:19" x14ac:dyDescent="0.3">
      <c r="A653"/>
      <c r="B653"/>
      <c r="C653"/>
      <c r="D653"/>
      <c r="E653"/>
      <c r="F653"/>
      <c r="G653"/>
      <c r="H653"/>
      <c r="I653"/>
      <c r="N653"/>
      <c r="O653"/>
      <c r="P653" s="1" t="e">
        <f t="shared" si="37"/>
        <v>#DIV/0!</v>
      </c>
      <c r="Q653" s="1" t="e">
        <f t="shared" si="38"/>
        <v>#DIV/0!</v>
      </c>
      <c r="R653" s="1" t="e">
        <f t="shared" si="39"/>
        <v>#DIV/0!</v>
      </c>
      <c r="S653" s="1" t="e">
        <f t="shared" si="40"/>
        <v>#DIV/0!</v>
      </c>
    </row>
    <row r="654" spans="1:19" x14ac:dyDescent="0.3">
      <c r="A654"/>
      <c r="B654"/>
      <c r="C654"/>
      <c r="D654"/>
      <c r="E654"/>
      <c r="F654"/>
      <c r="G654"/>
      <c r="H654"/>
      <c r="I654"/>
      <c r="N654"/>
      <c r="O654"/>
      <c r="P654" s="1" t="e">
        <f t="shared" si="37"/>
        <v>#DIV/0!</v>
      </c>
      <c r="Q654" s="1" t="e">
        <f t="shared" si="38"/>
        <v>#DIV/0!</v>
      </c>
      <c r="R654" s="1" t="e">
        <f t="shared" si="39"/>
        <v>#DIV/0!</v>
      </c>
      <c r="S654" s="1" t="e">
        <f t="shared" si="40"/>
        <v>#DIV/0!</v>
      </c>
    </row>
    <row r="655" spans="1:19" x14ac:dyDescent="0.3">
      <c r="A655"/>
      <c r="B655"/>
      <c r="C655"/>
      <c r="D655"/>
      <c r="E655"/>
      <c r="F655"/>
      <c r="G655"/>
      <c r="H655"/>
      <c r="I655"/>
      <c r="N655"/>
      <c r="O655"/>
      <c r="P655" s="1" t="e">
        <f t="shared" si="37"/>
        <v>#DIV/0!</v>
      </c>
      <c r="Q655" s="1" t="e">
        <f t="shared" si="38"/>
        <v>#DIV/0!</v>
      </c>
      <c r="R655" s="1" t="e">
        <f t="shared" si="39"/>
        <v>#DIV/0!</v>
      </c>
      <c r="S655" s="1" t="e">
        <f t="shared" si="40"/>
        <v>#DIV/0!</v>
      </c>
    </row>
    <row r="656" spans="1:19" x14ac:dyDescent="0.3">
      <c r="A656"/>
      <c r="B656"/>
      <c r="C656"/>
      <c r="D656"/>
      <c r="E656"/>
      <c r="F656"/>
      <c r="G656"/>
      <c r="H656"/>
      <c r="I656"/>
      <c r="N656"/>
      <c r="O656"/>
      <c r="P656" s="1" t="e">
        <f t="shared" si="37"/>
        <v>#DIV/0!</v>
      </c>
      <c r="Q656" s="1" t="e">
        <f t="shared" si="38"/>
        <v>#DIV/0!</v>
      </c>
      <c r="R656" s="1" t="e">
        <f t="shared" si="39"/>
        <v>#DIV/0!</v>
      </c>
      <c r="S656" s="1" t="e">
        <f t="shared" si="40"/>
        <v>#DIV/0!</v>
      </c>
    </row>
    <row r="657" spans="1:19" x14ac:dyDescent="0.3">
      <c r="A657"/>
      <c r="B657"/>
      <c r="C657"/>
      <c r="D657"/>
      <c r="E657"/>
      <c r="F657"/>
      <c r="G657"/>
      <c r="H657"/>
      <c r="I657"/>
      <c r="N657"/>
      <c r="O657"/>
      <c r="P657" s="1" t="e">
        <f t="shared" si="37"/>
        <v>#DIV/0!</v>
      </c>
      <c r="Q657" s="1" t="e">
        <f t="shared" si="38"/>
        <v>#DIV/0!</v>
      </c>
      <c r="R657" s="1" t="e">
        <f t="shared" si="39"/>
        <v>#DIV/0!</v>
      </c>
      <c r="S657" s="1" t="e">
        <f t="shared" si="40"/>
        <v>#DIV/0!</v>
      </c>
    </row>
    <row r="658" spans="1:19" x14ac:dyDescent="0.3">
      <c r="A658"/>
      <c r="B658"/>
      <c r="C658"/>
      <c r="D658"/>
      <c r="E658"/>
      <c r="F658"/>
      <c r="G658"/>
      <c r="H658"/>
      <c r="I658"/>
      <c r="N658"/>
      <c r="O658"/>
      <c r="P658" s="1" t="e">
        <f t="shared" si="37"/>
        <v>#DIV/0!</v>
      </c>
      <c r="Q658" s="1" t="e">
        <f t="shared" si="38"/>
        <v>#DIV/0!</v>
      </c>
      <c r="R658" s="1" t="e">
        <f t="shared" si="39"/>
        <v>#DIV/0!</v>
      </c>
      <c r="S658" s="1" t="e">
        <f t="shared" si="40"/>
        <v>#DIV/0!</v>
      </c>
    </row>
    <row r="659" spans="1:19" x14ac:dyDescent="0.3">
      <c r="A659"/>
      <c r="B659"/>
      <c r="C659"/>
      <c r="D659"/>
      <c r="E659"/>
      <c r="F659"/>
      <c r="G659"/>
      <c r="H659"/>
      <c r="I659"/>
      <c r="N659"/>
      <c r="O659"/>
      <c r="P659" s="1" t="e">
        <f t="shared" si="37"/>
        <v>#DIV/0!</v>
      </c>
      <c r="Q659" s="1" t="e">
        <f t="shared" si="38"/>
        <v>#DIV/0!</v>
      </c>
      <c r="R659" s="1" t="e">
        <f t="shared" si="39"/>
        <v>#DIV/0!</v>
      </c>
      <c r="S659" s="1" t="e">
        <f t="shared" si="40"/>
        <v>#DIV/0!</v>
      </c>
    </row>
    <row r="660" spans="1:19" x14ac:dyDescent="0.3">
      <c r="A660"/>
      <c r="B660"/>
      <c r="C660"/>
      <c r="D660"/>
      <c r="E660"/>
      <c r="F660"/>
      <c r="G660"/>
      <c r="H660"/>
      <c r="I660"/>
      <c r="N660"/>
      <c r="O660"/>
      <c r="P660" s="1" t="e">
        <f t="shared" si="37"/>
        <v>#DIV/0!</v>
      </c>
      <c r="Q660" s="1" t="e">
        <f t="shared" si="38"/>
        <v>#DIV/0!</v>
      </c>
      <c r="R660" s="1" t="e">
        <f t="shared" si="39"/>
        <v>#DIV/0!</v>
      </c>
      <c r="S660" s="1" t="e">
        <f t="shared" si="40"/>
        <v>#DIV/0!</v>
      </c>
    </row>
    <row r="661" spans="1:19" x14ac:dyDescent="0.3">
      <c r="A661"/>
      <c r="B661"/>
      <c r="C661"/>
      <c r="D661"/>
      <c r="E661"/>
      <c r="F661"/>
      <c r="G661"/>
      <c r="H661"/>
      <c r="I661"/>
      <c r="N661"/>
      <c r="O661"/>
      <c r="P661" s="1" t="e">
        <f t="shared" si="37"/>
        <v>#DIV/0!</v>
      </c>
      <c r="Q661" s="1" t="e">
        <f t="shared" si="38"/>
        <v>#DIV/0!</v>
      </c>
      <c r="R661" s="1" t="e">
        <f t="shared" si="39"/>
        <v>#DIV/0!</v>
      </c>
      <c r="S661" s="1" t="e">
        <f t="shared" si="40"/>
        <v>#DIV/0!</v>
      </c>
    </row>
    <row r="662" spans="1:19" x14ac:dyDescent="0.3">
      <c r="A662"/>
      <c r="B662"/>
      <c r="C662"/>
      <c r="D662"/>
      <c r="E662"/>
      <c r="F662"/>
      <c r="G662"/>
      <c r="H662"/>
      <c r="I662"/>
      <c r="N662"/>
      <c r="O662"/>
      <c r="P662" s="1" t="e">
        <f t="shared" si="37"/>
        <v>#DIV/0!</v>
      </c>
      <c r="Q662" s="1" t="e">
        <f t="shared" si="38"/>
        <v>#DIV/0!</v>
      </c>
      <c r="R662" s="1" t="e">
        <f t="shared" si="39"/>
        <v>#DIV/0!</v>
      </c>
      <c r="S662" s="1" t="e">
        <f t="shared" si="40"/>
        <v>#DIV/0!</v>
      </c>
    </row>
    <row r="663" spans="1:19" x14ac:dyDescent="0.3">
      <c r="A663"/>
      <c r="B663"/>
      <c r="C663"/>
      <c r="D663"/>
      <c r="E663"/>
      <c r="F663"/>
      <c r="G663"/>
      <c r="H663"/>
      <c r="I663"/>
      <c r="N663"/>
      <c r="O663"/>
      <c r="P663" s="1" t="e">
        <f t="shared" si="37"/>
        <v>#DIV/0!</v>
      </c>
      <c r="Q663" s="1" t="e">
        <f t="shared" si="38"/>
        <v>#DIV/0!</v>
      </c>
      <c r="R663" s="1" t="e">
        <f t="shared" si="39"/>
        <v>#DIV/0!</v>
      </c>
      <c r="S663" s="1" t="e">
        <f t="shared" si="40"/>
        <v>#DIV/0!</v>
      </c>
    </row>
    <row r="664" spans="1:19" x14ac:dyDescent="0.3">
      <c r="A664"/>
      <c r="B664"/>
      <c r="C664"/>
      <c r="D664"/>
      <c r="E664"/>
      <c r="F664"/>
      <c r="G664"/>
      <c r="H664"/>
      <c r="I664"/>
      <c r="N664"/>
      <c r="O664"/>
      <c r="P664" s="1" t="e">
        <f t="shared" si="37"/>
        <v>#DIV/0!</v>
      </c>
      <c r="Q664" s="1" t="e">
        <f t="shared" si="38"/>
        <v>#DIV/0!</v>
      </c>
      <c r="R664" s="1" t="e">
        <f t="shared" si="39"/>
        <v>#DIV/0!</v>
      </c>
      <c r="S664" s="1" t="e">
        <f t="shared" si="40"/>
        <v>#DIV/0!</v>
      </c>
    </row>
    <row r="665" spans="1:19" x14ac:dyDescent="0.3">
      <c r="A665"/>
      <c r="B665"/>
      <c r="C665"/>
      <c r="D665"/>
      <c r="E665"/>
      <c r="F665"/>
      <c r="G665"/>
      <c r="H665"/>
      <c r="I665"/>
      <c r="N665"/>
      <c r="O665"/>
      <c r="P665" s="1" t="e">
        <f t="shared" si="37"/>
        <v>#DIV/0!</v>
      </c>
      <c r="Q665" s="1" t="e">
        <f t="shared" si="38"/>
        <v>#DIV/0!</v>
      </c>
      <c r="R665" s="1" t="e">
        <f t="shared" si="39"/>
        <v>#DIV/0!</v>
      </c>
      <c r="S665" s="1" t="e">
        <f t="shared" si="40"/>
        <v>#DIV/0!</v>
      </c>
    </row>
    <row r="666" spans="1:19" x14ac:dyDescent="0.3">
      <c r="A666"/>
      <c r="B666"/>
      <c r="C666"/>
      <c r="D666"/>
      <c r="E666"/>
      <c r="F666"/>
      <c r="G666"/>
      <c r="H666"/>
      <c r="I666"/>
      <c r="N666"/>
      <c r="O666"/>
      <c r="P666" s="1" t="e">
        <f t="shared" si="37"/>
        <v>#DIV/0!</v>
      </c>
      <c r="Q666" s="1" t="e">
        <f t="shared" si="38"/>
        <v>#DIV/0!</v>
      </c>
      <c r="R666" s="1" t="e">
        <f t="shared" si="39"/>
        <v>#DIV/0!</v>
      </c>
      <c r="S666" s="1" t="e">
        <f t="shared" si="40"/>
        <v>#DIV/0!</v>
      </c>
    </row>
    <row r="667" spans="1:19" x14ac:dyDescent="0.3">
      <c r="A667"/>
      <c r="B667"/>
      <c r="C667"/>
      <c r="D667"/>
      <c r="E667"/>
      <c r="F667"/>
      <c r="G667"/>
      <c r="H667"/>
      <c r="I667"/>
      <c r="N667"/>
      <c r="O667"/>
      <c r="P667" s="1" t="e">
        <f t="shared" si="37"/>
        <v>#DIV/0!</v>
      </c>
      <c r="Q667" s="1" t="e">
        <f t="shared" si="38"/>
        <v>#DIV/0!</v>
      </c>
      <c r="R667" s="1" t="e">
        <f t="shared" si="39"/>
        <v>#DIV/0!</v>
      </c>
      <c r="S667" s="1" t="e">
        <f t="shared" si="40"/>
        <v>#DIV/0!</v>
      </c>
    </row>
    <row r="668" spans="1:19" x14ac:dyDescent="0.3">
      <c r="A668"/>
      <c r="B668"/>
      <c r="C668"/>
      <c r="D668"/>
      <c r="E668"/>
      <c r="F668"/>
      <c r="G668"/>
      <c r="H668"/>
      <c r="I668"/>
      <c r="N668"/>
      <c r="O668"/>
      <c r="P668" s="1" t="e">
        <f t="shared" si="37"/>
        <v>#DIV/0!</v>
      </c>
      <c r="Q668" s="1" t="e">
        <f t="shared" si="38"/>
        <v>#DIV/0!</v>
      </c>
      <c r="R668" s="1" t="e">
        <f t="shared" si="39"/>
        <v>#DIV/0!</v>
      </c>
      <c r="S668" s="1" t="e">
        <f t="shared" si="40"/>
        <v>#DIV/0!</v>
      </c>
    </row>
    <row r="669" spans="1:19" x14ac:dyDescent="0.3">
      <c r="A669"/>
      <c r="B669"/>
      <c r="C669"/>
      <c r="D669"/>
      <c r="E669"/>
      <c r="F669"/>
      <c r="G669"/>
      <c r="H669"/>
      <c r="I669"/>
      <c r="N669"/>
      <c r="O669"/>
      <c r="P669" s="1" t="e">
        <f t="shared" si="37"/>
        <v>#DIV/0!</v>
      </c>
      <c r="Q669" s="1" t="e">
        <f t="shared" si="38"/>
        <v>#DIV/0!</v>
      </c>
      <c r="R669" s="1" t="e">
        <f t="shared" si="39"/>
        <v>#DIV/0!</v>
      </c>
      <c r="S669" s="1" t="e">
        <f t="shared" si="40"/>
        <v>#DIV/0!</v>
      </c>
    </row>
    <row r="670" spans="1:19" x14ac:dyDescent="0.3">
      <c r="A670"/>
      <c r="B670"/>
      <c r="C670"/>
      <c r="D670"/>
      <c r="E670"/>
      <c r="F670"/>
      <c r="G670"/>
      <c r="H670"/>
      <c r="I670"/>
      <c r="N670"/>
      <c r="O670"/>
      <c r="P670" s="1" t="e">
        <f t="shared" ref="P670:P733" si="41">(B652+Q$35)/P$35</f>
        <v>#DIV/0!</v>
      </c>
      <c r="Q670" s="1" t="e">
        <f t="shared" ref="Q670:Q733" si="42">(C652+Q$35)/P$35</f>
        <v>#DIV/0!</v>
      </c>
      <c r="R670" s="1" t="e">
        <f t="shared" ref="R670:R733" si="43">(D652+Q$37)/P$37</f>
        <v>#DIV/0!</v>
      </c>
      <c r="S670" s="1" t="e">
        <f t="shared" ref="S670:S733" si="44">(E652+Q$38)/P$38</f>
        <v>#DIV/0!</v>
      </c>
    </row>
    <row r="671" spans="1:19" x14ac:dyDescent="0.3">
      <c r="A671"/>
      <c r="B671"/>
      <c r="C671"/>
      <c r="D671"/>
      <c r="E671"/>
      <c r="F671"/>
      <c r="G671"/>
      <c r="H671"/>
      <c r="I671"/>
      <c r="N671"/>
      <c r="O671"/>
      <c r="P671" s="1" t="e">
        <f t="shared" si="41"/>
        <v>#DIV/0!</v>
      </c>
      <c r="Q671" s="1" t="e">
        <f t="shared" si="42"/>
        <v>#DIV/0!</v>
      </c>
      <c r="R671" s="1" t="e">
        <f t="shared" si="43"/>
        <v>#DIV/0!</v>
      </c>
      <c r="S671" s="1" t="e">
        <f t="shared" si="44"/>
        <v>#DIV/0!</v>
      </c>
    </row>
    <row r="672" spans="1:19" x14ac:dyDescent="0.3">
      <c r="A672"/>
      <c r="B672"/>
      <c r="C672"/>
      <c r="D672"/>
      <c r="E672"/>
      <c r="F672"/>
      <c r="G672"/>
      <c r="H672"/>
      <c r="I672"/>
      <c r="N672"/>
      <c r="O672"/>
      <c r="P672" s="1" t="e">
        <f t="shared" si="41"/>
        <v>#DIV/0!</v>
      </c>
      <c r="Q672" s="1" t="e">
        <f t="shared" si="42"/>
        <v>#DIV/0!</v>
      </c>
      <c r="R672" s="1" t="e">
        <f t="shared" si="43"/>
        <v>#DIV/0!</v>
      </c>
      <c r="S672" s="1" t="e">
        <f t="shared" si="44"/>
        <v>#DIV/0!</v>
      </c>
    </row>
    <row r="673" spans="1:19" x14ac:dyDescent="0.3">
      <c r="A673"/>
      <c r="B673"/>
      <c r="C673"/>
      <c r="D673"/>
      <c r="E673"/>
      <c r="F673"/>
      <c r="G673"/>
      <c r="H673"/>
      <c r="I673"/>
      <c r="N673"/>
      <c r="O673"/>
      <c r="P673" s="1" t="e">
        <f t="shared" si="41"/>
        <v>#DIV/0!</v>
      </c>
      <c r="Q673" s="1" t="e">
        <f t="shared" si="42"/>
        <v>#DIV/0!</v>
      </c>
      <c r="R673" s="1" t="e">
        <f t="shared" si="43"/>
        <v>#DIV/0!</v>
      </c>
      <c r="S673" s="1" t="e">
        <f t="shared" si="44"/>
        <v>#DIV/0!</v>
      </c>
    </row>
    <row r="674" spans="1:19" x14ac:dyDescent="0.3">
      <c r="A674"/>
      <c r="B674"/>
      <c r="C674"/>
      <c r="D674"/>
      <c r="E674"/>
      <c r="F674"/>
      <c r="G674"/>
      <c r="H674"/>
      <c r="I674"/>
      <c r="N674"/>
      <c r="O674"/>
      <c r="P674" s="1" t="e">
        <f t="shared" si="41"/>
        <v>#DIV/0!</v>
      </c>
      <c r="Q674" s="1" t="e">
        <f t="shared" si="42"/>
        <v>#DIV/0!</v>
      </c>
      <c r="R674" s="1" t="e">
        <f t="shared" si="43"/>
        <v>#DIV/0!</v>
      </c>
      <c r="S674" s="1" t="e">
        <f t="shared" si="44"/>
        <v>#DIV/0!</v>
      </c>
    </row>
    <row r="675" spans="1:19" x14ac:dyDescent="0.3">
      <c r="A675"/>
      <c r="B675"/>
      <c r="C675"/>
      <c r="D675"/>
      <c r="E675"/>
      <c r="F675"/>
      <c r="G675"/>
      <c r="H675"/>
      <c r="I675"/>
      <c r="N675"/>
      <c r="O675"/>
      <c r="P675" s="1" t="e">
        <f t="shared" si="41"/>
        <v>#DIV/0!</v>
      </c>
      <c r="Q675" s="1" t="e">
        <f t="shared" si="42"/>
        <v>#DIV/0!</v>
      </c>
      <c r="R675" s="1" t="e">
        <f t="shared" si="43"/>
        <v>#DIV/0!</v>
      </c>
      <c r="S675" s="1" t="e">
        <f t="shared" si="44"/>
        <v>#DIV/0!</v>
      </c>
    </row>
    <row r="676" spans="1:19" x14ac:dyDescent="0.3">
      <c r="A676"/>
      <c r="B676"/>
      <c r="C676"/>
      <c r="D676"/>
      <c r="E676"/>
      <c r="F676"/>
      <c r="G676"/>
      <c r="H676"/>
      <c r="I676"/>
      <c r="N676"/>
      <c r="O676"/>
      <c r="P676" s="1" t="e">
        <f t="shared" si="41"/>
        <v>#DIV/0!</v>
      </c>
      <c r="Q676" s="1" t="e">
        <f t="shared" si="42"/>
        <v>#DIV/0!</v>
      </c>
      <c r="R676" s="1" t="e">
        <f t="shared" si="43"/>
        <v>#DIV/0!</v>
      </c>
      <c r="S676" s="1" t="e">
        <f t="shared" si="44"/>
        <v>#DIV/0!</v>
      </c>
    </row>
    <row r="677" spans="1:19" x14ac:dyDescent="0.3">
      <c r="A677"/>
      <c r="B677"/>
      <c r="C677"/>
      <c r="D677"/>
      <c r="E677"/>
      <c r="F677"/>
      <c r="G677"/>
      <c r="H677"/>
      <c r="I677"/>
      <c r="N677"/>
      <c r="O677"/>
      <c r="P677" s="1" t="e">
        <f t="shared" si="41"/>
        <v>#DIV/0!</v>
      </c>
      <c r="Q677" s="1" t="e">
        <f t="shared" si="42"/>
        <v>#DIV/0!</v>
      </c>
      <c r="R677" s="1" t="e">
        <f t="shared" si="43"/>
        <v>#DIV/0!</v>
      </c>
      <c r="S677" s="1" t="e">
        <f t="shared" si="44"/>
        <v>#DIV/0!</v>
      </c>
    </row>
    <row r="678" spans="1:19" x14ac:dyDescent="0.3">
      <c r="A678"/>
      <c r="B678"/>
      <c r="C678"/>
      <c r="D678"/>
      <c r="E678"/>
      <c r="F678"/>
      <c r="G678"/>
      <c r="H678"/>
      <c r="I678"/>
      <c r="N678"/>
      <c r="O678"/>
      <c r="P678" s="1" t="e">
        <f t="shared" si="41"/>
        <v>#DIV/0!</v>
      </c>
      <c r="Q678" s="1" t="e">
        <f t="shared" si="42"/>
        <v>#DIV/0!</v>
      </c>
      <c r="R678" s="1" t="e">
        <f t="shared" si="43"/>
        <v>#DIV/0!</v>
      </c>
      <c r="S678" s="1" t="e">
        <f t="shared" si="44"/>
        <v>#DIV/0!</v>
      </c>
    </row>
    <row r="679" spans="1:19" x14ac:dyDescent="0.3">
      <c r="A679"/>
      <c r="B679"/>
      <c r="C679"/>
      <c r="D679"/>
      <c r="E679"/>
      <c r="F679"/>
      <c r="G679"/>
      <c r="H679"/>
      <c r="I679"/>
      <c r="N679"/>
      <c r="O679"/>
      <c r="P679" s="1" t="e">
        <f t="shared" si="41"/>
        <v>#DIV/0!</v>
      </c>
      <c r="Q679" s="1" t="e">
        <f t="shared" si="42"/>
        <v>#DIV/0!</v>
      </c>
      <c r="R679" s="1" t="e">
        <f t="shared" si="43"/>
        <v>#DIV/0!</v>
      </c>
      <c r="S679" s="1" t="e">
        <f t="shared" si="44"/>
        <v>#DIV/0!</v>
      </c>
    </row>
    <row r="680" spans="1:19" x14ac:dyDescent="0.3">
      <c r="A680"/>
      <c r="B680"/>
      <c r="C680"/>
      <c r="D680"/>
      <c r="E680"/>
      <c r="F680"/>
      <c r="G680"/>
      <c r="H680"/>
      <c r="I680"/>
      <c r="N680"/>
      <c r="O680"/>
      <c r="P680" s="1" t="e">
        <f t="shared" si="41"/>
        <v>#DIV/0!</v>
      </c>
      <c r="Q680" s="1" t="e">
        <f t="shared" si="42"/>
        <v>#DIV/0!</v>
      </c>
      <c r="R680" s="1" t="e">
        <f t="shared" si="43"/>
        <v>#DIV/0!</v>
      </c>
      <c r="S680" s="1" t="e">
        <f t="shared" si="44"/>
        <v>#DIV/0!</v>
      </c>
    </row>
    <row r="681" spans="1:19" x14ac:dyDescent="0.3">
      <c r="A681"/>
      <c r="B681"/>
      <c r="C681"/>
      <c r="D681"/>
      <c r="E681"/>
      <c r="F681"/>
      <c r="G681"/>
      <c r="H681"/>
      <c r="I681"/>
      <c r="N681"/>
      <c r="O681"/>
      <c r="P681" s="1" t="e">
        <f t="shared" si="41"/>
        <v>#DIV/0!</v>
      </c>
      <c r="Q681" s="1" t="e">
        <f t="shared" si="42"/>
        <v>#DIV/0!</v>
      </c>
      <c r="R681" s="1" t="e">
        <f t="shared" si="43"/>
        <v>#DIV/0!</v>
      </c>
      <c r="S681" s="1" t="e">
        <f t="shared" si="44"/>
        <v>#DIV/0!</v>
      </c>
    </row>
    <row r="682" spans="1:19" x14ac:dyDescent="0.3">
      <c r="A682"/>
      <c r="B682"/>
      <c r="C682"/>
      <c r="D682"/>
      <c r="E682"/>
      <c r="F682"/>
      <c r="G682"/>
      <c r="H682"/>
      <c r="I682"/>
      <c r="N682"/>
      <c r="O682"/>
      <c r="P682" s="1" t="e">
        <f t="shared" si="41"/>
        <v>#DIV/0!</v>
      </c>
      <c r="Q682" s="1" t="e">
        <f t="shared" si="42"/>
        <v>#DIV/0!</v>
      </c>
      <c r="R682" s="1" t="e">
        <f t="shared" si="43"/>
        <v>#DIV/0!</v>
      </c>
      <c r="S682" s="1" t="e">
        <f t="shared" si="44"/>
        <v>#DIV/0!</v>
      </c>
    </row>
    <row r="683" spans="1:19" x14ac:dyDescent="0.3">
      <c r="A683"/>
      <c r="B683"/>
      <c r="C683"/>
      <c r="D683"/>
      <c r="E683"/>
      <c r="F683"/>
      <c r="G683"/>
      <c r="H683"/>
      <c r="I683"/>
      <c r="N683"/>
      <c r="O683"/>
      <c r="P683" s="1" t="e">
        <f t="shared" si="41"/>
        <v>#DIV/0!</v>
      </c>
      <c r="Q683" s="1" t="e">
        <f t="shared" si="42"/>
        <v>#DIV/0!</v>
      </c>
      <c r="R683" s="1" t="e">
        <f t="shared" si="43"/>
        <v>#DIV/0!</v>
      </c>
      <c r="S683" s="1" t="e">
        <f t="shared" si="44"/>
        <v>#DIV/0!</v>
      </c>
    </row>
    <row r="684" spans="1:19" x14ac:dyDescent="0.3">
      <c r="A684"/>
      <c r="B684"/>
      <c r="C684"/>
      <c r="D684"/>
      <c r="E684"/>
      <c r="F684"/>
      <c r="G684"/>
      <c r="H684"/>
      <c r="I684"/>
      <c r="N684"/>
      <c r="O684"/>
      <c r="P684" s="1" t="e">
        <f t="shared" si="41"/>
        <v>#DIV/0!</v>
      </c>
      <c r="Q684" s="1" t="e">
        <f t="shared" si="42"/>
        <v>#DIV/0!</v>
      </c>
      <c r="R684" s="1" t="e">
        <f t="shared" si="43"/>
        <v>#DIV/0!</v>
      </c>
      <c r="S684" s="1" t="e">
        <f t="shared" si="44"/>
        <v>#DIV/0!</v>
      </c>
    </row>
    <row r="685" spans="1:19" x14ac:dyDescent="0.3">
      <c r="A685"/>
      <c r="B685"/>
      <c r="C685"/>
      <c r="D685"/>
      <c r="E685"/>
      <c r="F685"/>
      <c r="G685"/>
      <c r="H685"/>
      <c r="I685"/>
      <c r="N685"/>
      <c r="O685"/>
      <c r="P685" s="1" t="e">
        <f t="shared" si="41"/>
        <v>#DIV/0!</v>
      </c>
      <c r="Q685" s="1" t="e">
        <f t="shared" si="42"/>
        <v>#DIV/0!</v>
      </c>
      <c r="R685" s="1" t="e">
        <f t="shared" si="43"/>
        <v>#DIV/0!</v>
      </c>
      <c r="S685" s="1" t="e">
        <f t="shared" si="44"/>
        <v>#DIV/0!</v>
      </c>
    </row>
    <row r="686" spans="1:19" x14ac:dyDescent="0.3">
      <c r="A686"/>
      <c r="B686"/>
      <c r="C686"/>
      <c r="D686"/>
      <c r="E686"/>
      <c r="F686"/>
      <c r="G686"/>
      <c r="H686"/>
      <c r="I686"/>
      <c r="N686"/>
      <c r="O686"/>
      <c r="P686" s="1" t="e">
        <f t="shared" si="41"/>
        <v>#DIV/0!</v>
      </c>
      <c r="Q686" s="1" t="e">
        <f t="shared" si="42"/>
        <v>#DIV/0!</v>
      </c>
      <c r="R686" s="1" t="e">
        <f t="shared" si="43"/>
        <v>#DIV/0!</v>
      </c>
      <c r="S686" s="1" t="e">
        <f t="shared" si="44"/>
        <v>#DIV/0!</v>
      </c>
    </row>
    <row r="687" spans="1:19" x14ac:dyDescent="0.3">
      <c r="A687"/>
      <c r="B687"/>
      <c r="C687"/>
      <c r="D687"/>
      <c r="E687"/>
      <c r="F687"/>
      <c r="G687"/>
      <c r="H687"/>
      <c r="I687"/>
      <c r="N687"/>
      <c r="O687"/>
      <c r="P687" s="1" t="e">
        <f t="shared" si="41"/>
        <v>#DIV/0!</v>
      </c>
      <c r="Q687" s="1" t="e">
        <f t="shared" si="42"/>
        <v>#DIV/0!</v>
      </c>
      <c r="R687" s="1" t="e">
        <f t="shared" si="43"/>
        <v>#DIV/0!</v>
      </c>
      <c r="S687" s="1" t="e">
        <f t="shared" si="44"/>
        <v>#DIV/0!</v>
      </c>
    </row>
    <row r="688" spans="1:19" x14ac:dyDescent="0.3">
      <c r="A688"/>
      <c r="B688"/>
      <c r="C688"/>
      <c r="D688"/>
      <c r="E688"/>
      <c r="F688"/>
      <c r="G688"/>
      <c r="H688"/>
      <c r="I688"/>
      <c r="N688"/>
      <c r="O688"/>
      <c r="P688" s="1" t="e">
        <f t="shared" si="41"/>
        <v>#DIV/0!</v>
      </c>
      <c r="Q688" s="1" t="e">
        <f t="shared" si="42"/>
        <v>#DIV/0!</v>
      </c>
      <c r="R688" s="1" t="e">
        <f t="shared" si="43"/>
        <v>#DIV/0!</v>
      </c>
      <c r="S688" s="1" t="e">
        <f t="shared" si="44"/>
        <v>#DIV/0!</v>
      </c>
    </row>
    <row r="689" spans="1:19" x14ac:dyDescent="0.3">
      <c r="A689"/>
      <c r="B689"/>
      <c r="C689"/>
      <c r="D689"/>
      <c r="E689"/>
      <c r="F689"/>
      <c r="G689"/>
      <c r="H689"/>
      <c r="I689"/>
      <c r="N689"/>
      <c r="O689"/>
      <c r="P689" s="1" t="e">
        <f t="shared" si="41"/>
        <v>#DIV/0!</v>
      </c>
      <c r="Q689" s="1" t="e">
        <f t="shared" si="42"/>
        <v>#DIV/0!</v>
      </c>
      <c r="R689" s="1" t="e">
        <f t="shared" si="43"/>
        <v>#DIV/0!</v>
      </c>
      <c r="S689" s="1" t="e">
        <f t="shared" si="44"/>
        <v>#DIV/0!</v>
      </c>
    </row>
    <row r="690" spans="1:19" x14ac:dyDescent="0.3">
      <c r="A690"/>
      <c r="B690"/>
      <c r="C690"/>
      <c r="D690"/>
      <c r="E690"/>
      <c r="F690"/>
      <c r="G690"/>
      <c r="H690"/>
      <c r="I690"/>
      <c r="N690"/>
      <c r="O690"/>
      <c r="P690" s="1" t="e">
        <f t="shared" si="41"/>
        <v>#DIV/0!</v>
      </c>
      <c r="Q690" s="1" t="e">
        <f t="shared" si="42"/>
        <v>#DIV/0!</v>
      </c>
      <c r="R690" s="1" t="e">
        <f t="shared" si="43"/>
        <v>#DIV/0!</v>
      </c>
      <c r="S690" s="1" t="e">
        <f t="shared" si="44"/>
        <v>#DIV/0!</v>
      </c>
    </row>
    <row r="691" spans="1:19" x14ac:dyDescent="0.3">
      <c r="A691"/>
      <c r="B691"/>
      <c r="C691"/>
      <c r="D691"/>
      <c r="E691"/>
      <c r="F691"/>
      <c r="G691"/>
      <c r="H691"/>
      <c r="I691"/>
      <c r="N691"/>
      <c r="O691"/>
      <c r="P691" s="1" t="e">
        <f t="shared" si="41"/>
        <v>#DIV/0!</v>
      </c>
      <c r="Q691" s="1" t="e">
        <f t="shared" si="42"/>
        <v>#DIV/0!</v>
      </c>
      <c r="R691" s="1" t="e">
        <f t="shared" si="43"/>
        <v>#DIV/0!</v>
      </c>
      <c r="S691" s="1" t="e">
        <f t="shared" si="44"/>
        <v>#DIV/0!</v>
      </c>
    </row>
    <row r="692" spans="1:19" x14ac:dyDescent="0.3">
      <c r="A692"/>
      <c r="B692"/>
      <c r="C692"/>
      <c r="D692"/>
      <c r="E692"/>
      <c r="F692"/>
      <c r="G692"/>
      <c r="H692"/>
      <c r="I692"/>
      <c r="N692"/>
      <c r="O692"/>
      <c r="P692" s="1" t="e">
        <f t="shared" si="41"/>
        <v>#DIV/0!</v>
      </c>
      <c r="Q692" s="1" t="e">
        <f t="shared" si="42"/>
        <v>#DIV/0!</v>
      </c>
      <c r="R692" s="1" t="e">
        <f t="shared" si="43"/>
        <v>#DIV/0!</v>
      </c>
      <c r="S692" s="1" t="e">
        <f t="shared" si="44"/>
        <v>#DIV/0!</v>
      </c>
    </row>
    <row r="693" spans="1:19" x14ac:dyDescent="0.3">
      <c r="A693"/>
      <c r="B693"/>
      <c r="C693"/>
      <c r="D693"/>
      <c r="E693"/>
      <c r="F693"/>
      <c r="G693"/>
      <c r="H693"/>
      <c r="I693"/>
      <c r="N693"/>
      <c r="O693"/>
      <c r="P693" s="1" t="e">
        <f t="shared" si="41"/>
        <v>#DIV/0!</v>
      </c>
      <c r="Q693" s="1" t="e">
        <f t="shared" si="42"/>
        <v>#DIV/0!</v>
      </c>
      <c r="R693" s="1" t="e">
        <f t="shared" si="43"/>
        <v>#DIV/0!</v>
      </c>
      <c r="S693" s="1" t="e">
        <f t="shared" si="44"/>
        <v>#DIV/0!</v>
      </c>
    </row>
    <row r="694" spans="1:19" x14ac:dyDescent="0.3">
      <c r="A694"/>
      <c r="B694"/>
      <c r="C694"/>
      <c r="D694"/>
      <c r="E694"/>
      <c r="F694"/>
      <c r="G694"/>
      <c r="H694"/>
      <c r="I694"/>
      <c r="N694"/>
      <c r="O694"/>
      <c r="P694" s="1" t="e">
        <f t="shared" si="41"/>
        <v>#DIV/0!</v>
      </c>
      <c r="Q694" s="1" t="e">
        <f t="shared" si="42"/>
        <v>#DIV/0!</v>
      </c>
      <c r="R694" s="1" t="e">
        <f t="shared" si="43"/>
        <v>#DIV/0!</v>
      </c>
      <c r="S694" s="1" t="e">
        <f t="shared" si="44"/>
        <v>#DIV/0!</v>
      </c>
    </row>
    <row r="695" spans="1:19" x14ac:dyDescent="0.3">
      <c r="A695"/>
      <c r="B695"/>
      <c r="C695"/>
      <c r="D695"/>
      <c r="E695"/>
      <c r="F695"/>
      <c r="G695"/>
      <c r="H695"/>
      <c r="I695"/>
      <c r="N695"/>
      <c r="O695"/>
      <c r="P695" s="1" t="e">
        <f t="shared" si="41"/>
        <v>#DIV/0!</v>
      </c>
      <c r="Q695" s="1" t="e">
        <f t="shared" si="42"/>
        <v>#DIV/0!</v>
      </c>
      <c r="R695" s="1" t="e">
        <f t="shared" si="43"/>
        <v>#DIV/0!</v>
      </c>
      <c r="S695" s="1" t="e">
        <f t="shared" si="44"/>
        <v>#DIV/0!</v>
      </c>
    </row>
    <row r="696" spans="1:19" x14ac:dyDescent="0.3">
      <c r="A696"/>
      <c r="B696"/>
      <c r="C696"/>
      <c r="D696"/>
      <c r="E696"/>
      <c r="F696"/>
      <c r="G696"/>
      <c r="H696"/>
      <c r="I696"/>
      <c r="N696"/>
      <c r="O696"/>
      <c r="P696" s="1" t="e">
        <f t="shared" si="41"/>
        <v>#DIV/0!</v>
      </c>
      <c r="Q696" s="1" t="e">
        <f t="shared" si="42"/>
        <v>#DIV/0!</v>
      </c>
      <c r="R696" s="1" t="e">
        <f t="shared" si="43"/>
        <v>#DIV/0!</v>
      </c>
      <c r="S696" s="1" t="e">
        <f t="shared" si="44"/>
        <v>#DIV/0!</v>
      </c>
    </row>
    <row r="697" spans="1:19" x14ac:dyDescent="0.3">
      <c r="A697"/>
      <c r="B697"/>
      <c r="C697"/>
      <c r="D697"/>
      <c r="E697"/>
      <c r="F697"/>
      <c r="G697"/>
      <c r="H697"/>
      <c r="I697"/>
      <c r="N697"/>
      <c r="O697"/>
      <c r="P697" s="1" t="e">
        <f t="shared" si="41"/>
        <v>#DIV/0!</v>
      </c>
      <c r="Q697" s="1" t="e">
        <f t="shared" si="42"/>
        <v>#DIV/0!</v>
      </c>
      <c r="R697" s="1" t="e">
        <f t="shared" si="43"/>
        <v>#DIV/0!</v>
      </c>
      <c r="S697" s="1" t="e">
        <f t="shared" si="44"/>
        <v>#DIV/0!</v>
      </c>
    </row>
    <row r="698" spans="1:19" x14ac:dyDescent="0.3">
      <c r="A698"/>
      <c r="B698"/>
      <c r="C698"/>
      <c r="D698"/>
      <c r="E698"/>
      <c r="F698"/>
      <c r="G698"/>
      <c r="H698"/>
      <c r="I698"/>
      <c r="N698"/>
      <c r="O698"/>
      <c r="P698" s="1" t="e">
        <f t="shared" si="41"/>
        <v>#DIV/0!</v>
      </c>
      <c r="Q698" s="1" t="e">
        <f t="shared" si="42"/>
        <v>#DIV/0!</v>
      </c>
      <c r="R698" s="1" t="e">
        <f t="shared" si="43"/>
        <v>#DIV/0!</v>
      </c>
      <c r="S698" s="1" t="e">
        <f t="shared" si="44"/>
        <v>#DIV/0!</v>
      </c>
    </row>
    <row r="699" spans="1:19" x14ac:dyDescent="0.3">
      <c r="A699"/>
      <c r="B699"/>
      <c r="C699"/>
      <c r="D699"/>
      <c r="E699"/>
      <c r="F699"/>
      <c r="G699"/>
      <c r="H699"/>
      <c r="I699"/>
      <c r="N699"/>
      <c r="O699"/>
      <c r="P699" s="1" t="e">
        <f t="shared" si="41"/>
        <v>#DIV/0!</v>
      </c>
      <c r="Q699" s="1" t="e">
        <f t="shared" si="42"/>
        <v>#DIV/0!</v>
      </c>
      <c r="R699" s="1" t="e">
        <f t="shared" si="43"/>
        <v>#DIV/0!</v>
      </c>
      <c r="S699" s="1" t="e">
        <f t="shared" si="44"/>
        <v>#DIV/0!</v>
      </c>
    </row>
    <row r="700" spans="1:19" x14ac:dyDescent="0.3">
      <c r="A700"/>
      <c r="B700"/>
      <c r="C700"/>
      <c r="D700"/>
      <c r="E700"/>
      <c r="F700"/>
      <c r="G700"/>
      <c r="H700"/>
      <c r="I700"/>
      <c r="N700"/>
      <c r="O700"/>
      <c r="P700" s="1" t="e">
        <f t="shared" si="41"/>
        <v>#DIV/0!</v>
      </c>
      <c r="Q700" s="1" t="e">
        <f t="shared" si="42"/>
        <v>#DIV/0!</v>
      </c>
      <c r="R700" s="1" t="e">
        <f t="shared" si="43"/>
        <v>#DIV/0!</v>
      </c>
      <c r="S700" s="1" t="e">
        <f t="shared" si="44"/>
        <v>#DIV/0!</v>
      </c>
    </row>
    <row r="701" spans="1:19" x14ac:dyDescent="0.3">
      <c r="A701"/>
      <c r="B701"/>
      <c r="C701"/>
      <c r="D701"/>
      <c r="E701"/>
      <c r="F701"/>
      <c r="G701"/>
      <c r="H701"/>
      <c r="I701"/>
      <c r="N701"/>
      <c r="O701"/>
      <c r="P701" s="1" t="e">
        <f t="shared" si="41"/>
        <v>#DIV/0!</v>
      </c>
      <c r="Q701" s="1" t="e">
        <f t="shared" si="42"/>
        <v>#DIV/0!</v>
      </c>
      <c r="R701" s="1" t="e">
        <f t="shared" si="43"/>
        <v>#DIV/0!</v>
      </c>
      <c r="S701" s="1" t="e">
        <f t="shared" si="44"/>
        <v>#DIV/0!</v>
      </c>
    </row>
    <row r="702" spans="1:19" x14ac:dyDescent="0.3">
      <c r="A702"/>
      <c r="B702"/>
      <c r="C702"/>
      <c r="D702"/>
      <c r="E702"/>
      <c r="F702"/>
      <c r="G702"/>
      <c r="H702"/>
      <c r="I702"/>
      <c r="N702"/>
      <c r="O702"/>
      <c r="P702" s="1" t="e">
        <f t="shared" si="41"/>
        <v>#DIV/0!</v>
      </c>
      <c r="Q702" s="1" t="e">
        <f t="shared" si="42"/>
        <v>#DIV/0!</v>
      </c>
      <c r="R702" s="1" t="e">
        <f t="shared" si="43"/>
        <v>#DIV/0!</v>
      </c>
      <c r="S702" s="1" t="e">
        <f t="shared" si="44"/>
        <v>#DIV/0!</v>
      </c>
    </row>
    <row r="703" spans="1:19" x14ac:dyDescent="0.3">
      <c r="A703"/>
      <c r="B703"/>
      <c r="C703"/>
      <c r="D703"/>
      <c r="E703"/>
      <c r="F703"/>
      <c r="G703"/>
      <c r="H703"/>
      <c r="I703"/>
      <c r="N703"/>
      <c r="O703"/>
      <c r="P703" s="1" t="e">
        <f t="shared" si="41"/>
        <v>#DIV/0!</v>
      </c>
      <c r="Q703" s="1" t="e">
        <f t="shared" si="42"/>
        <v>#DIV/0!</v>
      </c>
      <c r="R703" s="1" t="e">
        <f t="shared" si="43"/>
        <v>#DIV/0!</v>
      </c>
      <c r="S703" s="1" t="e">
        <f t="shared" si="44"/>
        <v>#DIV/0!</v>
      </c>
    </row>
    <row r="704" spans="1:19" x14ac:dyDescent="0.3">
      <c r="A704"/>
      <c r="B704"/>
      <c r="C704"/>
      <c r="D704"/>
      <c r="E704"/>
      <c r="F704"/>
      <c r="G704"/>
      <c r="H704"/>
      <c r="I704"/>
      <c r="N704"/>
      <c r="O704"/>
      <c r="P704" s="1" t="e">
        <f t="shared" si="41"/>
        <v>#DIV/0!</v>
      </c>
      <c r="Q704" s="1" t="e">
        <f t="shared" si="42"/>
        <v>#DIV/0!</v>
      </c>
      <c r="R704" s="1" t="e">
        <f t="shared" si="43"/>
        <v>#DIV/0!</v>
      </c>
      <c r="S704" s="1" t="e">
        <f t="shared" si="44"/>
        <v>#DIV/0!</v>
      </c>
    </row>
    <row r="705" spans="1:19" x14ac:dyDescent="0.3">
      <c r="A705"/>
      <c r="B705"/>
      <c r="C705"/>
      <c r="D705"/>
      <c r="E705"/>
      <c r="F705"/>
      <c r="G705"/>
      <c r="H705"/>
      <c r="I705"/>
      <c r="N705"/>
      <c r="O705"/>
      <c r="P705" s="1" t="e">
        <f t="shared" si="41"/>
        <v>#DIV/0!</v>
      </c>
      <c r="Q705" s="1" t="e">
        <f t="shared" si="42"/>
        <v>#DIV/0!</v>
      </c>
      <c r="R705" s="1" t="e">
        <f t="shared" si="43"/>
        <v>#DIV/0!</v>
      </c>
      <c r="S705" s="1" t="e">
        <f t="shared" si="44"/>
        <v>#DIV/0!</v>
      </c>
    </row>
    <row r="706" spans="1:19" x14ac:dyDescent="0.3">
      <c r="A706"/>
      <c r="B706"/>
      <c r="C706"/>
      <c r="D706"/>
      <c r="E706"/>
      <c r="F706"/>
      <c r="G706"/>
      <c r="H706"/>
      <c r="I706"/>
      <c r="N706"/>
      <c r="O706"/>
      <c r="P706" s="1" t="e">
        <f t="shared" si="41"/>
        <v>#DIV/0!</v>
      </c>
      <c r="Q706" s="1" t="e">
        <f t="shared" si="42"/>
        <v>#DIV/0!</v>
      </c>
      <c r="R706" s="1" t="e">
        <f t="shared" si="43"/>
        <v>#DIV/0!</v>
      </c>
      <c r="S706" s="1" t="e">
        <f t="shared" si="44"/>
        <v>#DIV/0!</v>
      </c>
    </row>
    <row r="707" spans="1:19" x14ac:dyDescent="0.3">
      <c r="A707"/>
      <c r="B707"/>
      <c r="C707"/>
      <c r="D707"/>
      <c r="E707"/>
      <c r="F707"/>
      <c r="G707"/>
      <c r="H707"/>
      <c r="I707"/>
      <c r="N707"/>
      <c r="O707"/>
      <c r="P707" s="1" t="e">
        <f t="shared" si="41"/>
        <v>#DIV/0!</v>
      </c>
      <c r="Q707" s="1" t="e">
        <f t="shared" si="42"/>
        <v>#DIV/0!</v>
      </c>
      <c r="R707" s="1" t="e">
        <f t="shared" si="43"/>
        <v>#DIV/0!</v>
      </c>
      <c r="S707" s="1" t="e">
        <f t="shared" si="44"/>
        <v>#DIV/0!</v>
      </c>
    </row>
    <row r="708" spans="1:19" x14ac:dyDescent="0.3">
      <c r="A708"/>
      <c r="B708"/>
      <c r="C708"/>
      <c r="D708"/>
      <c r="E708"/>
      <c r="F708"/>
      <c r="G708"/>
      <c r="H708"/>
      <c r="I708"/>
      <c r="N708"/>
      <c r="O708"/>
      <c r="P708" s="1" t="e">
        <f t="shared" si="41"/>
        <v>#DIV/0!</v>
      </c>
      <c r="Q708" s="1" t="e">
        <f t="shared" si="42"/>
        <v>#DIV/0!</v>
      </c>
      <c r="R708" s="1" t="e">
        <f t="shared" si="43"/>
        <v>#DIV/0!</v>
      </c>
      <c r="S708" s="1" t="e">
        <f t="shared" si="44"/>
        <v>#DIV/0!</v>
      </c>
    </row>
    <row r="709" spans="1:19" x14ac:dyDescent="0.3">
      <c r="A709"/>
      <c r="B709"/>
      <c r="C709"/>
      <c r="D709"/>
      <c r="E709"/>
      <c r="F709"/>
      <c r="G709"/>
      <c r="H709"/>
      <c r="I709"/>
      <c r="N709"/>
      <c r="O709"/>
      <c r="P709" s="1" t="e">
        <f t="shared" si="41"/>
        <v>#DIV/0!</v>
      </c>
      <c r="Q709" s="1" t="e">
        <f t="shared" si="42"/>
        <v>#DIV/0!</v>
      </c>
      <c r="R709" s="1" t="e">
        <f t="shared" si="43"/>
        <v>#DIV/0!</v>
      </c>
      <c r="S709" s="1" t="e">
        <f t="shared" si="44"/>
        <v>#DIV/0!</v>
      </c>
    </row>
    <row r="710" spans="1:19" x14ac:dyDescent="0.3">
      <c r="A710"/>
      <c r="B710"/>
      <c r="C710"/>
      <c r="D710"/>
      <c r="E710"/>
      <c r="F710"/>
      <c r="G710"/>
      <c r="H710"/>
      <c r="I710"/>
      <c r="N710"/>
      <c r="O710"/>
      <c r="P710" s="1" t="e">
        <f t="shared" si="41"/>
        <v>#DIV/0!</v>
      </c>
      <c r="Q710" s="1" t="e">
        <f t="shared" si="42"/>
        <v>#DIV/0!</v>
      </c>
      <c r="R710" s="1" t="e">
        <f t="shared" si="43"/>
        <v>#DIV/0!</v>
      </c>
      <c r="S710" s="1" t="e">
        <f t="shared" si="44"/>
        <v>#DIV/0!</v>
      </c>
    </row>
    <row r="711" spans="1:19" x14ac:dyDescent="0.3">
      <c r="A711"/>
      <c r="B711"/>
      <c r="C711"/>
      <c r="D711"/>
      <c r="E711"/>
      <c r="F711"/>
      <c r="G711"/>
      <c r="H711"/>
      <c r="I711"/>
      <c r="N711"/>
      <c r="O711"/>
      <c r="P711" s="1" t="e">
        <f t="shared" si="41"/>
        <v>#DIV/0!</v>
      </c>
      <c r="Q711" s="1" t="e">
        <f t="shared" si="42"/>
        <v>#DIV/0!</v>
      </c>
      <c r="R711" s="1" t="e">
        <f t="shared" si="43"/>
        <v>#DIV/0!</v>
      </c>
      <c r="S711" s="1" t="e">
        <f t="shared" si="44"/>
        <v>#DIV/0!</v>
      </c>
    </row>
    <row r="712" spans="1:19" x14ac:dyDescent="0.3">
      <c r="A712"/>
      <c r="B712"/>
      <c r="C712"/>
      <c r="D712"/>
      <c r="E712"/>
      <c r="F712"/>
      <c r="G712"/>
      <c r="H712"/>
      <c r="I712"/>
      <c r="N712"/>
      <c r="O712"/>
      <c r="P712" s="1" t="e">
        <f t="shared" si="41"/>
        <v>#DIV/0!</v>
      </c>
      <c r="Q712" s="1" t="e">
        <f t="shared" si="42"/>
        <v>#DIV/0!</v>
      </c>
      <c r="R712" s="1" t="e">
        <f t="shared" si="43"/>
        <v>#DIV/0!</v>
      </c>
      <c r="S712" s="1" t="e">
        <f t="shared" si="44"/>
        <v>#DIV/0!</v>
      </c>
    </row>
    <row r="713" spans="1:19" x14ac:dyDescent="0.3">
      <c r="A713"/>
      <c r="B713"/>
      <c r="C713"/>
      <c r="D713"/>
      <c r="E713"/>
      <c r="F713"/>
      <c r="G713"/>
      <c r="H713"/>
      <c r="I713"/>
      <c r="N713"/>
      <c r="O713"/>
      <c r="P713" s="1" t="e">
        <f t="shared" si="41"/>
        <v>#DIV/0!</v>
      </c>
      <c r="Q713" s="1" t="e">
        <f t="shared" si="42"/>
        <v>#DIV/0!</v>
      </c>
      <c r="R713" s="1" t="e">
        <f t="shared" si="43"/>
        <v>#DIV/0!</v>
      </c>
      <c r="S713" s="1" t="e">
        <f t="shared" si="44"/>
        <v>#DIV/0!</v>
      </c>
    </row>
    <row r="714" spans="1:19" x14ac:dyDescent="0.3">
      <c r="A714"/>
      <c r="B714"/>
      <c r="C714"/>
      <c r="D714"/>
      <c r="E714"/>
      <c r="F714"/>
      <c r="G714"/>
      <c r="H714"/>
      <c r="I714"/>
      <c r="N714"/>
      <c r="O714"/>
      <c r="P714" s="1" t="e">
        <f t="shared" si="41"/>
        <v>#DIV/0!</v>
      </c>
      <c r="Q714" s="1" t="e">
        <f t="shared" si="42"/>
        <v>#DIV/0!</v>
      </c>
      <c r="R714" s="1" t="e">
        <f t="shared" si="43"/>
        <v>#DIV/0!</v>
      </c>
      <c r="S714" s="1" t="e">
        <f t="shared" si="44"/>
        <v>#DIV/0!</v>
      </c>
    </row>
    <row r="715" spans="1:19" x14ac:dyDescent="0.3">
      <c r="A715"/>
      <c r="B715"/>
      <c r="C715"/>
      <c r="D715"/>
      <c r="E715"/>
      <c r="F715"/>
      <c r="G715"/>
      <c r="H715"/>
      <c r="I715"/>
      <c r="N715"/>
      <c r="O715"/>
      <c r="P715" s="1" t="e">
        <f t="shared" si="41"/>
        <v>#DIV/0!</v>
      </c>
      <c r="Q715" s="1" t="e">
        <f t="shared" si="42"/>
        <v>#DIV/0!</v>
      </c>
      <c r="R715" s="1" t="e">
        <f t="shared" si="43"/>
        <v>#DIV/0!</v>
      </c>
      <c r="S715" s="1" t="e">
        <f t="shared" si="44"/>
        <v>#DIV/0!</v>
      </c>
    </row>
    <row r="716" spans="1:19" x14ac:dyDescent="0.3">
      <c r="A716"/>
      <c r="B716"/>
      <c r="C716"/>
      <c r="D716"/>
      <c r="E716"/>
      <c r="F716"/>
      <c r="G716"/>
      <c r="H716"/>
      <c r="I716"/>
      <c r="N716"/>
      <c r="O716"/>
      <c r="P716" s="1" t="e">
        <f t="shared" si="41"/>
        <v>#DIV/0!</v>
      </c>
      <c r="Q716" s="1" t="e">
        <f t="shared" si="42"/>
        <v>#DIV/0!</v>
      </c>
      <c r="R716" s="1" t="e">
        <f t="shared" si="43"/>
        <v>#DIV/0!</v>
      </c>
      <c r="S716" s="1" t="e">
        <f t="shared" si="44"/>
        <v>#DIV/0!</v>
      </c>
    </row>
    <row r="717" spans="1:19" x14ac:dyDescent="0.3">
      <c r="A717"/>
      <c r="B717"/>
      <c r="C717"/>
      <c r="D717"/>
      <c r="E717"/>
      <c r="F717"/>
      <c r="G717"/>
      <c r="H717"/>
      <c r="I717"/>
      <c r="N717"/>
      <c r="O717"/>
      <c r="P717" s="1" t="e">
        <f t="shared" si="41"/>
        <v>#DIV/0!</v>
      </c>
      <c r="Q717" s="1" t="e">
        <f t="shared" si="42"/>
        <v>#DIV/0!</v>
      </c>
      <c r="R717" s="1" t="e">
        <f t="shared" si="43"/>
        <v>#DIV/0!</v>
      </c>
      <c r="S717" s="1" t="e">
        <f t="shared" si="44"/>
        <v>#DIV/0!</v>
      </c>
    </row>
    <row r="718" spans="1:19" x14ac:dyDescent="0.3">
      <c r="A718"/>
      <c r="B718"/>
      <c r="C718"/>
      <c r="D718"/>
      <c r="E718"/>
      <c r="F718"/>
      <c r="G718"/>
      <c r="H718"/>
      <c r="I718"/>
      <c r="N718"/>
      <c r="O718"/>
      <c r="P718" s="1" t="e">
        <f t="shared" si="41"/>
        <v>#DIV/0!</v>
      </c>
      <c r="Q718" s="1" t="e">
        <f t="shared" si="42"/>
        <v>#DIV/0!</v>
      </c>
      <c r="R718" s="1" t="e">
        <f t="shared" si="43"/>
        <v>#DIV/0!</v>
      </c>
      <c r="S718" s="1" t="e">
        <f t="shared" si="44"/>
        <v>#DIV/0!</v>
      </c>
    </row>
    <row r="719" spans="1:19" x14ac:dyDescent="0.3">
      <c r="A719"/>
      <c r="B719"/>
      <c r="C719"/>
      <c r="D719"/>
      <c r="E719"/>
      <c r="F719"/>
      <c r="G719"/>
      <c r="H719"/>
      <c r="I719"/>
      <c r="N719"/>
      <c r="O719"/>
      <c r="P719" s="1" t="e">
        <f t="shared" si="41"/>
        <v>#DIV/0!</v>
      </c>
      <c r="Q719" s="1" t="e">
        <f t="shared" si="42"/>
        <v>#DIV/0!</v>
      </c>
      <c r="R719" s="1" t="e">
        <f t="shared" si="43"/>
        <v>#DIV/0!</v>
      </c>
      <c r="S719" s="1" t="e">
        <f t="shared" si="44"/>
        <v>#DIV/0!</v>
      </c>
    </row>
    <row r="720" spans="1:19" x14ac:dyDescent="0.3">
      <c r="A720"/>
      <c r="B720"/>
      <c r="C720"/>
      <c r="D720"/>
      <c r="E720"/>
      <c r="F720"/>
      <c r="G720"/>
      <c r="H720"/>
      <c r="I720"/>
      <c r="N720"/>
      <c r="O720"/>
      <c r="P720" s="1" t="e">
        <f t="shared" si="41"/>
        <v>#DIV/0!</v>
      </c>
      <c r="Q720" s="1" t="e">
        <f t="shared" si="42"/>
        <v>#DIV/0!</v>
      </c>
      <c r="R720" s="1" t="e">
        <f t="shared" si="43"/>
        <v>#DIV/0!</v>
      </c>
      <c r="S720" s="1" t="e">
        <f t="shared" si="44"/>
        <v>#DIV/0!</v>
      </c>
    </row>
    <row r="721" spans="1:19" x14ac:dyDescent="0.3">
      <c r="A721"/>
      <c r="B721"/>
      <c r="C721"/>
      <c r="D721"/>
      <c r="E721"/>
      <c r="F721"/>
      <c r="G721"/>
      <c r="H721"/>
      <c r="I721"/>
      <c r="N721"/>
      <c r="O721"/>
      <c r="P721" s="1" t="e">
        <f t="shared" si="41"/>
        <v>#DIV/0!</v>
      </c>
      <c r="Q721" s="1" t="e">
        <f t="shared" si="42"/>
        <v>#DIV/0!</v>
      </c>
      <c r="R721" s="1" t="e">
        <f t="shared" si="43"/>
        <v>#DIV/0!</v>
      </c>
      <c r="S721" s="1" t="e">
        <f t="shared" si="44"/>
        <v>#DIV/0!</v>
      </c>
    </row>
    <row r="722" spans="1:19" x14ac:dyDescent="0.3">
      <c r="A722"/>
      <c r="B722"/>
      <c r="C722"/>
      <c r="D722"/>
      <c r="E722"/>
      <c r="F722"/>
      <c r="G722"/>
      <c r="H722"/>
      <c r="I722"/>
      <c r="N722"/>
      <c r="O722"/>
      <c r="P722" s="1" t="e">
        <f t="shared" si="41"/>
        <v>#DIV/0!</v>
      </c>
      <c r="Q722" s="1" t="e">
        <f t="shared" si="42"/>
        <v>#DIV/0!</v>
      </c>
      <c r="R722" s="1" t="e">
        <f t="shared" si="43"/>
        <v>#DIV/0!</v>
      </c>
      <c r="S722" s="1" t="e">
        <f t="shared" si="44"/>
        <v>#DIV/0!</v>
      </c>
    </row>
    <row r="723" spans="1:19" x14ac:dyDescent="0.3">
      <c r="A723"/>
      <c r="B723"/>
      <c r="C723"/>
      <c r="D723"/>
      <c r="E723"/>
      <c r="F723"/>
      <c r="G723"/>
      <c r="H723"/>
      <c r="I723"/>
      <c r="N723"/>
      <c r="O723"/>
      <c r="P723" s="1" t="e">
        <f t="shared" si="41"/>
        <v>#DIV/0!</v>
      </c>
      <c r="Q723" s="1" t="e">
        <f t="shared" si="42"/>
        <v>#DIV/0!</v>
      </c>
      <c r="R723" s="1" t="e">
        <f t="shared" si="43"/>
        <v>#DIV/0!</v>
      </c>
      <c r="S723" s="1" t="e">
        <f t="shared" si="44"/>
        <v>#DIV/0!</v>
      </c>
    </row>
    <row r="724" spans="1:19" x14ac:dyDescent="0.3">
      <c r="A724"/>
      <c r="B724"/>
      <c r="C724"/>
      <c r="D724"/>
      <c r="E724"/>
      <c r="F724"/>
      <c r="G724"/>
      <c r="H724"/>
      <c r="I724"/>
      <c r="N724"/>
      <c r="O724"/>
      <c r="P724" s="1" t="e">
        <f t="shared" si="41"/>
        <v>#DIV/0!</v>
      </c>
      <c r="Q724" s="1" t="e">
        <f t="shared" si="42"/>
        <v>#DIV/0!</v>
      </c>
      <c r="R724" s="1" t="e">
        <f t="shared" si="43"/>
        <v>#DIV/0!</v>
      </c>
      <c r="S724" s="1" t="e">
        <f t="shared" si="44"/>
        <v>#DIV/0!</v>
      </c>
    </row>
    <row r="725" spans="1:19" x14ac:dyDescent="0.3">
      <c r="A725"/>
      <c r="B725"/>
      <c r="C725"/>
      <c r="D725"/>
      <c r="E725"/>
      <c r="F725"/>
      <c r="G725"/>
      <c r="H725"/>
      <c r="I725"/>
      <c r="N725"/>
      <c r="O725"/>
      <c r="P725" s="1" t="e">
        <f t="shared" si="41"/>
        <v>#DIV/0!</v>
      </c>
      <c r="Q725" s="1" t="e">
        <f t="shared" si="42"/>
        <v>#DIV/0!</v>
      </c>
      <c r="R725" s="1" t="e">
        <f t="shared" si="43"/>
        <v>#DIV/0!</v>
      </c>
      <c r="S725" s="1" t="e">
        <f t="shared" si="44"/>
        <v>#DIV/0!</v>
      </c>
    </row>
    <row r="726" spans="1:19" x14ac:dyDescent="0.3">
      <c r="A726"/>
      <c r="B726"/>
      <c r="C726"/>
      <c r="D726"/>
      <c r="E726"/>
      <c r="F726"/>
      <c r="G726"/>
      <c r="H726"/>
      <c r="I726"/>
      <c r="N726"/>
      <c r="O726"/>
      <c r="P726" s="1" t="e">
        <f t="shared" si="41"/>
        <v>#DIV/0!</v>
      </c>
      <c r="Q726" s="1" t="e">
        <f t="shared" si="42"/>
        <v>#DIV/0!</v>
      </c>
      <c r="R726" s="1" t="e">
        <f t="shared" si="43"/>
        <v>#DIV/0!</v>
      </c>
      <c r="S726" s="1" t="e">
        <f t="shared" si="44"/>
        <v>#DIV/0!</v>
      </c>
    </row>
    <row r="727" spans="1:19" x14ac:dyDescent="0.3">
      <c r="A727"/>
      <c r="B727"/>
      <c r="C727"/>
      <c r="D727"/>
      <c r="E727"/>
      <c r="F727"/>
      <c r="G727"/>
      <c r="H727"/>
      <c r="I727"/>
      <c r="N727"/>
      <c r="O727"/>
      <c r="P727" s="1" t="e">
        <f t="shared" si="41"/>
        <v>#DIV/0!</v>
      </c>
      <c r="Q727" s="1" t="e">
        <f t="shared" si="42"/>
        <v>#DIV/0!</v>
      </c>
      <c r="R727" s="1" t="e">
        <f t="shared" si="43"/>
        <v>#DIV/0!</v>
      </c>
      <c r="S727" s="1" t="e">
        <f t="shared" si="44"/>
        <v>#DIV/0!</v>
      </c>
    </row>
    <row r="728" spans="1:19" x14ac:dyDescent="0.3">
      <c r="A728"/>
      <c r="B728"/>
      <c r="C728"/>
      <c r="D728"/>
      <c r="E728"/>
      <c r="F728"/>
      <c r="G728"/>
      <c r="H728"/>
      <c r="I728"/>
      <c r="N728"/>
      <c r="O728"/>
      <c r="P728" s="1" t="e">
        <f t="shared" si="41"/>
        <v>#DIV/0!</v>
      </c>
      <c r="Q728" s="1" t="e">
        <f t="shared" si="42"/>
        <v>#DIV/0!</v>
      </c>
      <c r="R728" s="1" t="e">
        <f t="shared" si="43"/>
        <v>#DIV/0!</v>
      </c>
      <c r="S728" s="1" t="e">
        <f t="shared" si="44"/>
        <v>#DIV/0!</v>
      </c>
    </row>
    <row r="729" spans="1:19" x14ac:dyDescent="0.3">
      <c r="A729"/>
      <c r="B729"/>
      <c r="C729"/>
      <c r="D729"/>
      <c r="E729"/>
      <c r="F729"/>
      <c r="G729"/>
      <c r="H729"/>
      <c r="I729"/>
      <c r="N729"/>
      <c r="O729"/>
      <c r="P729" s="1" t="e">
        <f t="shared" si="41"/>
        <v>#DIV/0!</v>
      </c>
      <c r="Q729" s="1" t="e">
        <f t="shared" si="42"/>
        <v>#DIV/0!</v>
      </c>
      <c r="R729" s="1" t="e">
        <f t="shared" si="43"/>
        <v>#DIV/0!</v>
      </c>
      <c r="S729" s="1" t="e">
        <f t="shared" si="44"/>
        <v>#DIV/0!</v>
      </c>
    </row>
    <row r="730" spans="1:19" x14ac:dyDescent="0.3">
      <c r="A730"/>
      <c r="B730"/>
      <c r="C730"/>
      <c r="D730"/>
      <c r="E730"/>
      <c r="F730"/>
      <c r="G730"/>
      <c r="H730"/>
      <c r="I730"/>
      <c r="N730"/>
      <c r="O730"/>
      <c r="P730" s="1" t="e">
        <f t="shared" si="41"/>
        <v>#DIV/0!</v>
      </c>
      <c r="Q730" s="1" t="e">
        <f t="shared" si="42"/>
        <v>#DIV/0!</v>
      </c>
      <c r="R730" s="1" t="e">
        <f t="shared" si="43"/>
        <v>#DIV/0!</v>
      </c>
      <c r="S730" s="1" t="e">
        <f t="shared" si="44"/>
        <v>#DIV/0!</v>
      </c>
    </row>
    <row r="731" spans="1:19" x14ac:dyDescent="0.3">
      <c r="A731"/>
      <c r="B731"/>
      <c r="C731"/>
      <c r="D731"/>
      <c r="E731"/>
      <c r="F731"/>
      <c r="G731"/>
      <c r="H731"/>
      <c r="I731"/>
      <c r="N731"/>
      <c r="O731"/>
      <c r="P731" s="1" t="e">
        <f t="shared" si="41"/>
        <v>#DIV/0!</v>
      </c>
      <c r="Q731" s="1" t="e">
        <f t="shared" si="42"/>
        <v>#DIV/0!</v>
      </c>
      <c r="R731" s="1" t="e">
        <f t="shared" si="43"/>
        <v>#DIV/0!</v>
      </c>
      <c r="S731" s="1" t="e">
        <f t="shared" si="44"/>
        <v>#DIV/0!</v>
      </c>
    </row>
    <row r="732" spans="1:19" x14ac:dyDescent="0.3">
      <c r="A732"/>
      <c r="B732"/>
      <c r="C732"/>
      <c r="D732"/>
      <c r="E732"/>
      <c r="F732"/>
      <c r="G732"/>
      <c r="H732"/>
      <c r="I732"/>
      <c r="N732"/>
      <c r="O732"/>
      <c r="P732" s="1" t="e">
        <f t="shared" si="41"/>
        <v>#DIV/0!</v>
      </c>
      <c r="Q732" s="1" t="e">
        <f t="shared" si="42"/>
        <v>#DIV/0!</v>
      </c>
      <c r="R732" s="1" t="e">
        <f t="shared" si="43"/>
        <v>#DIV/0!</v>
      </c>
      <c r="S732" s="1" t="e">
        <f t="shared" si="44"/>
        <v>#DIV/0!</v>
      </c>
    </row>
    <row r="733" spans="1:19" x14ac:dyDescent="0.3">
      <c r="A733"/>
      <c r="B733"/>
      <c r="C733"/>
      <c r="D733"/>
      <c r="E733"/>
      <c r="F733"/>
      <c r="G733"/>
      <c r="H733"/>
      <c r="I733"/>
      <c r="N733"/>
      <c r="O733"/>
      <c r="P733" s="1" t="e">
        <f t="shared" si="41"/>
        <v>#DIV/0!</v>
      </c>
      <c r="Q733" s="1" t="e">
        <f t="shared" si="42"/>
        <v>#DIV/0!</v>
      </c>
      <c r="R733" s="1" t="e">
        <f t="shared" si="43"/>
        <v>#DIV/0!</v>
      </c>
      <c r="S733" s="1" t="e">
        <f t="shared" si="44"/>
        <v>#DIV/0!</v>
      </c>
    </row>
    <row r="734" spans="1:19" x14ac:dyDescent="0.3">
      <c r="A734"/>
      <c r="B734"/>
      <c r="C734"/>
      <c r="D734"/>
      <c r="E734"/>
      <c r="F734"/>
      <c r="G734"/>
      <c r="H734"/>
      <c r="I734"/>
      <c r="N734"/>
      <c r="O734"/>
      <c r="P734" s="1" t="e">
        <f t="shared" ref="P734:P797" si="45">(B716+Q$35)/P$35</f>
        <v>#DIV/0!</v>
      </c>
      <c r="Q734" s="1" t="e">
        <f t="shared" ref="Q734:Q797" si="46">(C716+Q$35)/P$35</f>
        <v>#DIV/0!</v>
      </c>
      <c r="R734" s="1" t="e">
        <f t="shared" ref="R734:R797" si="47">(D716+Q$37)/P$37</f>
        <v>#DIV/0!</v>
      </c>
      <c r="S734" s="1" t="e">
        <f t="shared" ref="S734:S797" si="48">(E716+Q$38)/P$38</f>
        <v>#DIV/0!</v>
      </c>
    </row>
    <row r="735" spans="1:19" x14ac:dyDescent="0.3">
      <c r="A735"/>
      <c r="B735"/>
      <c r="C735"/>
      <c r="D735"/>
      <c r="E735"/>
      <c r="F735"/>
      <c r="G735"/>
      <c r="H735"/>
      <c r="I735"/>
      <c r="N735"/>
      <c r="O735"/>
      <c r="P735" s="1" t="e">
        <f t="shared" si="45"/>
        <v>#DIV/0!</v>
      </c>
      <c r="Q735" s="1" t="e">
        <f t="shared" si="46"/>
        <v>#DIV/0!</v>
      </c>
      <c r="R735" s="1" t="e">
        <f t="shared" si="47"/>
        <v>#DIV/0!</v>
      </c>
      <c r="S735" s="1" t="e">
        <f t="shared" si="48"/>
        <v>#DIV/0!</v>
      </c>
    </row>
    <row r="736" spans="1:19" x14ac:dyDescent="0.3">
      <c r="A736"/>
      <c r="B736"/>
      <c r="C736"/>
      <c r="D736"/>
      <c r="E736"/>
      <c r="F736"/>
      <c r="G736"/>
      <c r="H736"/>
      <c r="I736"/>
      <c r="N736"/>
      <c r="O736"/>
      <c r="P736" s="1" t="e">
        <f t="shared" si="45"/>
        <v>#DIV/0!</v>
      </c>
      <c r="Q736" s="1" t="e">
        <f t="shared" si="46"/>
        <v>#DIV/0!</v>
      </c>
      <c r="R736" s="1" t="e">
        <f t="shared" si="47"/>
        <v>#DIV/0!</v>
      </c>
      <c r="S736" s="1" t="e">
        <f t="shared" si="48"/>
        <v>#DIV/0!</v>
      </c>
    </row>
    <row r="737" spans="1:19" x14ac:dyDescent="0.3">
      <c r="A737"/>
      <c r="B737"/>
      <c r="C737"/>
      <c r="D737"/>
      <c r="E737"/>
      <c r="F737"/>
      <c r="G737"/>
      <c r="H737"/>
      <c r="I737"/>
      <c r="N737"/>
      <c r="O737"/>
      <c r="P737" s="1" t="e">
        <f t="shared" si="45"/>
        <v>#DIV/0!</v>
      </c>
      <c r="Q737" s="1" t="e">
        <f t="shared" si="46"/>
        <v>#DIV/0!</v>
      </c>
      <c r="R737" s="1" t="e">
        <f t="shared" si="47"/>
        <v>#DIV/0!</v>
      </c>
      <c r="S737" s="1" t="e">
        <f t="shared" si="48"/>
        <v>#DIV/0!</v>
      </c>
    </row>
    <row r="738" spans="1:19" x14ac:dyDescent="0.3">
      <c r="A738"/>
      <c r="B738"/>
      <c r="C738"/>
      <c r="D738"/>
      <c r="E738"/>
      <c r="F738"/>
      <c r="G738"/>
      <c r="H738"/>
      <c r="I738"/>
      <c r="N738"/>
      <c r="O738"/>
      <c r="P738" s="1" t="e">
        <f t="shared" si="45"/>
        <v>#DIV/0!</v>
      </c>
      <c r="Q738" s="1" t="e">
        <f t="shared" si="46"/>
        <v>#DIV/0!</v>
      </c>
      <c r="R738" s="1" t="e">
        <f t="shared" si="47"/>
        <v>#DIV/0!</v>
      </c>
      <c r="S738" s="1" t="e">
        <f t="shared" si="48"/>
        <v>#DIV/0!</v>
      </c>
    </row>
    <row r="739" spans="1:19" x14ac:dyDescent="0.3">
      <c r="A739"/>
      <c r="B739"/>
      <c r="C739"/>
      <c r="D739"/>
      <c r="E739"/>
      <c r="F739"/>
      <c r="G739"/>
      <c r="H739"/>
      <c r="I739"/>
      <c r="N739"/>
      <c r="O739"/>
      <c r="P739" s="1" t="e">
        <f t="shared" si="45"/>
        <v>#DIV/0!</v>
      </c>
      <c r="Q739" s="1" t="e">
        <f t="shared" si="46"/>
        <v>#DIV/0!</v>
      </c>
      <c r="R739" s="1" t="e">
        <f t="shared" si="47"/>
        <v>#DIV/0!</v>
      </c>
      <c r="S739" s="1" t="e">
        <f t="shared" si="48"/>
        <v>#DIV/0!</v>
      </c>
    </row>
    <row r="740" spans="1:19" x14ac:dyDescent="0.3">
      <c r="A740"/>
      <c r="B740"/>
      <c r="C740"/>
      <c r="D740"/>
      <c r="E740"/>
      <c r="F740"/>
      <c r="G740"/>
      <c r="H740"/>
      <c r="I740"/>
      <c r="N740"/>
      <c r="O740"/>
      <c r="P740" s="1" t="e">
        <f t="shared" si="45"/>
        <v>#DIV/0!</v>
      </c>
      <c r="Q740" s="1" t="e">
        <f t="shared" si="46"/>
        <v>#DIV/0!</v>
      </c>
      <c r="R740" s="1" t="e">
        <f t="shared" si="47"/>
        <v>#DIV/0!</v>
      </c>
      <c r="S740" s="1" t="e">
        <f t="shared" si="48"/>
        <v>#DIV/0!</v>
      </c>
    </row>
    <row r="741" spans="1:19" x14ac:dyDescent="0.3">
      <c r="A741"/>
      <c r="B741"/>
      <c r="C741"/>
      <c r="D741"/>
      <c r="E741"/>
      <c r="F741"/>
      <c r="G741"/>
      <c r="H741"/>
      <c r="I741"/>
      <c r="N741"/>
      <c r="O741"/>
      <c r="P741" s="1" t="e">
        <f t="shared" si="45"/>
        <v>#DIV/0!</v>
      </c>
      <c r="Q741" s="1" t="e">
        <f t="shared" si="46"/>
        <v>#DIV/0!</v>
      </c>
      <c r="R741" s="1" t="e">
        <f t="shared" si="47"/>
        <v>#DIV/0!</v>
      </c>
      <c r="S741" s="1" t="e">
        <f t="shared" si="48"/>
        <v>#DIV/0!</v>
      </c>
    </row>
    <row r="742" spans="1:19" x14ac:dyDescent="0.3">
      <c r="A742"/>
      <c r="B742"/>
      <c r="C742"/>
      <c r="D742"/>
      <c r="E742"/>
      <c r="F742"/>
      <c r="G742"/>
      <c r="H742"/>
      <c r="I742"/>
      <c r="N742"/>
      <c r="O742"/>
      <c r="P742" s="1" t="e">
        <f t="shared" si="45"/>
        <v>#DIV/0!</v>
      </c>
      <c r="Q742" s="1" t="e">
        <f t="shared" si="46"/>
        <v>#DIV/0!</v>
      </c>
      <c r="R742" s="1" t="e">
        <f t="shared" si="47"/>
        <v>#DIV/0!</v>
      </c>
      <c r="S742" s="1" t="e">
        <f t="shared" si="48"/>
        <v>#DIV/0!</v>
      </c>
    </row>
    <row r="743" spans="1:19" x14ac:dyDescent="0.3">
      <c r="A743"/>
      <c r="B743"/>
      <c r="C743"/>
      <c r="D743"/>
      <c r="E743"/>
      <c r="F743"/>
      <c r="G743"/>
      <c r="H743"/>
      <c r="I743"/>
      <c r="N743"/>
      <c r="O743"/>
      <c r="P743" s="1" t="e">
        <f t="shared" si="45"/>
        <v>#DIV/0!</v>
      </c>
      <c r="Q743" s="1" t="e">
        <f t="shared" si="46"/>
        <v>#DIV/0!</v>
      </c>
      <c r="R743" s="1" t="e">
        <f t="shared" si="47"/>
        <v>#DIV/0!</v>
      </c>
      <c r="S743" s="1" t="e">
        <f t="shared" si="48"/>
        <v>#DIV/0!</v>
      </c>
    </row>
    <row r="744" spans="1:19" x14ac:dyDescent="0.3">
      <c r="A744"/>
      <c r="B744"/>
      <c r="C744"/>
      <c r="D744"/>
      <c r="E744"/>
      <c r="F744"/>
      <c r="G744"/>
      <c r="H744"/>
      <c r="I744"/>
      <c r="N744"/>
      <c r="O744"/>
      <c r="P744" s="1" t="e">
        <f t="shared" si="45"/>
        <v>#DIV/0!</v>
      </c>
      <c r="Q744" s="1" t="e">
        <f t="shared" si="46"/>
        <v>#DIV/0!</v>
      </c>
      <c r="R744" s="1" t="e">
        <f t="shared" si="47"/>
        <v>#DIV/0!</v>
      </c>
      <c r="S744" s="1" t="e">
        <f t="shared" si="48"/>
        <v>#DIV/0!</v>
      </c>
    </row>
    <row r="745" spans="1:19" x14ac:dyDescent="0.3">
      <c r="A745"/>
      <c r="B745"/>
      <c r="C745"/>
      <c r="D745"/>
      <c r="E745"/>
      <c r="F745"/>
      <c r="G745"/>
      <c r="H745"/>
      <c r="I745"/>
      <c r="N745"/>
      <c r="O745"/>
      <c r="P745" s="1" t="e">
        <f t="shared" si="45"/>
        <v>#DIV/0!</v>
      </c>
      <c r="Q745" s="1" t="e">
        <f t="shared" si="46"/>
        <v>#DIV/0!</v>
      </c>
      <c r="R745" s="1" t="e">
        <f t="shared" si="47"/>
        <v>#DIV/0!</v>
      </c>
      <c r="S745" s="1" t="e">
        <f t="shared" si="48"/>
        <v>#DIV/0!</v>
      </c>
    </row>
    <row r="746" spans="1:19" x14ac:dyDescent="0.3">
      <c r="A746"/>
      <c r="B746"/>
      <c r="C746"/>
      <c r="D746"/>
      <c r="E746"/>
      <c r="F746"/>
      <c r="G746"/>
      <c r="H746"/>
      <c r="I746"/>
      <c r="N746"/>
      <c r="O746"/>
      <c r="P746" s="1" t="e">
        <f t="shared" si="45"/>
        <v>#DIV/0!</v>
      </c>
      <c r="Q746" s="1" t="e">
        <f t="shared" si="46"/>
        <v>#DIV/0!</v>
      </c>
      <c r="R746" s="1" t="e">
        <f t="shared" si="47"/>
        <v>#DIV/0!</v>
      </c>
      <c r="S746" s="1" t="e">
        <f t="shared" si="48"/>
        <v>#DIV/0!</v>
      </c>
    </row>
    <row r="747" spans="1:19" x14ac:dyDescent="0.3">
      <c r="A747"/>
      <c r="B747"/>
      <c r="C747"/>
      <c r="D747"/>
      <c r="E747"/>
      <c r="F747"/>
      <c r="G747"/>
      <c r="H747"/>
      <c r="I747"/>
      <c r="N747"/>
      <c r="O747"/>
      <c r="P747" s="1" t="e">
        <f t="shared" si="45"/>
        <v>#DIV/0!</v>
      </c>
      <c r="Q747" s="1" t="e">
        <f t="shared" si="46"/>
        <v>#DIV/0!</v>
      </c>
      <c r="R747" s="1" t="e">
        <f t="shared" si="47"/>
        <v>#DIV/0!</v>
      </c>
      <c r="S747" s="1" t="e">
        <f t="shared" si="48"/>
        <v>#DIV/0!</v>
      </c>
    </row>
    <row r="748" spans="1:19" x14ac:dyDescent="0.3">
      <c r="A748"/>
      <c r="B748"/>
      <c r="C748"/>
      <c r="D748"/>
      <c r="E748"/>
      <c r="F748"/>
      <c r="G748"/>
      <c r="H748"/>
      <c r="I748"/>
      <c r="N748"/>
      <c r="O748"/>
      <c r="P748" s="1" t="e">
        <f t="shared" si="45"/>
        <v>#DIV/0!</v>
      </c>
      <c r="Q748" s="1" t="e">
        <f t="shared" si="46"/>
        <v>#DIV/0!</v>
      </c>
      <c r="R748" s="1" t="e">
        <f t="shared" si="47"/>
        <v>#DIV/0!</v>
      </c>
      <c r="S748" s="1" t="e">
        <f t="shared" si="48"/>
        <v>#DIV/0!</v>
      </c>
    </row>
    <row r="749" spans="1:19" x14ac:dyDescent="0.3">
      <c r="A749"/>
      <c r="B749"/>
      <c r="C749"/>
      <c r="D749"/>
      <c r="E749"/>
      <c r="F749"/>
      <c r="G749"/>
      <c r="H749"/>
      <c r="I749"/>
      <c r="N749"/>
      <c r="O749"/>
      <c r="P749" s="1" t="e">
        <f t="shared" si="45"/>
        <v>#DIV/0!</v>
      </c>
      <c r="Q749" s="1" t="e">
        <f t="shared" si="46"/>
        <v>#DIV/0!</v>
      </c>
      <c r="R749" s="1" t="e">
        <f t="shared" si="47"/>
        <v>#DIV/0!</v>
      </c>
      <c r="S749" s="1" t="e">
        <f t="shared" si="48"/>
        <v>#DIV/0!</v>
      </c>
    </row>
    <row r="750" spans="1:19" x14ac:dyDescent="0.3">
      <c r="A750"/>
      <c r="B750"/>
      <c r="C750"/>
      <c r="D750"/>
      <c r="E750"/>
      <c r="F750"/>
      <c r="G750"/>
      <c r="H750"/>
      <c r="I750"/>
      <c r="N750"/>
      <c r="O750"/>
      <c r="P750" s="1" t="e">
        <f t="shared" si="45"/>
        <v>#DIV/0!</v>
      </c>
      <c r="Q750" s="1" t="e">
        <f t="shared" si="46"/>
        <v>#DIV/0!</v>
      </c>
      <c r="R750" s="1" t="e">
        <f t="shared" si="47"/>
        <v>#DIV/0!</v>
      </c>
      <c r="S750" s="1" t="e">
        <f t="shared" si="48"/>
        <v>#DIV/0!</v>
      </c>
    </row>
    <row r="751" spans="1:19" x14ac:dyDescent="0.3">
      <c r="A751"/>
      <c r="B751"/>
      <c r="C751"/>
      <c r="D751"/>
      <c r="E751"/>
      <c r="F751"/>
      <c r="G751"/>
      <c r="H751"/>
      <c r="I751"/>
      <c r="N751"/>
      <c r="O751"/>
      <c r="P751" s="1" t="e">
        <f t="shared" si="45"/>
        <v>#DIV/0!</v>
      </c>
      <c r="Q751" s="1" t="e">
        <f t="shared" si="46"/>
        <v>#DIV/0!</v>
      </c>
      <c r="R751" s="1" t="e">
        <f t="shared" si="47"/>
        <v>#DIV/0!</v>
      </c>
      <c r="S751" s="1" t="e">
        <f t="shared" si="48"/>
        <v>#DIV/0!</v>
      </c>
    </row>
    <row r="752" spans="1:19" x14ac:dyDescent="0.3">
      <c r="A752"/>
      <c r="B752"/>
      <c r="C752"/>
      <c r="D752"/>
      <c r="E752"/>
      <c r="F752"/>
      <c r="G752"/>
      <c r="H752"/>
      <c r="I752"/>
      <c r="N752"/>
      <c r="O752"/>
      <c r="P752" s="1" t="e">
        <f t="shared" si="45"/>
        <v>#DIV/0!</v>
      </c>
      <c r="Q752" s="1" t="e">
        <f t="shared" si="46"/>
        <v>#DIV/0!</v>
      </c>
      <c r="R752" s="1" t="e">
        <f t="shared" si="47"/>
        <v>#DIV/0!</v>
      </c>
      <c r="S752" s="1" t="e">
        <f t="shared" si="48"/>
        <v>#DIV/0!</v>
      </c>
    </row>
    <row r="753" spans="1:19" x14ac:dyDescent="0.3">
      <c r="A753"/>
      <c r="B753"/>
      <c r="C753"/>
      <c r="D753"/>
      <c r="E753"/>
      <c r="F753"/>
      <c r="G753"/>
      <c r="H753"/>
      <c r="I753"/>
      <c r="N753"/>
      <c r="O753"/>
      <c r="P753" s="1" t="e">
        <f t="shared" si="45"/>
        <v>#DIV/0!</v>
      </c>
      <c r="Q753" s="1" t="e">
        <f t="shared" si="46"/>
        <v>#DIV/0!</v>
      </c>
      <c r="R753" s="1" t="e">
        <f t="shared" si="47"/>
        <v>#DIV/0!</v>
      </c>
      <c r="S753" s="1" t="e">
        <f t="shared" si="48"/>
        <v>#DIV/0!</v>
      </c>
    </row>
    <row r="754" spans="1:19" x14ac:dyDescent="0.3">
      <c r="A754"/>
      <c r="B754"/>
      <c r="C754"/>
      <c r="D754"/>
      <c r="E754"/>
      <c r="F754"/>
      <c r="G754"/>
      <c r="H754"/>
      <c r="I754"/>
      <c r="N754"/>
      <c r="O754"/>
      <c r="P754" s="1" t="e">
        <f t="shared" si="45"/>
        <v>#DIV/0!</v>
      </c>
      <c r="Q754" s="1" t="e">
        <f t="shared" si="46"/>
        <v>#DIV/0!</v>
      </c>
      <c r="R754" s="1" t="e">
        <f t="shared" si="47"/>
        <v>#DIV/0!</v>
      </c>
      <c r="S754" s="1" t="e">
        <f t="shared" si="48"/>
        <v>#DIV/0!</v>
      </c>
    </row>
    <row r="755" spans="1:19" x14ac:dyDescent="0.3">
      <c r="A755"/>
      <c r="B755"/>
      <c r="C755"/>
      <c r="D755"/>
      <c r="E755"/>
      <c r="F755"/>
      <c r="G755"/>
      <c r="H755"/>
      <c r="I755"/>
      <c r="N755"/>
      <c r="O755"/>
      <c r="P755" s="1" t="e">
        <f t="shared" si="45"/>
        <v>#DIV/0!</v>
      </c>
      <c r="Q755" s="1" t="e">
        <f t="shared" si="46"/>
        <v>#DIV/0!</v>
      </c>
      <c r="R755" s="1" t="e">
        <f t="shared" si="47"/>
        <v>#DIV/0!</v>
      </c>
      <c r="S755" s="1" t="e">
        <f t="shared" si="48"/>
        <v>#DIV/0!</v>
      </c>
    </row>
    <row r="756" spans="1:19" x14ac:dyDescent="0.3">
      <c r="A756"/>
      <c r="B756"/>
      <c r="C756"/>
      <c r="D756"/>
      <c r="E756"/>
      <c r="F756"/>
      <c r="G756"/>
      <c r="H756"/>
      <c r="I756"/>
      <c r="N756"/>
      <c r="O756"/>
      <c r="P756" s="1" t="e">
        <f t="shared" si="45"/>
        <v>#DIV/0!</v>
      </c>
      <c r="Q756" s="1" t="e">
        <f t="shared" si="46"/>
        <v>#DIV/0!</v>
      </c>
      <c r="R756" s="1" t="e">
        <f t="shared" si="47"/>
        <v>#DIV/0!</v>
      </c>
      <c r="S756" s="1" t="e">
        <f t="shared" si="48"/>
        <v>#DIV/0!</v>
      </c>
    </row>
    <row r="757" spans="1:19" x14ac:dyDescent="0.3">
      <c r="A757"/>
      <c r="B757"/>
      <c r="C757"/>
      <c r="D757"/>
      <c r="E757"/>
      <c r="F757"/>
      <c r="G757"/>
      <c r="H757"/>
      <c r="I757"/>
      <c r="N757"/>
      <c r="O757"/>
      <c r="P757" s="1" t="e">
        <f t="shared" si="45"/>
        <v>#DIV/0!</v>
      </c>
      <c r="Q757" s="1" t="e">
        <f t="shared" si="46"/>
        <v>#DIV/0!</v>
      </c>
      <c r="R757" s="1" t="e">
        <f t="shared" si="47"/>
        <v>#DIV/0!</v>
      </c>
      <c r="S757" s="1" t="e">
        <f t="shared" si="48"/>
        <v>#DIV/0!</v>
      </c>
    </row>
    <row r="758" spans="1:19" x14ac:dyDescent="0.3">
      <c r="A758"/>
      <c r="B758"/>
      <c r="C758"/>
      <c r="D758"/>
      <c r="E758"/>
      <c r="F758"/>
      <c r="G758"/>
      <c r="H758"/>
      <c r="I758"/>
      <c r="N758"/>
      <c r="O758"/>
      <c r="P758" s="1" t="e">
        <f t="shared" si="45"/>
        <v>#DIV/0!</v>
      </c>
      <c r="Q758" s="1" t="e">
        <f t="shared" si="46"/>
        <v>#DIV/0!</v>
      </c>
      <c r="R758" s="1" t="e">
        <f t="shared" si="47"/>
        <v>#DIV/0!</v>
      </c>
      <c r="S758" s="1" t="e">
        <f t="shared" si="48"/>
        <v>#DIV/0!</v>
      </c>
    </row>
    <row r="759" spans="1:19" x14ac:dyDescent="0.3">
      <c r="A759"/>
      <c r="B759"/>
      <c r="C759"/>
      <c r="D759"/>
      <c r="E759"/>
      <c r="F759"/>
      <c r="G759"/>
      <c r="H759"/>
      <c r="I759"/>
      <c r="N759"/>
      <c r="O759"/>
      <c r="P759" s="1" t="e">
        <f t="shared" si="45"/>
        <v>#DIV/0!</v>
      </c>
      <c r="Q759" s="1" t="e">
        <f t="shared" si="46"/>
        <v>#DIV/0!</v>
      </c>
      <c r="R759" s="1" t="e">
        <f t="shared" si="47"/>
        <v>#DIV/0!</v>
      </c>
      <c r="S759" s="1" t="e">
        <f t="shared" si="48"/>
        <v>#DIV/0!</v>
      </c>
    </row>
    <row r="760" spans="1:19" x14ac:dyDescent="0.3">
      <c r="A760"/>
      <c r="B760"/>
      <c r="C760"/>
      <c r="D760"/>
      <c r="E760"/>
      <c r="F760"/>
      <c r="G760"/>
      <c r="H760"/>
      <c r="I760"/>
      <c r="N760"/>
      <c r="O760"/>
      <c r="P760" s="1" t="e">
        <f t="shared" si="45"/>
        <v>#DIV/0!</v>
      </c>
      <c r="Q760" s="1" t="e">
        <f t="shared" si="46"/>
        <v>#DIV/0!</v>
      </c>
      <c r="R760" s="1" t="e">
        <f t="shared" si="47"/>
        <v>#DIV/0!</v>
      </c>
      <c r="S760" s="1" t="e">
        <f t="shared" si="48"/>
        <v>#DIV/0!</v>
      </c>
    </row>
    <row r="761" spans="1:19" x14ac:dyDescent="0.3">
      <c r="A761"/>
      <c r="B761"/>
      <c r="C761"/>
      <c r="D761"/>
      <c r="E761"/>
      <c r="F761"/>
      <c r="G761"/>
      <c r="H761"/>
      <c r="I761"/>
      <c r="N761"/>
      <c r="O761"/>
      <c r="P761" s="1" t="e">
        <f t="shared" si="45"/>
        <v>#DIV/0!</v>
      </c>
      <c r="Q761" s="1" t="e">
        <f t="shared" si="46"/>
        <v>#DIV/0!</v>
      </c>
      <c r="R761" s="1" t="e">
        <f t="shared" si="47"/>
        <v>#DIV/0!</v>
      </c>
      <c r="S761" s="1" t="e">
        <f t="shared" si="48"/>
        <v>#DIV/0!</v>
      </c>
    </row>
    <row r="762" spans="1:19" x14ac:dyDescent="0.3">
      <c r="A762"/>
      <c r="B762"/>
      <c r="C762"/>
      <c r="D762"/>
      <c r="E762"/>
      <c r="F762"/>
      <c r="G762"/>
      <c r="H762"/>
      <c r="I762"/>
      <c r="N762"/>
      <c r="O762"/>
      <c r="P762" s="1" t="e">
        <f t="shared" si="45"/>
        <v>#DIV/0!</v>
      </c>
      <c r="Q762" s="1" t="e">
        <f t="shared" si="46"/>
        <v>#DIV/0!</v>
      </c>
      <c r="R762" s="1" t="e">
        <f t="shared" si="47"/>
        <v>#DIV/0!</v>
      </c>
      <c r="S762" s="1" t="e">
        <f t="shared" si="48"/>
        <v>#DIV/0!</v>
      </c>
    </row>
    <row r="763" spans="1:19" x14ac:dyDescent="0.3">
      <c r="A763"/>
      <c r="B763"/>
      <c r="C763"/>
      <c r="D763"/>
      <c r="E763"/>
      <c r="F763"/>
      <c r="G763"/>
      <c r="H763"/>
      <c r="I763"/>
      <c r="N763"/>
      <c r="O763"/>
      <c r="P763" s="1" t="e">
        <f t="shared" si="45"/>
        <v>#DIV/0!</v>
      </c>
      <c r="Q763" s="1" t="e">
        <f t="shared" si="46"/>
        <v>#DIV/0!</v>
      </c>
      <c r="R763" s="1" t="e">
        <f t="shared" si="47"/>
        <v>#DIV/0!</v>
      </c>
      <c r="S763" s="1" t="e">
        <f t="shared" si="48"/>
        <v>#DIV/0!</v>
      </c>
    </row>
    <row r="764" spans="1:19" x14ac:dyDescent="0.3">
      <c r="A764"/>
      <c r="B764"/>
      <c r="C764"/>
      <c r="D764"/>
      <c r="E764"/>
      <c r="F764"/>
      <c r="G764"/>
      <c r="H764"/>
      <c r="I764"/>
      <c r="N764"/>
      <c r="O764"/>
      <c r="P764" s="1" t="e">
        <f t="shared" si="45"/>
        <v>#DIV/0!</v>
      </c>
      <c r="Q764" s="1" t="e">
        <f t="shared" si="46"/>
        <v>#DIV/0!</v>
      </c>
      <c r="R764" s="1" t="e">
        <f t="shared" si="47"/>
        <v>#DIV/0!</v>
      </c>
      <c r="S764" s="1" t="e">
        <f t="shared" si="48"/>
        <v>#DIV/0!</v>
      </c>
    </row>
    <row r="765" spans="1:19" x14ac:dyDescent="0.3">
      <c r="A765"/>
      <c r="B765"/>
      <c r="C765"/>
      <c r="D765"/>
      <c r="E765"/>
      <c r="F765"/>
      <c r="G765"/>
      <c r="H765"/>
      <c r="I765"/>
      <c r="N765"/>
      <c r="O765"/>
      <c r="P765" s="1" t="e">
        <f t="shared" si="45"/>
        <v>#DIV/0!</v>
      </c>
      <c r="Q765" s="1" t="e">
        <f t="shared" si="46"/>
        <v>#DIV/0!</v>
      </c>
      <c r="R765" s="1" t="e">
        <f t="shared" si="47"/>
        <v>#DIV/0!</v>
      </c>
      <c r="S765" s="1" t="e">
        <f t="shared" si="48"/>
        <v>#DIV/0!</v>
      </c>
    </row>
    <row r="766" spans="1:19" x14ac:dyDescent="0.3">
      <c r="A766"/>
      <c r="B766"/>
      <c r="C766"/>
      <c r="D766"/>
      <c r="E766"/>
      <c r="F766"/>
      <c r="G766"/>
      <c r="H766"/>
      <c r="I766"/>
      <c r="N766"/>
      <c r="O766"/>
      <c r="P766" s="1" t="e">
        <f t="shared" si="45"/>
        <v>#DIV/0!</v>
      </c>
      <c r="Q766" s="1" t="e">
        <f t="shared" si="46"/>
        <v>#DIV/0!</v>
      </c>
      <c r="R766" s="1" t="e">
        <f t="shared" si="47"/>
        <v>#DIV/0!</v>
      </c>
      <c r="S766" s="1" t="e">
        <f t="shared" si="48"/>
        <v>#DIV/0!</v>
      </c>
    </row>
    <row r="767" spans="1:19" x14ac:dyDescent="0.3">
      <c r="A767"/>
      <c r="B767"/>
      <c r="C767"/>
      <c r="D767"/>
      <c r="E767"/>
      <c r="F767"/>
      <c r="G767"/>
      <c r="H767"/>
      <c r="I767"/>
      <c r="N767"/>
      <c r="O767"/>
      <c r="P767" s="1" t="e">
        <f t="shared" si="45"/>
        <v>#DIV/0!</v>
      </c>
      <c r="Q767" s="1" t="e">
        <f t="shared" si="46"/>
        <v>#DIV/0!</v>
      </c>
      <c r="R767" s="1" t="e">
        <f t="shared" si="47"/>
        <v>#DIV/0!</v>
      </c>
      <c r="S767" s="1" t="e">
        <f t="shared" si="48"/>
        <v>#DIV/0!</v>
      </c>
    </row>
    <row r="768" spans="1:19" x14ac:dyDescent="0.3">
      <c r="A768"/>
      <c r="B768"/>
      <c r="C768"/>
      <c r="D768"/>
      <c r="E768"/>
      <c r="F768"/>
      <c r="G768"/>
      <c r="H768"/>
      <c r="I768"/>
      <c r="N768"/>
      <c r="O768"/>
      <c r="P768" s="1" t="e">
        <f t="shared" si="45"/>
        <v>#DIV/0!</v>
      </c>
      <c r="Q768" s="1" t="e">
        <f t="shared" si="46"/>
        <v>#DIV/0!</v>
      </c>
      <c r="R768" s="1" t="e">
        <f t="shared" si="47"/>
        <v>#DIV/0!</v>
      </c>
      <c r="S768" s="1" t="e">
        <f t="shared" si="48"/>
        <v>#DIV/0!</v>
      </c>
    </row>
    <row r="769" spans="1:19" x14ac:dyDescent="0.3">
      <c r="A769"/>
      <c r="B769"/>
      <c r="C769"/>
      <c r="D769"/>
      <c r="E769"/>
      <c r="F769"/>
      <c r="G769"/>
      <c r="H769"/>
      <c r="I769"/>
      <c r="N769"/>
      <c r="O769"/>
      <c r="P769" s="1" t="e">
        <f t="shared" si="45"/>
        <v>#DIV/0!</v>
      </c>
      <c r="Q769" s="1" t="e">
        <f t="shared" si="46"/>
        <v>#DIV/0!</v>
      </c>
      <c r="R769" s="1" t="e">
        <f t="shared" si="47"/>
        <v>#DIV/0!</v>
      </c>
      <c r="S769" s="1" t="e">
        <f t="shared" si="48"/>
        <v>#DIV/0!</v>
      </c>
    </row>
    <row r="770" spans="1:19" x14ac:dyDescent="0.3">
      <c r="A770"/>
      <c r="B770"/>
      <c r="C770"/>
      <c r="D770"/>
      <c r="E770"/>
      <c r="F770"/>
      <c r="G770"/>
      <c r="H770"/>
      <c r="I770"/>
      <c r="N770"/>
      <c r="O770"/>
      <c r="P770" s="1" t="e">
        <f t="shared" si="45"/>
        <v>#DIV/0!</v>
      </c>
      <c r="Q770" s="1" t="e">
        <f t="shared" si="46"/>
        <v>#DIV/0!</v>
      </c>
      <c r="R770" s="1" t="e">
        <f t="shared" si="47"/>
        <v>#DIV/0!</v>
      </c>
      <c r="S770" s="1" t="e">
        <f t="shared" si="48"/>
        <v>#DIV/0!</v>
      </c>
    </row>
    <row r="771" spans="1:19" x14ac:dyDescent="0.3">
      <c r="A771"/>
      <c r="B771"/>
      <c r="C771"/>
      <c r="D771"/>
      <c r="E771"/>
      <c r="F771"/>
      <c r="G771"/>
      <c r="H771"/>
      <c r="I771"/>
      <c r="N771"/>
      <c r="O771"/>
      <c r="P771" s="1" t="e">
        <f t="shared" si="45"/>
        <v>#DIV/0!</v>
      </c>
      <c r="Q771" s="1" t="e">
        <f t="shared" si="46"/>
        <v>#DIV/0!</v>
      </c>
      <c r="R771" s="1" t="e">
        <f t="shared" si="47"/>
        <v>#DIV/0!</v>
      </c>
      <c r="S771" s="1" t="e">
        <f t="shared" si="48"/>
        <v>#DIV/0!</v>
      </c>
    </row>
    <row r="772" spans="1:19" x14ac:dyDescent="0.3">
      <c r="A772"/>
      <c r="B772"/>
      <c r="C772"/>
      <c r="D772"/>
      <c r="E772"/>
      <c r="F772"/>
      <c r="G772"/>
      <c r="H772"/>
      <c r="I772"/>
      <c r="N772"/>
      <c r="O772"/>
      <c r="P772" s="1" t="e">
        <f t="shared" si="45"/>
        <v>#DIV/0!</v>
      </c>
      <c r="Q772" s="1" t="e">
        <f t="shared" si="46"/>
        <v>#DIV/0!</v>
      </c>
      <c r="R772" s="1" t="e">
        <f t="shared" si="47"/>
        <v>#DIV/0!</v>
      </c>
      <c r="S772" s="1" t="e">
        <f t="shared" si="48"/>
        <v>#DIV/0!</v>
      </c>
    </row>
    <row r="773" spans="1:19" x14ac:dyDescent="0.3">
      <c r="A773"/>
      <c r="B773"/>
      <c r="C773"/>
      <c r="D773"/>
      <c r="E773"/>
      <c r="F773"/>
      <c r="G773"/>
      <c r="H773"/>
      <c r="I773"/>
      <c r="N773"/>
      <c r="O773"/>
      <c r="P773" s="1" t="e">
        <f t="shared" si="45"/>
        <v>#DIV/0!</v>
      </c>
      <c r="Q773" s="1" t="e">
        <f t="shared" si="46"/>
        <v>#DIV/0!</v>
      </c>
      <c r="R773" s="1" t="e">
        <f t="shared" si="47"/>
        <v>#DIV/0!</v>
      </c>
      <c r="S773" s="1" t="e">
        <f t="shared" si="48"/>
        <v>#DIV/0!</v>
      </c>
    </row>
    <row r="774" spans="1:19" x14ac:dyDescent="0.3">
      <c r="A774"/>
      <c r="B774"/>
      <c r="C774"/>
      <c r="D774"/>
      <c r="E774"/>
      <c r="F774"/>
      <c r="G774"/>
      <c r="H774"/>
      <c r="I774"/>
      <c r="N774"/>
      <c r="O774"/>
      <c r="P774" s="1" t="e">
        <f t="shared" si="45"/>
        <v>#DIV/0!</v>
      </c>
      <c r="Q774" s="1" t="e">
        <f t="shared" si="46"/>
        <v>#DIV/0!</v>
      </c>
      <c r="R774" s="1" t="e">
        <f t="shared" si="47"/>
        <v>#DIV/0!</v>
      </c>
      <c r="S774" s="1" t="e">
        <f t="shared" si="48"/>
        <v>#DIV/0!</v>
      </c>
    </row>
    <row r="775" spans="1:19" x14ac:dyDescent="0.3">
      <c r="A775"/>
      <c r="B775"/>
      <c r="C775"/>
      <c r="D775"/>
      <c r="E775"/>
      <c r="F775"/>
      <c r="G775"/>
      <c r="H775"/>
      <c r="I775"/>
      <c r="N775"/>
      <c r="O775"/>
      <c r="P775" s="1" t="e">
        <f t="shared" si="45"/>
        <v>#DIV/0!</v>
      </c>
      <c r="Q775" s="1" t="e">
        <f t="shared" si="46"/>
        <v>#DIV/0!</v>
      </c>
      <c r="R775" s="1" t="e">
        <f t="shared" si="47"/>
        <v>#DIV/0!</v>
      </c>
      <c r="S775" s="1" t="e">
        <f t="shared" si="48"/>
        <v>#DIV/0!</v>
      </c>
    </row>
    <row r="776" spans="1:19" x14ac:dyDescent="0.3">
      <c r="A776"/>
      <c r="B776"/>
      <c r="C776"/>
      <c r="D776"/>
      <c r="E776"/>
      <c r="F776"/>
      <c r="G776"/>
      <c r="H776"/>
      <c r="I776"/>
      <c r="N776"/>
      <c r="O776"/>
      <c r="P776" s="1" t="e">
        <f t="shared" si="45"/>
        <v>#DIV/0!</v>
      </c>
      <c r="Q776" s="1" t="e">
        <f t="shared" si="46"/>
        <v>#DIV/0!</v>
      </c>
      <c r="R776" s="1" t="e">
        <f t="shared" si="47"/>
        <v>#DIV/0!</v>
      </c>
      <c r="S776" s="1" t="e">
        <f t="shared" si="48"/>
        <v>#DIV/0!</v>
      </c>
    </row>
    <row r="777" spans="1:19" x14ac:dyDescent="0.3">
      <c r="A777"/>
      <c r="B777"/>
      <c r="C777"/>
      <c r="D777"/>
      <c r="E777"/>
      <c r="F777"/>
      <c r="G777"/>
      <c r="H777"/>
      <c r="I777"/>
      <c r="N777"/>
      <c r="O777"/>
      <c r="P777" s="1" t="e">
        <f t="shared" si="45"/>
        <v>#DIV/0!</v>
      </c>
      <c r="Q777" s="1" t="e">
        <f t="shared" si="46"/>
        <v>#DIV/0!</v>
      </c>
      <c r="R777" s="1" t="e">
        <f t="shared" si="47"/>
        <v>#DIV/0!</v>
      </c>
      <c r="S777" s="1" t="e">
        <f t="shared" si="48"/>
        <v>#DIV/0!</v>
      </c>
    </row>
    <row r="778" spans="1:19" x14ac:dyDescent="0.3">
      <c r="A778"/>
      <c r="B778"/>
      <c r="C778"/>
      <c r="D778"/>
      <c r="E778"/>
      <c r="F778"/>
      <c r="G778"/>
      <c r="H778"/>
      <c r="I778"/>
      <c r="N778"/>
      <c r="O778"/>
      <c r="P778" s="1" t="e">
        <f t="shared" si="45"/>
        <v>#DIV/0!</v>
      </c>
      <c r="Q778" s="1" t="e">
        <f t="shared" si="46"/>
        <v>#DIV/0!</v>
      </c>
      <c r="R778" s="1" t="e">
        <f t="shared" si="47"/>
        <v>#DIV/0!</v>
      </c>
      <c r="S778" s="1" t="e">
        <f t="shared" si="48"/>
        <v>#DIV/0!</v>
      </c>
    </row>
    <row r="779" spans="1:19" x14ac:dyDescent="0.3">
      <c r="A779"/>
      <c r="B779"/>
      <c r="C779"/>
      <c r="D779"/>
      <c r="E779"/>
      <c r="F779"/>
      <c r="G779"/>
      <c r="H779"/>
      <c r="I779"/>
      <c r="N779"/>
      <c r="O779"/>
      <c r="P779" s="1" t="e">
        <f t="shared" si="45"/>
        <v>#DIV/0!</v>
      </c>
      <c r="Q779" s="1" t="e">
        <f t="shared" si="46"/>
        <v>#DIV/0!</v>
      </c>
      <c r="R779" s="1" t="e">
        <f t="shared" si="47"/>
        <v>#DIV/0!</v>
      </c>
      <c r="S779" s="1" t="e">
        <f t="shared" si="48"/>
        <v>#DIV/0!</v>
      </c>
    </row>
    <row r="780" spans="1:19" x14ac:dyDescent="0.3">
      <c r="A780"/>
      <c r="B780"/>
      <c r="C780"/>
      <c r="D780"/>
      <c r="E780"/>
      <c r="F780"/>
      <c r="G780"/>
      <c r="H780"/>
      <c r="I780"/>
      <c r="N780"/>
      <c r="O780"/>
      <c r="P780" s="1" t="e">
        <f t="shared" si="45"/>
        <v>#DIV/0!</v>
      </c>
      <c r="Q780" s="1" t="e">
        <f t="shared" si="46"/>
        <v>#DIV/0!</v>
      </c>
      <c r="R780" s="1" t="e">
        <f t="shared" si="47"/>
        <v>#DIV/0!</v>
      </c>
      <c r="S780" s="1" t="e">
        <f t="shared" si="48"/>
        <v>#DIV/0!</v>
      </c>
    </row>
    <row r="781" spans="1:19" x14ac:dyDescent="0.3">
      <c r="A781"/>
      <c r="B781"/>
      <c r="C781"/>
      <c r="D781"/>
      <c r="E781"/>
      <c r="F781"/>
      <c r="G781"/>
      <c r="H781"/>
      <c r="I781"/>
      <c r="N781"/>
      <c r="O781"/>
      <c r="P781" s="1" t="e">
        <f t="shared" si="45"/>
        <v>#DIV/0!</v>
      </c>
      <c r="Q781" s="1" t="e">
        <f t="shared" si="46"/>
        <v>#DIV/0!</v>
      </c>
      <c r="R781" s="1" t="e">
        <f t="shared" si="47"/>
        <v>#DIV/0!</v>
      </c>
      <c r="S781" s="1" t="e">
        <f t="shared" si="48"/>
        <v>#DIV/0!</v>
      </c>
    </row>
    <row r="782" spans="1:19" x14ac:dyDescent="0.3">
      <c r="A782"/>
      <c r="B782"/>
      <c r="C782"/>
      <c r="D782"/>
      <c r="E782"/>
      <c r="F782"/>
      <c r="G782"/>
      <c r="H782"/>
      <c r="I782"/>
      <c r="N782"/>
      <c r="O782"/>
      <c r="P782" s="1" t="e">
        <f t="shared" si="45"/>
        <v>#DIV/0!</v>
      </c>
      <c r="Q782" s="1" t="e">
        <f t="shared" si="46"/>
        <v>#DIV/0!</v>
      </c>
      <c r="R782" s="1" t="e">
        <f t="shared" si="47"/>
        <v>#DIV/0!</v>
      </c>
      <c r="S782" s="1" t="e">
        <f t="shared" si="48"/>
        <v>#DIV/0!</v>
      </c>
    </row>
    <row r="783" spans="1:19" x14ac:dyDescent="0.3">
      <c r="A783"/>
      <c r="B783"/>
      <c r="C783"/>
      <c r="D783"/>
      <c r="E783"/>
      <c r="F783"/>
      <c r="G783"/>
      <c r="H783"/>
      <c r="I783"/>
      <c r="N783"/>
      <c r="O783"/>
      <c r="P783" s="1" t="e">
        <f t="shared" si="45"/>
        <v>#DIV/0!</v>
      </c>
      <c r="Q783" s="1" t="e">
        <f t="shared" si="46"/>
        <v>#DIV/0!</v>
      </c>
      <c r="R783" s="1" t="e">
        <f t="shared" si="47"/>
        <v>#DIV/0!</v>
      </c>
      <c r="S783" s="1" t="e">
        <f t="shared" si="48"/>
        <v>#DIV/0!</v>
      </c>
    </row>
    <row r="784" spans="1:19" x14ac:dyDescent="0.3">
      <c r="A784"/>
      <c r="B784"/>
      <c r="C784"/>
      <c r="D784"/>
      <c r="E784"/>
      <c r="F784"/>
      <c r="G784"/>
      <c r="H784"/>
      <c r="I784"/>
      <c r="N784"/>
      <c r="O784"/>
      <c r="P784" s="1" t="e">
        <f t="shared" si="45"/>
        <v>#DIV/0!</v>
      </c>
      <c r="Q784" s="1" t="e">
        <f t="shared" si="46"/>
        <v>#DIV/0!</v>
      </c>
      <c r="R784" s="1" t="e">
        <f t="shared" si="47"/>
        <v>#DIV/0!</v>
      </c>
      <c r="S784" s="1" t="e">
        <f t="shared" si="48"/>
        <v>#DIV/0!</v>
      </c>
    </row>
    <row r="785" spans="1:19" x14ac:dyDescent="0.3">
      <c r="A785"/>
      <c r="B785"/>
      <c r="C785"/>
      <c r="D785"/>
      <c r="E785"/>
      <c r="F785"/>
      <c r="G785"/>
      <c r="H785"/>
      <c r="I785"/>
      <c r="N785"/>
      <c r="O785"/>
      <c r="P785" s="1" t="e">
        <f t="shared" si="45"/>
        <v>#DIV/0!</v>
      </c>
      <c r="Q785" s="1" t="e">
        <f t="shared" si="46"/>
        <v>#DIV/0!</v>
      </c>
      <c r="R785" s="1" t="e">
        <f t="shared" si="47"/>
        <v>#DIV/0!</v>
      </c>
      <c r="S785" s="1" t="e">
        <f t="shared" si="48"/>
        <v>#DIV/0!</v>
      </c>
    </row>
    <row r="786" spans="1:19" x14ac:dyDescent="0.3">
      <c r="A786"/>
      <c r="B786"/>
      <c r="C786"/>
      <c r="D786"/>
      <c r="E786"/>
      <c r="F786"/>
      <c r="G786"/>
      <c r="H786"/>
      <c r="I786"/>
      <c r="N786"/>
      <c r="O786"/>
      <c r="P786" s="1" t="e">
        <f t="shared" si="45"/>
        <v>#DIV/0!</v>
      </c>
      <c r="Q786" s="1" t="e">
        <f t="shared" si="46"/>
        <v>#DIV/0!</v>
      </c>
      <c r="R786" s="1" t="e">
        <f t="shared" si="47"/>
        <v>#DIV/0!</v>
      </c>
      <c r="S786" s="1" t="e">
        <f t="shared" si="48"/>
        <v>#DIV/0!</v>
      </c>
    </row>
    <row r="787" spans="1:19" x14ac:dyDescent="0.3">
      <c r="A787"/>
      <c r="B787"/>
      <c r="C787"/>
      <c r="D787"/>
      <c r="E787"/>
      <c r="F787"/>
      <c r="G787"/>
      <c r="H787"/>
      <c r="I787"/>
      <c r="N787"/>
      <c r="O787"/>
      <c r="P787" s="1" t="e">
        <f t="shared" si="45"/>
        <v>#DIV/0!</v>
      </c>
      <c r="Q787" s="1" t="e">
        <f t="shared" si="46"/>
        <v>#DIV/0!</v>
      </c>
      <c r="R787" s="1" t="e">
        <f t="shared" si="47"/>
        <v>#DIV/0!</v>
      </c>
      <c r="S787" s="1" t="e">
        <f t="shared" si="48"/>
        <v>#DIV/0!</v>
      </c>
    </row>
    <row r="788" spans="1:19" x14ac:dyDescent="0.3">
      <c r="A788"/>
      <c r="B788"/>
      <c r="C788"/>
      <c r="D788"/>
      <c r="E788"/>
      <c r="F788"/>
      <c r="G788"/>
      <c r="H788"/>
      <c r="I788"/>
      <c r="N788"/>
      <c r="O788"/>
      <c r="P788" s="1" t="e">
        <f t="shared" si="45"/>
        <v>#DIV/0!</v>
      </c>
      <c r="Q788" s="1" t="e">
        <f t="shared" si="46"/>
        <v>#DIV/0!</v>
      </c>
      <c r="R788" s="1" t="e">
        <f t="shared" si="47"/>
        <v>#DIV/0!</v>
      </c>
      <c r="S788" s="1" t="e">
        <f t="shared" si="48"/>
        <v>#DIV/0!</v>
      </c>
    </row>
    <row r="789" spans="1:19" x14ac:dyDescent="0.3">
      <c r="A789"/>
      <c r="B789"/>
      <c r="C789"/>
      <c r="D789"/>
      <c r="E789"/>
      <c r="F789"/>
      <c r="G789"/>
      <c r="H789"/>
      <c r="I789"/>
      <c r="N789"/>
      <c r="O789"/>
      <c r="P789" s="1" t="e">
        <f t="shared" si="45"/>
        <v>#DIV/0!</v>
      </c>
      <c r="Q789" s="1" t="e">
        <f t="shared" si="46"/>
        <v>#DIV/0!</v>
      </c>
      <c r="R789" s="1" t="e">
        <f t="shared" si="47"/>
        <v>#DIV/0!</v>
      </c>
      <c r="S789" s="1" t="e">
        <f t="shared" si="48"/>
        <v>#DIV/0!</v>
      </c>
    </row>
    <row r="790" spans="1:19" x14ac:dyDescent="0.3">
      <c r="A790"/>
      <c r="B790"/>
      <c r="C790"/>
      <c r="D790"/>
      <c r="E790"/>
      <c r="F790"/>
      <c r="G790"/>
      <c r="H790"/>
      <c r="I790"/>
      <c r="N790"/>
      <c r="O790"/>
      <c r="P790" s="1" t="e">
        <f t="shared" si="45"/>
        <v>#DIV/0!</v>
      </c>
      <c r="Q790" s="1" t="e">
        <f t="shared" si="46"/>
        <v>#DIV/0!</v>
      </c>
      <c r="R790" s="1" t="e">
        <f t="shared" si="47"/>
        <v>#DIV/0!</v>
      </c>
      <c r="S790" s="1" t="e">
        <f t="shared" si="48"/>
        <v>#DIV/0!</v>
      </c>
    </row>
    <row r="791" spans="1:19" x14ac:dyDescent="0.3">
      <c r="A791"/>
      <c r="B791"/>
      <c r="C791"/>
      <c r="D791"/>
      <c r="E791"/>
      <c r="F791"/>
      <c r="G791"/>
      <c r="H791"/>
      <c r="I791"/>
      <c r="N791"/>
      <c r="O791"/>
      <c r="P791" s="1" t="e">
        <f t="shared" si="45"/>
        <v>#DIV/0!</v>
      </c>
      <c r="Q791" s="1" t="e">
        <f t="shared" si="46"/>
        <v>#DIV/0!</v>
      </c>
      <c r="R791" s="1" t="e">
        <f t="shared" si="47"/>
        <v>#DIV/0!</v>
      </c>
      <c r="S791" s="1" t="e">
        <f t="shared" si="48"/>
        <v>#DIV/0!</v>
      </c>
    </row>
    <row r="792" spans="1:19" x14ac:dyDescent="0.3">
      <c r="A792"/>
      <c r="B792"/>
      <c r="C792"/>
      <c r="D792"/>
      <c r="E792"/>
      <c r="F792"/>
      <c r="G792"/>
      <c r="H792"/>
      <c r="I792"/>
      <c r="N792"/>
      <c r="O792"/>
      <c r="P792" s="1" t="e">
        <f t="shared" si="45"/>
        <v>#DIV/0!</v>
      </c>
      <c r="Q792" s="1" t="e">
        <f t="shared" si="46"/>
        <v>#DIV/0!</v>
      </c>
      <c r="R792" s="1" t="e">
        <f t="shared" si="47"/>
        <v>#DIV/0!</v>
      </c>
      <c r="S792" s="1" t="e">
        <f t="shared" si="48"/>
        <v>#DIV/0!</v>
      </c>
    </row>
    <row r="793" spans="1:19" x14ac:dyDescent="0.3">
      <c r="A793"/>
      <c r="B793"/>
      <c r="C793"/>
      <c r="D793"/>
      <c r="E793"/>
      <c r="F793"/>
      <c r="G793"/>
      <c r="H793"/>
      <c r="I793"/>
      <c r="N793"/>
      <c r="O793"/>
      <c r="P793" s="1" t="e">
        <f t="shared" si="45"/>
        <v>#DIV/0!</v>
      </c>
      <c r="Q793" s="1" t="e">
        <f t="shared" si="46"/>
        <v>#DIV/0!</v>
      </c>
      <c r="R793" s="1" t="e">
        <f t="shared" si="47"/>
        <v>#DIV/0!</v>
      </c>
      <c r="S793" s="1" t="e">
        <f t="shared" si="48"/>
        <v>#DIV/0!</v>
      </c>
    </row>
    <row r="794" spans="1:19" x14ac:dyDescent="0.3">
      <c r="A794"/>
      <c r="B794"/>
      <c r="C794"/>
      <c r="D794"/>
      <c r="E794"/>
      <c r="F794"/>
      <c r="G794"/>
      <c r="H794"/>
      <c r="I794"/>
      <c r="N794"/>
      <c r="O794"/>
      <c r="P794" s="1" t="e">
        <f t="shared" si="45"/>
        <v>#DIV/0!</v>
      </c>
      <c r="Q794" s="1" t="e">
        <f t="shared" si="46"/>
        <v>#DIV/0!</v>
      </c>
      <c r="R794" s="1" t="e">
        <f t="shared" si="47"/>
        <v>#DIV/0!</v>
      </c>
      <c r="S794" s="1" t="e">
        <f t="shared" si="48"/>
        <v>#DIV/0!</v>
      </c>
    </row>
    <row r="795" spans="1:19" x14ac:dyDescent="0.3">
      <c r="A795"/>
      <c r="B795"/>
      <c r="C795"/>
      <c r="D795"/>
      <c r="E795"/>
      <c r="F795"/>
      <c r="G795"/>
      <c r="H795"/>
      <c r="I795"/>
      <c r="N795"/>
      <c r="O795"/>
      <c r="P795" s="1" t="e">
        <f t="shared" si="45"/>
        <v>#DIV/0!</v>
      </c>
      <c r="Q795" s="1" t="e">
        <f t="shared" si="46"/>
        <v>#DIV/0!</v>
      </c>
      <c r="R795" s="1" t="e">
        <f t="shared" si="47"/>
        <v>#DIV/0!</v>
      </c>
      <c r="S795" s="1" t="e">
        <f t="shared" si="48"/>
        <v>#DIV/0!</v>
      </c>
    </row>
    <row r="796" spans="1:19" x14ac:dyDescent="0.3">
      <c r="A796"/>
      <c r="B796"/>
      <c r="C796"/>
      <c r="D796"/>
      <c r="E796"/>
      <c r="F796"/>
      <c r="G796"/>
      <c r="H796"/>
      <c r="I796"/>
      <c r="N796"/>
      <c r="O796"/>
      <c r="P796" s="1" t="e">
        <f t="shared" si="45"/>
        <v>#DIV/0!</v>
      </c>
      <c r="Q796" s="1" t="e">
        <f t="shared" si="46"/>
        <v>#DIV/0!</v>
      </c>
      <c r="R796" s="1" t="e">
        <f t="shared" si="47"/>
        <v>#DIV/0!</v>
      </c>
      <c r="S796" s="1" t="e">
        <f t="shared" si="48"/>
        <v>#DIV/0!</v>
      </c>
    </row>
    <row r="797" spans="1:19" x14ac:dyDescent="0.3">
      <c r="A797"/>
      <c r="B797"/>
      <c r="C797"/>
      <c r="D797"/>
      <c r="E797"/>
      <c r="F797"/>
      <c r="G797"/>
      <c r="H797"/>
      <c r="I797"/>
      <c r="N797"/>
      <c r="O797"/>
      <c r="P797" s="1" t="e">
        <f t="shared" si="45"/>
        <v>#DIV/0!</v>
      </c>
      <c r="Q797" s="1" t="e">
        <f t="shared" si="46"/>
        <v>#DIV/0!</v>
      </c>
      <c r="R797" s="1" t="e">
        <f t="shared" si="47"/>
        <v>#DIV/0!</v>
      </c>
      <c r="S797" s="1" t="e">
        <f t="shared" si="48"/>
        <v>#DIV/0!</v>
      </c>
    </row>
    <row r="798" spans="1:19" x14ac:dyDescent="0.3">
      <c r="A798"/>
      <c r="B798"/>
      <c r="C798"/>
      <c r="D798"/>
      <c r="E798"/>
      <c r="F798"/>
      <c r="G798"/>
      <c r="H798"/>
      <c r="I798"/>
      <c r="N798"/>
      <c r="O798"/>
      <c r="P798" s="1" t="e">
        <f t="shared" ref="P798:P861" si="49">(B780+Q$35)/P$35</f>
        <v>#DIV/0!</v>
      </c>
      <c r="Q798" s="1" t="e">
        <f t="shared" ref="Q798:Q861" si="50">(C780+Q$35)/P$35</f>
        <v>#DIV/0!</v>
      </c>
      <c r="R798" s="1" t="e">
        <f t="shared" ref="R798:R861" si="51">(D780+Q$37)/P$37</f>
        <v>#DIV/0!</v>
      </c>
      <c r="S798" s="1" t="e">
        <f t="shared" ref="S798:S861" si="52">(E780+Q$38)/P$38</f>
        <v>#DIV/0!</v>
      </c>
    </row>
    <row r="799" spans="1:19" x14ac:dyDescent="0.3">
      <c r="A799"/>
      <c r="B799"/>
      <c r="C799"/>
      <c r="D799"/>
      <c r="E799"/>
      <c r="F799"/>
      <c r="G799"/>
      <c r="H799"/>
      <c r="I799"/>
      <c r="N799"/>
      <c r="O799"/>
      <c r="P799" s="1" t="e">
        <f t="shared" si="49"/>
        <v>#DIV/0!</v>
      </c>
      <c r="Q799" s="1" t="e">
        <f t="shared" si="50"/>
        <v>#DIV/0!</v>
      </c>
      <c r="R799" s="1" t="e">
        <f t="shared" si="51"/>
        <v>#DIV/0!</v>
      </c>
      <c r="S799" s="1" t="e">
        <f t="shared" si="52"/>
        <v>#DIV/0!</v>
      </c>
    </row>
    <row r="800" spans="1:19" x14ac:dyDescent="0.3">
      <c r="A800"/>
      <c r="B800"/>
      <c r="C800"/>
      <c r="D800"/>
      <c r="E800"/>
      <c r="F800"/>
      <c r="G800"/>
      <c r="H800"/>
      <c r="I800"/>
      <c r="N800"/>
      <c r="O800"/>
      <c r="P800" s="1" t="e">
        <f t="shared" si="49"/>
        <v>#DIV/0!</v>
      </c>
      <c r="Q800" s="1" t="e">
        <f t="shared" si="50"/>
        <v>#DIV/0!</v>
      </c>
      <c r="R800" s="1" t="e">
        <f t="shared" si="51"/>
        <v>#DIV/0!</v>
      </c>
      <c r="S800" s="1" t="e">
        <f t="shared" si="52"/>
        <v>#DIV/0!</v>
      </c>
    </row>
    <row r="801" spans="1:19" x14ac:dyDescent="0.3">
      <c r="A801"/>
      <c r="B801"/>
      <c r="C801"/>
      <c r="D801"/>
      <c r="E801"/>
      <c r="F801"/>
      <c r="G801"/>
      <c r="H801"/>
      <c r="I801"/>
      <c r="N801"/>
      <c r="O801"/>
      <c r="P801" s="1" t="e">
        <f t="shared" si="49"/>
        <v>#DIV/0!</v>
      </c>
      <c r="Q801" s="1" t="e">
        <f t="shared" si="50"/>
        <v>#DIV/0!</v>
      </c>
      <c r="R801" s="1" t="e">
        <f t="shared" si="51"/>
        <v>#DIV/0!</v>
      </c>
      <c r="S801" s="1" t="e">
        <f t="shared" si="52"/>
        <v>#DIV/0!</v>
      </c>
    </row>
    <row r="802" spans="1:19" x14ac:dyDescent="0.3">
      <c r="A802"/>
      <c r="B802"/>
      <c r="C802"/>
      <c r="D802"/>
      <c r="E802"/>
      <c r="F802"/>
      <c r="G802"/>
      <c r="H802"/>
      <c r="I802"/>
      <c r="N802"/>
      <c r="O802"/>
      <c r="P802" s="1" t="e">
        <f t="shared" si="49"/>
        <v>#DIV/0!</v>
      </c>
      <c r="Q802" s="1" t="e">
        <f t="shared" si="50"/>
        <v>#DIV/0!</v>
      </c>
      <c r="R802" s="1" t="e">
        <f t="shared" si="51"/>
        <v>#DIV/0!</v>
      </c>
      <c r="S802" s="1" t="e">
        <f t="shared" si="52"/>
        <v>#DIV/0!</v>
      </c>
    </row>
    <row r="803" spans="1:19" x14ac:dyDescent="0.3">
      <c r="A803"/>
      <c r="B803"/>
      <c r="C803"/>
      <c r="D803"/>
      <c r="E803"/>
      <c r="F803"/>
      <c r="G803"/>
      <c r="H803"/>
      <c r="I803"/>
      <c r="N803"/>
      <c r="O803"/>
      <c r="P803" s="1" t="e">
        <f t="shared" si="49"/>
        <v>#DIV/0!</v>
      </c>
      <c r="Q803" s="1" t="e">
        <f t="shared" si="50"/>
        <v>#DIV/0!</v>
      </c>
      <c r="R803" s="1" t="e">
        <f t="shared" si="51"/>
        <v>#DIV/0!</v>
      </c>
      <c r="S803" s="1" t="e">
        <f t="shared" si="52"/>
        <v>#DIV/0!</v>
      </c>
    </row>
    <row r="804" spans="1:19" x14ac:dyDescent="0.3">
      <c r="A804"/>
      <c r="B804"/>
      <c r="C804"/>
      <c r="D804"/>
      <c r="E804"/>
      <c r="F804"/>
      <c r="G804"/>
      <c r="H804"/>
      <c r="I804"/>
      <c r="N804"/>
      <c r="O804"/>
      <c r="P804" s="1" t="e">
        <f t="shared" si="49"/>
        <v>#DIV/0!</v>
      </c>
      <c r="Q804" s="1" t="e">
        <f t="shared" si="50"/>
        <v>#DIV/0!</v>
      </c>
      <c r="R804" s="1" t="e">
        <f t="shared" si="51"/>
        <v>#DIV/0!</v>
      </c>
      <c r="S804" s="1" t="e">
        <f t="shared" si="52"/>
        <v>#DIV/0!</v>
      </c>
    </row>
    <row r="805" spans="1:19" x14ac:dyDescent="0.3">
      <c r="A805"/>
      <c r="B805"/>
      <c r="C805"/>
      <c r="D805"/>
      <c r="E805"/>
      <c r="F805"/>
      <c r="G805"/>
      <c r="H805"/>
      <c r="I805"/>
      <c r="N805"/>
      <c r="O805"/>
      <c r="P805" s="1" t="e">
        <f t="shared" si="49"/>
        <v>#DIV/0!</v>
      </c>
      <c r="Q805" s="1" t="e">
        <f t="shared" si="50"/>
        <v>#DIV/0!</v>
      </c>
      <c r="R805" s="1" t="e">
        <f t="shared" si="51"/>
        <v>#DIV/0!</v>
      </c>
      <c r="S805" s="1" t="e">
        <f t="shared" si="52"/>
        <v>#DIV/0!</v>
      </c>
    </row>
    <row r="806" spans="1:19" x14ac:dyDescent="0.3">
      <c r="A806"/>
      <c r="B806"/>
      <c r="C806"/>
      <c r="D806"/>
      <c r="E806"/>
      <c r="F806"/>
      <c r="G806"/>
      <c r="H806"/>
      <c r="I806"/>
      <c r="N806"/>
      <c r="O806"/>
      <c r="P806" s="1" t="e">
        <f t="shared" si="49"/>
        <v>#DIV/0!</v>
      </c>
      <c r="Q806" s="1" t="e">
        <f t="shared" si="50"/>
        <v>#DIV/0!</v>
      </c>
      <c r="R806" s="1" t="e">
        <f t="shared" si="51"/>
        <v>#DIV/0!</v>
      </c>
      <c r="S806" s="1" t="e">
        <f t="shared" si="52"/>
        <v>#DIV/0!</v>
      </c>
    </row>
    <row r="807" spans="1:19" x14ac:dyDescent="0.3">
      <c r="A807"/>
      <c r="B807"/>
      <c r="C807"/>
      <c r="D807"/>
      <c r="E807"/>
      <c r="F807"/>
      <c r="G807"/>
      <c r="H807"/>
      <c r="I807"/>
      <c r="N807"/>
      <c r="O807"/>
      <c r="P807" s="1" t="e">
        <f t="shared" si="49"/>
        <v>#DIV/0!</v>
      </c>
      <c r="Q807" s="1" t="e">
        <f t="shared" si="50"/>
        <v>#DIV/0!</v>
      </c>
      <c r="R807" s="1" t="e">
        <f t="shared" si="51"/>
        <v>#DIV/0!</v>
      </c>
      <c r="S807" s="1" t="e">
        <f t="shared" si="52"/>
        <v>#DIV/0!</v>
      </c>
    </row>
    <row r="808" spans="1:19" x14ac:dyDescent="0.3">
      <c r="A808"/>
      <c r="B808"/>
      <c r="C808"/>
      <c r="D808"/>
      <c r="E808"/>
      <c r="F808"/>
      <c r="G808"/>
      <c r="H808"/>
      <c r="I808"/>
      <c r="N808"/>
      <c r="O808"/>
      <c r="P808" s="1" t="e">
        <f t="shared" si="49"/>
        <v>#DIV/0!</v>
      </c>
      <c r="Q808" s="1" t="e">
        <f t="shared" si="50"/>
        <v>#DIV/0!</v>
      </c>
      <c r="R808" s="1" t="e">
        <f t="shared" si="51"/>
        <v>#DIV/0!</v>
      </c>
      <c r="S808" s="1" t="e">
        <f t="shared" si="52"/>
        <v>#DIV/0!</v>
      </c>
    </row>
    <row r="809" spans="1:19" x14ac:dyDescent="0.3">
      <c r="A809"/>
      <c r="B809"/>
      <c r="C809"/>
      <c r="D809"/>
      <c r="E809"/>
      <c r="F809"/>
      <c r="G809"/>
      <c r="H809"/>
      <c r="I809"/>
      <c r="N809"/>
      <c r="O809"/>
      <c r="P809" s="1" t="e">
        <f t="shared" si="49"/>
        <v>#DIV/0!</v>
      </c>
      <c r="Q809" s="1" t="e">
        <f t="shared" si="50"/>
        <v>#DIV/0!</v>
      </c>
      <c r="R809" s="1" t="e">
        <f t="shared" si="51"/>
        <v>#DIV/0!</v>
      </c>
      <c r="S809" s="1" t="e">
        <f t="shared" si="52"/>
        <v>#DIV/0!</v>
      </c>
    </row>
    <row r="810" spans="1:19" x14ac:dyDescent="0.3">
      <c r="A810"/>
      <c r="B810"/>
      <c r="C810"/>
      <c r="D810"/>
      <c r="E810"/>
      <c r="F810"/>
      <c r="G810"/>
      <c r="H810"/>
      <c r="I810"/>
      <c r="N810"/>
      <c r="O810"/>
      <c r="P810" s="1" t="e">
        <f t="shared" si="49"/>
        <v>#DIV/0!</v>
      </c>
      <c r="Q810" s="1" t="e">
        <f t="shared" si="50"/>
        <v>#DIV/0!</v>
      </c>
      <c r="R810" s="1" t="e">
        <f t="shared" si="51"/>
        <v>#DIV/0!</v>
      </c>
      <c r="S810" s="1" t="e">
        <f t="shared" si="52"/>
        <v>#DIV/0!</v>
      </c>
    </row>
    <row r="811" spans="1:19" x14ac:dyDescent="0.3">
      <c r="A811"/>
      <c r="B811"/>
      <c r="C811"/>
      <c r="D811"/>
      <c r="E811"/>
      <c r="F811"/>
      <c r="G811"/>
      <c r="H811"/>
      <c r="I811"/>
      <c r="N811"/>
      <c r="O811"/>
      <c r="P811" s="1" t="e">
        <f t="shared" si="49"/>
        <v>#DIV/0!</v>
      </c>
      <c r="Q811" s="1" t="e">
        <f t="shared" si="50"/>
        <v>#DIV/0!</v>
      </c>
      <c r="R811" s="1" t="e">
        <f t="shared" si="51"/>
        <v>#DIV/0!</v>
      </c>
      <c r="S811" s="1" t="e">
        <f t="shared" si="52"/>
        <v>#DIV/0!</v>
      </c>
    </row>
    <row r="812" spans="1:19" x14ac:dyDescent="0.3">
      <c r="A812"/>
      <c r="B812"/>
      <c r="C812"/>
      <c r="D812"/>
      <c r="E812"/>
      <c r="F812"/>
      <c r="G812"/>
      <c r="H812"/>
      <c r="I812"/>
      <c r="N812"/>
      <c r="O812"/>
      <c r="P812" s="1" t="e">
        <f t="shared" si="49"/>
        <v>#DIV/0!</v>
      </c>
      <c r="Q812" s="1" t="e">
        <f t="shared" si="50"/>
        <v>#DIV/0!</v>
      </c>
      <c r="R812" s="1" t="e">
        <f t="shared" si="51"/>
        <v>#DIV/0!</v>
      </c>
      <c r="S812" s="1" t="e">
        <f t="shared" si="52"/>
        <v>#DIV/0!</v>
      </c>
    </row>
    <row r="813" spans="1:19" x14ac:dyDescent="0.3">
      <c r="A813"/>
      <c r="B813"/>
      <c r="C813"/>
      <c r="D813"/>
      <c r="E813"/>
      <c r="F813"/>
      <c r="G813"/>
      <c r="H813"/>
      <c r="I813"/>
      <c r="N813"/>
      <c r="O813"/>
      <c r="P813" s="1" t="e">
        <f t="shared" si="49"/>
        <v>#DIV/0!</v>
      </c>
      <c r="Q813" s="1" t="e">
        <f t="shared" si="50"/>
        <v>#DIV/0!</v>
      </c>
      <c r="R813" s="1" t="e">
        <f t="shared" si="51"/>
        <v>#DIV/0!</v>
      </c>
      <c r="S813" s="1" t="e">
        <f t="shared" si="52"/>
        <v>#DIV/0!</v>
      </c>
    </row>
    <row r="814" spans="1:19" x14ac:dyDescent="0.3">
      <c r="A814"/>
      <c r="B814"/>
      <c r="C814"/>
      <c r="D814"/>
      <c r="E814"/>
      <c r="F814"/>
      <c r="G814"/>
      <c r="H814"/>
      <c r="I814"/>
      <c r="N814"/>
      <c r="O814"/>
      <c r="P814" s="1" t="e">
        <f t="shared" si="49"/>
        <v>#DIV/0!</v>
      </c>
      <c r="Q814" s="1" t="e">
        <f t="shared" si="50"/>
        <v>#DIV/0!</v>
      </c>
      <c r="R814" s="1" t="e">
        <f t="shared" si="51"/>
        <v>#DIV/0!</v>
      </c>
      <c r="S814" s="1" t="e">
        <f t="shared" si="52"/>
        <v>#DIV/0!</v>
      </c>
    </row>
    <row r="815" spans="1:19" x14ac:dyDescent="0.3">
      <c r="A815"/>
      <c r="B815"/>
      <c r="C815"/>
      <c r="D815"/>
      <c r="E815"/>
      <c r="F815"/>
      <c r="G815"/>
      <c r="H815"/>
      <c r="I815"/>
      <c r="N815"/>
      <c r="O815"/>
      <c r="P815" s="1" t="e">
        <f t="shared" si="49"/>
        <v>#DIV/0!</v>
      </c>
      <c r="Q815" s="1" t="e">
        <f t="shared" si="50"/>
        <v>#DIV/0!</v>
      </c>
      <c r="R815" s="1" t="e">
        <f t="shared" si="51"/>
        <v>#DIV/0!</v>
      </c>
      <c r="S815" s="1" t="e">
        <f t="shared" si="52"/>
        <v>#DIV/0!</v>
      </c>
    </row>
    <row r="816" spans="1:19" x14ac:dyDescent="0.3">
      <c r="A816"/>
      <c r="B816"/>
      <c r="C816"/>
      <c r="D816"/>
      <c r="E816"/>
      <c r="F816"/>
      <c r="G816"/>
      <c r="H816"/>
      <c r="I816"/>
      <c r="N816"/>
      <c r="O816"/>
      <c r="P816" s="1" t="e">
        <f t="shared" si="49"/>
        <v>#DIV/0!</v>
      </c>
      <c r="Q816" s="1" t="e">
        <f t="shared" si="50"/>
        <v>#DIV/0!</v>
      </c>
      <c r="R816" s="1" t="e">
        <f t="shared" si="51"/>
        <v>#DIV/0!</v>
      </c>
      <c r="S816" s="1" t="e">
        <f t="shared" si="52"/>
        <v>#DIV/0!</v>
      </c>
    </row>
    <row r="817" spans="1:19" x14ac:dyDescent="0.3">
      <c r="A817"/>
      <c r="B817"/>
      <c r="C817"/>
      <c r="D817"/>
      <c r="E817"/>
      <c r="F817"/>
      <c r="G817"/>
      <c r="H817"/>
      <c r="I817"/>
      <c r="N817"/>
      <c r="O817"/>
      <c r="P817" s="1" t="e">
        <f t="shared" si="49"/>
        <v>#DIV/0!</v>
      </c>
      <c r="Q817" s="1" t="e">
        <f t="shared" si="50"/>
        <v>#DIV/0!</v>
      </c>
      <c r="R817" s="1" t="e">
        <f t="shared" si="51"/>
        <v>#DIV/0!</v>
      </c>
      <c r="S817" s="1" t="e">
        <f t="shared" si="52"/>
        <v>#DIV/0!</v>
      </c>
    </row>
    <row r="818" spans="1:19" x14ac:dyDescent="0.3">
      <c r="A818"/>
      <c r="B818"/>
      <c r="C818"/>
      <c r="D818"/>
      <c r="E818"/>
      <c r="F818"/>
      <c r="G818"/>
      <c r="H818"/>
      <c r="I818"/>
      <c r="N818"/>
      <c r="O818"/>
      <c r="P818" s="1" t="e">
        <f t="shared" si="49"/>
        <v>#DIV/0!</v>
      </c>
      <c r="Q818" s="1" t="e">
        <f t="shared" si="50"/>
        <v>#DIV/0!</v>
      </c>
      <c r="R818" s="1" t="e">
        <f t="shared" si="51"/>
        <v>#DIV/0!</v>
      </c>
      <c r="S818" s="1" t="e">
        <f t="shared" si="52"/>
        <v>#DIV/0!</v>
      </c>
    </row>
    <row r="819" spans="1:19" x14ac:dyDescent="0.3">
      <c r="A819"/>
      <c r="B819"/>
      <c r="C819"/>
      <c r="D819"/>
      <c r="E819"/>
      <c r="F819"/>
      <c r="G819"/>
      <c r="H819"/>
      <c r="I819"/>
      <c r="N819"/>
      <c r="O819"/>
      <c r="P819" s="1" t="e">
        <f t="shared" si="49"/>
        <v>#DIV/0!</v>
      </c>
      <c r="Q819" s="1" t="e">
        <f t="shared" si="50"/>
        <v>#DIV/0!</v>
      </c>
      <c r="R819" s="1" t="e">
        <f t="shared" si="51"/>
        <v>#DIV/0!</v>
      </c>
      <c r="S819" s="1" t="e">
        <f t="shared" si="52"/>
        <v>#DIV/0!</v>
      </c>
    </row>
    <row r="820" spans="1:19" x14ac:dyDescent="0.3">
      <c r="A820"/>
      <c r="B820"/>
      <c r="C820"/>
      <c r="D820"/>
      <c r="E820"/>
      <c r="F820"/>
      <c r="G820"/>
      <c r="H820"/>
      <c r="I820"/>
      <c r="N820"/>
      <c r="O820"/>
      <c r="P820" s="1" t="e">
        <f t="shared" si="49"/>
        <v>#DIV/0!</v>
      </c>
      <c r="Q820" s="1" t="e">
        <f t="shared" si="50"/>
        <v>#DIV/0!</v>
      </c>
      <c r="R820" s="1" t="e">
        <f t="shared" si="51"/>
        <v>#DIV/0!</v>
      </c>
      <c r="S820" s="1" t="e">
        <f t="shared" si="52"/>
        <v>#DIV/0!</v>
      </c>
    </row>
    <row r="821" spans="1:19" x14ac:dyDescent="0.3">
      <c r="A821"/>
      <c r="B821"/>
      <c r="C821"/>
      <c r="D821"/>
      <c r="E821"/>
      <c r="F821"/>
      <c r="G821"/>
      <c r="H821"/>
      <c r="I821"/>
      <c r="N821"/>
      <c r="O821"/>
      <c r="P821" s="1" t="e">
        <f t="shared" si="49"/>
        <v>#DIV/0!</v>
      </c>
      <c r="Q821" s="1" t="e">
        <f t="shared" si="50"/>
        <v>#DIV/0!</v>
      </c>
      <c r="R821" s="1" t="e">
        <f t="shared" si="51"/>
        <v>#DIV/0!</v>
      </c>
      <c r="S821" s="1" t="e">
        <f t="shared" si="52"/>
        <v>#DIV/0!</v>
      </c>
    </row>
    <row r="822" spans="1:19" x14ac:dyDescent="0.3">
      <c r="A822"/>
      <c r="B822"/>
      <c r="C822"/>
      <c r="D822"/>
      <c r="E822"/>
      <c r="F822"/>
      <c r="G822"/>
      <c r="H822"/>
      <c r="I822"/>
      <c r="N822"/>
      <c r="O822"/>
      <c r="P822" s="1" t="e">
        <f t="shared" si="49"/>
        <v>#DIV/0!</v>
      </c>
      <c r="Q822" s="1" t="e">
        <f t="shared" si="50"/>
        <v>#DIV/0!</v>
      </c>
      <c r="R822" s="1" t="e">
        <f t="shared" si="51"/>
        <v>#DIV/0!</v>
      </c>
      <c r="S822" s="1" t="e">
        <f t="shared" si="52"/>
        <v>#DIV/0!</v>
      </c>
    </row>
    <row r="823" spans="1:19" x14ac:dyDescent="0.3">
      <c r="A823"/>
      <c r="B823"/>
      <c r="C823"/>
      <c r="D823"/>
      <c r="E823"/>
      <c r="F823"/>
      <c r="G823"/>
      <c r="H823"/>
      <c r="I823"/>
      <c r="N823"/>
      <c r="O823"/>
      <c r="P823" s="1" t="e">
        <f t="shared" si="49"/>
        <v>#DIV/0!</v>
      </c>
      <c r="Q823" s="1" t="e">
        <f t="shared" si="50"/>
        <v>#DIV/0!</v>
      </c>
      <c r="R823" s="1" t="e">
        <f t="shared" si="51"/>
        <v>#DIV/0!</v>
      </c>
      <c r="S823" s="1" t="e">
        <f t="shared" si="52"/>
        <v>#DIV/0!</v>
      </c>
    </row>
    <row r="824" spans="1:19" x14ac:dyDescent="0.3">
      <c r="A824"/>
      <c r="B824"/>
      <c r="C824"/>
      <c r="D824"/>
      <c r="E824"/>
      <c r="F824"/>
      <c r="G824"/>
      <c r="H824"/>
      <c r="I824"/>
      <c r="N824"/>
      <c r="O824"/>
      <c r="P824" s="1" t="e">
        <f t="shared" si="49"/>
        <v>#DIV/0!</v>
      </c>
      <c r="Q824" s="1" t="e">
        <f t="shared" si="50"/>
        <v>#DIV/0!</v>
      </c>
      <c r="R824" s="1" t="e">
        <f t="shared" si="51"/>
        <v>#DIV/0!</v>
      </c>
      <c r="S824" s="1" t="e">
        <f t="shared" si="52"/>
        <v>#DIV/0!</v>
      </c>
    </row>
    <row r="825" spans="1:19" x14ac:dyDescent="0.3">
      <c r="A825"/>
      <c r="B825"/>
      <c r="C825"/>
      <c r="D825"/>
      <c r="E825"/>
      <c r="F825"/>
      <c r="G825"/>
      <c r="H825"/>
      <c r="I825"/>
      <c r="N825"/>
      <c r="O825"/>
      <c r="P825" s="1" t="e">
        <f t="shared" si="49"/>
        <v>#DIV/0!</v>
      </c>
      <c r="Q825" s="1" t="e">
        <f t="shared" si="50"/>
        <v>#DIV/0!</v>
      </c>
      <c r="R825" s="1" t="e">
        <f t="shared" si="51"/>
        <v>#DIV/0!</v>
      </c>
      <c r="S825" s="1" t="e">
        <f t="shared" si="52"/>
        <v>#DIV/0!</v>
      </c>
    </row>
    <row r="826" spans="1:19" x14ac:dyDescent="0.3">
      <c r="A826"/>
      <c r="B826"/>
      <c r="C826"/>
      <c r="D826"/>
      <c r="E826"/>
      <c r="F826"/>
      <c r="G826"/>
      <c r="H826"/>
      <c r="I826"/>
      <c r="N826"/>
      <c r="O826"/>
      <c r="P826" s="1" t="e">
        <f t="shared" si="49"/>
        <v>#DIV/0!</v>
      </c>
      <c r="Q826" s="1" t="e">
        <f t="shared" si="50"/>
        <v>#DIV/0!</v>
      </c>
      <c r="R826" s="1" t="e">
        <f t="shared" si="51"/>
        <v>#DIV/0!</v>
      </c>
      <c r="S826" s="1" t="e">
        <f t="shared" si="52"/>
        <v>#DIV/0!</v>
      </c>
    </row>
    <row r="827" spans="1:19" x14ac:dyDescent="0.3">
      <c r="A827"/>
      <c r="B827"/>
      <c r="C827"/>
      <c r="D827"/>
      <c r="E827"/>
      <c r="F827"/>
      <c r="G827"/>
      <c r="H827"/>
      <c r="I827"/>
      <c r="N827"/>
      <c r="O827"/>
      <c r="P827" s="1" t="e">
        <f t="shared" si="49"/>
        <v>#DIV/0!</v>
      </c>
      <c r="Q827" s="1" t="e">
        <f t="shared" si="50"/>
        <v>#DIV/0!</v>
      </c>
      <c r="R827" s="1" t="e">
        <f t="shared" si="51"/>
        <v>#DIV/0!</v>
      </c>
      <c r="S827" s="1" t="e">
        <f t="shared" si="52"/>
        <v>#DIV/0!</v>
      </c>
    </row>
    <row r="828" spans="1:19" x14ac:dyDescent="0.3">
      <c r="A828"/>
      <c r="B828"/>
      <c r="C828"/>
      <c r="D828"/>
      <c r="E828"/>
      <c r="F828"/>
      <c r="G828"/>
      <c r="H828"/>
      <c r="I828"/>
      <c r="N828"/>
      <c r="O828"/>
      <c r="P828" s="1" t="e">
        <f t="shared" si="49"/>
        <v>#DIV/0!</v>
      </c>
      <c r="Q828" s="1" t="e">
        <f t="shared" si="50"/>
        <v>#DIV/0!</v>
      </c>
      <c r="R828" s="1" t="e">
        <f t="shared" si="51"/>
        <v>#DIV/0!</v>
      </c>
      <c r="S828" s="1" t="e">
        <f t="shared" si="52"/>
        <v>#DIV/0!</v>
      </c>
    </row>
    <row r="829" spans="1:19" x14ac:dyDescent="0.3">
      <c r="A829"/>
      <c r="B829"/>
      <c r="C829"/>
      <c r="D829"/>
      <c r="E829"/>
      <c r="F829"/>
      <c r="G829"/>
      <c r="H829"/>
      <c r="I829"/>
      <c r="N829"/>
      <c r="O829"/>
      <c r="P829" s="1" t="e">
        <f t="shared" si="49"/>
        <v>#DIV/0!</v>
      </c>
      <c r="Q829" s="1" t="e">
        <f t="shared" si="50"/>
        <v>#DIV/0!</v>
      </c>
      <c r="R829" s="1" t="e">
        <f t="shared" si="51"/>
        <v>#DIV/0!</v>
      </c>
      <c r="S829" s="1" t="e">
        <f t="shared" si="52"/>
        <v>#DIV/0!</v>
      </c>
    </row>
    <row r="830" spans="1:19" x14ac:dyDescent="0.3">
      <c r="A830"/>
      <c r="B830"/>
      <c r="C830"/>
      <c r="D830"/>
      <c r="E830"/>
      <c r="F830"/>
      <c r="G830"/>
      <c r="H830"/>
      <c r="I830"/>
      <c r="N830"/>
      <c r="O830"/>
      <c r="P830" s="1" t="e">
        <f t="shared" si="49"/>
        <v>#DIV/0!</v>
      </c>
      <c r="Q830" s="1" t="e">
        <f t="shared" si="50"/>
        <v>#DIV/0!</v>
      </c>
      <c r="R830" s="1" t="e">
        <f t="shared" si="51"/>
        <v>#DIV/0!</v>
      </c>
      <c r="S830" s="1" t="e">
        <f t="shared" si="52"/>
        <v>#DIV/0!</v>
      </c>
    </row>
    <row r="831" spans="1:19" x14ac:dyDescent="0.3">
      <c r="A831"/>
      <c r="B831"/>
      <c r="C831"/>
      <c r="D831"/>
      <c r="E831"/>
      <c r="F831"/>
      <c r="G831"/>
      <c r="H831"/>
      <c r="I831"/>
      <c r="N831"/>
      <c r="O831"/>
      <c r="P831" s="1" t="e">
        <f t="shared" si="49"/>
        <v>#DIV/0!</v>
      </c>
      <c r="Q831" s="1" t="e">
        <f t="shared" si="50"/>
        <v>#DIV/0!</v>
      </c>
      <c r="R831" s="1" t="e">
        <f t="shared" si="51"/>
        <v>#DIV/0!</v>
      </c>
      <c r="S831" s="1" t="e">
        <f t="shared" si="52"/>
        <v>#DIV/0!</v>
      </c>
    </row>
    <row r="832" spans="1:19" x14ac:dyDescent="0.3">
      <c r="A832"/>
      <c r="B832"/>
      <c r="C832"/>
      <c r="D832"/>
      <c r="E832"/>
      <c r="F832"/>
      <c r="G832"/>
      <c r="H832"/>
      <c r="I832"/>
      <c r="N832"/>
      <c r="O832"/>
      <c r="P832" s="1" t="e">
        <f t="shared" si="49"/>
        <v>#DIV/0!</v>
      </c>
      <c r="Q832" s="1" t="e">
        <f t="shared" si="50"/>
        <v>#DIV/0!</v>
      </c>
      <c r="R832" s="1" t="e">
        <f t="shared" si="51"/>
        <v>#DIV/0!</v>
      </c>
      <c r="S832" s="1" t="e">
        <f t="shared" si="52"/>
        <v>#DIV/0!</v>
      </c>
    </row>
    <row r="833" spans="1:19" x14ac:dyDescent="0.3">
      <c r="A833"/>
      <c r="B833"/>
      <c r="C833"/>
      <c r="D833"/>
      <c r="E833"/>
      <c r="F833"/>
      <c r="G833"/>
      <c r="H833"/>
      <c r="I833"/>
      <c r="N833"/>
      <c r="O833"/>
      <c r="P833" s="1" t="e">
        <f t="shared" si="49"/>
        <v>#DIV/0!</v>
      </c>
      <c r="Q833" s="1" t="e">
        <f t="shared" si="50"/>
        <v>#DIV/0!</v>
      </c>
      <c r="R833" s="1" t="e">
        <f t="shared" si="51"/>
        <v>#DIV/0!</v>
      </c>
      <c r="S833" s="1" t="e">
        <f t="shared" si="52"/>
        <v>#DIV/0!</v>
      </c>
    </row>
    <row r="834" spans="1:19" x14ac:dyDescent="0.3">
      <c r="A834"/>
      <c r="B834"/>
      <c r="C834"/>
      <c r="D834"/>
      <c r="E834"/>
      <c r="F834"/>
      <c r="G834"/>
      <c r="H834"/>
      <c r="I834"/>
      <c r="N834"/>
      <c r="O834"/>
      <c r="P834" s="1" t="e">
        <f t="shared" si="49"/>
        <v>#DIV/0!</v>
      </c>
      <c r="Q834" s="1" t="e">
        <f t="shared" si="50"/>
        <v>#DIV/0!</v>
      </c>
      <c r="R834" s="1" t="e">
        <f t="shared" si="51"/>
        <v>#DIV/0!</v>
      </c>
      <c r="S834" s="1" t="e">
        <f t="shared" si="52"/>
        <v>#DIV/0!</v>
      </c>
    </row>
    <row r="835" spans="1:19" x14ac:dyDescent="0.3">
      <c r="A835"/>
      <c r="B835"/>
      <c r="C835"/>
      <c r="D835"/>
      <c r="E835"/>
      <c r="F835"/>
      <c r="G835"/>
      <c r="H835"/>
      <c r="I835"/>
      <c r="N835"/>
      <c r="O835"/>
      <c r="P835" s="1" t="e">
        <f t="shared" si="49"/>
        <v>#DIV/0!</v>
      </c>
      <c r="Q835" s="1" t="e">
        <f t="shared" si="50"/>
        <v>#DIV/0!</v>
      </c>
      <c r="R835" s="1" t="e">
        <f t="shared" si="51"/>
        <v>#DIV/0!</v>
      </c>
      <c r="S835" s="1" t="e">
        <f t="shared" si="52"/>
        <v>#DIV/0!</v>
      </c>
    </row>
    <row r="836" spans="1:19" x14ac:dyDescent="0.3">
      <c r="A836"/>
      <c r="B836"/>
      <c r="C836"/>
      <c r="D836"/>
      <c r="E836"/>
      <c r="F836"/>
      <c r="G836"/>
      <c r="H836"/>
      <c r="I836"/>
      <c r="N836"/>
      <c r="O836"/>
      <c r="P836" s="1" t="e">
        <f t="shared" si="49"/>
        <v>#DIV/0!</v>
      </c>
      <c r="Q836" s="1" t="e">
        <f t="shared" si="50"/>
        <v>#DIV/0!</v>
      </c>
      <c r="R836" s="1" t="e">
        <f t="shared" si="51"/>
        <v>#DIV/0!</v>
      </c>
      <c r="S836" s="1" t="e">
        <f t="shared" si="52"/>
        <v>#DIV/0!</v>
      </c>
    </row>
    <row r="837" spans="1:19" x14ac:dyDescent="0.3">
      <c r="A837"/>
      <c r="B837"/>
      <c r="C837"/>
      <c r="D837"/>
      <c r="E837"/>
      <c r="F837"/>
      <c r="G837"/>
      <c r="H837"/>
      <c r="I837"/>
      <c r="N837"/>
      <c r="O837"/>
      <c r="P837" s="1" t="e">
        <f t="shared" si="49"/>
        <v>#DIV/0!</v>
      </c>
      <c r="Q837" s="1" t="e">
        <f t="shared" si="50"/>
        <v>#DIV/0!</v>
      </c>
      <c r="R837" s="1" t="e">
        <f t="shared" si="51"/>
        <v>#DIV/0!</v>
      </c>
      <c r="S837" s="1" t="e">
        <f t="shared" si="52"/>
        <v>#DIV/0!</v>
      </c>
    </row>
    <row r="838" spans="1:19" x14ac:dyDescent="0.3">
      <c r="A838"/>
      <c r="B838"/>
      <c r="C838"/>
      <c r="D838"/>
      <c r="E838"/>
      <c r="F838"/>
      <c r="G838"/>
      <c r="H838"/>
      <c r="I838"/>
      <c r="N838"/>
      <c r="O838"/>
      <c r="P838" s="1" t="e">
        <f t="shared" si="49"/>
        <v>#DIV/0!</v>
      </c>
      <c r="Q838" s="1" t="e">
        <f t="shared" si="50"/>
        <v>#DIV/0!</v>
      </c>
      <c r="R838" s="1" t="e">
        <f t="shared" si="51"/>
        <v>#DIV/0!</v>
      </c>
      <c r="S838" s="1" t="e">
        <f t="shared" si="52"/>
        <v>#DIV/0!</v>
      </c>
    </row>
    <row r="839" spans="1:19" x14ac:dyDescent="0.3">
      <c r="A839"/>
      <c r="B839"/>
      <c r="C839"/>
      <c r="D839"/>
      <c r="E839"/>
      <c r="F839"/>
      <c r="G839"/>
      <c r="H839"/>
      <c r="I839"/>
      <c r="N839"/>
      <c r="O839"/>
      <c r="P839" s="1" t="e">
        <f t="shared" si="49"/>
        <v>#DIV/0!</v>
      </c>
      <c r="Q839" s="1" t="e">
        <f t="shared" si="50"/>
        <v>#DIV/0!</v>
      </c>
      <c r="R839" s="1" t="e">
        <f t="shared" si="51"/>
        <v>#DIV/0!</v>
      </c>
      <c r="S839" s="1" t="e">
        <f t="shared" si="52"/>
        <v>#DIV/0!</v>
      </c>
    </row>
    <row r="840" spans="1:19" x14ac:dyDescent="0.3">
      <c r="A840"/>
      <c r="B840"/>
      <c r="C840"/>
      <c r="D840"/>
      <c r="E840"/>
      <c r="F840"/>
      <c r="G840"/>
      <c r="H840"/>
      <c r="I840"/>
      <c r="N840"/>
      <c r="O840"/>
      <c r="P840" s="1" t="e">
        <f t="shared" si="49"/>
        <v>#DIV/0!</v>
      </c>
      <c r="Q840" s="1" t="e">
        <f t="shared" si="50"/>
        <v>#DIV/0!</v>
      </c>
      <c r="R840" s="1" t="e">
        <f t="shared" si="51"/>
        <v>#DIV/0!</v>
      </c>
      <c r="S840" s="1" t="e">
        <f t="shared" si="52"/>
        <v>#DIV/0!</v>
      </c>
    </row>
    <row r="841" spans="1:19" x14ac:dyDescent="0.3">
      <c r="A841"/>
      <c r="B841"/>
      <c r="C841"/>
      <c r="D841"/>
      <c r="E841"/>
      <c r="F841"/>
      <c r="G841"/>
      <c r="H841"/>
      <c r="I841"/>
      <c r="N841"/>
      <c r="O841"/>
      <c r="P841" s="1" t="e">
        <f t="shared" si="49"/>
        <v>#DIV/0!</v>
      </c>
      <c r="Q841" s="1" t="e">
        <f t="shared" si="50"/>
        <v>#DIV/0!</v>
      </c>
      <c r="R841" s="1" t="e">
        <f t="shared" si="51"/>
        <v>#DIV/0!</v>
      </c>
      <c r="S841" s="1" t="e">
        <f t="shared" si="52"/>
        <v>#DIV/0!</v>
      </c>
    </row>
    <row r="842" spans="1:19" x14ac:dyDescent="0.3">
      <c r="A842"/>
      <c r="B842"/>
      <c r="C842"/>
      <c r="D842"/>
      <c r="E842"/>
      <c r="F842"/>
      <c r="G842"/>
      <c r="H842"/>
      <c r="I842"/>
      <c r="N842"/>
      <c r="P842" s="1" t="e">
        <f t="shared" si="49"/>
        <v>#DIV/0!</v>
      </c>
      <c r="Q842" s="1" t="e">
        <f t="shared" si="50"/>
        <v>#DIV/0!</v>
      </c>
      <c r="R842" s="1" t="e">
        <f t="shared" si="51"/>
        <v>#DIV/0!</v>
      </c>
      <c r="S842" s="1" t="e">
        <f t="shared" si="52"/>
        <v>#DIV/0!</v>
      </c>
    </row>
    <row r="843" spans="1:19" x14ac:dyDescent="0.3">
      <c r="A843"/>
      <c r="B843"/>
      <c r="C843"/>
      <c r="D843"/>
      <c r="E843"/>
      <c r="F843"/>
      <c r="G843"/>
      <c r="H843"/>
      <c r="I843"/>
      <c r="N843"/>
      <c r="O843" s="26"/>
      <c r="P843" s="1" t="e">
        <f t="shared" si="49"/>
        <v>#DIV/0!</v>
      </c>
      <c r="Q843" s="1" t="e">
        <f t="shared" si="50"/>
        <v>#DIV/0!</v>
      </c>
      <c r="R843" s="1" t="e">
        <f t="shared" si="51"/>
        <v>#DIV/0!</v>
      </c>
      <c r="S843" s="1" t="e">
        <f t="shared" si="52"/>
        <v>#DIV/0!</v>
      </c>
    </row>
    <row r="844" spans="1:19" x14ac:dyDescent="0.3">
      <c r="A844"/>
      <c r="B844"/>
      <c r="C844"/>
      <c r="D844"/>
      <c r="E844"/>
      <c r="F844"/>
      <c r="G844"/>
      <c r="H844"/>
      <c r="I844"/>
      <c r="N844"/>
      <c r="O844" s="26"/>
      <c r="P844" s="1" t="e">
        <f t="shared" si="49"/>
        <v>#DIV/0!</v>
      </c>
      <c r="Q844" s="1" t="e">
        <f t="shared" si="50"/>
        <v>#DIV/0!</v>
      </c>
      <c r="R844" s="1" t="e">
        <f t="shared" si="51"/>
        <v>#DIV/0!</v>
      </c>
      <c r="S844" s="1" t="e">
        <f t="shared" si="52"/>
        <v>#DIV/0!</v>
      </c>
    </row>
    <row r="845" spans="1:19" x14ac:dyDescent="0.3">
      <c r="A845"/>
      <c r="B845"/>
      <c r="C845"/>
      <c r="D845"/>
      <c r="E845"/>
      <c r="F845"/>
      <c r="G845"/>
      <c r="H845"/>
      <c r="I845"/>
      <c r="N845"/>
      <c r="O845" s="26"/>
      <c r="P845" s="1" t="e">
        <f t="shared" si="49"/>
        <v>#DIV/0!</v>
      </c>
      <c r="Q845" s="1" t="e">
        <f t="shared" si="50"/>
        <v>#DIV/0!</v>
      </c>
      <c r="R845" s="1" t="e">
        <f t="shared" si="51"/>
        <v>#DIV/0!</v>
      </c>
      <c r="S845" s="1" t="e">
        <f t="shared" si="52"/>
        <v>#DIV/0!</v>
      </c>
    </row>
    <row r="846" spans="1:19" x14ac:dyDescent="0.3">
      <c r="A846"/>
      <c r="B846"/>
      <c r="C846"/>
      <c r="D846"/>
      <c r="E846"/>
      <c r="F846"/>
      <c r="G846"/>
      <c r="H846"/>
      <c r="I846"/>
      <c r="N846"/>
      <c r="O846" s="26"/>
      <c r="P846" s="1" t="e">
        <f t="shared" si="49"/>
        <v>#DIV/0!</v>
      </c>
      <c r="Q846" s="1" t="e">
        <f t="shared" si="50"/>
        <v>#DIV/0!</v>
      </c>
      <c r="R846" s="1" t="e">
        <f t="shared" si="51"/>
        <v>#DIV/0!</v>
      </c>
      <c r="S846" s="1" t="e">
        <f t="shared" si="52"/>
        <v>#DIV/0!</v>
      </c>
    </row>
    <row r="847" spans="1:19" x14ac:dyDescent="0.3">
      <c r="A847"/>
      <c r="B847"/>
      <c r="C847"/>
      <c r="D847"/>
      <c r="E847"/>
      <c r="F847"/>
      <c r="G847"/>
      <c r="H847"/>
      <c r="I847"/>
      <c r="N847"/>
      <c r="O847"/>
      <c r="P847" s="1" t="e">
        <f t="shared" si="49"/>
        <v>#DIV/0!</v>
      </c>
      <c r="Q847" s="1" t="e">
        <f t="shared" si="50"/>
        <v>#DIV/0!</v>
      </c>
      <c r="R847" s="1" t="e">
        <f t="shared" si="51"/>
        <v>#DIV/0!</v>
      </c>
      <c r="S847" s="1" t="e">
        <f t="shared" si="52"/>
        <v>#DIV/0!</v>
      </c>
    </row>
    <row r="848" spans="1:19" x14ac:dyDescent="0.3">
      <c r="A848"/>
      <c r="B848"/>
      <c r="C848"/>
      <c r="D848"/>
      <c r="E848"/>
      <c r="F848"/>
      <c r="G848"/>
      <c r="H848"/>
      <c r="I848"/>
      <c r="N848"/>
      <c r="O848"/>
      <c r="P848" s="1" t="e">
        <f t="shared" si="49"/>
        <v>#DIV/0!</v>
      </c>
      <c r="Q848" s="1" t="e">
        <f t="shared" si="50"/>
        <v>#DIV/0!</v>
      </c>
      <c r="R848" s="1" t="e">
        <f t="shared" si="51"/>
        <v>#DIV/0!</v>
      </c>
      <c r="S848" s="1" t="e">
        <f t="shared" si="52"/>
        <v>#DIV/0!</v>
      </c>
    </row>
    <row r="849" spans="1:19" x14ac:dyDescent="0.3">
      <c r="A849"/>
      <c r="B849"/>
      <c r="C849"/>
      <c r="D849"/>
      <c r="E849"/>
      <c r="F849"/>
      <c r="G849"/>
      <c r="H849"/>
      <c r="I849"/>
      <c r="N849"/>
      <c r="O849"/>
      <c r="P849" s="1" t="e">
        <f t="shared" si="49"/>
        <v>#DIV/0!</v>
      </c>
      <c r="Q849" s="1" t="e">
        <f t="shared" si="50"/>
        <v>#DIV/0!</v>
      </c>
      <c r="R849" s="1" t="e">
        <f t="shared" si="51"/>
        <v>#DIV/0!</v>
      </c>
      <c r="S849" s="1" t="e">
        <f t="shared" si="52"/>
        <v>#DIV/0!</v>
      </c>
    </row>
    <row r="850" spans="1:19" x14ac:dyDescent="0.3">
      <c r="A850"/>
      <c r="B850"/>
      <c r="C850"/>
      <c r="D850"/>
      <c r="E850"/>
      <c r="F850"/>
      <c r="G850"/>
      <c r="H850"/>
      <c r="I850"/>
      <c r="N850"/>
      <c r="O850"/>
      <c r="P850" s="1" t="e">
        <f t="shared" si="49"/>
        <v>#DIV/0!</v>
      </c>
      <c r="Q850" s="1" t="e">
        <f t="shared" si="50"/>
        <v>#DIV/0!</v>
      </c>
      <c r="R850" s="1" t="e">
        <f t="shared" si="51"/>
        <v>#DIV/0!</v>
      </c>
      <c r="S850" s="1" t="e">
        <f t="shared" si="52"/>
        <v>#DIV/0!</v>
      </c>
    </row>
    <row r="851" spans="1:19" x14ac:dyDescent="0.3">
      <c r="A851"/>
      <c r="B851"/>
      <c r="C851"/>
      <c r="D851"/>
      <c r="E851"/>
      <c r="F851"/>
      <c r="G851"/>
      <c r="H851"/>
      <c r="I851"/>
      <c r="N851"/>
      <c r="O851"/>
      <c r="P851" s="1" t="e">
        <f t="shared" si="49"/>
        <v>#DIV/0!</v>
      </c>
      <c r="Q851" s="1" t="e">
        <f t="shared" si="50"/>
        <v>#DIV/0!</v>
      </c>
      <c r="R851" s="1" t="e">
        <f t="shared" si="51"/>
        <v>#DIV/0!</v>
      </c>
      <c r="S851" s="1" t="e">
        <f t="shared" si="52"/>
        <v>#DIV/0!</v>
      </c>
    </row>
    <row r="852" spans="1:19" x14ac:dyDescent="0.3">
      <c r="A852"/>
      <c r="B852"/>
      <c r="C852"/>
      <c r="D852"/>
      <c r="E852"/>
      <c r="F852"/>
      <c r="G852"/>
      <c r="H852"/>
      <c r="I852"/>
      <c r="N852"/>
      <c r="O852"/>
      <c r="P852" s="1" t="e">
        <f t="shared" si="49"/>
        <v>#DIV/0!</v>
      </c>
      <c r="Q852" s="1" t="e">
        <f t="shared" si="50"/>
        <v>#DIV/0!</v>
      </c>
      <c r="R852" s="1" t="e">
        <f t="shared" si="51"/>
        <v>#DIV/0!</v>
      </c>
      <c r="S852" s="1" t="e">
        <f t="shared" si="52"/>
        <v>#DIV/0!</v>
      </c>
    </row>
    <row r="853" spans="1:19" x14ac:dyDescent="0.3">
      <c r="A853"/>
      <c r="B853"/>
      <c r="C853"/>
      <c r="D853"/>
      <c r="E853"/>
      <c r="F853"/>
      <c r="G853"/>
      <c r="H853"/>
      <c r="I853"/>
      <c r="N853"/>
      <c r="O853"/>
      <c r="P853" s="1" t="e">
        <f t="shared" si="49"/>
        <v>#DIV/0!</v>
      </c>
      <c r="Q853" s="1" t="e">
        <f t="shared" si="50"/>
        <v>#DIV/0!</v>
      </c>
      <c r="R853" s="1" t="e">
        <f t="shared" si="51"/>
        <v>#DIV/0!</v>
      </c>
      <c r="S853" s="1" t="e">
        <f t="shared" si="52"/>
        <v>#DIV/0!</v>
      </c>
    </row>
    <row r="854" spans="1:19" x14ac:dyDescent="0.3">
      <c r="A854"/>
      <c r="B854"/>
      <c r="C854"/>
      <c r="D854"/>
      <c r="E854"/>
      <c r="F854"/>
      <c r="G854"/>
      <c r="H854"/>
      <c r="I854"/>
      <c r="N854"/>
      <c r="O854"/>
      <c r="P854" s="1" t="e">
        <f t="shared" si="49"/>
        <v>#DIV/0!</v>
      </c>
      <c r="Q854" s="1" t="e">
        <f t="shared" si="50"/>
        <v>#DIV/0!</v>
      </c>
      <c r="R854" s="1" t="e">
        <f t="shared" si="51"/>
        <v>#DIV/0!</v>
      </c>
      <c r="S854" s="1" t="e">
        <f t="shared" si="52"/>
        <v>#DIV/0!</v>
      </c>
    </row>
    <row r="855" spans="1:19" x14ac:dyDescent="0.3">
      <c r="A855"/>
      <c r="B855"/>
      <c r="C855"/>
      <c r="D855"/>
      <c r="E855"/>
      <c r="F855"/>
      <c r="G855"/>
      <c r="H855"/>
      <c r="I855"/>
      <c r="N855"/>
      <c r="O855"/>
      <c r="P855" s="1" t="e">
        <f t="shared" si="49"/>
        <v>#DIV/0!</v>
      </c>
      <c r="Q855" s="1" t="e">
        <f t="shared" si="50"/>
        <v>#DIV/0!</v>
      </c>
      <c r="R855" s="1" t="e">
        <f t="shared" si="51"/>
        <v>#DIV/0!</v>
      </c>
      <c r="S855" s="1" t="e">
        <f t="shared" si="52"/>
        <v>#DIV/0!</v>
      </c>
    </row>
    <row r="856" spans="1:19" x14ac:dyDescent="0.3">
      <c r="A856"/>
      <c r="B856"/>
      <c r="C856"/>
      <c r="D856"/>
      <c r="E856"/>
      <c r="F856"/>
      <c r="G856"/>
      <c r="H856"/>
      <c r="I856"/>
      <c r="N856"/>
      <c r="O856"/>
      <c r="P856" s="1" t="e">
        <f t="shared" si="49"/>
        <v>#DIV/0!</v>
      </c>
      <c r="Q856" s="1" t="e">
        <f t="shared" si="50"/>
        <v>#DIV/0!</v>
      </c>
      <c r="R856" s="1" t="e">
        <f t="shared" si="51"/>
        <v>#DIV/0!</v>
      </c>
      <c r="S856" s="1" t="e">
        <f t="shared" si="52"/>
        <v>#DIV/0!</v>
      </c>
    </row>
    <row r="857" spans="1:19" x14ac:dyDescent="0.3">
      <c r="A857"/>
      <c r="B857"/>
      <c r="C857"/>
      <c r="D857"/>
      <c r="E857"/>
      <c r="F857"/>
      <c r="G857"/>
      <c r="H857"/>
      <c r="I857"/>
      <c r="N857"/>
      <c r="O857"/>
      <c r="P857" s="1" t="e">
        <f t="shared" si="49"/>
        <v>#DIV/0!</v>
      </c>
      <c r="Q857" s="1" t="e">
        <f t="shared" si="50"/>
        <v>#DIV/0!</v>
      </c>
      <c r="R857" s="1" t="e">
        <f t="shared" si="51"/>
        <v>#DIV/0!</v>
      </c>
      <c r="S857" s="1" t="e">
        <f t="shared" si="52"/>
        <v>#DIV/0!</v>
      </c>
    </row>
    <row r="858" spans="1:19" x14ac:dyDescent="0.3">
      <c r="A858"/>
      <c r="B858"/>
      <c r="C858"/>
      <c r="D858"/>
      <c r="E858"/>
      <c r="F858"/>
      <c r="G858"/>
      <c r="H858"/>
      <c r="I858"/>
      <c r="N858"/>
      <c r="O858"/>
      <c r="P858" s="1" t="e">
        <f t="shared" si="49"/>
        <v>#DIV/0!</v>
      </c>
      <c r="Q858" s="1" t="e">
        <f t="shared" si="50"/>
        <v>#DIV/0!</v>
      </c>
      <c r="R858" s="1" t="e">
        <f t="shared" si="51"/>
        <v>#DIV/0!</v>
      </c>
      <c r="S858" s="1" t="e">
        <f t="shared" si="52"/>
        <v>#DIV/0!</v>
      </c>
    </row>
    <row r="859" spans="1:19" x14ac:dyDescent="0.3">
      <c r="A859"/>
      <c r="B859"/>
      <c r="C859"/>
      <c r="D859"/>
      <c r="E859"/>
      <c r="F859"/>
      <c r="G859"/>
      <c r="H859"/>
      <c r="I859"/>
      <c r="N859"/>
      <c r="O859"/>
      <c r="P859" s="1" t="e">
        <f t="shared" si="49"/>
        <v>#DIV/0!</v>
      </c>
      <c r="Q859" s="1" t="e">
        <f t="shared" si="50"/>
        <v>#DIV/0!</v>
      </c>
      <c r="R859" s="1" t="e">
        <f t="shared" si="51"/>
        <v>#DIV/0!</v>
      </c>
      <c r="S859" s="1" t="e">
        <f t="shared" si="52"/>
        <v>#DIV/0!</v>
      </c>
    </row>
    <row r="860" spans="1:19" x14ac:dyDescent="0.3">
      <c r="A860"/>
      <c r="B860"/>
      <c r="C860"/>
      <c r="D860"/>
      <c r="E860"/>
      <c r="F860"/>
      <c r="G860"/>
      <c r="H860"/>
      <c r="I860"/>
      <c r="N860"/>
      <c r="O860"/>
      <c r="P860" s="1" t="e">
        <f t="shared" si="49"/>
        <v>#DIV/0!</v>
      </c>
      <c r="Q860" s="1" t="e">
        <f t="shared" si="50"/>
        <v>#DIV/0!</v>
      </c>
      <c r="R860" s="1" t="e">
        <f t="shared" si="51"/>
        <v>#DIV/0!</v>
      </c>
      <c r="S860" s="1" t="e">
        <f t="shared" si="52"/>
        <v>#DIV/0!</v>
      </c>
    </row>
    <row r="861" spans="1:19" x14ac:dyDescent="0.3">
      <c r="A861"/>
      <c r="B861"/>
      <c r="C861"/>
      <c r="D861"/>
      <c r="E861"/>
      <c r="F861"/>
      <c r="G861"/>
      <c r="H861"/>
      <c r="I861"/>
      <c r="N861"/>
      <c r="O861"/>
      <c r="P861" s="1" t="e">
        <f t="shared" si="49"/>
        <v>#DIV/0!</v>
      </c>
      <c r="Q861" s="1" t="e">
        <f t="shared" si="50"/>
        <v>#DIV/0!</v>
      </c>
      <c r="R861" s="1" t="e">
        <f t="shared" si="51"/>
        <v>#DIV/0!</v>
      </c>
      <c r="S861" s="1" t="e">
        <f t="shared" si="52"/>
        <v>#DIV/0!</v>
      </c>
    </row>
    <row r="862" spans="1:19" x14ac:dyDescent="0.3">
      <c r="A862"/>
      <c r="B862"/>
      <c r="C862"/>
      <c r="D862"/>
      <c r="E862"/>
      <c r="F862"/>
      <c r="G862"/>
      <c r="H862"/>
      <c r="I862"/>
      <c r="N862"/>
      <c r="O862"/>
      <c r="P862" s="1" t="e">
        <f t="shared" ref="P862:P873" si="53">(B844+Q$35)/P$35</f>
        <v>#DIV/0!</v>
      </c>
      <c r="Q862" s="1" t="e">
        <f t="shared" ref="Q862:Q873" si="54">(C844+Q$35)/P$35</f>
        <v>#DIV/0!</v>
      </c>
      <c r="R862" s="1" t="e">
        <f t="shared" ref="R862:R873" si="55">(D844+Q$37)/P$37</f>
        <v>#DIV/0!</v>
      </c>
      <c r="S862" s="1" t="e">
        <f t="shared" ref="S862:S873" si="56">(E844+Q$38)/P$38</f>
        <v>#DIV/0!</v>
      </c>
    </row>
    <row r="863" spans="1:19" x14ac:dyDescent="0.3">
      <c r="A863"/>
      <c r="B863"/>
      <c r="C863"/>
      <c r="D863"/>
      <c r="E863"/>
      <c r="F863"/>
      <c r="G863"/>
      <c r="H863"/>
      <c r="I863"/>
      <c r="N863"/>
      <c r="O863"/>
      <c r="P863" s="1" t="e">
        <f t="shared" si="53"/>
        <v>#DIV/0!</v>
      </c>
      <c r="Q863" s="1" t="e">
        <f t="shared" si="54"/>
        <v>#DIV/0!</v>
      </c>
      <c r="R863" s="1" t="e">
        <f t="shared" si="55"/>
        <v>#DIV/0!</v>
      </c>
      <c r="S863" s="1" t="e">
        <f t="shared" si="56"/>
        <v>#DIV/0!</v>
      </c>
    </row>
    <row r="864" spans="1:19" x14ac:dyDescent="0.3">
      <c r="A864"/>
      <c r="B864"/>
      <c r="C864"/>
      <c r="D864"/>
      <c r="E864"/>
      <c r="F864"/>
      <c r="G864"/>
      <c r="H864"/>
      <c r="I864"/>
      <c r="N864"/>
      <c r="O864"/>
      <c r="P864" s="1" t="e">
        <f t="shared" si="53"/>
        <v>#DIV/0!</v>
      </c>
      <c r="Q864" s="1" t="e">
        <f t="shared" si="54"/>
        <v>#DIV/0!</v>
      </c>
      <c r="R864" s="1" t="e">
        <f t="shared" si="55"/>
        <v>#DIV/0!</v>
      </c>
      <c r="S864" s="1" t="e">
        <f t="shared" si="56"/>
        <v>#DIV/0!</v>
      </c>
    </row>
    <row r="865" spans="1:19" x14ac:dyDescent="0.3">
      <c r="A865"/>
      <c r="B865"/>
      <c r="C865"/>
      <c r="D865"/>
      <c r="E865"/>
      <c r="F865"/>
      <c r="G865"/>
      <c r="H865"/>
      <c r="I865"/>
      <c r="N865"/>
      <c r="O865"/>
      <c r="P865" s="1" t="e">
        <f t="shared" si="53"/>
        <v>#DIV/0!</v>
      </c>
      <c r="Q865" s="1" t="e">
        <f t="shared" si="54"/>
        <v>#DIV/0!</v>
      </c>
      <c r="R865" s="1" t="e">
        <f t="shared" si="55"/>
        <v>#DIV/0!</v>
      </c>
      <c r="S865" s="1" t="e">
        <f t="shared" si="56"/>
        <v>#DIV/0!</v>
      </c>
    </row>
    <row r="866" spans="1:19" x14ac:dyDescent="0.3">
      <c r="A866"/>
      <c r="B866"/>
      <c r="C866"/>
      <c r="D866"/>
      <c r="E866"/>
      <c r="F866"/>
      <c r="G866"/>
      <c r="H866"/>
      <c r="I866"/>
      <c r="N866"/>
      <c r="O866"/>
      <c r="P866" s="1" t="e">
        <f t="shared" si="53"/>
        <v>#DIV/0!</v>
      </c>
      <c r="Q866" s="1" t="e">
        <f t="shared" si="54"/>
        <v>#DIV/0!</v>
      </c>
      <c r="R866" s="1" t="e">
        <f t="shared" si="55"/>
        <v>#DIV/0!</v>
      </c>
      <c r="S866" s="1" t="e">
        <f t="shared" si="56"/>
        <v>#DIV/0!</v>
      </c>
    </row>
    <row r="867" spans="1:19" x14ac:dyDescent="0.3">
      <c r="A867"/>
      <c r="B867"/>
      <c r="C867"/>
      <c r="D867"/>
      <c r="E867"/>
      <c r="F867"/>
      <c r="G867"/>
      <c r="H867"/>
      <c r="I867"/>
      <c r="N867"/>
      <c r="O867"/>
      <c r="P867" s="1" t="e">
        <f t="shared" si="53"/>
        <v>#DIV/0!</v>
      </c>
      <c r="Q867" s="1" t="e">
        <f t="shared" si="54"/>
        <v>#DIV/0!</v>
      </c>
      <c r="R867" s="1" t="e">
        <f t="shared" si="55"/>
        <v>#DIV/0!</v>
      </c>
      <c r="S867" s="1" t="e">
        <f t="shared" si="56"/>
        <v>#DIV/0!</v>
      </c>
    </row>
    <row r="868" spans="1:19" x14ac:dyDescent="0.3">
      <c r="A868"/>
      <c r="B868"/>
      <c r="C868"/>
      <c r="D868"/>
      <c r="E868"/>
      <c r="F868"/>
      <c r="G868"/>
      <c r="H868"/>
      <c r="I868"/>
      <c r="N868"/>
      <c r="O868"/>
      <c r="P868" s="1" t="e">
        <f t="shared" si="53"/>
        <v>#DIV/0!</v>
      </c>
      <c r="Q868" s="1" t="e">
        <f t="shared" si="54"/>
        <v>#DIV/0!</v>
      </c>
      <c r="R868" s="1" t="e">
        <f t="shared" si="55"/>
        <v>#DIV/0!</v>
      </c>
      <c r="S868" s="1" t="e">
        <f t="shared" si="56"/>
        <v>#DIV/0!</v>
      </c>
    </row>
    <row r="869" spans="1:19" x14ac:dyDescent="0.3">
      <c r="A869"/>
      <c r="B869"/>
      <c r="C869"/>
      <c r="D869"/>
      <c r="E869"/>
      <c r="F869"/>
      <c r="G869"/>
      <c r="H869"/>
      <c r="I869"/>
      <c r="N869"/>
      <c r="O869"/>
      <c r="P869" s="1" t="e">
        <f t="shared" si="53"/>
        <v>#DIV/0!</v>
      </c>
      <c r="Q869" s="1" t="e">
        <f t="shared" si="54"/>
        <v>#DIV/0!</v>
      </c>
      <c r="R869" s="1" t="e">
        <f t="shared" si="55"/>
        <v>#DIV/0!</v>
      </c>
      <c r="S869" s="1" t="e">
        <f t="shared" si="56"/>
        <v>#DIV/0!</v>
      </c>
    </row>
    <row r="870" spans="1:19" x14ac:dyDescent="0.3">
      <c r="A870"/>
      <c r="B870"/>
      <c r="C870"/>
      <c r="D870"/>
      <c r="E870"/>
      <c r="F870"/>
      <c r="G870"/>
      <c r="H870"/>
      <c r="I870"/>
      <c r="N870"/>
      <c r="O870"/>
      <c r="P870" s="1" t="e">
        <f t="shared" si="53"/>
        <v>#DIV/0!</v>
      </c>
      <c r="Q870" s="1" t="e">
        <f t="shared" si="54"/>
        <v>#DIV/0!</v>
      </c>
      <c r="R870" s="1" t="e">
        <f t="shared" si="55"/>
        <v>#DIV/0!</v>
      </c>
      <c r="S870" s="1" t="e">
        <f t="shared" si="56"/>
        <v>#DIV/0!</v>
      </c>
    </row>
    <row r="871" spans="1:19" x14ac:dyDescent="0.3">
      <c r="A871"/>
      <c r="B871"/>
      <c r="C871"/>
      <c r="D871"/>
      <c r="E871"/>
      <c r="F871"/>
      <c r="G871"/>
      <c r="H871"/>
      <c r="I871"/>
      <c r="N871"/>
      <c r="O871"/>
      <c r="P871" s="1" t="e">
        <f t="shared" si="53"/>
        <v>#DIV/0!</v>
      </c>
      <c r="Q871" s="1" t="e">
        <f t="shared" si="54"/>
        <v>#DIV/0!</v>
      </c>
      <c r="R871" s="1" t="e">
        <f t="shared" si="55"/>
        <v>#DIV/0!</v>
      </c>
      <c r="S871" s="1" t="e">
        <f t="shared" si="56"/>
        <v>#DIV/0!</v>
      </c>
    </row>
    <row r="872" spans="1:19" x14ac:dyDescent="0.3">
      <c r="A872"/>
      <c r="B872"/>
      <c r="C872"/>
      <c r="D872"/>
      <c r="E872"/>
      <c r="F872"/>
      <c r="G872"/>
      <c r="H872"/>
      <c r="I872"/>
      <c r="N872"/>
      <c r="O872"/>
      <c r="P872" s="1" t="e">
        <f t="shared" si="53"/>
        <v>#DIV/0!</v>
      </c>
      <c r="Q872" s="1" t="e">
        <f t="shared" si="54"/>
        <v>#DIV/0!</v>
      </c>
      <c r="R872" s="1" t="e">
        <f t="shared" si="55"/>
        <v>#DIV/0!</v>
      </c>
      <c r="S872" s="1" t="e">
        <f t="shared" si="56"/>
        <v>#DIV/0!</v>
      </c>
    </row>
    <row r="873" spans="1:19" x14ac:dyDescent="0.3">
      <c r="A873"/>
      <c r="B873"/>
      <c r="C873"/>
      <c r="D873"/>
      <c r="E873"/>
      <c r="F873"/>
      <c r="G873"/>
      <c r="H873"/>
      <c r="I873"/>
      <c r="N873"/>
      <c r="O873"/>
      <c r="P873" s="1" t="e">
        <f t="shared" si="53"/>
        <v>#DIV/0!</v>
      </c>
      <c r="Q873" s="1" t="e">
        <f t="shared" si="54"/>
        <v>#DIV/0!</v>
      </c>
      <c r="R873" s="1" t="e">
        <f t="shared" si="55"/>
        <v>#DIV/0!</v>
      </c>
      <c r="S873" s="1" t="e">
        <f t="shared" si="56"/>
        <v>#DIV/0!</v>
      </c>
    </row>
    <row r="874" spans="1:19" x14ac:dyDescent="0.3">
      <c r="A874"/>
      <c r="B874"/>
      <c r="C874"/>
      <c r="D874"/>
      <c r="E874"/>
      <c r="F874"/>
      <c r="G874"/>
      <c r="H874"/>
      <c r="I874"/>
      <c r="N874"/>
      <c r="O874"/>
    </row>
    <row r="875" spans="1:19" x14ac:dyDescent="0.3">
      <c r="A875"/>
      <c r="B875"/>
      <c r="C875"/>
      <c r="D875"/>
      <c r="E875"/>
      <c r="F875"/>
      <c r="G875"/>
      <c r="H875"/>
      <c r="I875"/>
      <c r="N875"/>
      <c r="O875"/>
    </row>
    <row r="876" spans="1:19" x14ac:dyDescent="0.3">
      <c r="A876"/>
      <c r="B876"/>
      <c r="C876"/>
      <c r="D876"/>
      <c r="E876"/>
      <c r="F876"/>
      <c r="G876"/>
      <c r="H876"/>
      <c r="I876"/>
      <c r="N876"/>
      <c r="O876"/>
    </row>
    <row r="877" spans="1:19" x14ac:dyDescent="0.3">
      <c r="A877"/>
      <c r="B877"/>
      <c r="C877"/>
      <c r="D877"/>
      <c r="E877"/>
      <c r="F877"/>
      <c r="G877"/>
      <c r="H877"/>
      <c r="I877"/>
      <c r="N877"/>
      <c r="O877"/>
    </row>
    <row r="878" spans="1:19" x14ac:dyDescent="0.3">
      <c r="A878"/>
      <c r="B878"/>
      <c r="C878"/>
      <c r="D878"/>
      <c r="E878"/>
      <c r="F878"/>
      <c r="G878"/>
      <c r="H878"/>
      <c r="I878"/>
      <c r="N878"/>
      <c r="O878"/>
    </row>
    <row r="879" spans="1:19" x14ac:dyDescent="0.3">
      <c r="A879"/>
      <c r="B879"/>
      <c r="C879"/>
      <c r="D879"/>
      <c r="E879"/>
      <c r="F879"/>
      <c r="G879"/>
      <c r="H879"/>
      <c r="I879"/>
      <c r="N879"/>
      <c r="O879"/>
    </row>
    <row r="880" spans="1:19" x14ac:dyDescent="0.3">
      <c r="A880"/>
      <c r="B880"/>
      <c r="C880"/>
      <c r="D880"/>
      <c r="E880"/>
      <c r="F880"/>
      <c r="G880"/>
      <c r="H880"/>
      <c r="I880"/>
      <c r="N880"/>
      <c r="O880"/>
    </row>
    <row r="881" spans="1:15" x14ac:dyDescent="0.3">
      <c r="A881"/>
      <c r="B881"/>
      <c r="C881"/>
      <c r="D881"/>
      <c r="E881"/>
      <c r="F881"/>
      <c r="G881"/>
      <c r="H881"/>
      <c r="I881"/>
      <c r="N881"/>
      <c r="O881"/>
    </row>
    <row r="882" spans="1:15" x14ac:dyDescent="0.3">
      <c r="A882"/>
      <c r="B882"/>
      <c r="C882"/>
      <c r="D882"/>
      <c r="E882"/>
      <c r="F882"/>
      <c r="G882"/>
      <c r="H882"/>
      <c r="I882"/>
      <c r="N882"/>
      <c r="O882"/>
    </row>
    <row r="883" spans="1:15" x14ac:dyDescent="0.3">
      <c r="A883"/>
      <c r="B883"/>
      <c r="C883"/>
      <c r="D883"/>
      <c r="E883"/>
      <c r="F883"/>
      <c r="G883"/>
      <c r="H883"/>
      <c r="I883"/>
      <c r="N883"/>
      <c r="O883"/>
    </row>
    <row r="884" spans="1:15" x14ac:dyDescent="0.3">
      <c r="A884"/>
      <c r="B884"/>
      <c r="C884"/>
      <c r="D884"/>
      <c r="E884"/>
      <c r="F884"/>
      <c r="G884"/>
      <c r="H884"/>
      <c r="I884"/>
      <c r="N884"/>
      <c r="O884"/>
    </row>
    <row r="885" spans="1:15" x14ac:dyDescent="0.3">
      <c r="A885"/>
      <c r="B885"/>
      <c r="C885"/>
      <c r="D885"/>
      <c r="E885"/>
      <c r="F885"/>
      <c r="G885"/>
      <c r="H885"/>
      <c r="I885"/>
      <c r="N885"/>
      <c r="O885"/>
    </row>
    <row r="886" spans="1:15" x14ac:dyDescent="0.3">
      <c r="A886"/>
      <c r="B886"/>
      <c r="C886"/>
      <c r="D886"/>
      <c r="E886"/>
      <c r="F886"/>
      <c r="G886"/>
      <c r="H886"/>
      <c r="I886"/>
      <c r="N886"/>
      <c r="O886"/>
    </row>
    <row r="887" spans="1:15" x14ac:dyDescent="0.3">
      <c r="A887"/>
      <c r="B887"/>
      <c r="C887"/>
      <c r="D887"/>
      <c r="E887"/>
      <c r="F887"/>
      <c r="G887"/>
      <c r="H887"/>
      <c r="I887"/>
      <c r="N887"/>
      <c r="O887"/>
    </row>
    <row r="888" spans="1:15" x14ac:dyDescent="0.3">
      <c r="A888"/>
      <c r="B888"/>
      <c r="C888"/>
      <c r="D888"/>
      <c r="E888"/>
      <c r="F888"/>
      <c r="G888"/>
      <c r="H888"/>
      <c r="I888"/>
      <c r="N888"/>
      <c r="O888"/>
    </row>
    <row r="889" spans="1:15" x14ac:dyDescent="0.3">
      <c r="A889"/>
      <c r="B889"/>
      <c r="C889"/>
      <c r="D889"/>
      <c r="E889"/>
      <c r="F889"/>
      <c r="G889"/>
      <c r="H889"/>
      <c r="I889"/>
      <c r="N889"/>
      <c r="O889"/>
    </row>
    <row r="890" spans="1:15" x14ac:dyDescent="0.3">
      <c r="A890"/>
      <c r="B890"/>
      <c r="C890"/>
      <c r="D890"/>
      <c r="E890"/>
      <c r="F890"/>
      <c r="G890"/>
      <c r="H890"/>
      <c r="I890"/>
      <c r="N890"/>
      <c r="O890"/>
    </row>
    <row r="891" spans="1:15" x14ac:dyDescent="0.3">
      <c r="A891"/>
      <c r="B891"/>
      <c r="C891"/>
      <c r="D891"/>
      <c r="E891"/>
      <c r="F891"/>
      <c r="G891"/>
      <c r="H891"/>
      <c r="I891"/>
      <c r="N891"/>
      <c r="O891"/>
    </row>
    <row r="892" spans="1:15" x14ac:dyDescent="0.3">
      <c r="A892"/>
      <c r="B892"/>
      <c r="C892"/>
      <c r="D892"/>
      <c r="E892"/>
      <c r="F892"/>
      <c r="G892"/>
      <c r="H892"/>
      <c r="I892"/>
      <c r="N892"/>
      <c r="O892"/>
    </row>
    <row r="893" spans="1:15" x14ac:dyDescent="0.3">
      <c r="A893"/>
      <c r="B893"/>
      <c r="C893"/>
      <c r="D893"/>
      <c r="E893"/>
      <c r="F893"/>
      <c r="G893"/>
      <c r="H893"/>
      <c r="I893"/>
      <c r="N893"/>
      <c r="O893"/>
    </row>
    <row r="894" spans="1:15" x14ac:dyDescent="0.3">
      <c r="A894"/>
      <c r="B894"/>
      <c r="C894"/>
      <c r="D894"/>
      <c r="E894"/>
      <c r="F894"/>
      <c r="G894"/>
      <c r="H894"/>
      <c r="I894"/>
      <c r="N894"/>
      <c r="O894"/>
    </row>
    <row r="895" spans="1:15" x14ac:dyDescent="0.3">
      <c r="A895"/>
      <c r="B895"/>
      <c r="C895"/>
      <c r="D895"/>
      <c r="E895"/>
      <c r="F895"/>
      <c r="G895"/>
      <c r="H895"/>
      <c r="I895"/>
      <c r="N895"/>
      <c r="O895"/>
    </row>
    <row r="896" spans="1:15" x14ac:dyDescent="0.3">
      <c r="A896"/>
      <c r="B896"/>
      <c r="C896"/>
      <c r="D896"/>
      <c r="E896"/>
      <c r="F896"/>
      <c r="G896"/>
      <c r="H896"/>
      <c r="I896"/>
      <c r="N896"/>
      <c r="O896"/>
    </row>
    <row r="897" spans="1:15" x14ac:dyDescent="0.3">
      <c r="A897"/>
      <c r="B897"/>
      <c r="C897"/>
      <c r="D897"/>
      <c r="E897"/>
      <c r="F897"/>
      <c r="G897"/>
      <c r="H897"/>
      <c r="I897"/>
      <c r="N897"/>
      <c r="O897"/>
    </row>
    <row r="898" spans="1:15" x14ac:dyDescent="0.3">
      <c r="A898"/>
      <c r="B898"/>
      <c r="C898"/>
      <c r="D898"/>
      <c r="E898"/>
      <c r="F898"/>
      <c r="G898"/>
      <c r="H898"/>
      <c r="I898"/>
      <c r="N898"/>
      <c r="O898"/>
    </row>
    <row r="899" spans="1:15" x14ac:dyDescent="0.3">
      <c r="A899"/>
      <c r="B899"/>
      <c r="C899"/>
      <c r="D899"/>
      <c r="E899"/>
      <c r="F899"/>
      <c r="G899"/>
      <c r="H899"/>
      <c r="I899"/>
      <c r="N899"/>
      <c r="O899"/>
    </row>
    <row r="900" spans="1:15" x14ac:dyDescent="0.3">
      <c r="A900"/>
      <c r="B900"/>
      <c r="C900"/>
      <c r="D900"/>
      <c r="E900"/>
      <c r="F900"/>
      <c r="G900"/>
      <c r="H900"/>
      <c r="I900"/>
      <c r="N900"/>
      <c r="O900"/>
    </row>
    <row r="901" spans="1:15" x14ac:dyDescent="0.3">
      <c r="A901"/>
      <c r="B901"/>
      <c r="C901"/>
      <c r="D901"/>
      <c r="E901"/>
      <c r="F901"/>
      <c r="G901"/>
      <c r="H901"/>
      <c r="I901"/>
      <c r="N901"/>
      <c r="O901"/>
    </row>
    <row r="902" spans="1:15" x14ac:dyDescent="0.3">
      <c r="A902"/>
      <c r="B902"/>
      <c r="C902"/>
      <c r="D902"/>
      <c r="E902"/>
      <c r="F902"/>
      <c r="G902"/>
      <c r="H902"/>
      <c r="I902"/>
      <c r="N902"/>
      <c r="O902"/>
    </row>
    <row r="903" spans="1:15" x14ac:dyDescent="0.3">
      <c r="A903"/>
      <c r="B903"/>
      <c r="C903"/>
      <c r="D903"/>
      <c r="E903"/>
      <c r="F903"/>
      <c r="G903"/>
      <c r="H903"/>
      <c r="I903"/>
      <c r="N903"/>
      <c r="O903"/>
    </row>
    <row r="904" spans="1:15" x14ac:dyDescent="0.3">
      <c r="A904"/>
      <c r="B904"/>
      <c r="C904"/>
      <c r="D904"/>
      <c r="E904"/>
      <c r="F904"/>
      <c r="G904"/>
      <c r="H904"/>
      <c r="I904"/>
      <c r="N904"/>
      <c r="O904"/>
    </row>
    <row r="905" spans="1:15" x14ac:dyDescent="0.3">
      <c r="A905"/>
      <c r="B905"/>
      <c r="C905"/>
      <c r="D905"/>
      <c r="E905"/>
      <c r="F905"/>
      <c r="G905"/>
      <c r="H905"/>
      <c r="I905"/>
      <c r="N905"/>
      <c r="O905"/>
    </row>
    <row r="906" spans="1:15" x14ac:dyDescent="0.3">
      <c r="A906"/>
      <c r="B906"/>
      <c r="C906"/>
      <c r="D906"/>
      <c r="E906"/>
      <c r="F906"/>
      <c r="G906"/>
      <c r="H906"/>
      <c r="I906"/>
      <c r="N906"/>
      <c r="O906"/>
    </row>
    <row r="907" spans="1:15" x14ac:dyDescent="0.3">
      <c r="A907"/>
      <c r="B907"/>
      <c r="C907"/>
      <c r="D907"/>
      <c r="E907"/>
      <c r="F907"/>
      <c r="G907"/>
      <c r="H907"/>
      <c r="I907"/>
      <c r="N907"/>
      <c r="O907"/>
    </row>
    <row r="908" spans="1:15" x14ac:dyDescent="0.3">
      <c r="A908"/>
      <c r="B908"/>
      <c r="C908"/>
      <c r="D908"/>
      <c r="E908"/>
      <c r="F908"/>
      <c r="G908"/>
      <c r="H908"/>
      <c r="I908"/>
      <c r="N908"/>
      <c r="O908"/>
    </row>
    <row r="909" spans="1:15" x14ac:dyDescent="0.3">
      <c r="A909"/>
      <c r="B909"/>
      <c r="C909"/>
      <c r="D909"/>
      <c r="E909"/>
      <c r="F909"/>
      <c r="G909"/>
      <c r="H909"/>
      <c r="I909"/>
      <c r="N909"/>
      <c r="O909"/>
    </row>
    <row r="910" spans="1:15" x14ac:dyDescent="0.3">
      <c r="A910"/>
      <c r="B910"/>
      <c r="C910"/>
      <c r="D910"/>
      <c r="E910"/>
      <c r="F910"/>
      <c r="G910"/>
      <c r="H910"/>
      <c r="I910"/>
      <c r="N910"/>
      <c r="O910"/>
    </row>
    <row r="911" spans="1:15" x14ac:dyDescent="0.3">
      <c r="A911"/>
      <c r="B911"/>
      <c r="C911"/>
      <c r="D911"/>
      <c r="E911"/>
      <c r="F911"/>
      <c r="G911"/>
      <c r="H911"/>
      <c r="I911"/>
      <c r="N911"/>
      <c r="O911"/>
    </row>
    <row r="912" spans="1:15" x14ac:dyDescent="0.3">
      <c r="A912"/>
      <c r="B912"/>
      <c r="C912"/>
      <c r="D912"/>
      <c r="E912"/>
      <c r="F912"/>
      <c r="G912"/>
      <c r="H912"/>
      <c r="I912"/>
      <c r="N912"/>
      <c r="O912"/>
    </row>
    <row r="913" spans="1:15" x14ac:dyDescent="0.3">
      <c r="A913"/>
      <c r="B913"/>
      <c r="C913"/>
      <c r="D913"/>
      <c r="E913"/>
      <c r="F913"/>
      <c r="G913"/>
      <c r="H913"/>
      <c r="I913"/>
      <c r="N913"/>
      <c r="O913"/>
    </row>
    <row r="914" spans="1:15" x14ac:dyDescent="0.3">
      <c r="A914"/>
      <c r="B914"/>
      <c r="C914"/>
      <c r="D914"/>
      <c r="E914"/>
      <c r="F914"/>
      <c r="G914"/>
      <c r="H914"/>
      <c r="I914"/>
      <c r="N914"/>
      <c r="O914"/>
    </row>
    <row r="915" spans="1:15" x14ac:dyDescent="0.3">
      <c r="A915"/>
      <c r="B915"/>
      <c r="C915"/>
      <c r="D915"/>
      <c r="E915"/>
      <c r="F915"/>
      <c r="G915"/>
      <c r="H915"/>
      <c r="I915"/>
      <c r="N915"/>
      <c r="O915"/>
    </row>
    <row r="916" spans="1:15" x14ac:dyDescent="0.3">
      <c r="A916"/>
      <c r="B916"/>
      <c r="C916"/>
      <c r="D916"/>
      <c r="E916"/>
      <c r="F916"/>
      <c r="G916"/>
      <c r="H916"/>
      <c r="I916"/>
      <c r="N916"/>
      <c r="O916"/>
    </row>
    <row r="917" spans="1:15" x14ac:dyDescent="0.3">
      <c r="A917"/>
      <c r="B917"/>
      <c r="C917"/>
      <c r="D917"/>
      <c r="E917"/>
      <c r="F917"/>
      <c r="G917"/>
      <c r="H917"/>
      <c r="I917"/>
      <c r="N917"/>
      <c r="O917"/>
    </row>
    <row r="918" spans="1:15" x14ac:dyDescent="0.3">
      <c r="A918"/>
      <c r="B918"/>
      <c r="C918"/>
      <c r="D918"/>
      <c r="E918"/>
      <c r="F918"/>
      <c r="G918"/>
      <c r="H918"/>
      <c r="I918"/>
      <c r="N918"/>
      <c r="O918"/>
    </row>
    <row r="919" spans="1:15" x14ac:dyDescent="0.3">
      <c r="A919"/>
      <c r="B919"/>
      <c r="C919"/>
      <c r="D919"/>
      <c r="E919"/>
      <c r="F919"/>
      <c r="G919"/>
      <c r="H919"/>
      <c r="I919"/>
      <c r="N919"/>
      <c r="O919"/>
    </row>
    <row r="920" spans="1:15" x14ac:dyDescent="0.3">
      <c r="A920"/>
      <c r="B920"/>
      <c r="C920"/>
      <c r="D920"/>
      <c r="E920"/>
      <c r="F920"/>
      <c r="G920"/>
      <c r="H920"/>
      <c r="I920"/>
      <c r="N920"/>
      <c r="O920"/>
    </row>
    <row r="921" spans="1:15" x14ac:dyDescent="0.3">
      <c r="A921"/>
      <c r="B921"/>
      <c r="C921"/>
      <c r="D921"/>
      <c r="E921"/>
      <c r="F921"/>
      <c r="G921"/>
      <c r="H921"/>
      <c r="I921"/>
      <c r="N921"/>
      <c r="O921"/>
    </row>
    <row r="922" spans="1:15" x14ac:dyDescent="0.3">
      <c r="A922"/>
      <c r="B922"/>
      <c r="C922"/>
      <c r="D922"/>
      <c r="E922"/>
      <c r="F922"/>
      <c r="G922"/>
      <c r="H922"/>
      <c r="I922"/>
      <c r="N922"/>
      <c r="O922"/>
    </row>
    <row r="923" spans="1:15" x14ac:dyDescent="0.3">
      <c r="A923"/>
      <c r="B923"/>
      <c r="C923"/>
      <c r="D923"/>
      <c r="E923"/>
      <c r="F923"/>
      <c r="G923"/>
      <c r="H923"/>
      <c r="I923"/>
      <c r="N923"/>
      <c r="O923"/>
    </row>
    <row r="924" spans="1:15" x14ac:dyDescent="0.3">
      <c r="A924"/>
      <c r="B924"/>
      <c r="C924"/>
      <c r="D924"/>
      <c r="E924"/>
      <c r="F924"/>
      <c r="G924"/>
      <c r="H924"/>
      <c r="I924"/>
      <c r="N924"/>
      <c r="O924"/>
    </row>
    <row r="925" spans="1:15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5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5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5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</row>
    <row r="1043" spans="1:15" x14ac:dyDescent="0.3">
      <c r="A1043"/>
      <c r="B1043"/>
      <c r="C1043"/>
      <c r="D1043"/>
      <c r="E1043"/>
      <c r="F1043"/>
      <c r="G1043"/>
      <c r="H1043"/>
      <c r="I1043"/>
    </row>
    <row r="1044" spans="1:15" x14ac:dyDescent="0.3">
      <c r="A1044"/>
      <c r="B1044"/>
      <c r="C1044"/>
      <c r="D1044"/>
      <c r="E1044"/>
      <c r="F1044"/>
      <c r="G1044"/>
      <c r="H1044"/>
      <c r="I1044"/>
    </row>
    <row r="1045" spans="1:15" x14ac:dyDescent="0.3">
      <c r="A1045"/>
      <c r="B1045"/>
      <c r="C1045"/>
      <c r="D1045"/>
      <c r="E1045"/>
      <c r="F1045"/>
      <c r="G1045"/>
      <c r="H1045"/>
      <c r="I1045"/>
    </row>
    <row r="1046" spans="1:15" x14ac:dyDescent="0.3">
      <c r="A1046"/>
      <c r="B1046"/>
      <c r="C1046"/>
      <c r="D1046"/>
      <c r="E1046"/>
      <c r="F1046"/>
      <c r="G1046"/>
      <c r="H1046"/>
      <c r="I1046"/>
    </row>
    <row r="1047" spans="1:15" x14ac:dyDescent="0.3">
      <c r="A1047"/>
      <c r="B1047"/>
      <c r="C1047"/>
      <c r="D1047"/>
      <c r="E1047"/>
      <c r="F1047"/>
      <c r="G1047"/>
      <c r="H1047"/>
      <c r="I1047"/>
    </row>
    <row r="1048" spans="1:15" x14ac:dyDescent="0.3">
      <c r="A1048"/>
      <c r="B1048"/>
      <c r="C1048"/>
      <c r="D1048"/>
      <c r="E1048"/>
      <c r="F1048"/>
      <c r="G1048"/>
      <c r="H1048"/>
      <c r="I1048"/>
    </row>
    <row r="1049" spans="1:15" x14ac:dyDescent="0.3">
      <c r="A1049"/>
      <c r="B1049"/>
      <c r="C1049"/>
      <c r="D1049"/>
      <c r="E1049"/>
      <c r="F1049"/>
      <c r="G1049"/>
      <c r="H1049"/>
      <c r="I1049"/>
    </row>
    <row r="1050" spans="1:15" x14ac:dyDescent="0.3">
      <c r="A1050"/>
      <c r="B1050"/>
      <c r="C1050"/>
      <c r="D1050"/>
      <c r="E1050"/>
      <c r="F1050"/>
      <c r="G1050"/>
      <c r="H1050"/>
      <c r="I1050"/>
    </row>
    <row r="1051" spans="1:15" x14ac:dyDescent="0.3">
      <c r="A1051"/>
      <c r="B1051"/>
      <c r="C1051"/>
      <c r="D1051"/>
      <c r="E1051"/>
      <c r="F1051"/>
      <c r="G1051"/>
      <c r="H1051"/>
      <c r="I1051"/>
    </row>
    <row r="1052" spans="1:15" x14ac:dyDescent="0.3">
      <c r="A1052"/>
      <c r="B1052"/>
      <c r="C1052"/>
      <c r="D1052"/>
      <c r="E1052"/>
      <c r="F1052"/>
      <c r="G1052"/>
      <c r="H1052"/>
      <c r="I1052"/>
    </row>
    <row r="1053" spans="1:15" x14ac:dyDescent="0.3">
      <c r="A1053"/>
      <c r="B1053"/>
      <c r="C1053"/>
      <c r="D1053"/>
      <c r="E1053"/>
      <c r="F1053"/>
      <c r="G1053"/>
      <c r="H1053"/>
      <c r="I1053"/>
    </row>
    <row r="1054" spans="1:15" x14ac:dyDescent="0.3">
      <c r="A1054"/>
      <c r="B1054"/>
      <c r="C1054"/>
      <c r="D1054"/>
      <c r="E1054"/>
      <c r="F1054"/>
      <c r="G1054"/>
      <c r="H1054"/>
      <c r="I1054"/>
    </row>
    <row r="1055" spans="1:15" x14ac:dyDescent="0.3">
      <c r="A1055"/>
      <c r="B1055"/>
      <c r="C1055"/>
      <c r="D1055"/>
      <c r="E1055"/>
      <c r="F1055"/>
      <c r="G1055"/>
      <c r="H1055"/>
      <c r="I1055"/>
    </row>
    <row r="1056" spans="1:15" x14ac:dyDescent="0.3">
      <c r="A1056"/>
      <c r="B1056"/>
      <c r="C1056"/>
      <c r="D1056"/>
      <c r="E1056"/>
      <c r="F1056"/>
      <c r="G1056"/>
      <c r="H1056"/>
      <c r="I1056"/>
    </row>
    <row r="1057" spans="1:9" x14ac:dyDescent="0.3">
      <c r="A1057"/>
      <c r="B1057"/>
      <c r="C1057"/>
      <c r="D1057"/>
      <c r="E1057"/>
      <c r="F1057"/>
      <c r="G1057"/>
      <c r="H1057"/>
      <c r="I1057"/>
    </row>
    <row r="1058" spans="1:9" x14ac:dyDescent="0.3">
      <c r="A1058"/>
      <c r="B1058"/>
      <c r="C1058"/>
      <c r="D1058"/>
      <c r="E1058"/>
      <c r="F1058"/>
      <c r="G1058"/>
      <c r="H1058"/>
      <c r="I1058"/>
    </row>
    <row r="1059" spans="1:9" x14ac:dyDescent="0.3">
      <c r="A1059"/>
      <c r="B1059"/>
      <c r="C1059"/>
      <c r="D1059"/>
      <c r="E1059"/>
      <c r="F1059"/>
      <c r="G1059"/>
      <c r="H1059"/>
      <c r="I1059"/>
    </row>
    <row r="1060" spans="1:9" x14ac:dyDescent="0.3">
      <c r="A1060"/>
      <c r="B1060"/>
      <c r="C1060"/>
      <c r="D1060"/>
      <c r="E1060"/>
      <c r="F1060"/>
      <c r="G1060"/>
      <c r="H1060"/>
      <c r="I1060"/>
    </row>
    <row r="1061" spans="1:9" x14ac:dyDescent="0.3">
      <c r="A1061"/>
      <c r="B1061"/>
      <c r="C1061"/>
      <c r="D1061"/>
      <c r="E1061"/>
      <c r="F1061"/>
      <c r="G1061"/>
      <c r="H1061"/>
      <c r="I1061"/>
    </row>
    <row r="1062" spans="1:9" x14ac:dyDescent="0.3">
      <c r="A1062"/>
      <c r="B1062"/>
      <c r="C1062"/>
      <c r="D1062"/>
      <c r="E1062"/>
      <c r="F1062"/>
      <c r="G1062"/>
      <c r="H1062"/>
      <c r="I1062"/>
    </row>
    <row r="1063" spans="1:9" x14ac:dyDescent="0.3">
      <c r="A1063"/>
      <c r="B1063"/>
      <c r="C1063"/>
      <c r="D1063"/>
      <c r="E1063"/>
      <c r="F1063"/>
      <c r="G1063"/>
      <c r="H1063"/>
      <c r="I1063"/>
    </row>
    <row r="1064" spans="1:9" x14ac:dyDescent="0.3">
      <c r="A1064"/>
      <c r="B1064"/>
      <c r="C1064"/>
      <c r="D1064"/>
      <c r="E1064"/>
      <c r="F1064"/>
      <c r="G1064"/>
      <c r="H1064"/>
      <c r="I1064"/>
    </row>
    <row r="1065" spans="1:9" x14ac:dyDescent="0.3">
      <c r="A1065"/>
      <c r="B1065"/>
      <c r="C1065"/>
      <c r="D1065"/>
      <c r="E1065"/>
      <c r="F1065"/>
      <c r="G1065"/>
      <c r="H1065"/>
      <c r="I1065"/>
    </row>
    <row r="1066" spans="1:9" x14ac:dyDescent="0.3">
      <c r="A1066"/>
      <c r="B1066"/>
      <c r="C1066"/>
      <c r="D1066"/>
      <c r="E1066"/>
      <c r="F1066"/>
      <c r="G1066"/>
      <c r="H1066"/>
      <c r="I1066"/>
    </row>
    <row r="1067" spans="1:9" x14ac:dyDescent="0.3">
      <c r="A1067"/>
      <c r="B1067"/>
      <c r="C1067"/>
      <c r="D1067"/>
      <c r="E1067"/>
      <c r="F1067"/>
      <c r="G1067"/>
      <c r="H1067"/>
      <c r="I1067"/>
    </row>
    <row r="1068" spans="1:9" x14ac:dyDescent="0.3">
      <c r="A1068"/>
      <c r="B1068"/>
      <c r="C1068"/>
      <c r="D1068"/>
      <c r="E1068"/>
      <c r="F1068"/>
      <c r="G1068"/>
      <c r="H1068"/>
      <c r="I1068"/>
    </row>
    <row r="1069" spans="1:9" x14ac:dyDescent="0.3">
      <c r="A1069"/>
      <c r="B1069"/>
      <c r="C1069"/>
      <c r="D1069"/>
      <c r="E1069"/>
      <c r="F1069"/>
      <c r="G1069"/>
      <c r="H1069"/>
      <c r="I1069"/>
    </row>
    <row r="1070" spans="1:9" x14ac:dyDescent="0.3">
      <c r="A1070"/>
      <c r="B1070"/>
      <c r="C1070"/>
      <c r="D1070"/>
      <c r="E1070"/>
      <c r="F1070"/>
      <c r="G1070"/>
      <c r="H1070"/>
      <c r="I1070"/>
    </row>
    <row r="1071" spans="1:9" x14ac:dyDescent="0.3">
      <c r="A1071"/>
      <c r="B1071"/>
      <c r="C1071"/>
      <c r="D1071"/>
      <c r="E1071"/>
      <c r="F1071"/>
      <c r="G1071"/>
      <c r="H1071"/>
      <c r="I1071"/>
    </row>
    <row r="1072" spans="1:9" x14ac:dyDescent="0.3">
      <c r="A1072"/>
      <c r="B1072"/>
      <c r="C1072"/>
      <c r="D1072"/>
      <c r="E1072"/>
      <c r="F1072"/>
      <c r="G1072"/>
      <c r="H1072"/>
      <c r="I1072"/>
    </row>
    <row r="1073" spans="1:9" x14ac:dyDescent="0.3">
      <c r="A1073"/>
      <c r="B1073"/>
      <c r="C1073"/>
      <c r="D1073"/>
      <c r="E1073"/>
      <c r="F1073"/>
      <c r="G1073"/>
      <c r="H1073"/>
      <c r="I1073"/>
    </row>
    <row r="1074" spans="1:9" x14ac:dyDescent="0.3">
      <c r="A1074"/>
      <c r="B1074"/>
      <c r="C1074"/>
      <c r="D1074"/>
      <c r="E1074"/>
      <c r="F1074"/>
      <c r="G1074"/>
      <c r="H1074"/>
      <c r="I1074"/>
    </row>
    <row r="1075" spans="1:9" x14ac:dyDescent="0.3">
      <c r="A1075"/>
      <c r="B1075"/>
      <c r="C1075"/>
      <c r="D1075"/>
      <c r="E1075"/>
      <c r="F1075"/>
      <c r="G1075"/>
      <c r="H1075"/>
      <c r="I1075"/>
    </row>
    <row r="1076" spans="1:9" x14ac:dyDescent="0.3">
      <c r="A1076"/>
      <c r="B1076"/>
      <c r="C1076"/>
      <c r="D1076"/>
      <c r="E1076"/>
      <c r="F1076"/>
      <c r="G1076"/>
      <c r="H1076"/>
      <c r="I1076"/>
    </row>
    <row r="1077" spans="1:9" x14ac:dyDescent="0.3">
      <c r="A1077"/>
      <c r="B1077"/>
      <c r="C1077"/>
      <c r="D1077"/>
      <c r="E1077"/>
      <c r="F1077"/>
      <c r="G1077"/>
      <c r="H1077"/>
      <c r="I1077"/>
    </row>
    <row r="1078" spans="1:9" x14ac:dyDescent="0.3">
      <c r="A1078"/>
      <c r="B1078"/>
      <c r="C1078"/>
      <c r="D1078"/>
      <c r="E1078"/>
      <c r="F1078"/>
      <c r="G1078"/>
      <c r="H1078"/>
      <c r="I1078"/>
    </row>
    <row r="1079" spans="1:9" x14ac:dyDescent="0.3">
      <c r="A1079"/>
      <c r="B1079"/>
      <c r="C1079"/>
      <c r="D1079"/>
      <c r="E1079"/>
      <c r="F1079"/>
      <c r="G1079"/>
      <c r="H1079"/>
      <c r="I1079"/>
    </row>
    <row r="1080" spans="1:9" x14ac:dyDescent="0.3">
      <c r="A1080"/>
      <c r="B1080"/>
      <c r="C1080"/>
      <c r="D1080"/>
      <c r="E1080"/>
      <c r="F1080"/>
      <c r="G1080"/>
      <c r="H1080"/>
      <c r="I1080"/>
    </row>
    <row r="1081" spans="1:9" x14ac:dyDescent="0.3">
      <c r="A1081"/>
      <c r="B1081"/>
      <c r="C1081"/>
      <c r="D1081"/>
      <c r="E1081"/>
      <c r="F1081"/>
      <c r="G1081"/>
      <c r="H1081"/>
      <c r="I1081"/>
    </row>
    <row r="1082" spans="1:9" x14ac:dyDescent="0.3">
      <c r="A1082"/>
      <c r="B1082"/>
      <c r="C1082"/>
      <c r="D1082"/>
      <c r="E1082"/>
      <c r="F1082"/>
      <c r="G1082"/>
      <c r="H1082"/>
      <c r="I1082"/>
    </row>
    <row r="1083" spans="1:9" x14ac:dyDescent="0.3">
      <c r="A1083"/>
      <c r="B1083"/>
      <c r="C1083"/>
      <c r="D1083"/>
      <c r="E1083"/>
      <c r="F1083"/>
      <c r="G1083"/>
      <c r="H1083"/>
      <c r="I1083"/>
    </row>
    <row r="1084" spans="1:9" x14ac:dyDescent="0.3">
      <c r="A1084"/>
      <c r="B1084"/>
      <c r="C1084"/>
      <c r="D1084"/>
      <c r="E1084"/>
      <c r="F1084"/>
      <c r="G1084"/>
      <c r="H1084"/>
      <c r="I1084"/>
    </row>
    <row r="1085" spans="1:9" x14ac:dyDescent="0.3">
      <c r="A1085"/>
      <c r="B1085"/>
      <c r="C1085"/>
      <c r="D1085"/>
      <c r="E1085"/>
      <c r="F1085"/>
      <c r="G1085"/>
      <c r="H1085"/>
      <c r="I1085"/>
    </row>
    <row r="1086" spans="1:9" x14ac:dyDescent="0.3">
      <c r="A1086"/>
      <c r="B1086"/>
      <c r="C1086"/>
      <c r="D1086"/>
      <c r="E1086"/>
      <c r="F1086"/>
      <c r="G1086"/>
      <c r="H1086"/>
      <c r="I1086"/>
    </row>
    <row r="1087" spans="1:9" x14ac:dyDescent="0.3">
      <c r="A1087"/>
      <c r="B1087"/>
      <c r="C1087"/>
      <c r="D1087"/>
      <c r="E1087"/>
      <c r="F1087"/>
      <c r="G1087"/>
      <c r="H1087"/>
      <c r="I1087"/>
    </row>
    <row r="1088" spans="1:9" x14ac:dyDescent="0.3">
      <c r="A1088"/>
      <c r="B1088"/>
      <c r="C1088"/>
      <c r="D1088"/>
      <c r="E1088"/>
      <c r="F1088"/>
      <c r="G1088"/>
      <c r="H1088"/>
      <c r="I1088"/>
    </row>
    <row r="1089" spans="1:9" x14ac:dyDescent="0.3">
      <c r="A1089"/>
      <c r="B1089"/>
      <c r="C1089"/>
      <c r="D1089"/>
      <c r="E1089"/>
      <c r="F1089"/>
      <c r="G1089"/>
      <c r="H1089"/>
      <c r="I1089"/>
    </row>
    <row r="1090" spans="1:9" x14ac:dyDescent="0.3">
      <c r="A1090"/>
      <c r="B1090"/>
      <c r="C1090"/>
      <c r="D1090"/>
      <c r="E1090"/>
      <c r="F1090"/>
      <c r="G1090"/>
      <c r="H1090"/>
      <c r="I1090"/>
    </row>
    <row r="1091" spans="1:9" x14ac:dyDescent="0.3">
      <c r="A1091"/>
      <c r="B1091"/>
      <c r="C1091"/>
      <c r="D1091"/>
      <c r="E1091"/>
      <c r="F1091"/>
      <c r="G1091"/>
      <c r="H1091"/>
      <c r="I1091"/>
    </row>
    <row r="1092" spans="1:9" x14ac:dyDescent="0.3">
      <c r="A1092"/>
      <c r="B1092"/>
      <c r="C1092"/>
      <c r="D1092"/>
      <c r="E1092"/>
      <c r="F1092"/>
      <c r="G1092"/>
      <c r="H1092"/>
      <c r="I1092"/>
    </row>
    <row r="1093" spans="1:9" x14ac:dyDescent="0.3">
      <c r="A1093"/>
      <c r="B1093"/>
      <c r="C1093"/>
      <c r="D1093"/>
      <c r="E1093"/>
      <c r="F1093"/>
      <c r="G1093"/>
      <c r="H1093"/>
      <c r="I1093"/>
    </row>
    <row r="1094" spans="1:9" x14ac:dyDescent="0.3">
      <c r="A1094"/>
      <c r="B1094"/>
      <c r="C1094"/>
      <c r="D1094"/>
      <c r="E1094"/>
      <c r="F1094"/>
      <c r="G1094"/>
      <c r="H1094"/>
      <c r="I1094"/>
    </row>
    <row r="1095" spans="1:9" x14ac:dyDescent="0.3">
      <c r="A1095"/>
      <c r="B1095"/>
      <c r="C1095"/>
      <c r="D1095"/>
      <c r="E1095"/>
      <c r="F1095"/>
      <c r="G1095"/>
      <c r="H1095"/>
      <c r="I1095"/>
    </row>
    <row r="1096" spans="1:9" x14ac:dyDescent="0.3">
      <c r="A1096"/>
      <c r="B1096"/>
      <c r="C1096"/>
      <c r="D1096"/>
      <c r="E1096"/>
      <c r="F1096"/>
      <c r="G1096"/>
      <c r="H1096"/>
      <c r="I1096"/>
    </row>
    <row r="1097" spans="1:9" x14ac:dyDescent="0.3">
      <c r="A1097"/>
      <c r="B1097"/>
      <c r="C1097"/>
      <c r="D1097"/>
      <c r="E1097"/>
      <c r="F1097"/>
      <c r="G1097"/>
      <c r="H1097"/>
      <c r="I1097"/>
    </row>
    <row r="1098" spans="1:9" x14ac:dyDescent="0.3">
      <c r="A1098"/>
      <c r="B1098"/>
      <c r="C1098"/>
      <c r="D1098"/>
      <c r="E1098"/>
      <c r="F1098"/>
      <c r="G1098"/>
      <c r="H1098"/>
      <c r="I1098"/>
    </row>
    <row r="1099" spans="1:9" x14ac:dyDescent="0.3">
      <c r="A1099"/>
      <c r="B1099"/>
      <c r="C1099"/>
      <c r="D1099"/>
      <c r="E1099"/>
      <c r="F1099"/>
      <c r="G1099"/>
      <c r="H1099"/>
      <c r="I1099"/>
    </row>
    <row r="1100" spans="1:9" x14ac:dyDescent="0.3">
      <c r="A1100"/>
      <c r="B1100"/>
      <c r="C1100"/>
      <c r="D1100"/>
      <c r="E1100"/>
      <c r="F1100"/>
      <c r="G1100"/>
      <c r="H1100"/>
      <c r="I1100"/>
    </row>
    <row r="1101" spans="1:9" x14ac:dyDescent="0.3">
      <c r="A1101"/>
      <c r="B1101"/>
      <c r="C1101"/>
      <c r="D1101"/>
      <c r="E1101"/>
      <c r="F1101"/>
      <c r="G1101"/>
      <c r="H1101"/>
      <c r="I1101"/>
    </row>
    <row r="1102" spans="1:9" x14ac:dyDescent="0.3">
      <c r="A1102"/>
      <c r="B1102"/>
      <c r="C1102"/>
      <c r="D1102"/>
      <c r="E1102"/>
      <c r="F1102"/>
      <c r="G1102"/>
      <c r="H1102"/>
      <c r="I1102"/>
    </row>
    <row r="1103" spans="1:9" x14ac:dyDescent="0.3">
      <c r="A1103"/>
      <c r="B1103"/>
      <c r="C1103"/>
      <c r="D1103"/>
      <c r="E1103"/>
      <c r="F1103"/>
      <c r="G1103"/>
      <c r="H1103"/>
      <c r="I1103"/>
    </row>
    <row r="1104" spans="1:9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19" x14ac:dyDescent="0.3">
      <c r="A1217"/>
      <c r="B1217"/>
      <c r="C1217"/>
      <c r="D1217"/>
      <c r="E1217"/>
      <c r="F1217"/>
      <c r="G1217"/>
      <c r="H1217"/>
      <c r="I1217"/>
    </row>
    <row r="1218" spans="1:19" x14ac:dyDescent="0.3">
      <c r="A1218"/>
      <c r="B1218"/>
      <c r="C1218"/>
      <c r="D1218"/>
      <c r="E1218"/>
      <c r="F1218"/>
      <c r="G1218"/>
      <c r="H1218"/>
      <c r="I1218"/>
    </row>
    <row r="1219" spans="1:19" x14ac:dyDescent="0.3">
      <c r="A1219"/>
      <c r="B1219"/>
      <c r="C1219"/>
      <c r="D1219"/>
      <c r="E1219"/>
      <c r="F1219"/>
      <c r="G1219"/>
      <c r="H1219"/>
      <c r="I1219"/>
    </row>
    <row r="1220" spans="1:19" x14ac:dyDescent="0.3">
      <c r="A1220"/>
      <c r="B1220"/>
      <c r="C1220"/>
      <c r="D1220"/>
      <c r="E1220"/>
      <c r="F1220"/>
      <c r="G1220"/>
      <c r="H1220"/>
      <c r="I1220"/>
    </row>
    <row r="1221" spans="1:19" x14ac:dyDescent="0.3">
      <c r="A1221"/>
      <c r="B1221"/>
      <c r="C1221"/>
      <c r="D1221"/>
      <c r="E1221"/>
      <c r="F1221"/>
      <c r="G1221"/>
      <c r="H1221"/>
      <c r="I1221"/>
    </row>
    <row r="1222" spans="1:19" x14ac:dyDescent="0.3">
      <c r="A1222"/>
      <c r="B1222"/>
      <c r="C1222"/>
      <c r="D1222"/>
      <c r="E1222"/>
      <c r="F1222"/>
      <c r="G1222"/>
      <c r="H1222"/>
      <c r="I1222"/>
    </row>
    <row r="1223" spans="1:19" x14ac:dyDescent="0.3">
      <c r="A1223"/>
      <c r="B1223"/>
      <c r="C1223"/>
      <c r="D1223"/>
      <c r="E1223"/>
      <c r="F1223"/>
      <c r="G1223"/>
      <c r="H1223"/>
      <c r="I1223"/>
    </row>
    <row r="1224" spans="1:19" x14ac:dyDescent="0.3">
      <c r="P1224" s="1" t="e">
        <f t="shared" ref="P1224:P1241" si="57">(B1206+Q$35)/P$35</f>
        <v>#DIV/0!</v>
      </c>
      <c r="Q1224" s="1" t="e">
        <f t="shared" ref="Q1224:Q1241" si="58">(C1206+Q$35)/P$35</f>
        <v>#DIV/0!</v>
      </c>
      <c r="R1224" s="1" t="e">
        <f t="shared" ref="R1224:R1241" si="59">(D1206+Q$37)/P$37</f>
        <v>#DIV/0!</v>
      </c>
      <c r="S1224" s="1" t="e">
        <f t="shared" ref="S1224:S1241" si="60">(E1206+Q$38)/P$38</f>
        <v>#DIV/0!</v>
      </c>
    </row>
    <row r="1225" spans="1:19" x14ac:dyDescent="0.3">
      <c r="P1225" s="1" t="e">
        <f t="shared" si="57"/>
        <v>#DIV/0!</v>
      </c>
      <c r="Q1225" s="1" t="e">
        <f t="shared" si="58"/>
        <v>#DIV/0!</v>
      </c>
      <c r="R1225" s="1" t="e">
        <f t="shared" si="59"/>
        <v>#DIV/0!</v>
      </c>
      <c r="S1225" s="1" t="e">
        <f t="shared" si="60"/>
        <v>#DIV/0!</v>
      </c>
    </row>
    <row r="1226" spans="1:19" x14ac:dyDescent="0.3">
      <c r="P1226" s="1" t="e">
        <f t="shared" si="57"/>
        <v>#DIV/0!</v>
      </c>
      <c r="Q1226" s="1" t="e">
        <f t="shared" si="58"/>
        <v>#DIV/0!</v>
      </c>
      <c r="R1226" s="1" t="e">
        <f t="shared" si="59"/>
        <v>#DIV/0!</v>
      </c>
      <c r="S1226" s="1" t="e">
        <f t="shared" si="60"/>
        <v>#DIV/0!</v>
      </c>
    </row>
    <row r="1227" spans="1:19" x14ac:dyDescent="0.3">
      <c r="P1227" s="1" t="e">
        <f t="shared" si="57"/>
        <v>#DIV/0!</v>
      </c>
      <c r="Q1227" s="1" t="e">
        <f t="shared" si="58"/>
        <v>#DIV/0!</v>
      </c>
      <c r="R1227" s="1" t="e">
        <f t="shared" si="59"/>
        <v>#DIV/0!</v>
      </c>
      <c r="S1227" s="1" t="e">
        <f t="shared" si="60"/>
        <v>#DIV/0!</v>
      </c>
    </row>
    <row r="1228" spans="1:19" x14ac:dyDescent="0.3">
      <c r="P1228" s="1" t="e">
        <f t="shared" si="57"/>
        <v>#DIV/0!</v>
      </c>
      <c r="Q1228" s="1" t="e">
        <f t="shared" si="58"/>
        <v>#DIV/0!</v>
      </c>
      <c r="R1228" s="1" t="e">
        <f t="shared" si="59"/>
        <v>#DIV/0!</v>
      </c>
      <c r="S1228" s="1" t="e">
        <f t="shared" si="60"/>
        <v>#DIV/0!</v>
      </c>
    </row>
    <row r="1229" spans="1:19" x14ac:dyDescent="0.3">
      <c r="P1229" s="1" t="e">
        <f t="shared" si="57"/>
        <v>#DIV/0!</v>
      </c>
      <c r="Q1229" s="1" t="e">
        <f t="shared" si="58"/>
        <v>#DIV/0!</v>
      </c>
      <c r="R1229" s="1" t="e">
        <f t="shared" si="59"/>
        <v>#DIV/0!</v>
      </c>
      <c r="S1229" s="1" t="e">
        <f t="shared" si="60"/>
        <v>#DIV/0!</v>
      </c>
    </row>
    <row r="1230" spans="1:19" x14ac:dyDescent="0.3">
      <c r="P1230" s="1" t="e">
        <f t="shared" si="57"/>
        <v>#DIV/0!</v>
      </c>
      <c r="Q1230" s="1" t="e">
        <f t="shared" si="58"/>
        <v>#DIV/0!</v>
      </c>
      <c r="R1230" s="1" t="e">
        <f t="shared" si="59"/>
        <v>#DIV/0!</v>
      </c>
      <c r="S1230" s="1" t="e">
        <f t="shared" si="60"/>
        <v>#DIV/0!</v>
      </c>
    </row>
    <row r="1231" spans="1:19" x14ac:dyDescent="0.3">
      <c r="P1231" s="1" t="e">
        <f t="shared" si="57"/>
        <v>#DIV/0!</v>
      </c>
      <c r="Q1231" s="1" t="e">
        <f t="shared" si="58"/>
        <v>#DIV/0!</v>
      </c>
      <c r="R1231" s="1" t="e">
        <f t="shared" si="59"/>
        <v>#DIV/0!</v>
      </c>
      <c r="S1231" s="1" t="e">
        <f t="shared" si="60"/>
        <v>#DIV/0!</v>
      </c>
    </row>
    <row r="1232" spans="1:19" x14ac:dyDescent="0.3">
      <c r="P1232" s="1" t="e">
        <f t="shared" si="57"/>
        <v>#DIV/0!</v>
      </c>
      <c r="Q1232" s="1" t="e">
        <f t="shared" si="58"/>
        <v>#DIV/0!</v>
      </c>
      <c r="R1232" s="1" t="e">
        <f t="shared" si="59"/>
        <v>#DIV/0!</v>
      </c>
      <c r="S1232" s="1" t="e">
        <f t="shared" si="60"/>
        <v>#DIV/0!</v>
      </c>
    </row>
    <row r="1233" spans="16:19" x14ac:dyDescent="0.3">
      <c r="P1233" s="1" t="e">
        <f t="shared" si="57"/>
        <v>#DIV/0!</v>
      </c>
      <c r="Q1233" s="1" t="e">
        <f t="shared" si="58"/>
        <v>#DIV/0!</v>
      </c>
      <c r="R1233" s="1" t="e">
        <f t="shared" si="59"/>
        <v>#DIV/0!</v>
      </c>
      <c r="S1233" s="1" t="e">
        <f t="shared" si="60"/>
        <v>#DIV/0!</v>
      </c>
    </row>
    <row r="1234" spans="16:19" x14ac:dyDescent="0.3">
      <c r="P1234" s="1" t="e">
        <f t="shared" si="57"/>
        <v>#DIV/0!</v>
      </c>
      <c r="Q1234" s="1" t="e">
        <f t="shared" si="58"/>
        <v>#DIV/0!</v>
      </c>
      <c r="R1234" s="1" t="e">
        <f t="shared" si="59"/>
        <v>#DIV/0!</v>
      </c>
      <c r="S1234" s="1" t="e">
        <f t="shared" si="60"/>
        <v>#DIV/0!</v>
      </c>
    </row>
    <row r="1235" spans="16:19" x14ac:dyDescent="0.3">
      <c r="P1235" s="1" t="e">
        <f t="shared" si="57"/>
        <v>#DIV/0!</v>
      </c>
      <c r="Q1235" s="1" t="e">
        <f t="shared" si="58"/>
        <v>#DIV/0!</v>
      </c>
      <c r="R1235" s="1" t="e">
        <f t="shared" si="59"/>
        <v>#DIV/0!</v>
      </c>
      <c r="S1235" s="1" t="e">
        <f t="shared" si="60"/>
        <v>#DIV/0!</v>
      </c>
    </row>
    <row r="1236" spans="16:19" x14ac:dyDescent="0.3">
      <c r="P1236" s="1" t="e">
        <f t="shared" si="57"/>
        <v>#DIV/0!</v>
      </c>
      <c r="Q1236" s="1" t="e">
        <f t="shared" si="58"/>
        <v>#DIV/0!</v>
      </c>
      <c r="R1236" s="1" t="e">
        <f t="shared" si="59"/>
        <v>#DIV/0!</v>
      </c>
      <c r="S1236" s="1" t="e">
        <f t="shared" si="60"/>
        <v>#DIV/0!</v>
      </c>
    </row>
    <row r="1237" spans="16:19" x14ac:dyDescent="0.3">
      <c r="P1237" s="1" t="e">
        <f t="shared" si="57"/>
        <v>#DIV/0!</v>
      </c>
      <c r="Q1237" s="1" t="e">
        <f t="shared" si="58"/>
        <v>#DIV/0!</v>
      </c>
      <c r="R1237" s="1" t="e">
        <f t="shared" si="59"/>
        <v>#DIV/0!</v>
      </c>
      <c r="S1237" s="1" t="e">
        <f t="shared" si="60"/>
        <v>#DIV/0!</v>
      </c>
    </row>
    <row r="1238" spans="16:19" x14ac:dyDescent="0.3">
      <c r="P1238" s="1" t="e">
        <f t="shared" si="57"/>
        <v>#DIV/0!</v>
      </c>
      <c r="Q1238" s="1" t="e">
        <f t="shared" si="58"/>
        <v>#DIV/0!</v>
      </c>
      <c r="R1238" s="1" t="e">
        <f t="shared" si="59"/>
        <v>#DIV/0!</v>
      </c>
      <c r="S1238" s="1" t="e">
        <f t="shared" si="60"/>
        <v>#DIV/0!</v>
      </c>
    </row>
    <row r="1239" spans="16:19" x14ac:dyDescent="0.3">
      <c r="P1239" s="1" t="e">
        <f t="shared" si="57"/>
        <v>#DIV/0!</v>
      </c>
      <c r="Q1239" s="1" t="e">
        <f t="shared" si="58"/>
        <v>#DIV/0!</v>
      </c>
      <c r="R1239" s="1" t="e">
        <f t="shared" si="59"/>
        <v>#DIV/0!</v>
      </c>
      <c r="S1239" s="1" t="e">
        <f t="shared" si="60"/>
        <v>#DIV/0!</v>
      </c>
    </row>
    <row r="1240" spans="16:19" x14ac:dyDescent="0.3">
      <c r="P1240" s="1" t="e">
        <f t="shared" si="57"/>
        <v>#DIV/0!</v>
      </c>
      <c r="Q1240" s="1" t="e">
        <f t="shared" si="58"/>
        <v>#DIV/0!</v>
      </c>
      <c r="R1240" s="1" t="e">
        <f t="shared" si="59"/>
        <v>#DIV/0!</v>
      </c>
      <c r="S1240" s="1" t="e">
        <f t="shared" si="60"/>
        <v>#DIV/0!</v>
      </c>
    </row>
    <row r="1241" spans="16:19" x14ac:dyDescent="0.3">
      <c r="P1241" s="1" t="e">
        <f t="shared" si="57"/>
        <v>#DIV/0!</v>
      </c>
      <c r="Q1241" s="1" t="e">
        <f t="shared" si="58"/>
        <v>#DIV/0!</v>
      </c>
      <c r="R1241" s="1" t="e">
        <f t="shared" si="59"/>
        <v>#DIV/0!</v>
      </c>
      <c r="S1241" s="1" t="e">
        <f t="shared" si="60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4A23-9620-4970-974F-5867DA5967D4}">
  <dimension ref="A1:AZ1837"/>
  <sheetViews>
    <sheetView topLeftCell="AD1" zoomScale="85" zoomScaleNormal="85" workbookViewId="0">
      <selection activeCell="AN40" sqref="AN40"/>
    </sheetView>
  </sheetViews>
  <sheetFormatPr defaultRowHeight="14.4" x14ac:dyDescent="0.3"/>
  <cols>
    <col min="1" max="1" width="14.33203125" style="1" bestFit="1" customWidth="1"/>
    <col min="2" max="5" width="8.88671875" style="1"/>
    <col min="6" max="6" width="16" style="1" customWidth="1"/>
    <col min="7" max="7" width="12.21875" style="1" bestFit="1" customWidth="1"/>
    <col min="8" max="8" width="15.21875" style="1" customWidth="1"/>
    <col min="9" max="14" width="8.88671875" style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3320312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/>
    <col min="32" max="32" width="15.6640625" style="1" customWidth="1"/>
    <col min="33" max="36" width="8.88671875" style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/>
    <col min="41" max="41" width="10.6640625" style="1" customWidth="1"/>
    <col min="42" max="42" width="8.88671875" style="1"/>
    <col min="43" max="43" width="19.5546875" style="1" bestFit="1" customWidth="1"/>
    <col min="44" max="44" width="8.88671875" style="1"/>
    <col min="45" max="45" width="14.44140625" style="1" customWidth="1"/>
    <col min="46" max="46" width="8.88671875" style="1"/>
    <col min="47" max="47" width="12.44140625" style="1" customWidth="1"/>
    <col min="48" max="49" width="12.44140625" style="1" bestFit="1" customWidth="1"/>
    <col min="50" max="16384" width="8.88671875" style="1"/>
  </cols>
  <sheetData>
    <row r="1" spans="1:52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52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52" x14ac:dyDescent="0.3">
      <c r="D3" s="2" t="s">
        <v>8</v>
      </c>
      <c r="E3" s="3">
        <v>391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52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52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2.5</v>
      </c>
      <c r="L5" s="3">
        <f>0.0388</f>
        <v>3.8800000000000001E-2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</row>
    <row r="6" spans="1:52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6">
        <v>1</v>
      </c>
      <c r="P6" s="7">
        <f>AVERAGE(B25:B74)</f>
        <v>71.254094320000021</v>
      </c>
      <c r="Q6" s="8">
        <f>STDEV(B25:B74)</f>
        <v>1.2822020626902068E-2</v>
      </c>
      <c r="R6" s="9">
        <f>AVERAGE(C25:C74)</f>
        <v>71.687720679999984</v>
      </c>
      <c r="S6" s="10">
        <f>STDEV(C25:C74)</f>
        <v>1.1704975117775827E-2</v>
      </c>
      <c r="T6" s="11">
        <f>AVERAGE(D25:D74)</f>
        <v>72.153224559999998</v>
      </c>
      <c r="U6" s="12">
        <f>STDEV(D25:D74)</f>
        <v>1.2277926920937611E-2</v>
      </c>
      <c r="V6" s="13">
        <f>AVERAGE(E25:E74)</f>
        <v>65.758293080000001</v>
      </c>
      <c r="W6" s="14">
        <f>STDEV(E25:E74)</f>
        <v>1.6726330719570661E-2</v>
      </c>
      <c r="X6" s="15">
        <f>AVERAGE(F25:F74)</f>
        <v>52.431909040000008</v>
      </c>
      <c r="Y6" s="16">
        <f>STDEV(F25:F74)</f>
        <v>0.25241763975739112</v>
      </c>
      <c r="Z6" s="17">
        <f>AVERAGE(G25:G74)</f>
        <v>49.991019279999989</v>
      </c>
      <c r="AA6" s="18">
        <f>AVERAGE(H25:H74)</f>
        <v>50.018890839999983</v>
      </c>
      <c r="AB6" s="6">
        <f>(T6-R6)/(R6-P6)</f>
        <v>1.0735137965322366</v>
      </c>
      <c r="AC6" s="6">
        <f>(3*P6- 4*R6 +T6)/(2*0.005)</f>
        <v>-83.537519999988774</v>
      </c>
      <c r="AD6" s="6">
        <f>-(E$3)*AC6*(1/10000)</f>
        <v>3.2663170319995611</v>
      </c>
      <c r="AE6" s="6">
        <f>(V6)-((0.006*AD6)/(0.0001*391))</f>
        <v>65.257067960000072</v>
      </c>
      <c r="AF6" s="19">
        <v>82</v>
      </c>
      <c r="AG6" s="19">
        <v>58</v>
      </c>
      <c r="AH6" s="6">
        <f>AG6-X6</f>
        <v>5.5680909599999922</v>
      </c>
      <c r="AI6" s="6">
        <f>AE6-AG6</f>
        <v>7.2570679600000716</v>
      </c>
      <c r="AJ6" s="6">
        <f>ABS(AD6*10/AI6)</f>
        <v>4.500877007081975</v>
      </c>
      <c r="AK6" s="6">
        <f>(AE6-50)</f>
        <v>15.257067960000072</v>
      </c>
      <c r="AL6" s="6">
        <f>AD6*3.45*3.2</f>
        <v>36.060140033275154</v>
      </c>
      <c r="AM6" s="6">
        <f>AK6/AL6</f>
        <v>0.42310062983453012</v>
      </c>
      <c r="AN6" s="6">
        <f>AA6-Z6</f>
        <v>2.7871559999994133E-2</v>
      </c>
      <c r="AO6" s="6">
        <f>L$5</f>
        <v>3.8800000000000001E-2</v>
      </c>
      <c r="AP6" s="6">
        <f>AO6*AN6*K$8</f>
        <v>4.5278910027350472</v>
      </c>
      <c r="AQ6" s="6">
        <f>SQRT((($E$2^2)/($E$3^2))+(($E$4^2)/($E$1^2))+(9*($E$5^2)/(AR6^2))+(16*($E$6^2)/(AR6^2))+(($E$7^2)/(AR6^2)))</f>
        <v>0.28092960013279333</v>
      </c>
      <c r="AR6" s="6">
        <f>3*P6- 4*R6 +T6</f>
        <v>-0.83537519999988774</v>
      </c>
      <c r="AS6" s="6">
        <f>SQRT((($E$2^2)/(E$3^2))+(($E$4^2)/($E$1^2))+(9*(Q6^2)/(AR6^2))+(16*(S6^2)/(AR6^2))+((U6^2)/(AR6^2)))</f>
        <v>7.7532779944421717E-2</v>
      </c>
      <c r="AT6" s="6">
        <f>SQRT(AS6^2 + AQ6^2)</f>
        <v>0.29143227720463855</v>
      </c>
      <c r="AU6" s="6">
        <f>AT6*100</f>
        <v>29.143227720463855</v>
      </c>
      <c r="AV6" s="6">
        <f>AT6*AD6</f>
        <v>0.95191021070792836</v>
      </c>
      <c r="AW6" s="6">
        <f t="shared" ref="AW6:AW30" si="0">AT6*AL6</f>
        <v>10.509088726215529</v>
      </c>
      <c r="AX6" s="20">
        <f xml:space="preserve"> (AE6-X6)/ AL6</f>
        <v>0.35566026388598088</v>
      </c>
      <c r="AY6" s="20">
        <f>(X6-(AVERAGE(Z6:AA6)))/AL6</f>
        <v>6.7302954945835089E-2</v>
      </c>
      <c r="AZ6" s="20">
        <f xml:space="preserve"> SUM(AX6:AY6)</f>
        <v>0.42296321883181598</v>
      </c>
    </row>
    <row r="7" spans="1:52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6">
        <v>2</v>
      </c>
      <c r="P7" s="7">
        <f>AVERAGE(B75:B124)</f>
        <v>81.210015479999996</v>
      </c>
      <c r="Q7" s="8">
        <f>STDEV(B75:B124)</f>
        <v>1.1366892735430336E-2</v>
      </c>
      <c r="R7" s="9">
        <f>AVERAGE(C75:C124)</f>
        <v>81.804113159999972</v>
      </c>
      <c r="S7" s="10">
        <f>STDEV(C75:C124)</f>
        <v>9.6339172683319318E-3</v>
      </c>
      <c r="T7" s="11">
        <f>AVERAGE(D75:D124)</f>
        <v>82.45447188</v>
      </c>
      <c r="U7" s="12">
        <f>STDEV(D75:D124)</f>
        <v>9.1531232734389859E-3</v>
      </c>
      <c r="V7" s="13">
        <f>AVERAGE(E75:E124)</f>
        <v>73.525597680000004</v>
      </c>
      <c r="W7" s="14">
        <f>STDEV(E75:E124)</f>
        <v>2.2218986125989191E-2</v>
      </c>
      <c r="X7" s="15">
        <f>AVERAGE(F75:F124)</f>
        <v>55.844228199999996</v>
      </c>
      <c r="Y7" s="16">
        <f>STDEV(F75:F124)</f>
        <v>0.49377620843678155</v>
      </c>
      <c r="Z7" s="17">
        <f>AVERAGE(G75:G124)</f>
        <v>50.003545659999979</v>
      </c>
      <c r="AA7" s="18">
        <f>AVERAGE(H75:H124)</f>
        <v>50.218053779999984</v>
      </c>
      <c r="AB7" s="6">
        <f t="shared" ref="AB7:AB30" si="1">(T7-R7)/(R7-P7)</f>
        <v>1.0946999826696084</v>
      </c>
      <c r="AC7" s="6">
        <f>(3*P7- 4*R7 +T7)/(2*0.005)</f>
        <v>-113.19343199998855</v>
      </c>
      <c r="AD7" s="6">
        <f t="shared" ref="AD7:AD30" si="2">-(E$3)*AC7*(1/10000)</f>
        <v>4.4258631911995527</v>
      </c>
      <c r="AE7" s="6">
        <f>(V7)-((0.006*AD7)/(0.0001*391))</f>
        <v>72.846437088000073</v>
      </c>
      <c r="AF7" s="19">
        <v>78</v>
      </c>
      <c r="AG7" s="19">
        <v>62</v>
      </c>
      <c r="AH7" s="6">
        <f t="shared" ref="AH7:AH30" si="3">AG7-X7</f>
        <v>6.1557718000000037</v>
      </c>
      <c r="AI7" s="6">
        <f t="shared" ref="AI7:AI30" si="4">AE7-AG7</f>
        <v>10.846437088000073</v>
      </c>
      <c r="AJ7" s="6">
        <f t="shared" ref="AJ7:AJ30" si="5">ABS(AD7*10/AI7)</f>
        <v>4.0804765244949373</v>
      </c>
      <c r="AK7" s="6">
        <f t="shared" ref="AK7:AK30" si="6">(AE7-50)</f>
        <v>22.846437088000073</v>
      </c>
      <c r="AL7" s="6">
        <f t="shared" ref="AL7:AL30" si="7">AD7*3.45*3.2</f>
        <v>48.861529630843066</v>
      </c>
      <c r="AM7" s="6">
        <f t="shared" ref="AM7:AM30" si="8">AK7/AL7</f>
        <v>0.46757515085198276</v>
      </c>
      <c r="AN7" s="6">
        <f t="shared" ref="AN7:AN30" si="9">AA7-Z7</f>
        <v>0.21450812000000496</v>
      </c>
      <c r="AO7" s="6">
        <f t="shared" ref="AO7:AO30" si="10">L$5</f>
        <v>3.8800000000000001E-2</v>
      </c>
      <c r="AP7" s="6">
        <f t="shared" ref="AP7:AP30" si="11">AO7*AN7*K$8</f>
        <v>34.848045339472804</v>
      </c>
      <c r="AQ7" s="6">
        <f t="shared" ref="AQ7:AQ30" si="12">SQRT((($E$2^2)/($E$3^2))+(($E$4^2)/($E$1^2))+(9*($E$5^2)/(AR7^2))+(16*($E$6^2)/(AR7^2))+(($E$7^2)/(AR7^2)))</f>
        <v>0.20791333041218155</v>
      </c>
      <c r="AR7" s="6">
        <f t="shared" ref="AR7:AR30" si="13">3*P7- 4*R7 +T7</f>
        <v>-1.1319343199998855</v>
      </c>
      <c r="AS7" s="6">
        <f t="shared" ref="AS7:AS30" si="14">SQRT((($E$2^2)/(E$3^2))+(($E$4^2)/($E$1^2))+(9*(Q7^2)/(AR7^2))+(16*(S7^2)/(AR7^2))+((U7^2)/(AR7^2)))</f>
        <v>5.163127484433739E-2</v>
      </c>
      <c r="AT7" s="6">
        <f t="shared" ref="AT7:AT30" si="15">SQRT(AS7^2 + AQ7^2)</f>
        <v>0.2142282462821756</v>
      </c>
      <c r="AU7" s="6">
        <f t="shared" ref="AU7:AU30" si="16">AT7*100</f>
        <v>21.422824628217558</v>
      </c>
      <c r="AV7" s="6">
        <f t="shared" ref="AV7:AV30" si="17">AT7*AD7</f>
        <v>0.94814490973551346</v>
      </c>
      <c r="AW7" s="6">
        <f t="shared" si="0"/>
        <v>10.467519803480069</v>
      </c>
      <c r="AX7" s="20">
        <f t="shared" ref="AX7:AX30" si="18" xml:space="preserve"> (AE7-X7)/ AL7</f>
        <v>0.34796718433611423</v>
      </c>
      <c r="AY7" s="20">
        <f t="shared" ref="AY7:AY30" si="19">(X7-(AVERAGE(Z7:AA7)))/AL7</f>
        <v>0.11734033959470805</v>
      </c>
      <c r="AZ7" s="20">
        <f t="shared" ref="AZ7:AZ30" si="20" xml:space="preserve"> SUM(AX7:AY7)</f>
        <v>0.46530752393082231</v>
      </c>
    </row>
    <row r="8" spans="1:52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6">
        <v>3</v>
      </c>
      <c r="P8" s="7">
        <f>AVERAGE(B125:B174)</f>
        <v>89.53966672</v>
      </c>
      <c r="Q8" s="8">
        <f>STDEV(B125:B174)</f>
        <v>2.3014109685449872E-2</v>
      </c>
      <c r="R8" s="9">
        <f>AVERAGE(C125:C174)</f>
        <v>90.38040583999998</v>
      </c>
      <c r="S8" s="10">
        <f>STDEV(C125:C174)</f>
        <v>2.0016881024102165E-2</v>
      </c>
      <c r="T8" s="11">
        <f>AVERAGE(D125:D174)</f>
        <v>91.295968599999995</v>
      </c>
      <c r="U8" s="12">
        <f>STDEV(D125:D174)</f>
        <v>1.1892883637895634E-2</v>
      </c>
      <c r="V8" s="13">
        <f>AVERAGE(E125:E174)</f>
        <v>79.600514840000002</v>
      </c>
      <c r="W8" s="14">
        <f>STDEV(E125:E174)</f>
        <v>4.8891896183131167E-2</v>
      </c>
      <c r="X8" s="15">
        <f>AVERAGE(F125:F174)</f>
        <v>57.804813760000016</v>
      </c>
      <c r="Y8" s="16">
        <f>STDEV(F125:F174)</f>
        <v>0.37031436409560597</v>
      </c>
      <c r="Z8" s="17">
        <f>AVERAGE(G125:G174)</f>
        <v>50.016316979999992</v>
      </c>
      <c r="AA8" s="18">
        <f>AVERAGE(H125:H174)</f>
        <v>50.391178839999974</v>
      </c>
      <c r="AB8" s="6">
        <f t="shared" si="1"/>
        <v>1.0889974526224442</v>
      </c>
      <c r="AC8" s="6">
        <f t="shared" ref="AC8:AC30" si="21">(3*P8- 4*R8 +T8)/(2*0.005)</f>
        <v>-160.6654599999942</v>
      </c>
      <c r="AD8" s="6">
        <f t="shared" si="2"/>
        <v>6.2820194859997738</v>
      </c>
      <c r="AE8" s="6">
        <f t="shared" ref="AE8:AE30" si="22">(V8)-((0.006*AD8)/(0.0001*391))</f>
        <v>78.636522080000034</v>
      </c>
      <c r="AF8" s="19">
        <v>78</v>
      </c>
      <c r="AG8" s="19">
        <v>62</v>
      </c>
      <c r="AH8" s="6">
        <f t="shared" si="3"/>
        <v>4.195186239999984</v>
      </c>
      <c r="AI8" s="6">
        <f t="shared" si="4"/>
        <v>16.636522080000034</v>
      </c>
      <c r="AJ8" s="6">
        <f t="shared" si="5"/>
        <v>3.7760413238965636</v>
      </c>
      <c r="AK8" s="6">
        <f t="shared" si="6"/>
        <v>28.636522080000034</v>
      </c>
      <c r="AL8" s="6">
        <f t="shared" si="7"/>
        <v>69.353495125437504</v>
      </c>
      <c r="AM8" s="6">
        <f t="shared" si="8"/>
        <v>0.41290668953606519</v>
      </c>
      <c r="AN8" s="6">
        <f t="shared" si="9"/>
        <v>0.37486185999998156</v>
      </c>
      <c r="AO8" s="6">
        <f t="shared" si="10"/>
        <v>3.8800000000000001E-2</v>
      </c>
      <c r="AP8" s="6">
        <f t="shared" si="11"/>
        <v>60.898408383413006</v>
      </c>
      <c r="AQ8" s="6">
        <f t="shared" si="12"/>
        <v>0.14739576934175064</v>
      </c>
      <c r="AR8" s="6">
        <f t="shared" si="13"/>
        <v>-1.606654599999942</v>
      </c>
      <c r="AS8" s="6">
        <f t="shared" si="14"/>
        <v>7.0134108358020586E-2</v>
      </c>
      <c r="AT8" s="6">
        <f t="shared" si="15"/>
        <v>0.16323083647099629</v>
      </c>
      <c r="AU8" s="6">
        <f t="shared" si="16"/>
        <v>16.323083647099629</v>
      </c>
      <c r="AV8" s="6">
        <f t="shared" si="17"/>
        <v>1.0254192954268413</v>
      </c>
      <c r="AW8" s="6">
        <f t="shared" si="0"/>
        <v>11.320629021512328</v>
      </c>
      <c r="AX8" s="20">
        <f t="shared" si="18"/>
        <v>0.30036998542499344</v>
      </c>
      <c r="AY8" s="20">
        <f t="shared" si="19"/>
        <v>0.10959888663508915</v>
      </c>
      <c r="AZ8" s="20">
        <f t="shared" si="20"/>
        <v>0.40996887206008259</v>
      </c>
    </row>
    <row r="9" spans="1:52" x14ac:dyDescent="0.25">
      <c r="O9" s="6">
        <v>4</v>
      </c>
      <c r="P9" s="7">
        <f>AVERAGE(B175:B224)</f>
        <v>95.452995279999953</v>
      </c>
      <c r="Q9" s="8">
        <f>STDEV(B175:B224)</f>
        <v>1.3678198574610664E-2</v>
      </c>
      <c r="R9" s="9">
        <f>AVERAGE(C175:C224)</f>
        <v>96.572873919999978</v>
      </c>
      <c r="S9" s="10">
        <f>STDEV(C175:C224)</f>
        <v>1.5398778394220533E-2</v>
      </c>
      <c r="T9" s="11">
        <f>AVERAGE(D175:D224)</f>
        <v>97.807664860000045</v>
      </c>
      <c r="U9" s="12">
        <f>STDEV(D175:D224)</f>
        <v>1.6059742716583846E-2</v>
      </c>
      <c r="V9" s="13">
        <f>AVERAGE(E175:E224)</f>
        <v>82.386054560000005</v>
      </c>
      <c r="W9" s="14">
        <f>STDEV(E175:E224)</f>
        <v>4.8867317294880037E-2</v>
      </c>
      <c r="X9" s="15">
        <f>AVERAGE(F175:F224)</f>
        <v>57.925575860000009</v>
      </c>
      <c r="Y9" s="16">
        <f>STDEV(F175:F224)</f>
        <v>0.41032418999511</v>
      </c>
      <c r="Z9" s="17">
        <f>AVERAGE(G175:G224)</f>
        <v>50.001757639999987</v>
      </c>
      <c r="AA9" s="18">
        <f>AVERAGE(H175:H224)</f>
        <v>50.562615920000006</v>
      </c>
      <c r="AB9" s="6">
        <f t="shared" si="1"/>
        <v>1.1026113865338483</v>
      </c>
      <c r="AC9" s="6">
        <f t="shared" si="21"/>
        <v>-212.48449800000344</v>
      </c>
      <c r="AD9" s="6">
        <f t="shared" si="2"/>
        <v>8.3081438718001355</v>
      </c>
      <c r="AE9" s="6">
        <f t="shared" si="22"/>
        <v>81.111147571999979</v>
      </c>
      <c r="AF9" s="19">
        <v>74</v>
      </c>
      <c r="AG9" s="19">
        <v>65</v>
      </c>
      <c r="AH9" s="6">
        <f t="shared" si="3"/>
        <v>7.0744241399999908</v>
      </c>
      <c r="AI9" s="6">
        <f t="shared" si="4"/>
        <v>16.111147571999979</v>
      </c>
      <c r="AJ9" s="6">
        <f t="shared" si="5"/>
        <v>5.1567672846837391</v>
      </c>
      <c r="AK9" s="6">
        <f t="shared" si="6"/>
        <v>31.111147571999979</v>
      </c>
      <c r="AL9" s="6">
        <f t="shared" si="7"/>
        <v>91.721908344673508</v>
      </c>
      <c r="AM9" s="6">
        <f t="shared" si="8"/>
        <v>0.33918992892178168</v>
      </c>
      <c r="AN9" s="6">
        <f t="shared" si="9"/>
        <v>0.56085828000001925</v>
      </c>
      <c r="AO9" s="6">
        <f t="shared" si="10"/>
        <v>3.8800000000000001E-2</v>
      </c>
      <c r="AP9" s="6">
        <f t="shared" si="11"/>
        <v>91.11456839237114</v>
      </c>
      <c r="AQ9" s="6">
        <f t="shared" si="12"/>
        <v>0.11247104475460407</v>
      </c>
      <c r="AR9" s="6">
        <f t="shared" si="13"/>
        <v>-2.1248449800000344</v>
      </c>
      <c r="AS9" s="6">
        <f t="shared" si="14"/>
        <v>4.24758912376242E-2</v>
      </c>
      <c r="AT9" s="6">
        <f t="shared" si="15"/>
        <v>0.12022452846496272</v>
      </c>
      <c r="AU9" s="6">
        <f t="shared" si="16"/>
        <v>12.022452846496272</v>
      </c>
      <c r="AV9" s="6">
        <f t="shared" si="17"/>
        <v>0.99884267940624094</v>
      </c>
      <c r="AW9" s="6">
        <f t="shared" si="0"/>
        <v>11.027223180644901</v>
      </c>
      <c r="AX9" s="20">
        <f t="shared" si="18"/>
        <v>0.25278117442643033</v>
      </c>
      <c r="AY9" s="20">
        <f t="shared" si="19"/>
        <v>8.3332207298583552E-2</v>
      </c>
      <c r="AZ9" s="20">
        <f t="shared" si="20"/>
        <v>0.33611338172501387</v>
      </c>
    </row>
    <row r="10" spans="1:52" x14ac:dyDescent="0.25">
      <c r="O10" s="6">
        <v>5</v>
      </c>
      <c r="P10" s="7">
        <f>AVERAGE(B225:B274)</f>
        <v>102.05276096000006</v>
      </c>
      <c r="Q10" s="8">
        <f>STDEV(B225:B274)</f>
        <v>1.7190858385758092E-2</v>
      </c>
      <c r="R10" s="9">
        <f>AVERAGE(C225:C274)</f>
        <v>103.5917046</v>
      </c>
      <c r="S10" s="10">
        <f>STDEV(C225:C274)</f>
        <v>1.5853346754112714E-2</v>
      </c>
      <c r="T10" s="11">
        <f>AVERAGE(D225:D274)</f>
        <v>105.24480528000004</v>
      </c>
      <c r="U10" s="12">
        <f>STDEV(D225:D274)</f>
        <v>1.7866168710998272E-2</v>
      </c>
      <c r="V10" s="13">
        <f>AVERAGE(E225:E274)</f>
        <v>85.480149600000004</v>
      </c>
      <c r="W10" s="14">
        <f>STDEV(E225:E274)</f>
        <v>0.10200711636679778</v>
      </c>
      <c r="X10" s="15">
        <f>AVERAGE(F225:F274)</f>
        <v>63.051478560000014</v>
      </c>
      <c r="Y10" s="16">
        <f>STDEV(F225:F274)</f>
        <v>0.56113906940040981</v>
      </c>
      <c r="Z10" s="17">
        <f>AVERAGE(G225:G274)</f>
        <v>50.030171419999995</v>
      </c>
      <c r="AA10" s="18">
        <f>AVERAGE(H225:H274)</f>
        <v>50.833960019999992</v>
      </c>
      <c r="AB10" s="6">
        <f t="shared" si="1"/>
        <v>1.0741788308765476</v>
      </c>
      <c r="AC10" s="6">
        <f t="shared" si="21"/>
        <v>-296.37302399997907</v>
      </c>
      <c r="AD10" s="6">
        <f t="shared" si="2"/>
        <v>11.588185238399182</v>
      </c>
      <c r="AE10" s="6">
        <f t="shared" si="22"/>
        <v>83.701911456000133</v>
      </c>
      <c r="AF10" s="19">
        <v>74</v>
      </c>
      <c r="AG10" s="19">
        <v>65</v>
      </c>
      <c r="AH10" s="6">
        <f t="shared" si="3"/>
        <v>1.9485214399999862</v>
      </c>
      <c r="AI10" s="6">
        <f t="shared" si="4"/>
        <v>18.701911456000133</v>
      </c>
      <c r="AJ10" s="6">
        <f t="shared" si="5"/>
        <v>6.1962571396312249</v>
      </c>
      <c r="AK10" s="6">
        <f t="shared" si="6"/>
        <v>33.701911456000133</v>
      </c>
      <c r="AL10" s="6">
        <f t="shared" si="7"/>
        <v>127.93356503192697</v>
      </c>
      <c r="AM10" s="6">
        <f t="shared" si="8"/>
        <v>0.26343291103933136</v>
      </c>
      <c r="AN10" s="6">
        <f t="shared" si="9"/>
        <v>0.80378859999999719</v>
      </c>
      <c r="AO10" s="6">
        <f t="shared" si="10"/>
        <v>3.8800000000000001E-2</v>
      </c>
      <c r="AP10" s="6">
        <f t="shared" si="11"/>
        <v>130.57995928615955</v>
      </c>
      <c r="AQ10" s="6">
        <f t="shared" si="12"/>
        <v>8.2228972908381798E-2</v>
      </c>
      <c r="AR10" s="6">
        <f t="shared" si="13"/>
        <v>-2.9637302399997907</v>
      </c>
      <c r="AS10" s="6">
        <f t="shared" si="14"/>
        <v>3.6479805732047725E-2</v>
      </c>
      <c r="AT10" s="6">
        <f t="shared" si="15"/>
        <v>8.9957657883113717E-2</v>
      </c>
      <c r="AU10" s="6">
        <f t="shared" si="16"/>
        <v>8.9957657883113722</v>
      </c>
      <c r="AV10" s="6">
        <f t="shared" si="17"/>
        <v>1.0424460031620622</v>
      </c>
      <c r="AW10" s="6">
        <f t="shared" si="0"/>
        <v>11.508603874909166</v>
      </c>
      <c r="AX10" s="20">
        <f t="shared" si="18"/>
        <v>0.16141528527596818</v>
      </c>
      <c r="AY10" s="20">
        <f t="shared" si="19"/>
        <v>9.8640359446332385E-2</v>
      </c>
      <c r="AZ10" s="20">
        <f t="shared" si="20"/>
        <v>0.26005564472230058</v>
      </c>
    </row>
    <row r="11" spans="1:52" x14ac:dyDescent="0.25">
      <c r="O11" s="6">
        <v>6</v>
      </c>
      <c r="P11" s="7">
        <f>AVERAGE(B275:B324)</f>
        <v>108.67031528000001</v>
      </c>
      <c r="Q11" s="8">
        <f>STDEV(B275:B324)</f>
        <v>1.9024293949771464E-2</v>
      </c>
      <c r="R11" s="9">
        <f>AVERAGE(C275:C324)</f>
        <v>110.60338714000004</v>
      </c>
      <c r="S11" s="10">
        <f>STDEV(C275:C324)</f>
        <v>1.3937332178194846E-2</v>
      </c>
      <c r="T11" s="11">
        <f>AVERAGE(D275:D324)</f>
        <v>112.6730951</v>
      </c>
      <c r="U11" s="12">
        <f>STDEV(D275:D324)</f>
        <v>1.0965838421932382E-2</v>
      </c>
      <c r="V11" s="13">
        <f>AVERAGE(E275:E324)</f>
        <v>88.045558179999972</v>
      </c>
      <c r="W11" s="14">
        <f>STDEV(E275:E324)</f>
        <v>6.7274586757673477E-2</v>
      </c>
      <c r="X11" s="15">
        <f>AVERAGE(F275:F324)</f>
        <v>64.351433760000006</v>
      </c>
      <c r="Y11" s="16">
        <f>STDEV(F275:F324)</f>
        <v>0.60126162939464856</v>
      </c>
      <c r="Z11" s="17">
        <f>AVERAGE(G275:G324)</f>
        <v>49.987860919999996</v>
      </c>
      <c r="AA11" s="18">
        <f>AVERAGE(H275:H324)</f>
        <v>51.009084040000005</v>
      </c>
      <c r="AB11" s="6">
        <f t="shared" si="1"/>
        <v>1.0706834043923907</v>
      </c>
      <c r="AC11" s="6">
        <f t="shared" si="21"/>
        <v>-372.95076200001205</v>
      </c>
      <c r="AD11" s="6">
        <f t="shared" si="2"/>
        <v>14.58237479420047</v>
      </c>
      <c r="AE11" s="6">
        <f t="shared" si="22"/>
        <v>85.807853607999903</v>
      </c>
      <c r="AF11" s="19">
        <v>74</v>
      </c>
      <c r="AG11" s="19">
        <v>65</v>
      </c>
      <c r="AH11" s="6">
        <f t="shared" si="3"/>
        <v>0.64856623999999385</v>
      </c>
      <c r="AI11" s="6">
        <f t="shared" si="4"/>
        <v>20.807853607999903</v>
      </c>
      <c r="AJ11" s="6">
        <f t="shared" si="5"/>
        <v>7.0081110089096601</v>
      </c>
      <c r="AK11" s="6">
        <f t="shared" si="6"/>
        <v>35.807853607999903</v>
      </c>
      <c r="AL11" s="6">
        <f t="shared" si="7"/>
        <v>160.9894177279732</v>
      </c>
      <c r="AM11" s="6">
        <f t="shared" si="8"/>
        <v>0.22242364817111826</v>
      </c>
      <c r="AN11" s="6">
        <f t="shared" si="9"/>
        <v>1.021223120000009</v>
      </c>
      <c r="AO11" s="6">
        <f t="shared" si="10"/>
        <v>3.8800000000000001E-2</v>
      </c>
      <c r="AP11" s="6">
        <f t="shared" si="11"/>
        <v>165.90341469347348</v>
      </c>
      <c r="AQ11" s="6">
        <f t="shared" si="12"/>
        <v>6.6833195148414251E-2</v>
      </c>
      <c r="AR11" s="6">
        <f t="shared" si="13"/>
        <v>-3.7295076200001205</v>
      </c>
      <c r="AS11" s="6">
        <f t="shared" si="14"/>
        <v>3.1624369351950794E-2</v>
      </c>
      <c r="AT11" s="6">
        <f t="shared" si="15"/>
        <v>7.3937654213902582E-2</v>
      </c>
      <c r="AU11" s="6">
        <f t="shared" si="16"/>
        <v>7.3937654213902579</v>
      </c>
      <c r="AV11" s="6">
        <f t="shared" si="17"/>
        <v>1.0781865851511232</v>
      </c>
      <c r="AW11" s="6">
        <f t="shared" si="0"/>
        <v>11.903179900068402</v>
      </c>
      <c r="AX11" s="20">
        <f t="shared" si="18"/>
        <v>0.13327844867577077</v>
      </c>
      <c r="AY11" s="20">
        <f t="shared" si="19"/>
        <v>8.6048893619875111E-2</v>
      </c>
      <c r="AZ11" s="20">
        <f t="shared" si="20"/>
        <v>0.21932734229564588</v>
      </c>
    </row>
    <row r="12" spans="1:52" x14ac:dyDescent="0.25">
      <c r="O12" s="6">
        <v>7</v>
      </c>
      <c r="P12" s="7">
        <f>AVERAGE(B325:B374)</f>
        <v>115.70707687999999</v>
      </c>
      <c r="Q12" s="8">
        <f>STDEV(B325:B374)</f>
        <v>1.2042442213896961E-2</v>
      </c>
      <c r="R12" s="9">
        <f>AVERAGE(C325:C374)</f>
        <v>118.06879083999998</v>
      </c>
      <c r="S12" s="10">
        <f>STDEV(C325:C374)</f>
        <v>9.0519270275820195E-3</v>
      </c>
      <c r="T12" s="11">
        <f>AVERAGE(D325:D374)</f>
        <v>120.61962503999997</v>
      </c>
      <c r="U12" s="12">
        <f>STDEV(D325:D374)</f>
        <v>1.1918634685812292E-2</v>
      </c>
      <c r="V12" s="13">
        <f>AVERAGE(E325:E374)</f>
        <v>90.727927840000049</v>
      </c>
      <c r="W12" s="14">
        <f>STDEV(E325:E374)</f>
        <v>7.289148942773864E-2</v>
      </c>
      <c r="X12" s="15">
        <f>AVERAGE(F325:F374)</f>
        <v>65.70247295999998</v>
      </c>
      <c r="Y12" s="16">
        <f>STDEV(F325:F374)</f>
        <v>0.60903458152306855</v>
      </c>
      <c r="Z12" s="17">
        <f>AVERAGE(G325:G374)</f>
        <v>50.03442511999998</v>
      </c>
      <c r="AA12" s="18">
        <f>AVERAGE(H325:H374)</f>
        <v>51.32760588</v>
      </c>
      <c r="AB12" s="6">
        <f t="shared" si="1"/>
        <v>1.0800775382637824</v>
      </c>
      <c r="AC12" s="6">
        <f t="shared" si="21"/>
        <v>-453.43076799999693</v>
      </c>
      <c r="AD12" s="6">
        <f t="shared" si="2"/>
        <v>17.729143028799882</v>
      </c>
      <c r="AE12" s="6">
        <f t="shared" si="22"/>
        <v>88.007343232000068</v>
      </c>
      <c r="AF12" s="19">
        <v>74</v>
      </c>
      <c r="AG12" s="19">
        <v>65</v>
      </c>
      <c r="AH12" s="6">
        <f t="shared" si="3"/>
        <v>-0.70247295999998016</v>
      </c>
      <c r="AI12" s="6">
        <f t="shared" si="4"/>
        <v>23.007343232000068</v>
      </c>
      <c r="AJ12" s="6">
        <f t="shared" si="5"/>
        <v>7.7058627978136425</v>
      </c>
      <c r="AK12" s="6">
        <f t="shared" si="6"/>
        <v>38.007343232000068</v>
      </c>
      <c r="AL12" s="6">
        <f t="shared" si="7"/>
        <v>195.72973903795071</v>
      </c>
      <c r="AM12" s="6">
        <f t="shared" si="8"/>
        <v>0.1941827717076284</v>
      </c>
      <c r="AN12" s="6">
        <f t="shared" si="9"/>
        <v>1.2931807600000198</v>
      </c>
      <c r="AO12" s="6">
        <f t="shared" si="10"/>
        <v>3.8800000000000001E-2</v>
      </c>
      <c r="AP12" s="6">
        <f t="shared" si="11"/>
        <v>210.08445627425922</v>
      </c>
      <c r="AQ12" s="6">
        <f t="shared" si="12"/>
        <v>5.6519725112091308E-2</v>
      </c>
      <c r="AR12" s="6">
        <f t="shared" si="13"/>
        <v>-4.5343076799999693</v>
      </c>
      <c r="AS12" s="6">
        <f t="shared" si="14"/>
        <v>2.584530198571262E-2</v>
      </c>
      <c r="AT12" s="6">
        <f t="shared" si="15"/>
        <v>6.2148684310120723E-2</v>
      </c>
      <c r="AU12" s="6">
        <f t="shared" si="16"/>
        <v>6.2148684310120723</v>
      </c>
      <c r="AV12" s="6">
        <f t="shared" si="17"/>
        <v>1.1018429131858614</v>
      </c>
      <c r="AW12" s="6">
        <f t="shared" si="0"/>
        <v>12.16434576157191</v>
      </c>
      <c r="AX12" s="20">
        <f t="shared" si="18"/>
        <v>0.11395749251816721</v>
      </c>
      <c r="AY12" s="20">
        <f t="shared" si="19"/>
        <v>7.6745912674452771E-2</v>
      </c>
      <c r="AZ12" s="20">
        <f t="shared" si="20"/>
        <v>0.19070340519261997</v>
      </c>
    </row>
    <row r="13" spans="1:52" x14ac:dyDescent="0.25">
      <c r="O13" s="6">
        <v>8</v>
      </c>
      <c r="P13" s="7">
        <f>AVERAGE(B375:B424)</f>
        <v>122.37976847999997</v>
      </c>
      <c r="Q13" s="8">
        <f>STDEV(B375:B424)</f>
        <v>1.4907908724579682E-2</v>
      </c>
      <c r="R13" s="9">
        <f>AVERAGE(C375:C424)</f>
        <v>125.23461764000001</v>
      </c>
      <c r="S13" s="10">
        <f>STDEV(C375:C424)</f>
        <v>1.7271008927621768E-2</v>
      </c>
      <c r="T13" s="11">
        <f>AVERAGE(D375:D424)</f>
        <v>128.28569923999999</v>
      </c>
      <c r="U13" s="12">
        <f>STDEV(D375:D424)</f>
        <v>1.1812331464834749E-2</v>
      </c>
      <c r="V13" s="13">
        <f>AVERAGE(E375:E424)</f>
        <v>92.574729000000005</v>
      </c>
      <c r="W13" s="14">
        <f>STDEV(E375:E424)</f>
        <v>5.8471776410259024E-2</v>
      </c>
      <c r="X13" s="15">
        <f>AVERAGE(F375:F424)</f>
        <v>67.715181399999992</v>
      </c>
      <c r="Y13" s="16">
        <f>STDEV(F375:F424)</f>
        <v>0.83975681159128446</v>
      </c>
      <c r="Z13" s="17">
        <f>AVERAGE(G375:G424)</f>
        <v>49.974618479999982</v>
      </c>
      <c r="AA13" s="18">
        <f>AVERAGE(H375:H424)</f>
        <v>51.577600759999967</v>
      </c>
      <c r="AB13" s="6">
        <f t="shared" si="1"/>
        <v>1.0687365352780771</v>
      </c>
      <c r="AC13" s="6">
        <f t="shared" si="21"/>
        <v>-551.34658800001262</v>
      </c>
      <c r="AD13" s="6">
        <f t="shared" si="2"/>
        <v>21.557651590800493</v>
      </c>
      <c r="AE13" s="6">
        <f t="shared" si="22"/>
        <v>89.266649471999926</v>
      </c>
      <c r="AF13" s="19">
        <v>71</v>
      </c>
      <c r="AG13" s="19">
        <v>68</v>
      </c>
      <c r="AH13" s="6">
        <f t="shared" si="3"/>
        <v>0.28481860000000836</v>
      </c>
      <c r="AI13" s="6">
        <f t="shared" si="4"/>
        <v>21.266649471999926</v>
      </c>
      <c r="AJ13" s="6">
        <f t="shared" si="5"/>
        <v>10.136834962735293</v>
      </c>
      <c r="AK13" s="6">
        <f t="shared" si="6"/>
        <v>39.266649471999926</v>
      </c>
      <c r="AL13" s="6">
        <f t="shared" si="7"/>
        <v>237.99647356243747</v>
      </c>
      <c r="AM13" s="6">
        <f t="shared" si="8"/>
        <v>0.16498836677804166</v>
      </c>
      <c r="AN13" s="6">
        <f t="shared" si="9"/>
        <v>1.6029822799999849</v>
      </c>
      <c r="AO13" s="6">
        <f t="shared" si="10"/>
        <v>3.8800000000000001E-2</v>
      </c>
      <c r="AP13" s="6">
        <f t="shared" si="11"/>
        <v>260.41344808676553</v>
      </c>
      <c r="AQ13" s="6">
        <f t="shared" si="12"/>
        <v>4.8304893348545111E-2</v>
      </c>
      <c r="AR13" s="6">
        <f t="shared" si="13"/>
        <v>-5.5134658800001262</v>
      </c>
      <c r="AS13" s="6">
        <f t="shared" si="14"/>
        <v>2.7590149537608452E-2</v>
      </c>
      <c r="AT13" s="6">
        <f t="shared" si="15"/>
        <v>5.5628940965309716E-2</v>
      </c>
      <c r="AU13" s="6">
        <f t="shared" si="16"/>
        <v>5.5628940965309717</v>
      </c>
      <c r="AV13" s="6">
        <f t="shared" si="17"/>
        <v>1.1992293276953556</v>
      </c>
      <c r="AW13" s="6">
        <f t="shared" si="0"/>
        <v>13.239491777756729</v>
      </c>
      <c r="AX13" s="20">
        <f t="shared" si="18"/>
        <v>9.0553728588528809E-2</v>
      </c>
      <c r="AY13" s="20">
        <f t="shared" si="19"/>
        <v>7.1173625081281375E-2</v>
      </c>
      <c r="AZ13" s="20">
        <f t="shared" si="20"/>
        <v>0.16172735366981017</v>
      </c>
    </row>
    <row r="14" spans="1:52" x14ac:dyDescent="0.25">
      <c r="O14" s="6">
        <v>9</v>
      </c>
      <c r="P14" s="7">
        <f>AVERAGE(B425:B474)</f>
        <v>129.25455524000003</v>
      </c>
      <c r="Q14" s="8">
        <f>STDEV(B425:B474)</f>
        <v>9.9662173704940724E-3</v>
      </c>
      <c r="R14" s="9">
        <f>AVERAGE(C425:C474)</f>
        <v>132.62768076</v>
      </c>
      <c r="S14" s="10">
        <f>STDEV(C425:C474)</f>
        <v>1.2120618042704926E-2</v>
      </c>
      <c r="T14" s="11">
        <f>AVERAGE(D425:D474)</f>
        <v>136.20846371999994</v>
      </c>
      <c r="U14" s="12">
        <f>STDEV(D425:D474)</f>
        <v>1.2642529078941676E-2</v>
      </c>
      <c r="V14" s="13">
        <f>AVERAGE(E425:E474)</f>
        <v>94.358938759999944</v>
      </c>
      <c r="W14" s="14">
        <f>STDEV(E425:E474)</f>
        <v>0.1049341700917249</v>
      </c>
      <c r="X14" s="15">
        <f>AVERAGE(F425:F474)</f>
        <v>68.748462719999992</v>
      </c>
      <c r="Y14" s="16">
        <f>STDEV(F425:F474)</f>
        <v>0.64118520084170105</v>
      </c>
      <c r="Z14" s="17">
        <f>AVERAGE(G425:G474)</f>
        <v>50.020245300000013</v>
      </c>
      <c r="AA14" s="18">
        <f>AVERAGE(H425:H474)</f>
        <v>51.925454819999985</v>
      </c>
      <c r="AB14" s="6">
        <f t="shared" si="1"/>
        <v>1.0615623221752994</v>
      </c>
      <c r="AC14" s="6">
        <f t="shared" si="21"/>
        <v>-653.85936000000129</v>
      </c>
      <c r="AD14" s="6">
        <f t="shared" si="2"/>
        <v>25.565900976000052</v>
      </c>
      <c r="AE14" s="6">
        <f t="shared" si="22"/>
        <v>90.435782599999939</v>
      </c>
      <c r="AF14" s="19">
        <v>67</v>
      </c>
      <c r="AG14" s="19">
        <v>70</v>
      </c>
      <c r="AH14" s="6">
        <f t="shared" si="3"/>
        <v>1.251537280000008</v>
      </c>
      <c r="AI14" s="6">
        <f t="shared" si="4"/>
        <v>20.435782599999939</v>
      </c>
      <c r="AJ14" s="6">
        <f t="shared" si="5"/>
        <v>12.510360614229732</v>
      </c>
      <c r="AK14" s="6">
        <f t="shared" si="6"/>
        <v>40.435782599999939</v>
      </c>
      <c r="AL14" s="6">
        <f t="shared" si="7"/>
        <v>282.24754677504058</v>
      </c>
      <c r="AM14" s="6">
        <f t="shared" si="8"/>
        <v>0.14326353961980906</v>
      </c>
      <c r="AN14" s="6">
        <f t="shared" si="9"/>
        <v>1.9052095199999712</v>
      </c>
      <c r="AO14" s="6">
        <f t="shared" si="10"/>
        <v>3.8800000000000001E-2</v>
      </c>
      <c r="AP14" s="6">
        <f t="shared" si="11"/>
        <v>309.51195569730737</v>
      </c>
      <c r="AQ14" s="6">
        <f t="shared" si="12"/>
        <v>4.2583196983697467E-2</v>
      </c>
      <c r="AR14" s="6">
        <f t="shared" si="13"/>
        <v>-6.5385936000000129</v>
      </c>
      <c r="AS14" s="6">
        <f t="shared" si="14"/>
        <v>2.4767941610108452E-2</v>
      </c>
      <c r="AT14" s="6">
        <f t="shared" si="15"/>
        <v>4.9262354764608267E-2</v>
      </c>
      <c r="AU14" s="6">
        <f t="shared" si="16"/>
        <v>4.9262354764608265</v>
      </c>
      <c r="AV14" s="6">
        <f t="shared" si="17"/>
        <v>1.2594364837565593</v>
      </c>
      <c r="AW14" s="6">
        <f t="shared" si="0"/>
        <v>13.904178780672416</v>
      </c>
      <c r="AX14" s="20">
        <f t="shared" si="18"/>
        <v>7.6837939347211989E-2</v>
      </c>
      <c r="AY14" s="20">
        <f t="shared" si="19"/>
        <v>6.2978803051094961E-2</v>
      </c>
      <c r="AZ14" s="20">
        <f t="shared" si="20"/>
        <v>0.13981674239830694</v>
      </c>
    </row>
    <row r="15" spans="1:52" ht="21" x14ac:dyDescent="0.25">
      <c r="A15" s="21" t="s">
        <v>47</v>
      </c>
      <c r="O15" s="6">
        <v>10</v>
      </c>
      <c r="P15" s="7">
        <f>AVERAGE(B475:B524)</f>
        <v>137.33078379999998</v>
      </c>
      <c r="Q15" s="8">
        <f>STDEV(B475:B524)</f>
        <v>1.7876535686850686E-2</v>
      </c>
      <c r="R15" s="9">
        <f>AVERAGE(C475:C524)</f>
        <v>141.28020463999997</v>
      </c>
      <c r="S15" s="10">
        <f>STDEV(C475:C524)</f>
        <v>1.5183933119249329E-2</v>
      </c>
      <c r="T15" s="11">
        <f>AVERAGE(D475:D524)</f>
        <v>145.47365392</v>
      </c>
      <c r="U15" s="12">
        <f>STDEV(D475:D524)</f>
        <v>8.7732092418697227E-3</v>
      </c>
      <c r="V15" s="13">
        <f>AVERAGE(E475:E524)</f>
        <v>96.769734920000005</v>
      </c>
      <c r="W15" s="14">
        <f>STDEV(E475:E524)</f>
        <v>9.1960652908849722E-2</v>
      </c>
      <c r="X15" s="15">
        <f>AVERAGE(F475:F524)</f>
        <v>73.037280639999949</v>
      </c>
      <c r="Y15" s="16">
        <f>STDEV(F475:F524)</f>
        <v>0.68333340048712365</v>
      </c>
      <c r="Z15" s="17">
        <f>AVERAGE(G475:G524)</f>
        <v>50.058052779999997</v>
      </c>
      <c r="AA15" s="18">
        <f>AVERAGE(H475:H524)</f>
        <v>52.257035159999994</v>
      </c>
      <c r="AB15" s="6">
        <f t="shared" si="1"/>
        <v>1.0617884114877085</v>
      </c>
      <c r="AC15" s="6">
        <f t="shared" si="21"/>
        <v>-765.48132399998963</v>
      </c>
      <c r="AD15" s="6">
        <f t="shared" si="2"/>
        <v>29.930319768399595</v>
      </c>
      <c r="AE15" s="6">
        <f t="shared" si="22"/>
        <v>92.176846976000064</v>
      </c>
      <c r="AF15" s="19">
        <v>67</v>
      </c>
      <c r="AG15" s="19">
        <v>70</v>
      </c>
      <c r="AH15" s="6">
        <f t="shared" si="3"/>
        <v>-3.037280639999949</v>
      </c>
      <c r="AI15" s="6">
        <f t="shared" si="4"/>
        <v>22.176846976000064</v>
      </c>
      <c r="AJ15" s="6">
        <f t="shared" si="5"/>
        <v>13.496201601963703</v>
      </c>
      <c r="AK15" s="6">
        <f t="shared" si="6"/>
        <v>42.176846976000064</v>
      </c>
      <c r="AL15" s="6">
        <f t="shared" si="7"/>
        <v>330.43073024313156</v>
      </c>
      <c r="AM15" s="6">
        <f t="shared" si="8"/>
        <v>0.12764202332200233</v>
      </c>
      <c r="AN15" s="6">
        <f t="shared" si="9"/>
        <v>2.1989823799999968</v>
      </c>
      <c r="AO15" s="6">
        <f t="shared" si="10"/>
        <v>3.8800000000000001E-2</v>
      </c>
      <c r="AP15" s="6">
        <f t="shared" si="11"/>
        <v>357.23700193232753</v>
      </c>
      <c r="AQ15" s="6">
        <f t="shared" si="12"/>
        <v>3.8306423597056098E-2</v>
      </c>
      <c r="AR15" s="6">
        <f t="shared" si="13"/>
        <v>-7.6548132399998963</v>
      </c>
      <c r="AS15" s="6">
        <f t="shared" si="14"/>
        <v>2.5439631203483772E-2</v>
      </c>
      <c r="AT15" s="6">
        <f t="shared" si="15"/>
        <v>4.5984311722220672E-2</v>
      </c>
      <c r="AU15" s="6">
        <f t="shared" si="16"/>
        <v>4.5984311722220674</v>
      </c>
      <c r="AV15" s="6">
        <f t="shared" si="17"/>
        <v>1.3763251541758306</v>
      </c>
      <c r="AW15" s="6">
        <f t="shared" si="0"/>
        <v>15.194629702101171</v>
      </c>
      <c r="AX15" s="20">
        <f t="shared" si="18"/>
        <v>5.7923082159813601E-2</v>
      </c>
      <c r="AY15" s="20">
        <f t="shared" si="19"/>
        <v>6.6215804607219209E-2</v>
      </c>
      <c r="AZ15" s="20">
        <f t="shared" si="20"/>
        <v>0.1241388867670328</v>
      </c>
    </row>
    <row r="16" spans="1:52" x14ac:dyDescent="0.25">
      <c r="O16" s="6">
        <v>11</v>
      </c>
      <c r="P16" s="7">
        <f>AVERAGE(B525:B574)</f>
        <v>146.12390785999997</v>
      </c>
      <c r="Q16" s="8">
        <f>STDEV(B525:B574)</f>
        <v>1.3728207298590997E-2</v>
      </c>
      <c r="R16" s="9">
        <f>AVERAGE(C525:C574)</f>
        <v>150.67704101999999</v>
      </c>
      <c r="S16" s="10">
        <f>STDEV(C525:C574)</f>
        <v>1.5779119859175225E-2</v>
      </c>
      <c r="T16" s="11">
        <f>AVERAGE(D525:D574)</f>
        <v>155.4688227</v>
      </c>
      <c r="U16" s="12">
        <f>STDEV(D525:D574)</f>
        <v>1.2129023372449426E-2</v>
      </c>
      <c r="V16" s="13">
        <f>AVERAGE(E525:E574)</f>
        <v>99.701233059999993</v>
      </c>
      <c r="W16" s="14">
        <f>STDEV(E525:E574)</f>
        <v>9.9334500614761706E-2</v>
      </c>
      <c r="X16" s="15">
        <f>AVERAGE(F525:F574)</f>
        <v>74.384888900000036</v>
      </c>
      <c r="Y16" s="16">
        <f>STDEV(F525:F574)</f>
        <v>0.20645774554667129</v>
      </c>
      <c r="Z16" s="17">
        <f>AVERAGE(G525:G574)</f>
        <v>50.070606760000004</v>
      </c>
      <c r="AA16" s="18">
        <f>AVERAGE(H525:H574)</f>
        <v>52.640926559999969</v>
      </c>
      <c r="AB16" s="6">
        <f t="shared" si="1"/>
        <v>1.052414131459313</v>
      </c>
      <c r="AC16" s="6">
        <f t="shared" si="21"/>
        <v>-886.76178000000334</v>
      </c>
      <c r="AD16" s="6">
        <f t="shared" si="2"/>
        <v>34.672385598000133</v>
      </c>
      <c r="AE16" s="6">
        <f t="shared" si="22"/>
        <v>94.380662379999976</v>
      </c>
      <c r="AF16" s="19">
        <v>67</v>
      </c>
      <c r="AG16" s="19">
        <v>70</v>
      </c>
      <c r="AH16" s="6">
        <f t="shared" si="3"/>
        <v>-4.3848889000000355</v>
      </c>
      <c r="AI16" s="6">
        <f t="shared" si="4"/>
        <v>24.380662379999976</v>
      </c>
      <c r="AJ16" s="6">
        <f t="shared" si="5"/>
        <v>14.221264811263985</v>
      </c>
      <c r="AK16" s="6">
        <f t="shared" si="6"/>
        <v>44.380662379999976</v>
      </c>
      <c r="AL16" s="6">
        <f t="shared" si="7"/>
        <v>382.78313700192149</v>
      </c>
      <c r="AM16" s="6">
        <f t="shared" si="8"/>
        <v>0.11594205201306242</v>
      </c>
      <c r="AN16" s="6">
        <f t="shared" si="9"/>
        <v>2.5703197999999645</v>
      </c>
      <c r="AO16" s="6">
        <f t="shared" si="10"/>
        <v>3.8800000000000001E-2</v>
      </c>
      <c r="AP16" s="6">
        <f t="shared" si="11"/>
        <v>417.56284530087424</v>
      </c>
      <c r="AQ16" s="6">
        <f t="shared" si="12"/>
        <v>3.5063988483171875E-2</v>
      </c>
      <c r="AR16" s="6">
        <f t="shared" si="13"/>
        <v>-8.8676178000000334</v>
      </c>
      <c r="AS16" s="6">
        <f t="shared" si="14"/>
        <v>2.4656150251791926E-2</v>
      </c>
      <c r="AT16" s="6">
        <f t="shared" si="15"/>
        <v>4.2865009431784208E-2</v>
      </c>
      <c r="AU16" s="6">
        <f t="shared" si="16"/>
        <v>4.2865009431784209</v>
      </c>
      <c r="AV16" s="6">
        <f t="shared" si="17"/>
        <v>1.4862321356807346</v>
      </c>
      <c r="AW16" s="6">
        <f t="shared" si="0"/>
        <v>16.408002777915311</v>
      </c>
      <c r="AX16" s="20">
        <f t="shared" si="18"/>
        <v>5.2237864072626497E-2</v>
      </c>
      <c r="AY16" s="20">
        <f t="shared" si="19"/>
        <v>6.016232172705259E-2</v>
      </c>
      <c r="AZ16" s="20">
        <f t="shared" si="20"/>
        <v>0.11240018579967909</v>
      </c>
    </row>
    <row r="17" spans="1:52" x14ac:dyDescent="0.25">
      <c r="O17" s="6">
        <v>12</v>
      </c>
      <c r="P17" s="7">
        <f>AVERAGE(B575:B624)</f>
        <v>155.14899020000001</v>
      </c>
      <c r="Q17" s="8">
        <f>STDEV(B575:B624)</f>
        <v>1.3002930451498151E-2</v>
      </c>
      <c r="R17" s="9">
        <f>AVERAGE(C575:C624)</f>
        <v>160.28616160000001</v>
      </c>
      <c r="S17" s="10">
        <f>STDEV(C575:C624)</f>
        <v>9.8466746774768348E-3</v>
      </c>
      <c r="T17" s="11">
        <f>AVERAGE(D575:D624)</f>
        <v>165.68398512000005</v>
      </c>
      <c r="U17" s="12">
        <f>STDEV(D575:D624)</f>
        <v>9.8829965848164936E-3</v>
      </c>
      <c r="V17" s="13">
        <f>AVERAGE(E575:E624)</f>
        <v>101.82151124000001</v>
      </c>
      <c r="W17" s="14">
        <f>STDEV(E575:E624)</f>
        <v>8.0205964362310464E-2</v>
      </c>
      <c r="X17" s="15">
        <f>AVERAGE(F575:F624)</f>
        <v>73.075412000000014</v>
      </c>
      <c r="Y17" s="16">
        <f>STDEV(F575:F624)</f>
        <v>0.54554626898819336</v>
      </c>
      <c r="Z17" s="17">
        <f>AVERAGE(G575:G624)</f>
        <v>50.117635960000023</v>
      </c>
      <c r="AA17" s="18">
        <f>AVERAGE(H575:H624)</f>
        <v>53.058104999999983</v>
      </c>
      <c r="AB17" s="6">
        <f t="shared" si="1"/>
        <v>1.0507384511250748</v>
      </c>
      <c r="AC17" s="6">
        <f t="shared" si="21"/>
        <v>-1001.3690679999968</v>
      </c>
      <c r="AD17" s="6">
        <f t="shared" si="2"/>
        <v>39.153530558799879</v>
      </c>
      <c r="AE17" s="6">
        <f t="shared" si="22"/>
        <v>95.81329683200002</v>
      </c>
      <c r="AF17" s="19">
        <v>64</v>
      </c>
      <c r="AG17" s="19">
        <v>73</v>
      </c>
      <c r="AH17" s="6">
        <f t="shared" si="3"/>
        <v>-7.5412000000014245E-2</v>
      </c>
      <c r="AI17" s="6">
        <f t="shared" si="4"/>
        <v>22.81329683200002</v>
      </c>
      <c r="AJ17" s="6">
        <f t="shared" si="5"/>
        <v>17.162591994980556</v>
      </c>
      <c r="AK17" s="6">
        <f t="shared" si="6"/>
        <v>45.81329683200002</v>
      </c>
      <c r="AL17" s="6">
        <f t="shared" si="7"/>
        <v>432.25497736915071</v>
      </c>
      <c r="AM17" s="6">
        <f t="shared" si="8"/>
        <v>0.10598674215583397</v>
      </c>
      <c r="AN17" s="6">
        <f t="shared" si="9"/>
        <v>2.9404690399999609</v>
      </c>
      <c r="AO17" s="6">
        <f t="shared" si="10"/>
        <v>3.8800000000000001E-2</v>
      </c>
      <c r="AP17" s="6">
        <f t="shared" si="11"/>
        <v>477.69566217461767</v>
      </c>
      <c r="AQ17" s="6">
        <f t="shared" si="12"/>
        <v>3.2853590557196763E-2</v>
      </c>
      <c r="AR17" s="6">
        <f t="shared" si="13"/>
        <v>-10.013690679999968</v>
      </c>
      <c r="AS17" s="6">
        <f t="shared" si="14"/>
        <v>2.377906485095824E-2</v>
      </c>
      <c r="AT17" s="6">
        <f t="shared" si="15"/>
        <v>4.0556162758402153E-2</v>
      </c>
      <c r="AU17" s="6">
        <f t="shared" si="16"/>
        <v>4.0556162758402152</v>
      </c>
      <c r="AV17" s="6">
        <f t="shared" si="17"/>
        <v>1.5879169579087604</v>
      </c>
      <c r="AW17" s="6">
        <f t="shared" si="0"/>
        <v>17.530603215312716</v>
      </c>
      <c r="AX17" s="20">
        <f t="shared" si="18"/>
        <v>5.260294507281426E-2</v>
      </c>
      <c r="AY17" s="20">
        <f t="shared" si="19"/>
        <v>4.9710339140061309E-2</v>
      </c>
      <c r="AZ17" s="20">
        <f t="shared" si="20"/>
        <v>0.10231328421287557</v>
      </c>
    </row>
    <row r="18" spans="1:52" x14ac:dyDescent="0.25">
      <c r="O18" s="6">
        <v>13</v>
      </c>
      <c r="P18" s="7">
        <f>AVERAGE(B625:B674)</f>
        <v>163.98389512000003</v>
      </c>
      <c r="Q18" s="8">
        <f>STDEV(B625:B674)</f>
        <v>1.1329584000216237E-2</v>
      </c>
      <c r="R18" s="9">
        <f>AVERAGE(C625:C674)</f>
        <v>169.75971430000004</v>
      </c>
      <c r="S18" s="10">
        <f>STDEV(C625:C674)</f>
        <v>1.2245956999210926E-2</v>
      </c>
      <c r="T18" s="11">
        <f>AVERAGE(D625:D674)</f>
        <v>175.78546734000008</v>
      </c>
      <c r="U18" s="12">
        <f>STDEV(D625:D674)</f>
        <v>1.0573754739454986E-2</v>
      </c>
      <c r="V18" s="13">
        <f>AVERAGE(E625:E674)</f>
        <v>104.28629416</v>
      </c>
      <c r="W18" s="14">
        <f>STDEV(E625:E674)</f>
        <v>7.2209988637267034E-2</v>
      </c>
      <c r="X18" s="15">
        <f>AVERAGE(F625:F674)</f>
        <v>74.839744879999984</v>
      </c>
      <c r="Y18" s="16">
        <f>STDEV(F625:F674)</f>
        <v>0.59519887468817245</v>
      </c>
      <c r="Z18" s="17">
        <f>AVERAGE(G625:G674)</f>
        <v>49.909010959999996</v>
      </c>
      <c r="AA18" s="18">
        <f>AVERAGE(H625:H674)</f>
        <v>53.268818880000005</v>
      </c>
      <c r="AB18" s="6">
        <f t="shared" si="1"/>
        <v>1.0432724523069343</v>
      </c>
      <c r="AC18" s="6">
        <f t="shared" si="21"/>
        <v>-1130.1704500000028</v>
      </c>
      <c r="AD18" s="6">
        <f t="shared" si="2"/>
        <v>44.18966459500011</v>
      </c>
      <c r="AE18" s="6">
        <f t="shared" si="22"/>
        <v>97.505271459999975</v>
      </c>
      <c r="AF18" s="19">
        <v>64</v>
      </c>
      <c r="AG18" s="19">
        <v>73</v>
      </c>
      <c r="AH18" s="6">
        <f t="shared" si="3"/>
        <v>-1.8397448799999836</v>
      </c>
      <c r="AI18" s="6">
        <f t="shared" si="4"/>
        <v>24.505271459999975</v>
      </c>
      <c r="AJ18" s="6">
        <f t="shared" si="5"/>
        <v>18.032717844864944</v>
      </c>
      <c r="AK18" s="6">
        <f t="shared" si="6"/>
        <v>47.505271459999975</v>
      </c>
      <c r="AL18" s="6">
        <f t="shared" si="7"/>
        <v>487.85389712880124</v>
      </c>
      <c r="AM18" s="6">
        <f t="shared" si="8"/>
        <v>9.7376021262894255E-2</v>
      </c>
      <c r="AN18" s="6">
        <f t="shared" si="9"/>
        <v>3.3598079200000086</v>
      </c>
      <c r="AO18" s="6">
        <f t="shared" si="10"/>
        <v>3.8800000000000001E-2</v>
      </c>
      <c r="AP18" s="6">
        <f t="shared" si="11"/>
        <v>545.81961152835333</v>
      </c>
      <c r="AQ18" s="6">
        <f t="shared" si="12"/>
        <v>3.1017718248741066E-2</v>
      </c>
      <c r="AR18" s="6">
        <f t="shared" si="13"/>
        <v>-11.301704500000028</v>
      </c>
      <c r="AS18" s="6">
        <f t="shared" si="14"/>
        <v>2.3717691917215893E-2</v>
      </c>
      <c r="AT18" s="6">
        <f t="shared" si="15"/>
        <v>3.9046481982865665E-2</v>
      </c>
      <c r="AU18" s="6">
        <f t="shared" si="16"/>
        <v>3.9046481982865666</v>
      </c>
      <c r="AV18" s="6">
        <f t="shared" si="17"/>
        <v>1.7254509424375486</v>
      </c>
      <c r="AW18" s="6">
        <f t="shared" si="0"/>
        <v>19.048978404510535</v>
      </c>
      <c r="AX18" s="20">
        <f t="shared" si="18"/>
        <v>4.6459660798847592E-2</v>
      </c>
      <c r="AY18" s="20">
        <f t="shared" si="19"/>
        <v>4.7659412165895629E-2</v>
      </c>
      <c r="AZ18" s="20">
        <f t="shared" si="20"/>
        <v>9.4119072964743228E-2</v>
      </c>
    </row>
    <row r="19" spans="1:52" x14ac:dyDescent="0.25">
      <c r="O19" s="6">
        <v>14</v>
      </c>
      <c r="P19" s="7">
        <f>AVERAGE(B675:B724)</f>
        <v>174.21553207999997</v>
      </c>
      <c r="Q19" s="8">
        <f>STDEV(B675:B724)</f>
        <v>1.6656275924315258E-2</v>
      </c>
      <c r="R19" s="9">
        <f>AVERAGE(C675:C724)</f>
        <v>180.67551840000004</v>
      </c>
      <c r="S19" s="10">
        <f>STDEV(C675:C724)</f>
        <v>1.4285289767979674E-2</v>
      </c>
      <c r="T19" s="11">
        <f>AVERAGE(D675:D724)</f>
        <v>187.44496106</v>
      </c>
      <c r="U19" s="12">
        <f>STDEV(D675:D724)</f>
        <v>1.2594176516916095E-2</v>
      </c>
      <c r="V19" s="13">
        <f>AVERAGE(E675:E724)</f>
        <v>106.50214383999999</v>
      </c>
      <c r="W19" s="14">
        <f>STDEV(E675:E724)</f>
        <v>7.7648885542643584E-2</v>
      </c>
      <c r="X19" s="15">
        <f>AVERAGE(F675:F724)</f>
        <v>75.58741643999997</v>
      </c>
      <c r="Y19" s="16">
        <f>STDEV(F675:F724)</f>
        <v>0.63439219147358694</v>
      </c>
      <c r="Z19" s="17">
        <f>AVERAGE(G675:G724)</f>
        <v>49.937784040000004</v>
      </c>
      <c r="AA19" s="18">
        <f>AVERAGE(H675:H724)</f>
        <v>53.703821439999992</v>
      </c>
      <c r="AB19" s="6">
        <f t="shared" si="1"/>
        <v>1.047903559647148</v>
      </c>
      <c r="AC19" s="6">
        <f t="shared" si="21"/>
        <v>-1261.0516300000284</v>
      </c>
      <c r="AD19" s="6">
        <f t="shared" si="2"/>
        <v>49.307118733001111</v>
      </c>
      <c r="AE19" s="6">
        <f t="shared" si="22"/>
        <v>98.93583405999982</v>
      </c>
      <c r="AF19" s="19">
        <v>64</v>
      </c>
      <c r="AG19" s="19">
        <v>73</v>
      </c>
      <c r="AH19" s="6">
        <f t="shared" si="3"/>
        <v>-2.58741643999997</v>
      </c>
      <c r="AI19" s="6">
        <f t="shared" si="4"/>
        <v>25.93583405999982</v>
      </c>
      <c r="AJ19" s="6">
        <f t="shared" si="5"/>
        <v>19.011194557666542</v>
      </c>
      <c r="AK19" s="6">
        <f t="shared" si="6"/>
        <v>48.93583405999982</v>
      </c>
      <c r="AL19" s="6">
        <f t="shared" si="7"/>
        <v>544.35059081233237</v>
      </c>
      <c r="AM19" s="6">
        <f t="shared" si="8"/>
        <v>8.9897641126783862E-2</v>
      </c>
      <c r="AN19" s="6">
        <f t="shared" si="9"/>
        <v>3.7660373999999877</v>
      </c>
      <c r="AO19" s="6">
        <f t="shared" si="10"/>
        <v>3.8800000000000001E-2</v>
      </c>
      <c r="AP19" s="6">
        <f t="shared" si="11"/>
        <v>611.81386543943802</v>
      </c>
      <c r="AQ19" s="6">
        <f t="shared" si="12"/>
        <v>2.962791093939909E-2</v>
      </c>
      <c r="AR19" s="6">
        <f t="shared" si="13"/>
        <v>-12.610516300000285</v>
      </c>
      <c r="AS19" s="6">
        <f t="shared" si="14"/>
        <v>2.389674669899363E-2</v>
      </c>
      <c r="AT19" s="6">
        <f t="shared" si="15"/>
        <v>3.8063993608511801E-2</v>
      </c>
      <c r="AU19" s="6">
        <f t="shared" si="16"/>
        <v>3.8063993608511799</v>
      </c>
      <c r="AV19" s="6">
        <f t="shared" si="17"/>
        <v>1.8768258523070869</v>
      </c>
      <c r="AW19" s="6">
        <f t="shared" si="0"/>
        <v>20.720157409470243</v>
      </c>
      <c r="AX19" s="20">
        <f t="shared" si="18"/>
        <v>4.2892242635682809E-2</v>
      </c>
      <c r="AY19" s="20">
        <f t="shared" si="19"/>
        <v>4.3660490318441915E-2</v>
      </c>
      <c r="AZ19" s="20">
        <f t="shared" si="20"/>
        <v>8.6552732954124717E-2</v>
      </c>
    </row>
    <row r="20" spans="1:52" x14ac:dyDescent="0.25">
      <c r="O20" s="6">
        <v>15</v>
      </c>
      <c r="P20" s="7">
        <f>AVERAGE(B725:B774)</f>
        <v>185.29529887999993</v>
      </c>
      <c r="Q20" s="8">
        <f>STDEV(B725:B774)</f>
        <v>1.2293933112435998E-2</v>
      </c>
      <c r="R20" s="9">
        <f>AVERAGE(C725:C774)</f>
        <v>192.39514054000006</v>
      </c>
      <c r="S20" s="10">
        <f>STDEV(C725:C774)</f>
        <v>1.6849129998990044E-2</v>
      </c>
      <c r="T20" s="11">
        <f>AVERAGE(D725:D774)</f>
        <v>199.91111859999998</v>
      </c>
      <c r="U20" s="12">
        <f>STDEV(D725:D774)</f>
        <v>1.6100659574521933E-2</v>
      </c>
      <c r="V20" s="13">
        <f>AVERAGE(E725:E774)</f>
        <v>109.47050322000001</v>
      </c>
      <c r="W20" s="14">
        <f>STDEV(E725:E774)</f>
        <v>5.0686065461936998E-2</v>
      </c>
      <c r="X20" s="15">
        <f>AVERAGE(F725:F774)</f>
        <v>78.484773520000033</v>
      </c>
      <c r="Y20" s="16">
        <f>STDEV(F725:F774)</f>
        <v>0.88330601516792917</v>
      </c>
      <c r="Z20" s="17">
        <f>AVERAGE(G725:G774)</f>
        <v>50.035598560000011</v>
      </c>
      <c r="AA20" s="18">
        <f>AVERAGE(H725:H774)</f>
        <v>54.27344275999998</v>
      </c>
      <c r="AB20" s="6">
        <f t="shared" si="1"/>
        <v>1.058612067695013</v>
      </c>
      <c r="AC20" s="6">
        <f t="shared" si="21"/>
        <v>-1378.3546920000417</v>
      </c>
      <c r="AD20" s="6">
        <f t="shared" si="2"/>
        <v>53.893668457201635</v>
      </c>
      <c r="AE20" s="6">
        <f t="shared" si="22"/>
        <v>101.20037506799976</v>
      </c>
      <c r="AF20" s="19">
        <v>61</v>
      </c>
      <c r="AG20" s="19">
        <v>75</v>
      </c>
      <c r="AH20" s="6">
        <f t="shared" si="3"/>
        <v>-3.4847735200000329</v>
      </c>
      <c r="AI20" s="6">
        <f t="shared" si="4"/>
        <v>26.200375067999758</v>
      </c>
      <c r="AJ20" s="6">
        <f t="shared" si="5"/>
        <v>20.569807996002897</v>
      </c>
      <c r="AK20" s="6">
        <f t="shared" si="6"/>
        <v>51.200375067999758</v>
      </c>
      <c r="AL20" s="6">
        <f t="shared" si="7"/>
        <v>594.98609976750606</v>
      </c>
      <c r="AM20" s="6">
        <f t="shared" si="8"/>
        <v>8.6053060883282101E-2</v>
      </c>
      <c r="AN20" s="6">
        <f t="shared" si="9"/>
        <v>4.2378441999999694</v>
      </c>
      <c r="AO20" s="6">
        <f t="shared" si="10"/>
        <v>3.8800000000000001E-2</v>
      </c>
      <c r="AP20" s="6">
        <f t="shared" si="11"/>
        <v>688.46152221751515</v>
      </c>
      <c r="AQ20" s="6">
        <f t="shared" si="12"/>
        <v>2.8666269203093502E-2</v>
      </c>
      <c r="AR20" s="6">
        <f t="shared" si="13"/>
        <v>-13.783546920000418</v>
      </c>
      <c r="AS20" s="6">
        <f t="shared" si="14"/>
        <v>2.3796148454339579E-2</v>
      </c>
      <c r="AT20" s="6">
        <f t="shared" si="15"/>
        <v>3.7256028656919335E-2</v>
      </c>
      <c r="AU20" s="6">
        <f t="shared" si="16"/>
        <v>3.7256028656919336</v>
      </c>
      <c r="AV20" s="6">
        <f t="shared" si="17"/>
        <v>2.0078640564680139</v>
      </c>
      <c r="AW20" s="6">
        <f t="shared" si="0"/>
        <v>22.166819183406872</v>
      </c>
      <c r="AX20" s="20">
        <f t="shared" si="18"/>
        <v>3.8178373506332276E-2</v>
      </c>
      <c r="AY20" s="20">
        <f t="shared" si="19"/>
        <v>4.4253559655072147E-2</v>
      </c>
      <c r="AZ20" s="20">
        <f t="shared" si="20"/>
        <v>8.243193316140443E-2</v>
      </c>
    </row>
    <row r="21" spans="1:52" x14ac:dyDescent="0.25">
      <c r="O21" s="6">
        <v>16</v>
      </c>
      <c r="P21" s="7">
        <f>AVERAGE(B775:B824)</f>
        <v>198.31667412000002</v>
      </c>
      <c r="Q21" s="8">
        <f>STDEV(B775:B824)</f>
        <v>1.3424632447579092E-2</v>
      </c>
      <c r="R21" s="9">
        <f>AVERAGE(C775:C824)</f>
        <v>206.04192384000009</v>
      </c>
      <c r="S21" s="10">
        <f>STDEV(C775:C824)</f>
        <v>1.3401697360301796E-2</v>
      </c>
      <c r="T21" s="11">
        <f>AVERAGE(D775:D824)</f>
        <v>214.41502476000002</v>
      </c>
      <c r="U21" s="12">
        <f>STDEV(D775:D824)</f>
        <v>1.2115154151084183E-2</v>
      </c>
      <c r="V21" s="13">
        <f>AVERAGE(E775:E824)</f>
        <v>111.62693236000004</v>
      </c>
      <c r="W21" s="14">
        <f>STDEV(E775:E824)</f>
        <v>5.8411435536712464E-2</v>
      </c>
      <c r="X21" s="15">
        <f>AVERAGE(F775:F824)</f>
        <v>79.487241720000014</v>
      </c>
      <c r="Y21" s="16">
        <f>STDEV(F775:F824)</f>
        <v>0.84539164018527246</v>
      </c>
      <c r="Z21" s="17">
        <f>AVERAGE(G775:G824)</f>
        <v>50.07054878000001</v>
      </c>
      <c r="AA21" s="18">
        <f>AVERAGE(H775:H824)</f>
        <v>54.783672899999999</v>
      </c>
      <c r="AB21" s="6">
        <f t="shared" si="1"/>
        <v>1.0838615220842132</v>
      </c>
      <c r="AC21" s="6">
        <f t="shared" si="21"/>
        <v>-1480.2648240000308</v>
      </c>
      <c r="AD21" s="6">
        <f t="shared" si="2"/>
        <v>57.878354618401211</v>
      </c>
      <c r="AE21" s="6">
        <f t="shared" si="22"/>
        <v>102.74534341599986</v>
      </c>
      <c r="AF21" s="19">
        <v>57</v>
      </c>
      <c r="AG21" s="19">
        <v>77</v>
      </c>
      <c r="AH21" s="6">
        <f t="shared" si="3"/>
        <v>-2.4872417200000143</v>
      </c>
      <c r="AI21" s="6">
        <f t="shared" si="4"/>
        <v>25.745343415999855</v>
      </c>
      <c r="AJ21" s="6">
        <f t="shared" si="5"/>
        <v>22.481096361073121</v>
      </c>
      <c r="AK21" s="6">
        <f t="shared" si="6"/>
        <v>52.745343415999855</v>
      </c>
      <c r="AL21" s="6">
        <f t="shared" si="7"/>
        <v>638.97703498714941</v>
      </c>
      <c r="AM21" s="6">
        <f t="shared" si="8"/>
        <v>8.2546540060020504E-2</v>
      </c>
      <c r="AN21" s="6">
        <f t="shared" si="9"/>
        <v>4.7131241199999891</v>
      </c>
      <c r="AO21" s="6">
        <f t="shared" si="10"/>
        <v>3.8800000000000001E-2</v>
      </c>
      <c r="AP21" s="6">
        <f t="shared" si="11"/>
        <v>765.67340678907021</v>
      </c>
      <c r="AQ21" s="6">
        <f t="shared" si="12"/>
        <v>2.7990605005710177E-2</v>
      </c>
      <c r="AR21" s="6">
        <f t="shared" si="13"/>
        <v>-14.802648240000309</v>
      </c>
      <c r="AS21" s="6">
        <f t="shared" si="14"/>
        <v>2.3558667306024943E-2</v>
      </c>
      <c r="AT21" s="6">
        <f t="shared" si="15"/>
        <v>3.6585308169013092E-2</v>
      </c>
      <c r="AU21" s="6">
        <f t="shared" si="16"/>
        <v>3.6585308169013091</v>
      </c>
      <c r="AV21" s="6">
        <f t="shared" si="17"/>
        <v>2.1174974400296303</v>
      </c>
      <c r="AW21" s="6">
        <f t="shared" si="0"/>
        <v>23.377171737927121</v>
      </c>
      <c r="AX21" s="20">
        <f t="shared" si="18"/>
        <v>3.639896337818712E-2</v>
      </c>
      <c r="AY21" s="20">
        <f t="shared" si="19"/>
        <v>4.2349144645776229E-2</v>
      </c>
      <c r="AZ21" s="20">
        <f t="shared" si="20"/>
        <v>7.8748108023963342E-2</v>
      </c>
    </row>
    <row r="22" spans="1:52" x14ac:dyDescent="0.25">
      <c r="O22" s="6">
        <v>17</v>
      </c>
      <c r="P22" s="7" t="e">
        <f>AVERAGE(B825:B874)</f>
        <v>#DIV/0!</v>
      </c>
      <c r="Q22" s="8" t="e">
        <f>STDEV(B825:B874)</f>
        <v>#DIV/0!</v>
      </c>
      <c r="R22" s="9" t="e">
        <f>AVERAGE(C825:C874)</f>
        <v>#DIV/0!</v>
      </c>
      <c r="S22" s="10" t="e">
        <f>STDEV(C825:C874)</f>
        <v>#DIV/0!</v>
      </c>
      <c r="T22" s="11" t="e">
        <f>AVERAGE(D825:D874)</f>
        <v>#DIV/0!</v>
      </c>
      <c r="U22" s="12" t="e">
        <f>STDEV(D825:D874)</f>
        <v>#DIV/0!</v>
      </c>
      <c r="V22" s="13" t="e">
        <f>AVERAGE(E825:E874)</f>
        <v>#DIV/0!</v>
      </c>
      <c r="W22" s="14" t="e">
        <f>STDEV(E825:E874)</f>
        <v>#DIV/0!</v>
      </c>
      <c r="X22" s="15" t="e">
        <f>AVERAGE(F825:F874)</f>
        <v>#DIV/0!</v>
      </c>
      <c r="Y22" s="16" t="e">
        <f>STDEV(F825:F874)</f>
        <v>#DIV/0!</v>
      </c>
      <c r="Z22" s="17" t="e">
        <f>AVERAGE(G825:G874)</f>
        <v>#DIV/0!</v>
      </c>
      <c r="AA22" s="18" t="e">
        <f>AVERAGE(H825:H874)</f>
        <v>#DIV/0!</v>
      </c>
      <c r="AB22" s="6" t="e">
        <f t="shared" si="1"/>
        <v>#DIV/0!</v>
      </c>
      <c r="AC22" s="6" t="e">
        <f t="shared" si="21"/>
        <v>#DIV/0!</v>
      </c>
      <c r="AD22" s="6" t="e">
        <f t="shared" si="2"/>
        <v>#DIV/0!</v>
      </c>
      <c r="AE22" s="6" t="e">
        <f t="shared" si="22"/>
        <v>#DIV/0!</v>
      </c>
      <c r="AF22" s="19"/>
      <c r="AG22" s="19"/>
      <c r="AH22" s="6" t="e">
        <f t="shared" si="3"/>
        <v>#DIV/0!</v>
      </c>
      <c r="AI22" s="6" t="e">
        <f t="shared" si="4"/>
        <v>#DIV/0!</v>
      </c>
      <c r="AJ22" s="6" t="e">
        <f t="shared" si="5"/>
        <v>#DIV/0!</v>
      </c>
      <c r="AK22" s="6" t="e">
        <f t="shared" si="6"/>
        <v>#DIV/0!</v>
      </c>
      <c r="AL22" s="6" t="e">
        <f t="shared" si="7"/>
        <v>#DIV/0!</v>
      </c>
      <c r="AM22" s="6" t="e">
        <f t="shared" si="8"/>
        <v>#DIV/0!</v>
      </c>
      <c r="AN22" s="6" t="e">
        <f t="shared" si="9"/>
        <v>#DIV/0!</v>
      </c>
      <c r="AO22" s="6">
        <f t="shared" si="10"/>
        <v>3.8800000000000001E-2</v>
      </c>
      <c r="AP22" s="6" t="e">
        <f t="shared" si="11"/>
        <v>#DIV/0!</v>
      </c>
      <c r="AQ22" s="6" t="e">
        <f t="shared" si="12"/>
        <v>#DIV/0!</v>
      </c>
      <c r="AR22" s="6" t="e">
        <f t="shared" si="13"/>
        <v>#DIV/0!</v>
      </c>
      <c r="AS22" s="6" t="e">
        <f t="shared" si="14"/>
        <v>#DIV/0!</v>
      </c>
      <c r="AT22" s="6" t="e">
        <f t="shared" si="15"/>
        <v>#DIV/0!</v>
      </c>
      <c r="AU22" s="6" t="e">
        <f t="shared" si="16"/>
        <v>#DIV/0!</v>
      </c>
      <c r="AV22" s="6" t="e">
        <f t="shared" si="17"/>
        <v>#DIV/0!</v>
      </c>
      <c r="AW22" s="6" t="e">
        <f t="shared" si="0"/>
        <v>#DIV/0!</v>
      </c>
      <c r="AX22" s="20" t="e">
        <f t="shared" si="18"/>
        <v>#DIV/0!</v>
      </c>
      <c r="AY22" s="20" t="e">
        <f t="shared" si="19"/>
        <v>#DIV/0!</v>
      </c>
      <c r="AZ22" s="20" t="e">
        <f t="shared" si="20"/>
        <v>#DIV/0!</v>
      </c>
    </row>
    <row r="23" spans="1:52" x14ac:dyDescent="0.25">
      <c r="O23" s="6">
        <v>18</v>
      </c>
      <c r="P23" s="7" t="e">
        <f>AVERAGE(B875:B924)</f>
        <v>#DIV/0!</v>
      </c>
      <c r="Q23" s="8" t="e">
        <f>STDEV(B875:B924)</f>
        <v>#DIV/0!</v>
      </c>
      <c r="R23" s="9" t="e">
        <f>AVERAGE(C875:C924)</f>
        <v>#DIV/0!</v>
      </c>
      <c r="S23" s="10" t="e">
        <f>STDEV(C875:C924)</f>
        <v>#DIV/0!</v>
      </c>
      <c r="T23" s="11" t="e">
        <f>AVERAGE(D875:D924)</f>
        <v>#DIV/0!</v>
      </c>
      <c r="U23" s="12" t="e">
        <f>STDEV(D875:D924)</f>
        <v>#DIV/0!</v>
      </c>
      <c r="V23" s="13" t="e">
        <f>AVERAGE(E875:E924)</f>
        <v>#DIV/0!</v>
      </c>
      <c r="W23" s="14" t="e">
        <f>STDEV(E875:E924)</f>
        <v>#DIV/0!</v>
      </c>
      <c r="X23" s="15" t="e">
        <f>AVERAGE(F875:F924)</f>
        <v>#DIV/0!</v>
      </c>
      <c r="Y23" s="16" t="e">
        <f>STDEV(F875:F924)</f>
        <v>#DIV/0!</v>
      </c>
      <c r="Z23" s="17" t="e">
        <f>AVERAGE(G875:G924)</f>
        <v>#DIV/0!</v>
      </c>
      <c r="AA23" s="18" t="e">
        <f>AVERAGE(H875:H924)</f>
        <v>#DIV/0!</v>
      </c>
      <c r="AB23" s="6" t="e">
        <f t="shared" si="1"/>
        <v>#DIV/0!</v>
      </c>
      <c r="AC23" s="6" t="e">
        <f t="shared" si="21"/>
        <v>#DIV/0!</v>
      </c>
      <c r="AD23" s="6" t="e">
        <f t="shared" si="2"/>
        <v>#DIV/0!</v>
      </c>
      <c r="AE23" s="6" t="e">
        <f t="shared" si="22"/>
        <v>#DIV/0!</v>
      </c>
      <c r="AF23" s="19"/>
      <c r="AG23" s="19"/>
      <c r="AH23" s="6" t="e">
        <f t="shared" si="3"/>
        <v>#DIV/0!</v>
      </c>
      <c r="AI23" s="6" t="e">
        <f t="shared" si="4"/>
        <v>#DIV/0!</v>
      </c>
      <c r="AJ23" s="6" t="e">
        <f t="shared" si="5"/>
        <v>#DIV/0!</v>
      </c>
      <c r="AK23" s="6" t="e">
        <f t="shared" si="6"/>
        <v>#DIV/0!</v>
      </c>
      <c r="AL23" s="6" t="e">
        <f t="shared" si="7"/>
        <v>#DIV/0!</v>
      </c>
      <c r="AM23" s="6" t="e">
        <f t="shared" si="8"/>
        <v>#DIV/0!</v>
      </c>
      <c r="AN23" s="6" t="e">
        <f t="shared" si="9"/>
        <v>#DIV/0!</v>
      </c>
      <c r="AO23" s="6">
        <f t="shared" si="10"/>
        <v>3.8800000000000001E-2</v>
      </c>
      <c r="AP23" s="6" t="e">
        <f t="shared" si="11"/>
        <v>#DIV/0!</v>
      </c>
      <c r="AQ23" s="6" t="e">
        <f t="shared" si="12"/>
        <v>#DIV/0!</v>
      </c>
      <c r="AR23" s="6" t="e">
        <f t="shared" si="13"/>
        <v>#DIV/0!</v>
      </c>
      <c r="AS23" s="6" t="e">
        <f t="shared" si="14"/>
        <v>#DIV/0!</v>
      </c>
      <c r="AT23" s="6" t="e">
        <f t="shared" si="15"/>
        <v>#DIV/0!</v>
      </c>
      <c r="AU23" s="6" t="e">
        <f t="shared" si="16"/>
        <v>#DIV/0!</v>
      </c>
      <c r="AV23" s="6" t="e">
        <f t="shared" si="17"/>
        <v>#DIV/0!</v>
      </c>
      <c r="AW23" s="6" t="e">
        <f t="shared" si="0"/>
        <v>#DIV/0!</v>
      </c>
      <c r="AX23" s="20" t="e">
        <f t="shared" si="18"/>
        <v>#DIV/0!</v>
      </c>
      <c r="AY23" s="20" t="e">
        <f t="shared" si="19"/>
        <v>#DIV/0!</v>
      </c>
      <c r="AZ23" s="20" t="e">
        <f t="shared" si="20"/>
        <v>#DIV/0!</v>
      </c>
    </row>
    <row r="24" spans="1:52" x14ac:dyDescent="0.3">
      <c r="A24" s="1" t="s">
        <v>48</v>
      </c>
      <c r="B24" s="1" t="s">
        <v>10</v>
      </c>
      <c r="C24" s="1" t="s">
        <v>14</v>
      </c>
      <c r="D24" s="1" t="s">
        <v>15</v>
      </c>
      <c r="E24" s="1" t="s">
        <v>16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54</v>
      </c>
      <c r="L24" s="1" t="s">
        <v>55</v>
      </c>
      <c r="O24" s="6">
        <v>19</v>
      </c>
      <c r="P24" s="7" t="e">
        <f>AVERAGE(B925:B974)</f>
        <v>#DIV/0!</v>
      </c>
      <c r="Q24" s="8" t="e">
        <f>STDEV(B925:B974)</f>
        <v>#DIV/0!</v>
      </c>
      <c r="R24" s="9" t="e">
        <f>AVERAGE(C925:C974)</f>
        <v>#DIV/0!</v>
      </c>
      <c r="S24" s="10" t="e">
        <f>STDEV(C925:C974)</f>
        <v>#DIV/0!</v>
      </c>
      <c r="T24" s="11" t="e">
        <f>AVERAGE(D925:D974)</f>
        <v>#DIV/0!</v>
      </c>
      <c r="U24" s="12" t="e">
        <f>STDEV(D925:D974)</f>
        <v>#DIV/0!</v>
      </c>
      <c r="V24" s="13" t="e">
        <f>AVERAGE(E925:E974)</f>
        <v>#DIV/0!</v>
      </c>
      <c r="W24" s="14" t="e">
        <f>STDEV(E925:E974)</f>
        <v>#DIV/0!</v>
      </c>
      <c r="X24" s="15" t="e">
        <f>AVERAGE(F925:F974)</f>
        <v>#DIV/0!</v>
      </c>
      <c r="Y24" s="16" t="e">
        <f>STDEV(F925:F974)</f>
        <v>#DIV/0!</v>
      </c>
      <c r="Z24" s="17" t="e">
        <f>AVERAGE(G925:G974)</f>
        <v>#DIV/0!</v>
      </c>
      <c r="AA24" s="18" t="e">
        <f>AVERAGE(H925:H974)</f>
        <v>#DIV/0!</v>
      </c>
      <c r="AB24" s="6" t="e">
        <f t="shared" si="1"/>
        <v>#DIV/0!</v>
      </c>
      <c r="AC24" s="6" t="e">
        <f t="shared" si="21"/>
        <v>#DIV/0!</v>
      </c>
      <c r="AD24" s="6" t="e">
        <f t="shared" si="2"/>
        <v>#DIV/0!</v>
      </c>
      <c r="AE24" s="6" t="e">
        <f t="shared" si="22"/>
        <v>#DIV/0!</v>
      </c>
      <c r="AF24" s="22"/>
      <c r="AG24" s="22"/>
      <c r="AH24" s="6" t="e">
        <f t="shared" si="3"/>
        <v>#DIV/0!</v>
      </c>
      <c r="AI24" s="6" t="e">
        <f t="shared" si="4"/>
        <v>#DIV/0!</v>
      </c>
      <c r="AJ24" s="6" t="e">
        <f t="shared" si="5"/>
        <v>#DIV/0!</v>
      </c>
      <c r="AK24" s="6" t="e">
        <f t="shared" si="6"/>
        <v>#DIV/0!</v>
      </c>
      <c r="AL24" s="6" t="e">
        <f t="shared" si="7"/>
        <v>#DIV/0!</v>
      </c>
      <c r="AM24" s="6" t="e">
        <f t="shared" si="8"/>
        <v>#DIV/0!</v>
      </c>
      <c r="AN24" s="6" t="e">
        <f t="shared" si="9"/>
        <v>#DIV/0!</v>
      </c>
      <c r="AO24" s="6">
        <f t="shared" si="10"/>
        <v>3.8800000000000001E-2</v>
      </c>
      <c r="AP24" s="6" t="e">
        <f t="shared" si="11"/>
        <v>#DIV/0!</v>
      </c>
      <c r="AQ24" s="6" t="e">
        <f t="shared" si="12"/>
        <v>#DIV/0!</v>
      </c>
      <c r="AR24" s="6" t="e">
        <f t="shared" si="13"/>
        <v>#DIV/0!</v>
      </c>
      <c r="AS24" s="6" t="e">
        <f t="shared" si="14"/>
        <v>#DIV/0!</v>
      </c>
      <c r="AT24" s="6" t="e">
        <f t="shared" si="15"/>
        <v>#DIV/0!</v>
      </c>
      <c r="AU24" s="6" t="e">
        <f t="shared" si="16"/>
        <v>#DIV/0!</v>
      </c>
      <c r="AV24" s="6" t="e">
        <f t="shared" si="17"/>
        <v>#DIV/0!</v>
      </c>
      <c r="AW24" s="6" t="e">
        <f t="shared" si="0"/>
        <v>#DIV/0!</v>
      </c>
      <c r="AX24" s="20" t="e">
        <f t="shared" si="18"/>
        <v>#DIV/0!</v>
      </c>
      <c r="AY24" s="20" t="e">
        <f t="shared" si="19"/>
        <v>#DIV/0!</v>
      </c>
      <c r="AZ24" s="20" t="e">
        <f t="shared" si="20"/>
        <v>#DIV/0!</v>
      </c>
    </row>
    <row r="25" spans="1:52" x14ac:dyDescent="0.3">
      <c r="A25">
        <v>18</v>
      </c>
      <c r="B25">
        <v>71.241972000000004</v>
      </c>
      <c r="C25">
        <v>71.675281999999996</v>
      </c>
      <c r="D25">
        <v>72.136488</v>
      </c>
      <c r="E25">
        <v>65.751656999999994</v>
      </c>
      <c r="F25">
        <v>52.545118000000002</v>
      </c>
      <c r="G25">
        <v>49.986184000000002</v>
      </c>
      <c r="H25">
        <v>50.007677999999999</v>
      </c>
      <c r="I25" t="s">
        <v>56</v>
      </c>
      <c r="O25" s="6">
        <v>20</v>
      </c>
      <c r="P25" s="7" t="e">
        <f>AVERAGE(B975:B1024)</f>
        <v>#DIV/0!</v>
      </c>
      <c r="Q25" s="8" t="e">
        <f>STDEV(B975:B1024)</f>
        <v>#DIV/0!</v>
      </c>
      <c r="R25" s="9" t="e">
        <f>AVERAGE(C975:C1024)</f>
        <v>#DIV/0!</v>
      </c>
      <c r="S25" s="10" t="e">
        <f>STDEV(C975:C1024)</f>
        <v>#DIV/0!</v>
      </c>
      <c r="T25" s="11" t="e">
        <f>AVERAGE(D975:D1024)</f>
        <v>#DIV/0!</v>
      </c>
      <c r="U25" s="12" t="e">
        <f>STDEV(D975:D1024)</f>
        <v>#DIV/0!</v>
      </c>
      <c r="V25" s="13" t="e">
        <f>AVERAGE(E975:E1024)</f>
        <v>#DIV/0!</v>
      </c>
      <c r="W25" s="14" t="e">
        <f>STDEV(E975:E1024)</f>
        <v>#DIV/0!</v>
      </c>
      <c r="X25" s="15" t="e">
        <f>AVERAGE(F975:F1024)</f>
        <v>#DIV/0!</v>
      </c>
      <c r="Y25" s="16" t="e">
        <f>STDEV(F975:F1024)</f>
        <v>#DIV/0!</v>
      </c>
      <c r="Z25" s="17" t="e">
        <f>AVERAGE(G975:G1024)</f>
        <v>#DIV/0!</v>
      </c>
      <c r="AA25" s="18" t="e">
        <f>AVERAGE(H975:H1024)</f>
        <v>#DIV/0!</v>
      </c>
      <c r="AB25" s="6" t="e">
        <f t="shared" si="1"/>
        <v>#DIV/0!</v>
      </c>
      <c r="AC25" s="6" t="e">
        <f t="shared" si="21"/>
        <v>#DIV/0!</v>
      </c>
      <c r="AD25" s="6" t="e">
        <f t="shared" si="2"/>
        <v>#DIV/0!</v>
      </c>
      <c r="AE25" s="6" t="e">
        <f t="shared" si="22"/>
        <v>#DIV/0!</v>
      </c>
      <c r="AF25" s="22"/>
      <c r="AG25" s="22"/>
      <c r="AH25" s="6" t="e">
        <f t="shared" si="3"/>
        <v>#DIV/0!</v>
      </c>
      <c r="AI25" s="6" t="e">
        <f t="shared" si="4"/>
        <v>#DIV/0!</v>
      </c>
      <c r="AJ25" s="6" t="e">
        <f t="shared" si="5"/>
        <v>#DIV/0!</v>
      </c>
      <c r="AK25" s="6" t="e">
        <f t="shared" si="6"/>
        <v>#DIV/0!</v>
      </c>
      <c r="AL25" s="6" t="e">
        <f t="shared" si="7"/>
        <v>#DIV/0!</v>
      </c>
      <c r="AM25" s="6" t="e">
        <f t="shared" si="8"/>
        <v>#DIV/0!</v>
      </c>
      <c r="AN25" s="6" t="e">
        <f t="shared" si="9"/>
        <v>#DIV/0!</v>
      </c>
      <c r="AO25" s="6">
        <f t="shared" si="10"/>
        <v>3.8800000000000001E-2</v>
      </c>
      <c r="AP25" s="6" t="e">
        <f t="shared" si="11"/>
        <v>#DIV/0!</v>
      </c>
      <c r="AQ25" s="6" t="e">
        <f t="shared" si="12"/>
        <v>#DIV/0!</v>
      </c>
      <c r="AR25" s="6" t="e">
        <f t="shared" si="13"/>
        <v>#DIV/0!</v>
      </c>
      <c r="AS25" s="6" t="e">
        <f t="shared" si="14"/>
        <v>#DIV/0!</v>
      </c>
      <c r="AT25" s="6" t="e">
        <f t="shared" si="15"/>
        <v>#DIV/0!</v>
      </c>
      <c r="AU25" s="6" t="e">
        <f t="shared" si="16"/>
        <v>#DIV/0!</v>
      </c>
      <c r="AV25" s="6" t="e">
        <f t="shared" si="17"/>
        <v>#DIV/0!</v>
      </c>
      <c r="AW25" s="6" t="e">
        <f t="shared" si="0"/>
        <v>#DIV/0!</v>
      </c>
      <c r="AX25" s="20" t="e">
        <f t="shared" si="18"/>
        <v>#DIV/0!</v>
      </c>
      <c r="AY25" s="20" t="e">
        <f t="shared" si="19"/>
        <v>#DIV/0!</v>
      </c>
      <c r="AZ25" s="20" t="e">
        <f t="shared" si="20"/>
        <v>#DIV/0!</v>
      </c>
    </row>
    <row r="26" spans="1:52" x14ac:dyDescent="0.3">
      <c r="A26">
        <v>18.2</v>
      </c>
      <c r="B26">
        <v>71.241972000000004</v>
      </c>
      <c r="C26">
        <v>71.675281999999996</v>
      </c>
      <c r="D26">
        <v>72.136488</v>
      </c>
      <c r="E26">
        <v>65.751656999999994</v>
      </c>
      <c r="F26">
        <v>52.545118000000002</v>
      </c>
      <c r="G26">
        <v>49.986184000000002</v>
      </c>
      <c r="H26">
        <v>50.007677999999999</v>
      </c>
      <c r="I26"/>
      <c r="O26" s="6">
        <v>21</v>
      </c>
      <c r="P26" s="7" t="e">
        <f>AVERAGE(B1025:B1074)</f>
        <v>#DIV/0!</v>
      </c>
      <c r="Q26" s="8" t="e">
        <f>STDEV(C1025:C1074)</f>
        <v>#DIV/0!</v>
      </c>
      <c r="R26" s="9" t="e">
        <f>AVERAGE(C1025:C1074)</f>
        <v>#DIV/0!</v>
      </c>
      <c r="S26" s="10" t="e">
        <f>STDEV(E1025:E1074)</f>
        <v>#DIV/0!</v>
      </c>
      <c r="T26" s="11" t="e">
        <f>AVERAGE(D1025:D1074)</f>
        <v>#DIV/0!</v>
      </c>
      <c r="U26" s="12" t="e">
        <f>STDEV(D1025:D1074)</f>
        <v>#DIV/0!</v>
      </c>
      <c r="V26" s="13" t="e">
        <f>AVERAGE(E1025:E1074)</f>
        <v>#DIV/0!</v>
      </c>
      <c r="W26" s="14" t="e">
        <f>STDEV(E1025:E1074)</f>
        <v>#DIV/0!</v>
      </c>
      <c r="X26" s="15" t="e">
        <f>AVERAGE(F1025:F1074)</f>
        <v>#DIV/0!</v>
      </c>
      <c r="Y26" s="16" t="e">
        <f>STDEV(F1025:F1074)</f>
        <v>#DIV/0!</v>
      </c>
      <c r="Z26" s="17" t="e">
        <f>AVERAGE(G1025:G1074)</f>
        <v>#DIV/0!</v>
      </c>
      <c r="AA26" s="18" t="e">
        <f>AVERAGE(H1025:H1074)</f>
        <v>#DIV/0!</v>
      </c>
      <c r="AB26" s="6" t="e">
        <f t="shared" si="1"/>
        <v>#DIV/0!</v>
      </c>
      <c r="AC26" s="6" t="e">
        <f t="shared" si="21"/>
        <v>#DIV/0!</v>
      </c>
      <c r="AD26" s="6" t="e">
        <f t="shared" si="2"/>
        <v>#DIV/0!</v>
      </c>
      <c r="AE26" s="6" t="e">
        <f t="shared" si="22"/>
        <v>#DIV/0!</v>
      </c>
      <c r="AF26" s="22"/>
      <c r="AG26" s="22"/>
      <c r="AH26" s="6" t="e">
        <f t="shared" si="3"/>
        <v>#DIV/0!</v>
      </c>
      <c r="AI26" s="6" t="e">
        <f t="shared" si="4"/>
        <v>#DIV/0!</v>
      </c>
      <c r="AJ26" s="6" t="e">
        <f t="shared" si="5"/>
        <v>#DIV/0!</v>
      </c>
      <c r="AK26" s="6" t="e">
        <f t="shared" si="6"/>
        <v>#DIV/0!</v>
      </c>
      <c r="AL26" s="6" t="e">
        <f t="shared" si="7"/>
        <v>#DIV/0!</v>
      </c>
      <c r="AM26" s="6" t="e">
        <f t="shared" si="8"/>
        <v>#DIV/0!</v>
      </c>
      <c r="AN26" s="6" t="e">
        <f t="shared" si="9"/>
        <v>#DIV/0!</v>
      </c>
      <c r="AO26" s="6">
        <f t="shared" si="10"/>
        <v>3.8800000000000001E-2</v>
      </c>
      <c r="AP26" s="6" t="e">
        <f t="shared" si="11"/>
        <v>#DIV/0!</v>
      </c>
      <c r="AQ26" s="6" t="e">
        <f t="shared" si="12"/>
        <v>#DIV/0!</v>
      </c>
      <c r="AR26" s="6" t="e">
        <f t="shared" si="13"/>
        <v>#DIV/0!</v>
      </c>
      <c r="AS26" s="6" t="e">
        <f t="shared" si="14"/>
        <v>#DIV/0!</v>
      </c>
      <c r="AT26" s="6" t="e">
        <f t="shared" si="15"/>
        <v>#DIV/0!</v>
      </c>
      <c r="AU26" s="6" t="e">
        <f t="shared" si="16"/>
        <v>#DIV/0!</v>
      </c>
      <c r="AV26" s="6" t="e">
        <f t="shared" si="17"/>
        <v>#DIV/0!</v>
      </c>
      <c r="AW26" s="6" t="e">
        <f t="shared" si="0"/>
        <v>#DIV/0!</v>
      </c>
      <c r="AX26" s="20" t="e">
        <f t="shared" si="18"/>
        <v>#DIV/0!</v>
      </c>
      <c r="AY26" s="20" t="e">
        <f t="shared" si="19"/>
        <v>#DIV/0!</v>
      </c>
      <c r="AZ26" s="20" t="e">
        <f t="shared" si="20"/>
        <v>#DIV/0!</v>
      </c>
    </row>
    <row r="27" spans="1:52" x14ac:dyDescent="0.3">
      <c r="A27">
        <v>18.399999999999999</v>
      </c>
      <c r="B27">
        <v>71.248187000000001</v>
      </c>
      <c r="C27">
        <v>71.676085999999998</v>
      </c>
      <c r="D27">
        <v>72.135940000000005</v>
      </c>
      <c r="E27">
        <v>65.743037000000001</v>
      </c>
      <c r="F27">
        <v>52.599939999999997</v>
      </c>
      <c r="G27">
        <v>49.974269</v>
      </c>
      <c r="H27">
        <v>50.014251000000002</v>
      </c>
      <c r="I27"/>
      <c r="O27" s="6">
        <v>22</v>
      </c>
      <c r="P27" s="7" t="e">
        <f>AVERAGE(B1075:B1124)</f>
        <v>#DIV/0!</v>
      </c>
      <c r="Q27" s="23" t="e">
        <f>STDEV(C1075:C1124)</f>
        <v>#DIV/0!</v>
      </c>
      <c r="R27" s="9" t="e">
        <f>AVERAGE(C1075:C1124)</f>
        <v>#DIV/0!</v>
      </c>
      <c r="S27" s="10" t="e">
        <f>STDEV(E1075:E1124)</f>
        <v>#DIV/0!</v>
      </c>
      <c r="T27" s="11" t="e">
        <f>AVERAGE(D1075:D1124)</f>
        <v>#DIV/0!</v>
      </c>
      <c r="U27" s="12" t="e">
        <f>STDEV(D1075:D1124)</f>
        <v>#DIV/0!</v>
      </c>
      <c r="V27" s="13" t="e">
        <f>AVERAGE(E1075:E1124)</f>
        <v>#DIV/0!</v>
      </c>
      <c r="W27" s="14" t="e">
        <f>STDEV(E1075:E1124)</f>
        <v>#DIV/0!</v>
      </c>
      <c r="X27" s="15" t="e">
        <f>AVERAGE(F1075:F1124)</f>
        <v>#DIV/0!</v>
      </c>
      <c r="Y27" s="16" t="e">
        <f>STDEV(F1075:F1124)</f>
        <v>#DIV/0!</v>
      </c>
      <c r="Z27" s="17" t="e">
        <f>AVERAGE(G1075:G1124)</f>
        <v>#DIV/0!</v>
      </c>
      <c r="AA27" s="18" t="e">
        <f>AVERAGE(H1075:H1124)</f>
        <v>#DIV/0!</v>
      </c>
      <c r="AB27" s="6" t="e">
        <f t="shared" si="1"/>
        <v>#DIV/0!</v>
      </c>
      <c r="AC27" s="6" t="e">
        <f t="shared" si="21"/>
        <v>#DIV/0!</v>
      </c>
      <c r="AD27" s="6" t="e">
        <f t="shared" si="2"/>
        <v>#DIV/0!</v>
      </c>
      <c r="AE27" s="6" t="e">
        <f t="shared" si="22"/>
        <v>#DIV/0!</v>
      </c>
      <c r="AF27" s="22"/>
      <c r="AG27" s="22"/>
      <c r="AH27" s="6" t="e">
        <f t="shared" si="3"/>
        <v>#DIV/0!</v>
      </c>
      <c r="AI27" s="6" t="e">
        <f t="shared" si="4"/>
        <v>#DIV/0!</v>
      </c>
      <c r="AJ27" s="6" t="e">
        <f t="shared" si="5"/>
        <v>#DIV/0!</v>
      </c>
      <c r="AK27" s="6" t="e">
        <f t="shared" si="6"/>
        <v>#DIV/0!</v>
      </c>
      <c r="AL27" s="6" t="e">
        <f t="shared" si="7"/>
        <v>#DIV/0!</v>
      </c>
      <c r="AM27" s="6" t="e">
        <f t="shared" si="8"/>
        <v>#DIV/0!</v>
      </c>
      <c r="AN27" s="6" t="e">
        <f t="shared" si="9"/>
        <v>#DIV/0!</v>
      </c>
      <c r="AO27" s="6">
        <f t="shared" si="10"/>
        <v>3.8800000000000001E-2</v>
      </c>
      <c r="AP27" s="6" t="e">
        <f t="shared" si="11"/>
        <v>#DIV/0!</v>
      </c>
      <c r="AQ27" s="6" t="e">
        <f t="shared" si="12"/>
        <v>#DIV/0!</v>
      </c>
      <c r="AR27" s="6" t="e">
        <f t="shared" si="13"/>
        <v>#DIV/0!</v>
      </c>
      <c r="AS27" s="6" t="e">
        <f t="shared" si="14"/>
        <v>#DIV/0!</v>
      </c>
      <c r="AT27" s="6" t="e">
        <f t="shared" si="15"/>
        <v>#DIV/0!</v>
      </c>
      <c r="AU27" s="6" t="e">
        <f t="shared" si="16"/>
        <v>#DIV/0!</v>
      </c>
      <c r="AV27" s="6" t="e">
        <f t="shared" si="17"/>
        <v>#DIV/0!</v>
      </c>
      <c r="AW27" s="6" t="e">
        <f t="shared" si="0"/>
        <v>#DIV/0!</v>
      </c>
      <c r="AX27" s="20" t="e">
        <f t="shared" si="18"/>
        <v>#DIV/0!</v>
      </c>
      <c r="AY27" s="20" t="e">
        <f t="shared" si="19"/>
        <v>#DIV/0!</v>
      </c>
      <c r="AZ27" s="20" t="e">
        <f t="shared" si="20"/>
        <v>#DIV/0!</v>
      </c>
    </row>
    <row r="28" spans="1:52" x14ac:dyDescent="0.3">
      <c r="A28">
        <v>18.600000000000001</v>
      </c>
      <c r="B28">
        <v>71.248187000000001</v>
      </c>
      <c r="C28">
        <v>71.676085999999998</v>
      </c>
      <c r="D28">
        <v>72.135940000000005</v>
      </c>
      <c r="E28">
        <v>65.743037000000001</v>
      </c>
      <c r="F28">
        <v>52.599939999999997</v>
      </c>
      <c r="G28">
        <v>49.974269</v>
      </c>
      <c r="H28">
        <v>50.014251000000002</v>
      </c>
      <c r="I28"/>
      <c r="O28" s="6">
        <v>23</v>
      </c>
      <c r="P28" s="7" t="e">
        <f>AVERAGE(B1125:B1174)</f>
        <v>#DIV/0!</v>
      </c>
      <c r="Q28" s="23" t="e">
        <f>STDEV(C1125:C1174)</f>
        <v>#DIV/0!</v>
      </c>
      <c r="R28" s="9" t="e">
        <f>AVERAGE(C1125:C1174)</f>
        <v>#DIV/0!</v>
      </c>
      <c r="S28" s="10" t="e">
        <f>STDEV(E1125:E1174)</f>
        <v>#DIV/0!</v>
      </c>
      <c r="T28" s="11" t="e">
        <f>AVERAGE(D1125:D1174)</f>
        <v>#DIV/0!</v>
      </c>
      <c r="U28" s="12" t="e">
        <f>STDEV(D1125:D1174)</f>
        <v>#DIV/0!</v>
      </c>
      <c r="V28" s="13" t="e">
        <f>AVERAGE(E1125:E1174)</f>
        <v>#DIV/0!</v>
      </c>
      <c r="W28" s="14" t="e">
        <f>STDEV(E1125:E1174)</f>
        <v>#DIV/0!</v>
      </c>
      <c r="X28" s="15" t="e">
        <f>AVERAGE(F1125:F1174)</f>
        <v>#DIV/0!</v>
      </c>
      <c r="Y28" s="16" t="e">
        <f>STDEV(F1125:F1174)</f>
        <v>#DIV/0!</v>
      </c>
      <c r="Z28" s="17" t="e">
        <f>AVERAGE(G1125:G1174)</f>
        <v>#DIV/0!</v>
      </c>
      <c r="AA28" s="18" t="e">
        <f>AVERAGE(H1125:H1174)</f>
        <v>#DIV/0!</v>
      </c>
      <c r="AB28" s="6" t="e">
        <f t="shared" si="1"/>
        <v>#DIV/0!</v>
      </c>
      <c r="AC28" s="6" t="e">
        <f t="shared" si="21"/>
        <v>#DIV/0!</v>
      </c>
      <c r="AD28" s="6" t="e">
        <f t="shared" si="2"/>
        <v>#DIV/0!</v>
      </c>
      <c r="AE28" s="6" t="e">
        <f t="shared" si="22"/>
        <v>#DIV/0!</v>
      </c>
      <c r="AF28" s="22"/>
      <c r="AG28" s="22"/>
      <c r="AH28" s="6" t="e">
        <f t="shared" si="3"/>
        <v>#DIV/0!</v>
      </c>
      <c r="AI28" s="6" t="e">
        <f t="shared" si="4"/>
        <v>#DIV/0!</v>
      </c>
      <c r="AJ28" s="6" t="e">
        <f t="shared" si="5"/>
        <v>#DIV/0!</v>
      </c>
      <c r="AK28" s="6" t="e">
        <f t="shared" si="6"/>
        <v>#DIV/0!</v>
      </c>
      <c r="AL28" s="6" t="e">
        <f t="shared" si="7"/>
        <v>#DIV/0!</v>
      </c>
      <c r="AM28" s="6" t="e">
        <f t="shared" si="8"/>
        <v>#DIV/0!</v>
      </c>
      <c r="AN28" s="6" t="e">
        <f t="shared" si="9"/>
        <v>#DIV/0!</v>
      </c>
      <c r="AO28" s="6">
        <f t="shared" si="10"/>
        <v>3.8800000000000001E-2</v>
      </c>
      <c r="AP28" s="6" t="e">
        <f t="shared" si="11"/>
        <v>#DIV/0!</v>
      </c>
      <c r="AQ28" s="6" t="e">
        <f t="shared" si="12"/>
        <v>#DIV/0!</v>
      </c>
      <c r="AR28" s="6" t="e">
        <f t="shared" si="13"/>
        <v>#DIV/0!</v>
      </c>
      <c r="AS28" s="6" t="e">
        <f t="shared" si="14"/>
        <v>#DIV/0!</v>
      </c>
      <c r="AT28" s="6" t="e">
        <f t="shared" si="15"/>
        <v>#DIV/0!</v>
      </c>
      <c r="AU28" s="6" t="e">
        <f t="shared" si="16"/>
        <v>#DIV/0!</v>
      </c>
      <c r="AV28" s="6" t="e">
        <f t="shared" si="17"/>
        <v>#DIV/0!</v>
      </c>
      <c r="AW28" s="6" t="e">
        <f t="shared" si="0"/>
        <v>#DIV/0!</v>
      </c>
      <c r="AX28" s="20" t="e">
        <f t="shared" si="18"/>
        <v>#DIV/0!</v>
      </c>
      <c r="AY28" s="20" t="e">
        <f t="shared" si="19"/>
        <v>#DIV/0!</v>
      </c>
      <c r="AZ28" s="20" t="e">
        <f t="shared" si="20"/>
        <v>#DIV/0!</v>
      </c>
    </row>
    <row r="29" spans="1:52" x14ac:dyDescent="0.3">
      <c r="A29">
        <v>18.8</v>
      </c>
      <c r="B29">
        <v>71.251092</v>
      </c>
      <c r="C29">
        <v>71.672668999999999</v>
      </c>
      <c r="D29">
        <v>72.140182999999993</v>
      </c>
      <c r="E29">
        <v>65.718120999999996</v>
      </c>
      <c r="F29">
        <v>52.641382999999998</v>
      </c>
      <c r="G29">
        <v>49.964857000000002</v>
      </c>
      <c r="H29">
        <v>50.000216999999999</v>
      </c>
      <c r="I29"/>
      <c r="O29" s="6">
        <v>24</v>
      </c>
      <c r="P29" s="7" t="e">
        <f>AVERAGE(B1175:B1224)</f>
        <v>#DIV/0!</v>
      </c>
      <c r="Q29" s="23" t="e">
        <f>STDEV(C1175:C1224)</f>
        <v>#DIV/0!</v>
      </c>
      <c r="R29" s="9" t="e">
        <f>AVERAGE(C1175:C1224)</f>
        <v>#DIV/0!</v>
      </c>
      <c r="S29" s="10" t="e">
        <f>STDEV(E1175:E1224)</f>
        <v>#DIV/0!</v>
      </c>
      <c r="T29" s="11" t="e">
        <f>AVERAGE(D1175:D1224)</f>
        <v>#DIV/0!</v>
      </c>
      <c r="U29" s="12" t="e">
        <f>STDEV(D1175:D1224)</f>
        <v>#DIV/0!</v>
      </c>
      <c r="V29" s="13" t="e">
        <f>AVERAGE(E1175:E1224)</f>
        <v>#DIV/0!</v>
      </c>
      <c r="W29" s="14" t="e">
        <f>STDEV(E1175:E1224)</f>
        <v>#DIV/0!</v>
      </c>
      <c r="X29" s="15" t="e">
        <f>AVERAGE(F1175:F1224)</f>
        <v>#DIV/0!</v>
      </c>
      <c r="Y29" s="16" t="e">
        <f>STDEV(F1175:F1224)</f>
        <v>#DIV/0!</v>
      </c>
      <c r="Z29" s="17" t="e">
        <f>AVERAGE(G1175:G1224)</f>
        <v>#DIV/0!</v>
      </c>
      <c r="AA29" s="18" t="e">
        <f>AVERAGE(H1175:H1224)</f>
        <v>#DIV/0!</v>
      </c>
      <c r="AB29" s="6" t="e">
        <f t="shared" si="1"/>
        <v>#DIV/0!</v>
      </c>
      <c r="AC29" s="6" t="e">
        <f t="shared" si="21"/>
        <v>#DIV/0!</v>
      </c>
      <c r="AD29" s="6" t="e">
        <f t="shared" si="2"/>
        <v>#DIV/0!</v>
      </c>
      <c r="AE29" s="6" t="e">
        <f t="shared" si="22"/>
        <v>#DIV/0!</v>
      </c>
      <c r="AF29" s="22"/>
      <c r="AG29" s="22"/>
      <c r="AH29" s="6" t="e">
        <f t="shared" si="3"/>
        <v>#DIV/0!</v>
      </c>
      <c r="AI29" s="6" t="e">
        <f t="shared" si="4"/>
        <v>#DIV/0!</v>
      </c>
      <c r="AJ29" s="6" t="e">
        <f t="shared" si="5"/>
        <v>#DIV/0!</v>
      </c>
      <c r="AK29" s="6" t="e">
        <f t="shared" si="6"/>
        <v>#DIV/0!</v>
      </c>
      <c r="AL29" s="6" t="e">
        <f t="shared" si="7"/>
        <v>#DIV/0!</v>
      </c>
      <c r="AM29" s="6" t="e">
        <f t="shared" si="8"/>
        <v>#DIV/0!</v>
      </c>
      <c r="AN29" s="6" t="e">
        <f t="shared" si="9"/>
        <v>#DIV/0!</v>
      </c>
      <c r="AO29" s="6">
        <f t="shared" si="10"/>
        <v>3.8800000000000001E-2</v>
      </c>
      <c r="AP29" s="6" t="e">
        <f t="shared" si="11"/>
        <v>#DIV/0!</v>
      </c>
      <c r="AQ29" s="6" t="e">
        <f t="shared" si="12"/>
        <v>#DIV/0!</v>
      </c>
      <c r="AR29" s="6" t="e">
        <f t="shared" si="13"/>
        <v>#DIV/0!</v>
      </c>
      <c r="AS29" s="6" t="e">
        <f t="shared" si="14"/>
        <v>#DIV/0!</v>
      </c>
      <c r="AT29" s="6" t="e">
        <f t="shared" si="15"/>
        <v>#DIV/0!</v>
      </c>
      <c r="AU29" s="6" t="e">
        <f t="shared" si="16"/>
        <v>#DIV/0!</v>
      </c>
      <c r="AV29" s="6" t="e">
        <f t="shared" si="17"/>
        <v>#DIV/0!</v>
      </c>
      <c r="AW29" s="6" t="e">
        <f t="shared" si="0"/>
        <v>#DIV/0!</v>
      </c>
      <c r="AX29" s="20" t="e">
        <f t="shared" si="18"/>
        <v>#DIV/0!</v>
      </c>
      <c r="AY29" s="20" t="e">
        <f t="shared" si="19"/>
        <v>#DIV/0!</v>
      </c>
      <c r="AZ29" s="20" t="e">
        <f t="shared" si="20"/>
        <v>#DIV/0!</v>
      </c>
    </row>
    <row r="30" spans="1:52" x14ac:dyDescent="0.3">
      <c r="A30">
        <v>19</v>
      </c>
      <c r="B30">
        <v>71.251092</v>
      </c>
      <c r="C30">
        <v>71.672668999999999</v>
      </c>
      <c r="D30">
        <v>72.140182999999993</v>
      </c>
      <c r="E30">
        <v>65.718120999999996</v>
      </c>
      <c r="F30">
        <v>52.641382999999998</v>
      </c>
      <c r="G30">
        <v>49.964857000000002</v>
      </c>
      <c r="H30">
        <v>50.000216999999999</v>
      </c>
      <c r="I30" t="s">
        <v>56</v>
      </c>
      <c r="O30" s="6">
        <v>25</v>
      </c>
      <c r="P30" s="7" t="e">
        <f>AVERAGE(B1225:B1274)</f>
        <v>#DIV/0!</v>
      </c>
      <c r="Q30" s="23" t="e">
        <f>STDEV(C1225:C1274)</f>
        <v>#DIV/0!</v>
      </c>
      <c r="R30" s="9" t="e">
        <f>AVERAGE(C1225:C1274)</f>
        <v>#DIV/0!</v>
      </c>
      <c r="S30" s="10" t="e">
        <f>STDEV(E1225:E1274)</f>
        <v>#DIV/0!</v>
      </c>
      <c r="T30" s="11" t="e">
        <f>AVERAGE(D1225:D1274)</f>
        <v>#DIV/0!</v>
      </c>
      <c r="U30" s="12" t="e">
        <f>STDEV(D1225:D1274)</f>
        <v>#DIV/0!</v>
      </c>
      <c r="V30" s="13" t="e">
        <f>AVERAGE(E1225:E1274)</f>
        <v>#DIV/0!</v>
      </c>
      <c r="W30" s="14" t="e">
        <f>STDEV(E1225:E1274)</f>
        <v>#DIV/0!</v>
      </c>
      <c r="X30" s="15" t="e">
        <f>AVERAGE(F1225:F1274)</f>
        <v>#DIV/0!</v>
      </c>
      <c r="Y30" s="16" t="e">
        <f>STDEV(F1225:F1274)</f>
        <v>#DIV/0!</v>
      </c>
      <c r="Z30" s="17" t="e">
        <f>AVERAGE(G1225:G1274)</f>
        <v>#DIV/0!</v>
      </c>
      <c r="AA30" s="18" t="e">
        <f>AVERAGE(H1225:H1274)</f>
        <v>#DIV/0!</v>
      </c>
      <c r="AB30" s="6" t="e">
        <f t="shared" si="1"/>
        <v>#DIV/0!</v>
      </c>
      <c r="AC30" s="6" t="e">
        <f t="shared" si="21"/>
        <v>#DIV/0!</v>
      </c>
      <c r="AD30" s="6" t="e">
        <f t="shared" si="2"/>
        <v>#DIV/0!</v>
      </c>
      <c r="AE30" s="6" t="e">
        <f t="shared" si="22"/>
        <v>#DIV/0!</v>
      </c>
      <c r="AF30" s="22"/>
      <c r="AG30" s="22"/>
      <c r="AH30" s="6" t="e">
        <f t="shared" si="3"/>
        <v>#DIV/0!</v>
      </c>
      <c r="AI30" s="6" t="e">
        <f t="shared" si="4"/>
        <v>#DIV/0!</v>
      </c>
      <c r="AJ30" s="6" t="e">
        <f t="shared" si="5"/>
        <v>#DIV/0!</v>
      </c>
      <c r="AK30" s="6" t="e">
        <f t="shared" si="6"/>
        <v>#DIV/0!</v>
      </c>
      <c r="AL30" s="6" t="e">
        <f t="shared" si="7"/>
        <v>#DIV/0!</v>
      </c>
      <c r="AM30" s="6" t="e">
        <f t="shared" si="8"/>
        <v>#DIV/0!</v>
      </c>
      <c r="AN30" s="6" t="e">
        <f t="shared" si="9"/>
        <v>#DIV/0!</v>
      </c>
      <c r="AO30" s="6">
        <f t="shared" si="10"/>
        <v>3.8800000000000001E-2</v>
      </c>
      <c r="AP30" s="6" t="e">
        <f t="shared" si="11"/>
        <v>#DIV/0!</v>
      </c>
      <c r="AQ30" s="6" t="e">
        <f t="shared" si="12"/>
        <v>#DIV/0!</v>
      </c>
      <c r="AR30" s="6" t="e">
        <f t="shared" si="13"/>
        <v>#DIV/0!</v>
      </c>
      <c r="AS30" s="6" t="e">
        <f t="shared" si="14"/>
        <v>#DIV/0!</v>
      </c>
      <c r="AT30" s="6" t="e">
        <f t="shared" si="15"/>
        <v>#DIV/0!</v>
      </c>
      <c r="AU30" s="6" t="e">
        <f t="shared" si="16"/>
        <v>#DIV/0!</v>
      </c>
      <c r="AV30" s="6" t="e">
        <f t="shared" si="17"/>
        <v>#DIV/0!</v>
      </c>
      <c r="AW30" s="6" t="e">
        <f t="shared" si="0"/>
        <v>#DIV/0!</v>
      </c>
      <c r="AX30" s="20" t="e">
        <f t="shared" si="18"/>
        <v>#DIV/0!</v>
      </c>
      <c r="AY30" s="20" t="e">
        <f t="shared" si="19"/>
        <v>#DIV/0!</v>
      </c>
      <c r="AZ30" s="20" t="e">
        <f t="shared" si="20"/>
        <v>#DIV/0!</v>
      </c>
    </row>
    <row r="31" spans="1:52" x14ac:dyDescent="0.3">
      <c r="A31">
        <v>19.2</v>
      </c>
      <c r="B31">
        <v>71.265373999999994</v>
      </c>
      <c r="C31">
        <v>71.683368000000002</v>
      </c>
      <c r="D31">
        <v>72.152618000000004</v>
      </c>
      <c r="E31">
        <v>65.753400999999997</v>
      </c>
      <c r="F31">
        <v>52.67727</v>
      </c>
      <c r="G31">
        <v>50.006894000000003</v>
      </c>
      <c r="H31">
        <v>50.023071000000002</v>
      </c>
      <c r="I31"/>
      <c r="N31"/>
      <c r="O31"/>
    </row>
    <row r="32" spans="1:52" x14ac:dyDescent="0.3">
      <c r="A32">
        <v>19.399999999999999</v>
      </c>
      <c r="B32">
        <v>71.265373999999994</v>
      </c>
      <c r="C32">
        <v>71.683368000000002</v>
      </c>
      <c r="D32">
        <v>72.152618000000004</v>
      </c>
      <c r="E32">
        <v>65.753400999999997</v>
      </c>
      <c r="F32">
        <v>52.67727</v>
      </c>
      <c r="G32">
        <v>50.006894000000003</v>
      </c>
      <c r="H32">
        <v>50.023071000000002</v>
      </c>
      <c r="I32"/>
      <c r="N32"/>
      <c r="O32"/>
    </row>
    <row r="33" spans="1:19" x14ac:dyDescent="0.3">
      <c r="A33">
        <v>19.600000000000001</v>
      </c>
      <c r="B33">
        <v>71.272436999999996</v>
      </c>
      <c r="C33">
        <v>71.681859000000003</v>
      </c>
      <c r="D33">
        <v>72.152466000000004</v>
      </c>
      <c r="E33">
        <v>65.765358000000006</v>
      </c>
      <c r="F33">
        <v>52.855905</v>
      </c>
      <c r="G33">
        <v>49.991781000000003</v>
      </c>
      <c r="H33">
        <v>50.013505000000002</v>
      </c>
      <c r="I33"/>
      <c r="N33"/>
      <c r="O33"/>
    </row>
    <row r="34" spans="1:19" x14ac:dyDescent="0.3">
      <c r="A34">
        <v>19.8</v>
      </c>
      <c r="B34">
        <v>71.272436999999996</v>
      </c>
      <c r="C34">
        <v>71.681859000000003</v>
      </c>
      <c r="D34">
        <v>72.152466000000004</v>
      </c>
      <c r="E34">
        <v>65.765358000000006</v>
      </c>
      <c r="F34">
        <v>52.855905</v>
      </c>
      <c r="G34">
        <v>49.991781000000003</v>
      </c>
      <c r="H34">
        <v>50.013505000000002</v>
      </c>
      <c r="I34"/>
      <c r="N34"/>
      <c r="O34"/>
    </row>
    <row r="35" spans="1:19" x14ac:dyDescent="0.3">
      <c r="A35">
        <v>20</v>
      </c>
      <c r="B35">
        <v>71.230748000000006</v>
      </c>
      <c r="C35">
        <v>71.676687000000001</v>
      </c>
      <c r="D35">
        <v>72.141031999999996</v>
      </c>
      <c r="E35">
        <v>65.763813999999996</v>
      </c>
      <c r="F35">
        <v>52.855865999999999</v>
      </c>
      <c r="G35">
        <v>49.991396000000002</v>
      </c>
      <c r="H35">
        <v>50.020283999999997</v>
      </c>
      <c r="I35" t="s">
        <v>56</v>
      </c>
      <c r="N35"/>
      <c r="P35" s="24" t="s">
        <v>57</v>
      </c>
      <c r="Q35" s="24" t="s">
        <v>58</v>
      </c>
    </row>
    <row r="36" spans="1:19" x14ac:dyDescent="0.3">
      <c r="A36">
        <v>20.2</v>
      </c>
      <c r="B36">
        <v>71.230748000000006</v>
      </c>
      <c r="C36">
        <v>71.676687000000001</v>
      </c>
      <c r="D36">
        <v>72.141031999999996</v>
      </c>
      <c r="E36">
        <v>65.763813999999996</v>
      </c>
      <c r="F36">
        <v>52.855865999999999</v>
      </c>
      <c r="G36">
        <v>49.991396000000002</v>
      </c>
      <c r="H36">
        <v>50.020283999999997</v>
      </c>
      <c r="I36"/>
      <c r="N36"/>
      <c r="O36" s="24" t="s">
        <v>10</v>
      </c>
      <c r="P36" s="7">
        <v>0.98399999999999999</v>
      </c>
      <c r="Q36" s="7">
        <v>0.78649999999999998</v>
      </c>
    </row>
    <row r="37" spans="1:19" x14ac:dyDescent="0.3">
      <c r="A37">
        <v>20.399999999999999</v>
      </c>
      <c r="B37">
        <v>71.242022000000006</v>
      </c>
      <c r="C37">
        <v>71.702453000000006</v>
      </c>
      <c r="D37">
        <v>72.155862999999997</v>
      </c>
      <c r="E37">
        <v>65.761123999999995</v>
      </c>
      <c r="F37">
        <v>52.784770999999999</v>
      </c>
      <c r="G37">
        <v>49.998713000000002</v>
      </c>
      <c r="H37">
        <v>50.028987999999998</v>
      </c>
      <c r="I37"/>
      <c r="N37"/>
      <c r="O37" s="24" t="s">
        <v>14</v>
      </c>
      <c r="P37" s="7">
        <v>0.98629999999999995</v>
      </c>
      <c r="Q37" s="7">
        <v>0.68220000000000003</v>
      </c>
    </row>
    <row r="38" spans="1:19" x14ac:dyDescent="0.3">
      <c r="A38">
        <v>20.6</v>
      </c>
      <c r="B38">
        <v>71.242022000000006</v>
      </c>
      <c r="C38">
        <v>71.702453000000006</v>
      </c>
      <c r="D38">
        <v>72.155862999999997</v>
      </c>
      <c r="E38">
        <v>65.761123999999995</v>
      </c>
      <c r="F38">
        <v>52.784770999999999</v>
      </c>
      <c r="G38">
        <v>49.998713000000002</v>
      </c>
      <c r="H38">
        <v>50.028987999999998</v>
      </c>
      <c r="I38"/>
      <c r="N38"/>
      <c r="O38" s="24" t="s">
        <v>15</v>
      </c>
      <c r="P38" s="7">
        <v>0.98070000000000002</v>
      </c>
      <c r="Q38" s="7">
        <v>0.81030000000000002</v>
      </c>
    </row>
    <row r="39" spans="1:19" x14ac:dyDescent="0.3">
      <c r="A39">
        <v>20.8</v>
      </c>
      <c r="B39">
        <v>71.257880999999998</v>
      </c>
      <c r="C39">
        <v>71.671338000000006</v>
      </c>
      <c r="D39">
        <v>72.144253000000006</v>
      </c>
      <c r="E39">
        <v>65.752229</v>
      </c>
      <c r="F39">
        <v>52.608249000000001</v>
      </c>
      <c r="G39">
        <v>50.013210000000001</v>
      </c>
      <c r="H39">
        <v>50.027538</v>
      </c>
      <c r="I39"/>
      <c r="N39"/>
      <c r="O39" s="24" t="s">
        <v>16</v>
      </c>
      <c r="P39" s="7">
        <v>0.97760000000000002</v>
      </c>
      <c r="Q39" s="7">
        <v>0.92379999999999995</v>
      </c>
    </row>
    <row r="40" spans="1:19" x14ac:dyDescent="0.3">
      <c r="A40">
        <v>21</v>
      </c>
      <c r="B40">
        <v>71.257880999999998</v>
      </c>
      <c r="C40">
        <v>71.671338000000006</v>
      </c>
      <c r="D40">
        <v>72.144253000000006</v>
      </c>
      <c r="E40">
        <v>65.752229</v>
      </c>
      <c r="F40">
        <v>52.608249000000001</v>
      </c>
      <c r="G40">
        <v>50.013210000000001</v>
      </c>
      <c r="H40">
        <v>50.027538</v>
      </c>
      <c r="I40" t="s">
        <v>56</v>
      </c>
      <c r="N40"/>
      <c r="O40"/>
    </row>
    <row r="41" spans="1:19" x14ac:dyDescent="0.3">
      <c r="A41">
        <v>21.2</v>
      </c>
      <c r="B41">
        <v>71.256726999999998</v>
      </c>
      <c r="C41">
        <v>71.677413999999999</v>
      </c>
      <c r="D41">
        <v>72.149394999999998</v>
      </c>
      <c r="E41">
        <v>65.767674</v>
      </c>
      <c r="F41">
        <v>52.444304000000002</v>
      </c>
      <c r="G41">
        <v>50.005093000000002</v>
      </c>
      <c r="H41">
        <v>50.002319</v>
      </c>
      <c r="I41"/>
      <c r="N41"/>
      <c r="O41"/>
      <c r="P41" s="25" t="s">
        <v>59</v>
      </c>
      <c r="Q41" s="25"/>
      <c r="R41" s="25"/>
      <c r="S41" s="25"/>
    </row>
    <row r="42" spans="1:19" x14ac:dyDescent="0.3">
      <c r="A42">
        <v>21.4</v>
      </c>
      <c r="B42">
        <v>71.256726999999998</v>
      </c>
      <c r="C42">
        <v>71.677413999999999</v>
      </c>
      <c r="D42">
        <v>72.149394999999998</v>
      </c>
      <c r="E42">
        <v>65.767674</v>
      </c>
      <c r="F42">
        <v>52.444304000000002</v>
      </c>
      <c r="G42">
        <v>50.005093000000002</v>
      </c>
      <c r="H42">
        <v>50.002319</v>
      </c>
      <c r="I42"/>
      <c r="N42"/>
      <c r="O42"/>
      <c r="P42" s="6" t="s">
        <v>10</v>
      </c>
      <c r="Q42" s="6" t="s">
        <v>14</v>
      </c>
      <c r="R42" s="6" t="s">
        <v>15</v>
      </c>
      <c r="S42" s="6" t="s">
        <v>16</v>
      </c>
    </row>
    <row r="43" spans="1:19" x14ac:dyDescent="0.3">
      <c r="A43">
        <v>21.6</v>
      </c>
      <c r="B43">
        <v>71.232296000000005</v>
      </c>
      <c r="C43">
        <v>71.683211999999997</v>
      </c>
      <c r="D43">
        <v>72.165047000000001</v>
      </c>
      <c r="E43">
        <v>65.777911000000003</v>
      </c>
      <c r="F43">
        <v>52.490200999999999</v>
      </c>
      <c r="G43">
        <v>49.981096999999998</v>
      </c>
      <c r="H43">
        <v>50.002591000000002</v>
      </c>
      <c r="I43"/>
      <c r="N43"/>
      <c r="O43"/>
      <c r="P43" s="1">
        <f>(B25+Q$36)/P$36</f>
        <v>73.199666666666673</v>
      </c>
      <c r="Q43" s="1">
        <f>(C25+Q$36)/P$36</f>
        <v>73.640022357723581</v>
      </c>
      <c r="R43" s="1">
        <f>(D25+Q$38)/P$38</f>
        <v>74.382367696543284</v>
      </c>
      <c r="S43" s="1">
        <f>(E25+Q$39)/P$39</f>
        <v>68.203208878887068</v>
      </c>
    </row>
    <row r="44" spans="1:19" x14ac:dyDescent="0.3">
      <c r="A44">
        <v>21.8</v>
      </c>
      <c r="B44">
        <v>71.232296000000005</v>
      </c>
      <c r="C44">
        <v>71.683211999999997</v>
      </c>
      <c r="D44">
        <v>72.165047000000001</v>
      </c>
      <c r="E44">
        <v>65.777911000000003</v>
      </c>
      <c r="F44">
        <v>52.490200999999999</v>
      </c>
      <c r="G44">
        <v>49.981096999999998</v>
      </c>
      <c r="H44">
        <v>50.002591000000002</v>
      </c>
      <c r="I44"/>
      <c r="N44"/>
      <c r="O44"/>
      <c r="P44" s="1">
        <f t="shared" ref="P44:P107" si="23">(B26+Q$36)/P$36</f>
        <v>73.199666666666673</v>
      </c>
      <c r="Q44" s="1">
        <f t="shared" ref="Q44:Q107" si="24">(C26+Q$36)/P$36</f>
        <v>73.640022357723581</v>
      </c>
      <c r="R44" s="1">
        <f t="shared" ref="R44:R107" si="25">(D26+Q$38)/P$38</f>
        <v>74.382367696543284</v>
      </c>
      <c r="S44" s="1">
        <f t="shared" ref="S44:S107" si="26">(E26+Q$39)/P$39</f>
        <v>68.203208878887068</v>
      </c>
    </row>
    <row r="45" spans="1:19" x14ac:dyDescent="0.3">
      <c r="A45">
        <v>22</v>
      </c>
      <c r="B45">
        <v>71.273161999999999</v>
      </c>
      <c r="C45">
        <v>71.669928999999996</v>
      </c>
      <c r="D45">
        <v>72.163974999999994</v>
      </c>
      <c r="E45">
        <v>65.759799999999998</v>
      </c>
      <c r="F45">
        <v>52.533662999999997</v>
      </c>
      <c r="G45">
        <v>50.007674000000002</v>
      </c>
      <c r="H45">
        <v>50.016224999999999</v>
      </c>
      <c r="I45" t="s">
        <v>56</v>
      </c>
      <c r="N45"/>
      <c r="O45"/>
      <c r="P45" s="1">
        <f t="shared" si="23"/>
        <v>73.205982723577236</v>
      </c>
      <c r="Q45" s="1">
        <f t="shared" si="24"/>
        <v>73.640839430894317</v>
      </c>
      <c r="R45" s="1">
        <f t="shared" si="25"/>
        <v>74.381808912001631</v>
      </c>
      <c r="S45" s="1">
        <f t="shared" si="26"/>
        <v>68.194391366612109</v>
      </c>
    </row>
    <row r="46" spans="1:19" x14ac:dyDescent="0.3">
      <c r="A46">
        <v>22.2</v>
      </c>
      <c r="B46">
        <v>71.273161999999999</v>
      </c>
      <c r="C46">
        <v>71.669928999999996</v>
      </c>
      <c r="D46">
        <v>72.163974999999994</v>
      </c>
      <c r="E46">
        <v>65.759799999999998</v>
      </c>
      <c r="F46">
        <v>52.533662999999997</v>
      </c>
      <c r="G46">
        <v>50.007674000000002</v>
      </c>
      <c r="H46">
        <v>50.016224999999999</v>
      </c>
      <c r="I46"/>
      <c r="N46"/>
      <c r="O46"/>
      <c r="P46" s="1">
        <f t="shared" si="23"/>
        <v>73.205982723577236</v>
      </c>
      <c r="Q46" s="1">
        <f t="shared" si="24"/>
        <v>73.640839430894317</v>
      </c>
      <c r="R46" s="1">
        <f t="shared" si="25"/>
        <v>74.381808912001631</v>
      </c>
      <c r="S46" s="1">
        <f t="shared" si="26"/>
        <v>68.194391366612109</v>
      </c>
    </row>
    <row r="47" spans="1:19" x14ac:dyDescent="0.3">
      <c r="A47">
        <v>22.4</v>
      </c>
      <c r="B47">
        <v>71.241618000000003</v>
      </c>
      <c r="C47">
        <v>71.704759999999993</v>
      </c>
      <c r="D47">
        <v>72.141527999999994</v>
      </c>
      <c r="E47">
        <v>65.761170000000007</v>
      </c>
      <c r="F47">
        <v>52.581474</v>
      </c>
      <c r="G47">
        <v>49.999907</v>
      </c>
      <c r="H47">
        <v>50.027177000000002</v>
      </c>
      <c r="I47"/>
      <c r="N47"/>
      <c r="O47"/>
      <c r="P47" s="1">
        <f t="shared" si="23"/>
        <v>73.208934959349605</v>
      </c>
      <c r="Q47" s="1">
        <f t="shared" si="24"/>
        <v>73.637366869918708</v>
      </c>
      <c r="R47" s="1">
        <f t="shared" si="25"/>
        <v>74.386135413480162</v>
      </c>
      <c r="S47" s="1">
        <f t="shared" si="26"/>
        <v>68.168904459901796</v>
      </c>
    </row>
    <row r="48" spans="1:19" x14ac:dyDescent="0.3">
      <c r="A48">
        <v>22.6</v>
      </c>
      <c r="B48">
        <v>71.241618000000003</v>
      </c>
      <c r="C48">
        <v>71.704759999999993</v>
      </c>
      <c r="D48">
        <v>72.141527999999994</v>
      </c>
      <c r="E48">
        <v>65.761170000000007</v>
      </c>
      <c r="F48">
        <v>52.581474</v>
      </c>
      <c r="G48">
        <v>49.999907</v>
      </c>
      <c r="H48">
        <v>50.027177000000002</v>
      </c>
      <c r="I48"/>
      <c r="N48"/>
      <c r="O48"/>
      <c r="P48" s="1">
        <f t="shared" si="23"/>
        <v>73.208934959349605</v>
      </c>
      <c r="Q48" s="1">
        <f t="shared" si="24"/>
        <v>73.637366869918708</v>
      </c>
      <c r="R48" s="1">
        <f t="shared" si="25"/>
        <v>74.386135413480162</v>
      </c>
      <c r="S48" s="1">
        <f t="shared" si="26"/>
        <v>68.168904459901796</v>
      </c>
    </row>
    <row r="49" spans="1:19" x14ac:dyDescent="0.3">
      <c r="A49">
        <v>22.8</v>
      </c>
      <c r="B49">
        <v>71.251464999999996</v>
      </c>
      <c r="C49">
        <v>71.700616999999994</v>
      </c>
      <c r="D49">
        <v>72.137857999999994</v>
      </c>
      <c r="E49">
        <v>65.778585000000007</v>
      </c>
      <c r="F49">
        <v>52.451762000000002</v>
      </c>
      <c r="G49">
        <v>49.997824999999999</v>
      </c>
      <c r="H49">
        <v>50.028793</v>
      </c>
      <c r="I49"/>
      <c r="N49"/>
      <c r="O49"/>
      <c r="P49" s="1">
        <f t="shared" si="23"/>
        <v>73.223449186991871</v>
      </c>
      <c r="Q49" s="1">
        <f t="shared" si="24"/>
        <v>73.648239837398378</v>
      </c>
      <c r="R49" s="1">
        <f t="shared" si="25"/>
        <v>74.39881513204854</v>
      </c>
      <c r="S49" s="1">
        <f t="shared" si="26"/>
        <v>68.2049928396072</v>
      </c>
    </row>
    <row r="50" spans="1:19" x14ac:dyDescent="0.3">
      <c r="A50">
        <v>23</v>
      </c>
      <c r="B50">
        <v>71.251464999999996</v>
      </c>
      <c r="C50">
        <v>71.700616999999994</v>
      </c>
      <c r="D50">
        <v>72.137857999999994</v>
      </c>
      <c r="E50">
        <v>65.778585000000007</v>
      </c>
      <c r="F50">
        <v>52.451762000000002</v>
      </c>
      <c r="G50">
        <v>49.997824999999999</v>
      </c>
      <c r="H50">
        <v>50.028793</v>
      </c>
      <c r="I50" t="s">
        <v>56</v>
      </c>
      <c r="N50"/>
      <c r="O50"/>
      <c r="P50" s="1">
        <f t="shared" si="23"/>
        <v>73.223449186991871</v>
      </c>
      <c r="Q50" s="1">
        <f t="shared" si="24"/>
        <v>73.648239837398378</v>
      </c>
      <c r="R50" s="1">
        <f t="shared" si="25"/>
        <v>74.39881513204854</v>
      </c>
      <c r="S50" s="1">
        <f t="shared" si="26"/>
        <v>68.2049928396072</v>
      </c>
    </row>
    <row r="51" spans="1:19" x14ac:dyDescent="0.3">
      <c r="A51">
        <v>23.2</v>
      </c>
      <c r="B51">
        <v>71.255471</v>
      </c>
      <c r="C51">
        <v>71.699207000000001</v>
      </c>
      <c r="D51">
        <v>72.156232000000003</v>
      </c>
      <c r="E51">
        <v>65.799609000000004</v>
      </c>
      <c r="F51">
        <v>52.328482000000001</v>
      </c>
      <c r="G51">
        <v>49.980697999999997</v>
      </c>
      <c r="H51">
        <v>50.005195999999998</v>
      </c>
      <c r="I51"/>
      <c r="N51"/>
      <c r="O51"/>
      <c r="P51" s="1">
        <f t="shared" si="23"/>
        <v>73.230627032520331</v>
      </c>
      <c r="Q51" s="1">
        <f t="shared" si="24"/>
        <v>73.646706300813022</v>
      </c>
      <c r="R51" s="1">
        <f t="shared" si="25"/>
        <v>74.398660140715819</v>
      </c>
      <c r="S51" s="1">
        <f t="shared" si="26"/>
        <v>68.217223813420631</v>
      </c>
    </row>
    <row r="52" spans="1:19" x14ac:dyDescent="0.3">
      <c r="A52">
        <v>23.4</v>
      </c>
      <c r="B52">
        <v>71.255471</v>
      </c>
      <c r="C52">
        <v>71.699207000000001</v>
      </c>
      <c r="D52">
        <v>72.156232000000003</v>
      </c>
      <c r="E52">
        <v>65.799609000000004</v>
      </c>
      <c r="F52">
        <v>52.328482000000001</v>
      </c>
      <c r="G52">
        <v>49.980697999999997</v>
      </c>
      <c r="H52">
        <v>50.005195999999998</v>
      </c>
      <c r="I52"/>
      <c r="N52"/>
      <c r="O52"/>
      <c r="P52" s="1">
        <f t="shared" si="23"/>
        <v>73.230627032520331</v>
      </c>
      <c r="Q52" s="1">
        <f t="shared" si="24"/>
        <v>73.646706300813022</v>
      </c>
      <c r="R52" s="1">
        <f t="shared" si="25"/>
        <v>74.398660140715819</v>
      </c>
      <c r="S52" s="1">
        <f t="shared" si="26"/>
        <v>68.217223813420631</v>
      </c>
    </row>
    <row r="53" spans="1:19" x14ac:dyDescent="0.3">
      <c r="A53">
        <v>23.6</v>
      </c>
      <c r="B53">
        <v>71.243319</v>
      </c>
      <c r="C53">
        <v>71.679794999999999</v>
      </c>
      <c r="D53">
        <v>72.156256999999997</v>
      </c>
      <c r="E53">
        <v>65.782145</v>
      </c>
      <c r="F53">
        <v>52.387815000000003</v>
      </c>
      <c r="G53">
        <v>49.983316000000002</v>
      </c>
      <c r="H53">
        <v>50.032541999999999</v>
      </c>
      <c r="I53"/>
      <c r="N53"/>
      <c r="O53"/>
      <c r="P53" s="1">
        <f t="shared" si="23"/>
        <v>73.188260162601637</v>
      </c>
      <c r="Q53" s="1">
        <f t="shared" si="24"/>
        <v>73.641450203252035</v>
      </c>
      <c r="R53" s="1">
        <f t="shared" si="25"/>
        <v>74.387001121647799</v>
      </c>
      <c r="S53" s="1">
        <f t="shared" si="26"/>
        <v>68.215644435351876</v>
      </c>
    </row>
    <row r="54" spans="1:19" x14ac:dyDescent="0.3">
      <c r="A54">
        <v>23.8</v>
      </c>
      <c r="B54">
        <v>71.243319</v>
      </c>
      <c r="C54">
        <v>71.679794999999999</v>
      </c>
      <c r="D54">
        <v>72.156256999999997</v>
      </c>
      <c r="E54">
        <v>65.782145</v>
      </c>
      <c r="F54">
        <v>52.387815000000003</v>
      </c>
      <c r="G54">
        <v>49.983316000000002</v>
      </c>
      <c r="H54">
        <v>50.032541999999999</v>
      </c>
      <c r="I54"/>
      <c r="N54"/>
      <c r="O54"/>
      <c r="P54" s="1">
        <f t="shared" si="23"/>
        <v>73.188260162601637</v>
      </c>
      <c r="Q54" s="1">
        <f t="shared" si="24"/>
        <v>73.641450203252035</v>
      </c>
      <c r="R54" s="1">
        <f t="shared" si="25"/>
        <v>74.387001121647799</v>
      </c>
      <c r="S54" s="1">
        <f t="shared" si="26"/>
        <v>68.215644435351876</v>
      </c>
    </row>
    <row r="55" spans="1:19" x14ac:dyDescent="0.3">
      <c r="A55">
        <v>24</v>
      </c>
      <c r="B55">
        <v>71.269000000000005</v>
      </c>
      <c r="C55">
        <v>71.687455</v>
      </c>
      <c r="D55">
        <v>72.153985000000006</v>
      </c>
      <c r="E55">
        <v>65.746244000000004</v>
      </c>
      <c r="F55">
        <v>52.411115000000002</v>
      </c>
      <c r="G55">
        <v>49.978296</v>
      </c>
      <c r="H55">
        <v>50.015042000000001</v>
      </c>
      <c r="I55" t="s">
        <v>56</v>
      </c>
      <c r="N55"/>
      <c r="O55"/>
      <c r="P55" s="1">
        <f t="shared" si="23"/>
        <v>73.199717479674803</v>
      </c>
      <c r="Q55" s="1">
        <f t="shared" si="24"/>
        <v>73.667635162601641</v>
      </c>
      <c r="R55" s="1">
        <f t="shared" si="25"/>
        <v>74.402123993066169</v>
      </c>
      <c r="S55" s="1">
        <f t="shared" si="26"/>
        <v>68.21289279869066</v>
      </c>
    </row>
    <row r="56" spans="1:19" x14ac:dyDescent="0.3">
      <c r="A56">
        <v>24.2</v>
      </c>
      <c r="B56">
        <v>71.269000000000005</v>
      </c>
      <c r="C56">
        <v>71.687455</v>
      </c>
      <c r="D56">
        <v>72.153985000000006</v>
      </c>
      <c r="E56">
        <v>65.746244000000004</v>
      </c>
      <c r="F56">
        <v>52.411115000000002</v>
      </c>
      <c r="G56">
        <v>49.978296</v>
      </c>
      <c r="H56">
        <v>50.015042000000001</v>
      </c>
      <c r="I56"/>
      <c r="N56"/>
      <c r="O56"/>
      <c r="P56" s="1">
        <f t="shared" si="23"/>
        <v>73.199717479674803</v>
      </c>
      <c r="Q56" s="1">
        <f t="shared" si="24"/>
        <v>73.667635162601641</v>
      </c>
      <c r="R56" s="1">
        <f t="shared" si="25"/>
        <v>74.402123993066169</v>
      </c>
      <c r="S56" s="1">
        <f t="shared" si="26"/>
        <v>68.21289279869066</v>
      </c>
    </row>
    <row r="57" spans="1:19" x14ac:dyDescent="0.3">
      <c r="A57">
        <v>24.4</v>
      </c>
      <c r="B57">
        <v>71.267171000000005</v>
      </c>
      <c r="C57">
        <v>71.692402000000001</v>
      </c>
      <c r="D57">
        <v>72.151713000000001</v>
      </c>
      <c r="E57">
        <v>65.759673000000006</v>
      </c>
      <c r="F57">
        <v>52.498953999999998</v>
      </c>
      <c r="G57">
        <v>49.979272000000002</v>
      </c>
      <c r="H57">
        <v>50.029423000000001</v>
      </c>
      <c r="I57"/>
      <c r="N57"/>
      <c r="O57"/>
      <c r="P57" s="1">
        <f t="shared" si="23"/>
        <v>73.215834349593493</v>
      </c>
      <c r="Q57" s="1">
        <f t="shared" si="24"/>
        <v>73.636014227642292</v>
      </c>
      <c r="R57" s="1">
        <f t="shared" si="25"/>
        <v>74.390285510349756</v>
      </c>
      <c r="S57" s="1">
        <f t="shared" si="26"/>
        <v>68.203793985270053</v>
      </c>
    </row>
    <row r="58" spans="1:19" x14ac:dyDescent="0.3">
      <c r="A58">
        <v>24.6</v>
      </c>
      <c r="B58">
        <v>71.267171000000005</v>
      </c>
      <c r="C58">
        <v>71.692402000000001</v>
      </c>
      <c r="D58">
        <v>72.151713000000001</v>
      </c>
      <c r="E58">
        <v>65.759673000000006</v>
      </c>
      <c r="F58">
        <v>52.498953999999998</v>
      </c>
      <c r="G58">
        <v>49.979272000000002</v>
      </c>
      <c r="H58">
        <v>50.029423000000001</v>
      </c>
      <c r="I58"/>
      <c r="N58"/>
      <c r="O58"/>
      <c r="P58" s="1">
        <f t="shared" si="23"/>
        <v>73.215834349593493</v>
      </c>
      <c r="Q58" s="1">
        <f t="shared" si="24"/>
        <v>73.636014227642292</v>
      </c>
      <c r="R58" s="1">
        <f t="shared" si="25"/>
        <v>74.390285510349756</v>
      </c>
      <c r="S58" s="1">
        <f t="shared" si="26"/>
        <v>68.203793985270053</v>
      </c>
    </row>
    <row r="59" spans="1:19" x14ac:dyDescent="0.3">
      <c r="A59">
        <v>24.8</v>
      </c>
      <c r="B59">
        <v>71.261408000000003</v>
      </c>
      <c r="C59">
        <v>71.70335</v>
      </c>
      <c r="D59">
        <v>72.162148999999999</v>
      </c>
      <c r="E59">
        <v>65.740039999999993</v>
      </c>
      <c r="F59">
        <v>52.42559</v>
      </c>
      <c r="G59">
        <v>49.985241000000002</v>
      </c>
      <c r="H59">
        <v>50.012974</v>
      </c>
      <c r="I59"/>
      <c r="N59"/>
      <c r="O59"/>
      <c r="P59" s="1">
        <f t="shared" si="23"/>
        <v>73.21466158536586</v>
      </c>
      <c r="Q59" s="1">
        <f t="shared" si="24"/>
        <v>73.642189024390248</v>
      </c>
      <c r="R59" s="1">
        <f t="shared" si="25"/>
        <v>74.39552870398694</v>
      </c>
      <c r="S59" s="1">
        <f t="shared" si="26"/>
        <v>68.219592880523734</v>
      </c>
    </row>
    <row r="60" spans="1:19" x14ac:dyDescent="0.3">
      <c r="A60">
        <v>25</v>
      </c>
      <c r="B60">
        <v>71.261408000000003</v>
      </c>
      <c r="C60">
        <v>71.70335</v>
      </c>
      <c r="D60">
        <v>72.162148999999999</v>
      </c>
      <c r="E60">
        <v>65.740039999999993</v>
      </c>
      <c r="F60">
        <v>52.42559</v>
      </c>
      <c r="G60">
        <v>49.985241000000002</v>
      </c>
      <c r="H60">
        <v>50.012974</v>
      </c>
      <c r="I60" t="s">
        <v>56</v>
      </c>
      <c r="N60"/>
      <c r="O60"/>
      <c r="P60" s="1">
        <f t="shared" si="23"/>
        <v>73.21466158536586</v>
      </c>
      <c r="Q60" s="1">
        <f t="shared" si="24"/>
        <v>73.642189024390248</v>
      </c>
      <c r="R60" s="1">
        <f t="shared" si="25"/>
        <v>74.39552870398694</v>
      </c>
      <c r="S60" s="1">
        <f t="shared" si="26"/>
        <v>68.219592880523734</v>
      </c>
    </row>
    <row r="61" spans="1:19" x14ac:dyDescent="0.3">
      <c r="A61">
        <v>25.2</v>
      </c>
      <c r="B61">
        <v>71.256947999999994</v>
      </c>
      <c r="C61">
        <v>71.683059</v>
      </c>
      <c r="D61">
        <v>72.160849999999996</v>
      </c>
      <c r="E61">
        <v>65.753094000000004</v>
      </c>
      <c r="F61">
        <v>52.169922999999997</v>
      </c>
      <c r="G61">
        <v>50.005412</v>
      </c>
      <c r="H61">
        <v>50.004486999999997</v>
      </c>
      <c r="I61"/>
      <c r="N61"/>
      <c r="O61"/>
      <c r="P61" s="1">
        <f t="shared" si="23"/>
        <v>73.18983333333334</v>
      </c>
      <c r="Q61" s="1">
        <f t="shared" si="24"/>
        <v>73.648081300813004</v>
      </c>
      <c r="R61" s="1">
        <f t="shared" si="25"/>
        <v>74.411488732537975</v>
      </c>
      <c r="S61" s="1">
        <f t="shared" si="26"/>
        <v>68.230064443535184</v>
      </c>
    </row>
    <row r="62" spans="1:19" x14ac:dyDescent="0.3">
      <c r="A62">
        <v>25.4</v>
      </c>
      <c r="B62">
        <v>71.256947999999994</v>
      </c>
      <c r="C62">
        <v>71.683059</v>
      </c>
      <c r="D62">
        <v>72.160849999999996</v>
      </c>
      <c r="E62">
        <v>65.753094000000004</v>
      </c>
      <c r="F62">
        <v>52.169922999999997</v>
      </c>
      <c r="G62">
        <v>50.005412</v>
      </c>
      <c r="H62">
        <v>50.004486999999997</v>
      </c>
      <c r="I62"/>
      <c r="N62"/>
      <c r="O62"/>
      <c r="P62" s="1">
        <f t="shared" si="23"/>
        <v>73.18983333333334</v>
      </c>
      <c r="Q62" s="1">
        <f t="shared" si="24"/>
        <v>73.648081300813004</v>
      </c>
      <c r="R62" s="1">
        <f t="shared" si="25"/>
        <v>74.411488732537975</v>
      </c>
      <c r="S62" s="1">
        <f t="shared" si="26"/>
        <v>68.230064443535184</v>
      </c>
    </row>
    <row r="63" spans="1:19" x14ac:dyDescent="0.3">
      <c r="A63">
        <v>25.6</v>
      </c>
      <c r="B63">
        <v>71.270050999999995</v>
      </c>
      <c r="C63">
        <v>71.694837000000007</v>
      </c>
      <c r="D63">
        <v>72.154583000000002</v>
      </c>
      <c r="E63">
        <v>65.755809999999997</v>
      </c>
      <c r="F63">
        <v>52.006537999999999</v>
      </c>
      <c r="G63">
        <v>50.008043000000001</v>
      </c>
      <c r="H63">
        <v>50.041091000000002</v>
      </c>
      <c r="I63"/>
      <c r="N63"/>
      <c r="O63"/>
      <c r="P63" s="1">
        <f t="shared" si="23"/>
        <v>73.231363821138217</v>
      </c>
      <c r="Q63" s="1">
        <f t="shared" si="24"/>
        <v>73.634582317073168</v>
      </c>
      <c r="R63" s="1">
        <f t="shared" si="25"/>
        <v>74.410395635770357</v>
      </c>
      <c r="S63" s="1">
        <f t="shared" si="26"/>
        <v>68.211538461538453</v>
      </c>
    </row>
    <row r="64" spans="1:19" x14ac:dyDescent="0.3">
      <c r="A64">
        <v>25.8</v>
      </c>
      <c r="B64">
        <v>71.270050999999995</v>
      </c>
      <c r="C64">
        <v>71.694837000000007</v>
      </c>
      <c r="D64">
        <v>72.154583000000002</v>
      </c>
      <c r="E64">
        <v>65.755809999999997</v>
      </c>
      <c r="F64">
        <v>52.006537999999999</v>
      </c>
      <c r="G64">
        <v>50.008043000000001</v>
      </c>
      <c r="H64">
        <v>50.041091000000002</v>
      </c>
      <c r="I64"/>
      <c r="N64"/>
      <c r="O64"/>
      <c r="P64" s="1">
        <f t="shared" si="23"/>
        <v>73.231363821138217</v>
      </c>
      <c r="Q64" s="1">
        <f t="shared" si="24"/>
        <v>73.634582317073168</v>
      </c>
      <c r="R64" s="1">
        <f t="shared" si="25"/>
        <v>74.410395635770357</v>
      </c>
      <c r="S64" s="1">
        <f t="shared" si="26"/>
        <v>68.211538461538453</v>
      </c>
    </row>
    <row r="65" spans="1:19" x14ac:dyDescent="0.3">
      <c r="A65">
        <v>26</v>
      </c>
      <c r="B65">
        <v>71.257598000000002</v>
      </c>
      <c r="C65">
        <v>71.705408000000006</v>
      </c>
      <c r="D65">
        <v>72.167789999999997</v>
      </c>
      <c r="E65">
        <v>65.768090999999998</v>
      </c>
      <c r="F65">
        <v>52.103659999999998</v>
      </c>
      <c r="G65">
        <v>49.974004999999998</v>
      </c>
      <c r="H65">
        <v>50.014218</v>
      </c>
      <c r="I65" t="s">
        <v>56</v>
      </c>
      <c r="N65"/>
      <c r="O65"/>
      <c r="P65" s="1">
        <f t="shared" si="23"/>
        <v>73.199306910569106</v>
      </c>
      <c r="Q65" s="1">
        <f t="shared" si="24"/>
        <v>73.66997967479675</v>
      </c>
      <c r="R65" s="1">
        <f t="shared" si="25"/>
        <v>74.387506882838778</v>
      </c>
      <c r="S65" s="1">
        <f t="shared" si="26"/>
        <v>68.212939852700501</v>
      </c>
    </row>
    <row r="66" spans="1:19" x14ac:dyDescent="0.3">
      <c r="A66">
        <v>26.2</v>
      </c>
      <c r="B66">
        <v>71.257598000000002</v>
      </c>
      <c r="C66">
        <v>71.705408000000006</v>
      </c>
      <c r="D66">
        <v>72.167789999999997</v>
      </c>
      <c r="E66">
        <v>65.768090999999998</v>
      </c>
      <c r="F66">
        <v>52.103659999999998</v>
      </c>
      <c r="G66">
        <v>49.974004999999998</v>
      </c>
      <c r="H66">
        <v>50.014218</v>
      </c>
      <c r="I66"/>
      <c r="N66"/>
      <c r="O66"/>
      <c r="P66" s="1">
        <f t="shared" si="23"/>
        <v>73.199306910569106</v>
      </c>
      <c r="Q66" s="1">
        <f t="shared" si="24"/>
        <v>73.66997967479675</v>
      </c>
      <c r="R66" s="1">
        <f t="shared" si="25"/>
        <v>74.387506882838778</v>
      </c>
      <c r="S66" s="1">
        <f t="shared" si="26"/>
        <v>68.212939852700501</v>
      </c>
    </row>
    <row r="67" spans="1:19" x14ac:dyDescent="0.3">
      <c r="A67">
        <v>26.4</v>
      </c>
      <c r="B67">
        <v>71.254564999999999</v>
      </c>
      <c r="C67">
        <v>71.683383000000006</v>
      </c>
      <c r="D67">
        <v>72.182295999999994</v>
      </c>
      <c r="E67">
        <v>65.743998000000005</v>
      </c>
      <c r="F67">
        <v>52.186329999999998</v>
      </c>
      <c r="G67">
        <v>49.978768000000002</v>
      </c>
      <c r="H67">
        <v>50.035620999999999</v>
      </c>
      <c r="I67"/>
      <c r="N67"/>
      <c r="O67"/>
      <c r="P67" s="1">
        <f t="shared" si="23"/>
        <v>73.209314024390238</v>
      </c>
      <c r="Q67" s="1">
        <f t="shared" si="24"/>
        <v>73.665769308943084</v>
      </c>
      <c r="R67" s="1">
        <f t="shared" si="25"/>
        <v>74.383764657897416</v>
      </c>
      <c r="S67" s="1">
        <f t="shared" si="26"/>
        <v>68.230753887070378</v>
      </c>
    </row>
    <row r="68" spans="1:19" x14ac:dyDescent="0.3">
      <c r="A68">
        <v>26.6</v>
      </c>
      <c r="B68">
        <v>71.254564999999999</v>
      </c>
      <c r="C68">
        <v>71.683383000000006</v>
      </c>
      <c r="D68">
        <v>72.182295999999994</v>
      </c>
      <c r="E68">
        <v>65.743998000000005</v>
      </c>
      <c r="F68">
        <v>52.186329999999998</v>
      </c>
      <c r="G68">
        <v>49.978768000000002</v>
      </c>
      <c r="H68">
        <v>50.035620999999999</v>
      </c>
      <c r="I68"/>
      <c r="N68"/>
      <c r="O68"/>
      <c r="P68" s="1">
        <f t="shared" si="23"/>
        <v>73.209314024390238</v>
      </c>
      <c r="Q68" s="1">
        <f t="shared" si="24"/>
        <v>73.665769308943084</v>
      </c>
      <c r="R68" s="1">
        <f t="shared" si="25"/>
        <v>74.383764657897416</v>
      </c>
      <c r="S68" s="1">
        <f t="shared" si="26"/>
        <v>68.230753887070378</v>
      </c>
    </row>
    <row r="69" spans="1:19" x14ac:dyDescent="0.3">
      <c r="A69">
        <v>26.8</v>
      </c>
      <c r="B69">
        <v>71.272328000000002</v>
      </c>
      <c r="C69">
        <v>71.690337999999997</v>
      </c>
      <c r="D69">
        <v>72.140223000000006</v>
      </c>
      <c r="E69">
        <v>65.740583999999998</v>
      </c>
      <c r="F69">
        <v>52.195050000000002</v>
      </c>
      <c r="G69">
        <v>50.008415999999997</v>
      </c>
      <c r="H69">
        <v>50.030140000000003</v>
      </c>
      <c r="I69"/>
      <c r="N69"/>
      <c r="O69"/>
      <c r="P69" s="1">
        <f t="shared" si="23"/>
        <v>73.213385162601625</v>
      </c>
      <c r="Q69" s="1">
        <f t="shared" si="24"/>
        <v>73.664336382113831</v>
      </c>
      <c r="R69" s="1">
        <f t="shared" si="25"/>
        <v>74.402500254919957</v>
      </c>
      <c r="S69" s="1">
        <f t="shared" si="26"/>
        <v>68.252259615384617</v>
      </c>
    </row>
    <row r="70" spans="1:19" x14ac:dyDescent="0.3">
      <c r="A70">
        <v>27</v>
      </c>
      <c r="B70">
        <v>71.272328000000002</v>
      </c>
      <c r="C70">
        <v>71.690337999999997</v>
      </c>
      <c r="D70">
        <v>72.140223000000006</v>
      </c>
      <c r="E70">
        <v>65.740583999999998</v>
      </c>
      <c r="F70">
        <v>52.195050000000002</v>
      </c>
      <c r="G70">
        <v>50.008415999999997</v>
      </c>
      <c r="H70">
        <v>50.030140000000003</v>
      </c>
      <c r="I70" t="s">
        <v>56</v>
      </c>
      <c r="N70"/>
      <c r="O70"/>
      <c r="P70" s="1">
        <f t="shared" si="23"/>
        <v>73.213385162601625</v>
      </c>
      <c r="Q70" s="1">
        <f t="shared" si="24"/>
        <v>73.664336382113831</v>
      </c>
      <c r="R70" s="1">
        <f t="shared" si="25"/>
        <v>74.402500254919957</v>
      </c>
      <c r="S70" s="1">
        <f t="shared" si="26"/>
        <v>68.252259615384617</v>
      </c>
    </row>
    <row r="71" spans="1:19" x14ac:dyDescent="0.3">
      <c r="A71">
        <v>27.2</v>
      </c>
      <c r="B71">
        <v>71.233570999999998</v>
      </c>
      <c r="C71">
        <v>71.690365999999997</v>
      </c>
      <c r="D71">
        <v>72.178901999999994</v>
      </c>
      <c r="E71">
        <v>65.741060000000004</v>
      </c>
      <c r="F71">
        <v>52.084502000000001</v>
      </c>
      <c r="G71">
        <v>49.991968</v>
      </c>
      <c r="H71">
        <v>50.024554000000002</v>
      </c>
      <c r="I71"/>
      <c r="N71"/>
      <c r="O71"/>
      <c r="P71" s="1">
        <f t="shared" si="23"/>
        <v>73.201035569105699</v>
      </c>
      <c r="Q71" s="1">
        <f t="shared" si="24"/>
        <v>73.644608739837395</v>
      </c>
      <c r="R71" s="1">
        <f t="shared" si="25"/>
        <v>74.402525746915458</v>
      </c>
      <c r="S71" s="1">
        <f t="shared" si="26"/>
        <v>68.234395458265141</v>
      </c>
    </row>
    <row r="72" spans="1:19" x14ac:dyDescent="0.3">
      <c r="A72">
        <v>27.4</v>
      </c>
      <c r="B72">
        <v>71.233570999999998</v>
      </c>
      <c r="C72">
        <v>71.690365999999997</v>
      </c>
      <c r="D72">
        <v>72.178901999999994</v>
      </c>
      <c r="E72">
        <v>65.741060000000004</v>
      </c>
      <c r="F72">
        <v>52.084502000000001</v>
      </c>
      <c r="G72">
        <v>49.991968</v>
      </c>
      <c r="H72">
        <v>50.024554000000002</v>
      </c>
      <c r="I72"/>
      <c r="N72"/>
      <c r="O72"/>
      <c r="P72" s="1">
        <f t="shared" si="23"/>
        <v>73.201035569105699</v>
      </c>
      <c r="Q72" s="1">
        <f t="shared" si="24"/>
        <v>73.644608739837395</v>
      </c>
      <c r="R72" s="1">
        <f t="shared" si="25"/>
        <v>74.402525746915458</v>
      </c>
      <c r="S72" s="1">
        <f t="shared" si="26"/>
        <v>68.234395458265141</v>
      </c>
    </row>
    <row r="73" spans="1:19" x14ac:dyDescent="0.3">
      <c r="A73">
        <v>27.6</v>
      </c>
      <c r="B73">
        <v>71.245947000000001</v>
      </c>
      <c r="C73">
        <v>71.707742999999994</v>
      </c>
      <c r="D73">
        <v>72.148988000000003</v>
      </c>
      <c r="E73">
        <v>65.773098000000005</v>
      </c>
      <c r="F73">
        <v>51.929861000000002</v>
      </c>
      <c r="G73">
        <v>49.983147000000002</v>
      </c>
      <c r="H73">
        <v>50.014346000000003</v>
      </c>
      <c r="I73"/>
      <c r="N73"/>
      <c r="O73"/>
      <c r="P73" s="1">
        <f t="shared" si="23"/>
        <v>73.22713414634147</v>
      </c>
      <c r="Q73" s="1">
        <f t="shared" si="24"/>
        <v>73.65239329268293</v>
      </c>
      <c r="R73" s="1">
        <f t="shared" si="25"/>
        <v>74.400209034363215</v>
      </c>
      <c r="S73" s="1">
        <f t="shared" si="26"/>
        <v>68.197671849427167</v>
      </c>
    </row>
    <row r="74" spans="1:19" x14ac:dyDescent="0.3">
      <c r="A74">
        <v>27.8</v>
      </c>
      <c r="B74">
        <v>71.245947000000001</v>
      </c>
      <c r="C74">
        <v>71.707742999999994</v>
      </c>
      <c r="D74">
        <v>72.148988000000003</v>
      </c>
      <c r="E74">
        <v>65.773098000000005</v>
      </c>
      <c r="F74">
        <v>51.929861000000002</v>
      </c>
      <c r="G74">
        <v>49.983147000000002</v>
      </c>
      <c r="H74">
        <v>50.014346000000003</v>
      </c>
      <c r="I74"/>
      <c r="N74"/>
      <c r="O74"/>
      <c r="P74" s="1">
        <f t="shared" si="23"/>
        <v>73.22713414634147</v>
      </c>
      <c r="Q74" s="1">
        <f t="shared" si="24"/>
        <v>73.65239329268293</v>
      </c>
      <c r="R74" s="1">
        <f t="shared" si="25"/>
        <v>74.400209034363215</v>
      </c>
      <c r="S74" s="1">
        <f t="shared" si="26"/>
        <v>68.197671849427167</v>
      </c>
    </row>
    <row r="75" spans="1:19" x14ac:dyDescent="0.3">
      <c r="A75">
        <v>2352</v>
      </c>
      <c r="B75">
        <v>81.204830000000001</v>
      </c>
      <c r="C75">
        <v>81.805147000000005</v>
      </c>
      <c r="D75">
        <v>82.454564000000005</v>
      </c>
      <c r="E75">
        <v>73.546735999999996</v>
      </c>
      <c r="F75">
        <v>56.475335000000001</v>
      </c>
      <c r="G75">
        <v>50.010275</v>
      </c>
      <c r="H75">
        <v>50.187984999999998</v>
      </c>
      <c r="I75" t="s">
        <v>56</v>
      </c>
      <c r="N75"/>
      <c r="O75"/>
      <c r="P75" s="1">
        <f t="shared" si="23"/>
        <v>73.225275406504068</v>
      </c>
      <c r="Q75" s="1">
        <f t="shared" si="24"/>
        <v>73.657420731707319</v>
      </c>
      <c r="R75" s="1">
        <f t="shared" si="25"/>
        <v>74.397892321810943</v>
      </c>
      <c r="S75" s="1">
        <f t="shared" si="26"/>
        <v>68.21140855155484</v>
      </c>
    </row>
    <row r="76" spans="1:19" x14ac:dyDescent="0.3">
      <c r="A76">
        <v>2352.1999999999998</v>
      </c>
      <c r="B76">
        <v>81.204830000000001</v>
      </c>
      <c r="C76">
        <v>81.805147000000005</v>
      </c>
      <c r="D76">
        <v>82.454564000000005</v>
      </c>
      <c r="E76">
        <v>73.546735999999996</v>
      </c>
      <c r="F76">
        <v>56.475335000000001</v>
      </c>
      <c r="G76">
        <v>49.996254999999998</v>
      </c>
      <c r="H76">
        <v>50.191298000000003</v>
      </c>
      <c r="I76"/>
      <c r="N76"/>
      <c r="O76"/>
      <c r="P76" s="1">
        <f t="shared" si="23"/>
        <v>73.225275406504068</v>
      </c>
      <c r="Q76" s="1">
        <f t="shared" si="24"/>
        <v>73.657420731707319</v>
      </c>
      <c r="R76" s="1">
        <f t="shared" si="25"/>
        <v>74.397892321810943</v>
      </c>
      <c r="S76" s="1">
        <f t="shared" si="26"/>
        <v>68.21140855155484</v>
      </c>
    </row>
    <row r="77" spans="1:19" x14ac:dyDescent="0.3">
      <c r="A77">
        <v>2352.4</v>
      </c>
      <c r="B77">
        <v>81.197811000000002</v>
      </c>
      <c r="C77">
        <v>81.816426000000007</v>
      </c>
      <c r="D77">
        <v>82.445318999999998</v>
      </c>
      <c r="E77">
        <v>73.556788999999995</v>
      </c>
      <c r="F77">
        <v>56.252896999999997</v>
      </c>
      <c r="G77">
        <v>49.996254999999998</v>
      </c>
      <c r="H77">
        <v>50.191298000000003</v>
      </c>
      <c r="I77"/>
      <c r="N77"/>
      <c r="O77"/>
      <c r="P77" s="1">
        <f t="shared" si="23"/>
        <v>73.219418699187003</v>
      </c>
      <c r="Q77" s="1">
        <f t="shared" si="24"/>
        <v>73.668546747967483</v>
      </c>
      <c r="R77" s="1">
        <f t="shared" si="25"/>
        <v>74.408533700418062</v>
      </c>
      <c r="S77" s="1">
        <f t="shared" si="26"/>
        <v>68.191325695581</v>
      </c>
    </row>
    <row r="78" spans="1:19" x14ac:dyDescent="0.3">
      <c r="A78">
        <v>2352.6</v>
      </c>
      <c r="B78">
        <v>81.197811000000002</v>
      </c>
      <c r="C78">
        <v>81.816426000000007</v>
      </c>
      <c r="D78">
        <v>82.445318999999998</v>
      </c>
      <c r="E78">
        <v>73.556788999999995</v>
      </c>
      <c r="F78">
        <v>56.252896999999997</v>
      </c>
      <c r="G78">
        <v>50.014845999999999</v>
      </c>
      <c r="H78">
        <v>50.214739000000002</v>
      </c>
      <c r="I78"/>
      <c r="N78"/>
      <c r="O78"/>
      <c r="P78" s="1">
        <f t="shared" si="23"/>
        <v>73.219418699187003</v>
      </c>
      <c r="Q78" s="1">
        <f t="shared" si="24"/>
        <v>73.668546747967483</v>
      </c>
      <c r="R78" s="1">
        <f t="shared" si="25"/>
        <v>74.408533700418062</v>
      </c>
      <c r="S78" s="1">
        <f t="shared" si="26"/>
        <v>68.191325695581</v>
      </c>
    </row>
    <row r="79" spans="1:19" x14ac:dyDescent="0.3">
      <c r="A79">
        <v>2352.8000000000002</v>
      </c>
      <c r="B79">
        <v>81.226056999999997</v>
      </c>
      <c r="C79">
        <v>81.800649000000007</v>
      </c>
      <c r="D79">
        <v>82.458410999999998</v>
      </c>
      <c r="E79">
        <v>73.544967999999997</v>
      </c>
      <c r="F79">
        <v>56.141384000000002</v>
      </c>
      <c r="G79">
        <v>50.014845999999999</v>
      </c>
      <c r="H79">
        <v>50.214739000000002</v>
      </c>
      <c r="I79"/>
      <c r="N79"/>
      <c r="O79"/>
      <c r="P79" s="1">
        <f t="shared" si="23"/>
        <v>73.214886178861789</v>
      </c>
      <c r="Q79" s="1">
        <f t="shared" si="24"/>
        <v>73.647925813008129</v>
      </c>
      <c r="R79" s="1">
        <f t="shared" si="25"/>
        <v>74.40720913633119</v>
      </c>
      <c r="S79" s="1">
        <f t="shared" si="26"/>
        <v>68.204678805237322</v>
      </c>
    </row>
    <row r="80" spans="1:19" x14ac:dyDescent="0.3">
      <c r="A80">
        <v>2353</v>
      </c>
      <c r="B80">
        <v>81.226056999999997</v>
      </c>
      <c r="C80">
        <v>81.800649000000007</v>
      </c>
      <c r="D80">
        <v>82.458410999999998</v>
      </c>
      <c r="E80">
        <v>73.544967999999997</v>
      </c>
      <c r="F80">
        <v>56.141384000000002</v>
      </c>
      <c r="G80">
        <v>49.993777000000001</v>
      </c>
      <c r="H80">
        <v>50.233187000000001</v>
      </c>
      <c r="I80" t="s">
        <v>56</v>
      </c>
      <c r="N80"/>
      <c r="O80"/>
      <c r="P80" s="1">
        <f t="shared" si="23"/>
        <v>73.214886178861789</v>
      </c>
      <c r="Q80" s="1">
        <f t="shared" si="24"/>
        <v>73.647925813008129</v>
      </c>
      <c r="R80" s="1">
        <f t="shared" si="25"/>
        <v>74.40720913633119</v>
      </c>
      <c r="S80" s="1">
        <f t="shared" si="26"/>
        <v>68.204678805237322</v>
      </c>
    </row>
    <row r="81" spans="1:19" x14ac:dyDescent="0.3">
      <c r="A81">
        <v>2353.1999999999998</v>
      </c>
      <c r="B81">
        <v>81.227761999999998</v>
      </c>
      <c r="C81">
        <v>81.813436999999993</v>
      </c>
      <c r="D81">
        <v>82.449991999999995</v>
      </c>
      <c r="E81">
        <v>73.516422000000006</v>
      </c>
      <c r="F81">
        <v>55.979562000000001</v>
      </c>
      <c r="G81">
        <v>49.993777000000001</v>
      </c>
      <c r="H81">
        <v>50.233187000000001</v>
      </c>
      <c r="I81"/>
      <c r="N81"/>
      <c r="O81"/>
      <c r="P81" s="1">
        <f t="shared" si="23"/>
        <v>73.228202235772358</v>
      </c>
      <c r="Q81" s="1">
        <f t="shared" si="24"/>
        <v>73.659895325203266</v>
      </c>
      <c r="R81" s="1">
        <f t="shared" si="25"/>
        <v>74.400818802895884</v>
      </c>
      <c r="S81" s="1">
        <f t="shared" si="26"/>
        <v>68.207457037643209</v>
      </c>
    </row>
    <row r="82" spans="1:19" x14ac:dyDescent="0.3">
      <c r="A82">
        <v>2353.4</v>
      </c>
      <c r="B82">
        <v>81.227761999999998</v>
      </c>
      <c r="C82">
        <v>81.813436999999993</v>
      </c>
      <c r="D82">
        <v>82.449991999999995</v>
      </c>
      <c r="E82">
        <v>73.516422000000006</v>
      </c>
      <c r="F82">
        <v>55.979562000000001</v>
      </c>
      <c r="G82">
        <v>49.994366999999997</v>
      </c>
      <c r="H82">
        <v>50.202351</v>
      </c>
      <c r="I82"/>
      <c r="N82"/>
      <c r="O82"/>
      <c r="P82" s="1">
        <f t="shared" si="23"/>
        <v>73.228202235772358</v>
      </c>
      <c r="Q82" s="1">
        <f t="shared" si="24"/>
        <v>73.659895325203266</v>
      </c>
      <c r="R82" s="1">
        <f t="shared" si="25"/>
        <v>74.400818802895884</v>
      </c>
      <c r="S82" s="1">
        <f t="shared" si="26"/>
        <v>68.207457037643209</v>
      </c>
    </row>
    <row r="83" spans="1:19" x14ac:dyDescent="0.3">
      <c r="A83">
        <v>2353.6</v>
      </c>
      <c r="B83">
        <v>81.222374000000002</v>
      </c>
      <c r="C83">
        <v>81.796955999999994</v>
      </c>
      <c r="D83">
        <v>82.448217999999997</v>
      </c>
      <c r="E83">
        <v>73.522047000000001</v>
      </c>
      <c r="F83">
        <v>55.862375</v>
      </c>
      <c r="G83">
        <v>49.994366999999997</v>
      </c>
      <c r="H83">
        <v>50.202351</v>
      </c>
      <c r="I83"/>
      <c r="N83"/>
      <c r="O83"/>
      <c r="P83" s="1">
        <f t="shared" si="23"/>
        <v>73.21554674796748</v>
      </c>
      <c r="Q83" s="1">
        <f t="shared" si="24"/>
        <v>73.670638211382126</v>
      </c>
      <c r="R83" s="1">
        <f t="shared" si="25"/>
        <v>74.414285714285711</v>
      </c>
      <c r="S83" s="1">
        <f t="shared" si="26"/>
        <v>68.220019435351873</v>
      </c>
    </row>
    <row r="84" spans="1:19" x14ac:dyDescent="0.3">
      <c r="A84">
        <v>2353.8000000000002</v>
      </c>
      <c r="B84">
        <v>81.222374000000002</v>
      </c>
      <c r="C84">
        <v>81.796955999999994</v>
      </c>
      <c r="D84">
        <v>82.448217999999997</v>
      </c>
      <c r="E84">
        <v>73.522047000000001</v>
      </c>
      <c r="F84">
        <v>55.862375</v>
      </c>
      <c r="G84">
        <v>50.013305000000003</v>
      </c>
      <c r="H84">
        <v>50.204416999999999</v>
      </c>
      <c r="I84"/>
      <c r="N84"/>
      <c r="O84"/>
      <c r="P84" s="1">
        <f t="shared" si="23"/>
        <v>73.21554674796748</v>
      </c>
      <c r="Q84" s="1">
        <f t="shared" si="24"/>
        <v>73.670638211382126</v>
      </c>
      <c r="R84" s="1">
        <f t="shared" si="25"/>
        <v>74.414285714285711</v>
      </c>
      <c r="S84" s="1">
        <f t="shared" si="26"/>
        <v>68.220019435351873</v>
      </c>
    </row>
    <row r="85" spans="1:19" x14ac:dyDescent="0.3">
      <c r="A85">
        <v>2354</v>
      </c>
      <c r="B85">
        <v>81.217135999999996</v>
      </c>
      <c r="C85">
        <v>81.796227999999999</v>
      </c>
      <c r="D85">
        <v>82.459861000000004</v>
      </c>
      <c r="E85">
        <v>73.516397999999995</v>
      </c>
      <c r="F85">
        <v>55.695300000000003</v>
      </c>
      <c r="G85">
        <v>50.013305000000003</v>
      </c>
      <c r="H85">
        <v>50.204416999999999</v>
      </c>
      <c r="I85" t="s">
        <v>56</v>
      </c>
      <c r="N85"/>
      <c r="O85"/>
      <c r="P85" s="1">
        <f t="shared" si="23"/>
        <v>73.212464430894315</v>
      </c>
      <c r="Q85" s="1">
        <f t="shared" si="24"/>
        <v>73.648255081300817</v>
      </c>
      <c r="R85" s="1">
        <f t="shared" si="25"/>
        <v>74.42907718976241</v>
      </c>
      <c r="S85" s="1">
        <f t="shared" si="26"/>
        <v>68.195374386252055</v>
      </c>
    </row>
    <row r="86" spans="1:19" x14ac:dyDescent="0.3">
      <c r="A86">
        <v>2354.1999999999998</v>
      </c>
      <c r="B86">
        <v>81.217135999999996</v>
      </c>
      <c r="C86">
        <v>81.796227999999999</v>
      </c>
      <c r="D86">
        <v>82.459861000000004</v>
      </c>
      <c r="E86">
        <v>73.516397999999995</v>
      </c>
      <c r="F86">
        <v>55.695300000000003</v>
      </c>
      <c r="G86">
        <v>50.013368999999997</v>
      </c>
      <c r="H86">
        <v>50.207486000000003</v>
      </c>
      <c r="I86"/>
      <c r="N86"/>
      <c r="O86"/>
      <c r="P86" s="1">
        <f t="shared" si="23"/>
        <v>73.212464430894315</v>
      </c>
      <c r="Q86" s="1">
        <f t="shared" si="24"/>
        <v>73.648255081300817</v>
      </c>
      <c r="R86" s="1">
        <f t="shared" si="25"/>
        <v>74.42907718976241</v>
      </c>
      <c r="S86" s="1">
        <f t="shared" si="26"/>
        <v>68.195374386252055</v>
      </c>
    </row>
    <row r="87" spans="1:19" x14ac:dyDescent="0.3">
      <c r="A87">
        <v>2354.4</v>
      </c>
      <c r="B87">
        <v>81.225618999999995</v>
      </c>
      <c r="C87">
        <v>81.819429</v>
      </c>
      <c r="D87">
        <v>82.437511000000001</v>
      </c>
      <c r="E87">
        <v>73.508021999999997</v>
      </c>
      <c r="F87">
        <v>55.567366</v>
      </c>
      <c r="G87">
        <v>50.013368999999997</v>
      </c>
      <c r="H87">
        <v>50.207486000000003</v>
      </c>
      <c r="I87"/>
      <c r="N87"/>
      <c r="O87"/>
      <c r="P87" s="1">
        <f t="shared" si="23"/>
        <v>73.230516260162602</v>
      </c>
      <c r="Q87" s="1">
        <f t="shared" si="24"/>
        <v>73.655323170731705</v>
      </c>
      <c r="R87" s="1">
        <f t="shared" si="25"/>
        <v>74.386176200672992</v>
      </c>
      <c r="S87" s="1">
        <f t="shared" si="26"/>
        <v>68.191882160392794</v>
      </c>
    </row>
    <row r="88" spans="1:19" x14ac:dyDescent="0.3">
      <c r="A88">
        <v>2354.6</v>
      </c>
      <c r="B88">
        <v>81.225618999999995</v>
      </c>
      <c r="C88">
        <v>81.819429</v>
      </c>
      <c r="D88">
        <v>82.437511000000001</v>
      </c>
      <c r="E88">
        <v>73.508021999999997</v>
      </c>
      <c r="F88">
        <v>55.567366</v>
      </c>
      <c r="G88">
        <v>50.007759</v>
      </c>
      <c r="H88">
        <v>50.218051000000003</v>
      </c>
      <c r="I88"/>
      <c r="N88"/>
      <c r="O88"/>
      <c r="P88" s="1">
        <f t="shared" si="23"/>
        <v>73.230516260162602</v>
      </c>
      <c r="Q88" s="1">
        <f t="shared" si="24"/>
        <v>73.655323170731705</v>
      </c>
      <c r="R88" s="1">
        <f t="shared" si="25"/>
        <v>74.386176200672992</v>
      </c>
      <c r="S88" s="1">
        <f t="shared" si="26"/>
        <v>68.191882160392794</v>
      </c>
    </row>
    <row r="89" spans="1:19" x14ac:dyDescent="0.3">
      <c r="A89">
        <v>2354.8000000000002</v>
      </c>
      <c r="B89">
        <v>81.204553000000004</v>
      </c>
      <c r="C89">
        <v>81.793338000000006</v>
      </c>
      <c r="D89">
        <v>82.450691000000006</v>
      </c>
      <c r="E89">
        <v>73.490688000000006</v>
      </c>
      <c r="F89">
        <v>55.410175000000002</v>
      </c>
      <c r="G89">
        <v>50.007759</v>
      </c>
      <c r="H89">
        <v>50.218051000000003</v>
      </c>
      <c r="I89"/>
      <c r="N89"/>
      <c r="O89"/>
      <c r="P89" s="1">
        <f t="shared" si="23"/>
        <v>73.191129065040656</v>
      </c>
      <c r="Q89" s="1">
        <f t="shared" si="24"/>
        <v>73.655351626016255</v>
      </c>
      <c r="R89" s="1">
        <f t="shared" si="25"/>
        <v>74.425616396451503</v>
      </c>
      <c r="S89" s="1">
        <f t="shared" si="26"/>
        <v>68.192369067103115</v>
      </c>
    </row>
    <row r="90" spans="1:19" x14ac:dyDescent="0.3">
      <c r="A90">
        <v>2355</v>
      </c>
      <c r="B90">
        <v>81.204553000000004</v>
      </c>
      <c r="C90">
        <v>81.793338000000006</v>
      </c>
      <c r="D90">
        <v>82.450691000000006</v>
      </c>
      <c r="E90">
        <v>73.490688000000006</v>
      </c>
      <c r="F90">
        <v>55.410175000000002</v>
      </c>
      <c r="G90">
        <v>50.000529999999998</v>
      </c>
      <c r="H90">
        <v>50.231850999999999</v>
      </c>
      <c r="I90" t="s">
        <v>56</v>
      </c>
      <c r="N90"/>
      <c r="O90"/>
      <c r="P90" s="1">
        <f t="shared" si="23"/>
        <v>73.191129065040656</v>
      </c>
      <c r="Q90" s="1">
        <f t="shared" si="24"/>
        <v>73.655351626016255</v>
      </c>
      <c r="R90" s="1">
        <f t="shared" si="25"/>
        <v>74.425616396451503</v>
      </c>
      <c r="S90" s="1">
        <f t="shared" si="26"/>
        <v>68.192369067103115</v>
      </c>
    </row>
    <row r="91" spans="1:19" x14ac:dyDescent="0.3">
      <c r="A91">
        <v>2355.1999999999998</v>
      </c>
      <c r="B91">
        <v>81.214778999999993</v>
      </c>
      <c r="C91">
        <v>81.79477</v>
      </c>
      <c r="D91">
        <v>82.437273000000005</v>
      </c>
      <c r="E91">
        <v>73.514953000000006</v>
      </c>
      <c r="F91">
        <v>55.082917999999999</v>
      </c>
      <c r="G91">
        <v>50.000529999999998</v>
      </c>
      <c r="H91">
        <v>50.231850999999999</v>
      </c>
      <c r="I91"/>
      <c r="N91"/>
      <c r="O91"/>
      <c r="P91" s="1">
        <f t="shared" si="23"/>
        <v>73.20370630081301</v>
      </c>
      <c r="Q91" s="1">
        <f t="shared" si="24"/>
        <v>73.673011178861785</v>
      </c>
      <c r="R91" s="1">
        <f t="shared" si="25"/>
        <v>74.395113694299994</v>
      </c>
      <c r="S91" s="1">
        <f t="shared" si="26"/>
        <v>68.225141162029459</v>
      </c>
    </row>
    <row r="92" spans="1:19" x14ac:dyDescent="0.3">
      <c r="A92">
        <v>2355.4</v>
      </c>
      <c r="B92">
        <v>81.214778999999993</v>
      </c>
      <c r="C92">
        <v>81.79477</v>
      </c>
      <c r="D92">
        <v>82.437273000000005</v>
      </c>
      <c r="E92">
        <v>73.514953000000006</v>
      </c>
      <c r="F92">
        <v>55.082917999999999</v>
      </c>
      <c r="G92">
        <v>50.002597000000002</v>
      </c>
      <c r="H92">
        <v>50.242930000000001</v>
      </c>
      <c r="I92"/>
      <c r="N92"/>
      <c r="O92"/>
      <c r="P92" s="1">
        <f t="shared" si="23"/>
        <v>73.20370630081301</v>
      </c>
      <c r="Q92" s="1">
        <f t="shared" si="24"/>
        <v>73.673011178861785</v>
      </c>
      <c r="R92" s="1">
        <f t="shared" si="25"/>
        <v>74.395113694299994</v>
      </c>
      <c r="S92" s="1">
        <f t="shared" si="26"/>
        <v>68.225141162029459</v>
      </c>
    </row>
    <row r="93" spans="1:19" x14ac:dyDescent="0.3">
      <c r="A93">
        <v>2355.6</v>
      </c>
      <c r="B93">
        <v>81.207310000000007</v>
      </c>
      <c r="C93">
        <v>81.802431999999996</v>
      </c>
      <c r="D93">
        <v>82.457487</v>
      </c>
      <c r="E93">
        <v>73.504848999999993</v>
      </c>
      <c r="F93">
        <v>54.990721999999998</v>
      </c>
      <c r="G93">
        <v>50.002597000000002</v>
      </c>
      <c r="H93">
        <v>50.242930000000001</v>
      </c>
      <c r="I93"/>
      <c r="N93"/>
      <c r="O93"/>
      <c r="P93" s="1">
        <f t="shared" si="23"/>
        <v>83.324522357723581</v>
      </c>
      <c r="Q93" s="1">
        <f t="shared" si="24"/>
        <v>83.934600609756103</v>
      </c>
      <c r="R93" s="1">
        <f t="shared" si="25"/>
        <v>84.903501580503729</v>
      </c>
      <c r="S93" s="1">
        <f t="shared" si="26"/>
        <v>76.176898527004909</v>
      </c>
    </row>
    <row r="94" spans="1:19" x14ac:dyDescent="0.3">
      <c r="A94">
        <v>2355.8000000000002</v>
      </c>
      <c r="B94">
        <v>81.207310000000007</v>
      </c>
      <c r="C94">
        <v>81.802431999999996</v>
      </c>
      <c r="D94">
        <v>82.457487</v>
      </c>
      <c r="E94">
        <v>73.504848999999993</v>
      </c>
      <c r="F94">
        <v>54.990721999999998</v>
      </c>
      <c r="G94">
        <v>50.012587000000003</v>
      </c>
      <c r="H94">
        <v>50.233277000000001</v>
      </c>
      <c r="I94"/>
      <c r="N94"/>
      <c r="O94"/>
      <c r="P94" s="1">
        <f t="shared" si="23"/>
        <v>83.324522357723581</v>
      </c>
      <c r="Q94" s="1">
        <f t="shared" si="24"/>
        <v>83.934600609756103</v>
      </c>
      <c r="R94" s="1">
        <f t="shared" si="25"/>
        <v>84.903501580503729</v>
      </c>
      <c r="S94" s="1">
        <f t="shared" si="26"/>
        <v>76.176898527004909</v>
      </c>
    </row>
    <row r="95" spans="1:19" x14ac:dyDescent="0.3">
      <c r="A95">
        <v>2356</v>
      </c>
      <c r="B95">
        <v>81.225907000000007</v>
      </c>
      <c r="C95">
        <v>81.789644999999993</v>
      </c>
      <c r="D95">
        <v>82.461859000000004</v>
      </c>
      <c r="E95">
        <v>73.515699999999995</v>
      </c>
      <c r="F95">
        <v>55.165855999999998</v>
      </c>
      <c r="G95">
        <v>50.012587000000003</v>
      </c>
      <c r="H95">
        <v>50.233277000000001</v>
      </c>
      <c r="I95" t="s">
        <v>56</v>
      </c>
      <c r="N95"/>
      <c r="O95"/>
      <c r="P95" s="1">
        <f t="shared" si="23"/>
        <v>83.317389227642281</v>
      </c>
      <c r="Q95" s="1">
        <f t="shared" si="24"/>
        <v>83.946063008130096</v>
      </c>
      <c r="R95" s="1">
        <f t="shared" si="25"/>
        <v>84.894074640562863</v>
      </c>
      <c r="S95" s="1">
        <f t="shared" si="26"/>
        <v>76.187181873977082</v>
      </c>
    </row>
    <row r="96" spans="1:19" x14ac:dyDescent="0.3">
      <c r="A96">
        <v>2356.1999999999998</v>
      </c>
      <c r="B96">
        <v>81.225907000000007</v>
      </c>
      <c r="C96">
        <v>81.789644999999993</v>
      </c>
      <c r="D96">
        <v>82.461859000000004</v>
      </c>
      <c r="E96">
        <v>73.515699999999995</v>
      </c>
      <c r="F96">
        <v>55.165855999999998</v>
      </c>
      <c r="G96">
        <v>50.031370000000003</v>
      </c>
      <c r="H96">
        <v>50.219707999999997</v>
      </c>
      <c r="I96"/>
      <c r="N96"/>
      <c r="O96"/>
      <c r="P96" s="1">
        <f t="shared" si="23"/>
        <v>83.317389227642281</v>
      </c>
      <c r="Q96" s="1">
        <f t="shared" si="24"/>
        <v>83.946063008130096</v>
      </c>
      <c r="R96" s="1">
        <f t="shared" si="25"/>
        <v>84.894074640562863</v>
      </c>
      <c r="S96" s="1">
        <f t="shared" si="26"/>
        <v>76.187181873977082</v>
      </c>
    </row>
    <row r="97" spans="1:19" x14ac:dyDescent="0.3">
      <c r="A97">
        <v>2356.4</v>
      </c>
      <c r="B97">
        <v>81.220405999999997</v>
      </c>
      <c r="C97">
        <v>81.808323999999999</v>
      </c>
      <c r="D97">
        <v>82.462221</v>
      </c>
      <c r="E97">
        <v>73.502844999999994</v>
      </c>
      <c r="F97">
        <v>55.644663999999999</v>
      </c>
      <c r="G97">
        <v>50.031370000000003</v>
      </c>
      <c r="H97">
        <v>50.219707999999997</v>
      </c>
      <c r="I97"/>
      <c r="N97"/>
      <c r="O97"/>
      <c r="P97" s="1">
        <f t="shared" si="23"/>
        <v>83.346094512195123</v>
      </c>
      <c r="Q97" s="1">
        <f t="shared" si="24"/>
        <v>83.930029471544728</v>
      </c>
      <c r="R97" s="1">
        <f t="shared" si="25"/>
        <v>84.907424288773313</v>
      </c>
      <c r="S97" s="1">
        <f t="shared" si="26"/>
        <v>76.17509001636661</v>
      </c>
    </row>
    <row r="98" spans="1:19" x14ac:dyDescent="0.3">
      <c r="A98">
        <v>2356.6</v>
      </c>
      <c r="B98">
        <v>81.220405999999997</v>
      </c>
      <c r="C98">
        <v>81.808323999999999</v>
      </c>
      <c r="D98">
        <v>82.462221</v>
      </c>
      <c r="E98">
        <v>73.502844999999994</v>
      </c>
      <c r="F98">
        <v>55.644663999999999</v>
      </c>
      <c r="G98">
        <v>50.035939999999997</v>
      </c>
      <c r="H98">
        <v>50.213878999999999</v>
      </c>
      <c r="I98"/>
      <c r="N98"/>
      <c r="O98"/>
      <c r="P98" s="1">
        <f t="shared" si="23"/>
        <v>83.346094512195123</v>
      </c>
      <c r="Q98" s="1">
        <f t="shared" si="24"/>
        <v>83.930029471544728</v>
      </c>
      <c r="R98" s="1">
        <f t="shared" si="25"/>
        <v>84.907424288773313</v>
      </c>
      <c r="S98" s="1">
        <f t="shared" si="26"/>
        <v>76.17509001636661</v>
      </c>
    </row>
    <row r="99" spans="1:19" x14ac:dyDescent="0.3">
      <c r="A99">
        <v>2356.8000000000002</v>
      </c>
      <c r="B99">
        <v>81.198789000000005</v>
      </c>
      <c r="C99">
        <v>81.782810999999995</v>
      </c>
      <c r="D99">
        <v>82.459334999999996</v>
      </c>
      <c r="E99">
        <v>73.506690000000006</v>
      </c>
      <c r="F99">
        <v>55.736893000000002</v>
      </c>
      <c r="G99">
        <v>50.035939999999997</v>
      </c>
      <c r="H99">
        <v>50.213878999999999</v>
      </c>
      <c r="I99"/>
      <c r="N99"/>
      <c r="O99"/>
      <c r="P99" s="1">
        <f t="shared" si="23"/>
        <v>83.347827235772357</v>
      </c>
      <c r="Q99" s="1">
        <f t="shared" si="24"/>
        <v>83.943025406504063</v>
      </c>
      <c r="R99" s="1">
        <f t="shared" si="25"/>
        <v>84.898839604364227</v>
      </c>
      <c r="S99" s="1">
        <f t="shared" si="26"/>
        <v>76.145889934533557</v>
      </c>
    </row>
    <row r="100" spans="1:19" x14ac:dyDescent="0.3">
      <c r="A100">
        <v>2357</v>
      </c>
      <c r="B100">
        <v>81.198789000000005</v>
      </c>
      <c r="C100">
        <v>81.782810999999995</v>
      </c>
      <c r="D100">
        <v>82.459334999999996</v>
      </c>
      <c r="E100">
        <v>73.506690000000006</v>
      </c>
      <c r="F100">
        <v>55.736893000000002</v>
      </c>
      <c r="G100">
        <v>49.997923999999998</v>
      </c>
      <c r="H100">
        <v>50.222544999999997</v>
      </c>
      <c r="I100" t="s">
        <v>56</v>
      </c>
      <c r="N100"/>
      <c r="O100"/>
      <c r="P100" s="1">
        <f t="shared" si="23"/>
        <v>83.347827235772357</v>
      </c>
      <c r="Q100" s="1">
        <f t="shared" si="24"/>
        <v>83.943025406504063</v>
      </c>
      <c r="R100" s="1">
        <f t="shared" si="25"/>
        <v>84.898839604364227</v>
      </c>
      <c r="S100" s="1">
        <f t="shared" si="26"/>
        <v>76.145889934533557</v>
      </c>
    </row>
    <row r="101" spans="1:19" x14ac:dyDescent="0.3">
      <c r="A101">
        <v>2357.1999999999998</v>
      </c>
      <c r="B101">
        <v>81.207735999999997</v>
      </c>
      <c r="C101">
        <v>81.800597999999994</v>
      </c>
      <c r="D101">
        <v>82.450716</v>
      </c>
      <c r="E101">
        <v>73.497879999999995</v>
      </c>
      <c r="F101">
        <v>55.750013000000003</v>
      </c>
      <c r="G101">
        <v>49.997923999999998</v>
      </c>
      <c r="H101">
        <v>50.222544999999997</v>
      </c>
      <c r="I101"/>
      <c r="N101"/>
      <c r="O101"/>
      <c r="P101" s="1">
        <f t="shared" si="23"/>
        <v>83.342351626016267</v>
      </c>
      <c r="Q101" s="1">
        <f t="shared" si="24"/>
        <v>83.926276422764232</v>
      </c>
      <c r="R101" s="1">
        <f t="shared" si="25"/>
        <v>84.897030692362591</v>
      </c>
      <c r="S101" s="1">
        <f t="shared" si="26"/>
        <v>76.151643821603926</v>
      </c>
    </row>
    <row r="102" spans="1:19" x14ac:dyDescent="0.3">
      <c r="A102">
        <v>2357.4</v>
      </c>
      <c r="B102">
        <v>81.207735999999997</v>
      </c>
      <c r="C102">
        <v>81.800597999999994</v>
      </c>
      <c r="D102">
        <v>82.450716</v>
      </c>
      <c r="E102">
        <v>73.497879999999995</v>
      </c>
      <c r="F102">
        <v>55.750013000000003</v>
      </c>
      <c r="G102">
        <v>49.998207000000001</v>
      </c>
      <c r="H102">
        <v>50.231377000000002</v>
      </c>
      <c r="I102"/>
      <c r="N102"/>
      <c r="O102"/>
      <c r="P102" s="1">
        <f t="shared" si="23"/>
        <v>83.342351626016267</v>
      </c>
      <c r="Q102" s="1">
        <f t="shared" si="24"/>
        <v>83.926276422764232</v>
      </c>
      <c r="R102" s="1">
        <f t="shared" si="25"/>
        <v>84.897030692362591</v>
      </c>
      <c r="S102" s="1">
        <f t="shared" si="26"/>
        <v>76.151643821603926</v>
      </c>
    </row>
    <row r="103" spans="1:19" x14ac:dyDescent="0.3">
      <c r="A103">
        <v>2357.6</v>
      </c>
      <c r="B103">
        <v>81.213301000000001</v>
      </c>
      <c r="C103">
        <v>81.805723999999998</v>
      </c>
      <c r="D103">
        <v>82.474253000000004</v>
      </c>
      <c r="E103">
        <v>73.515501999999998</v>
      </c>
      <c r="F103">
        <v>55.715995999999997</v>
      </c>
      <c r="G103">
        <v>49.998207000000001</v>
      </c>
      <c r="H103">
        <v>50.231377000000002</v>
      </c>
      <c r="I103"/>
      <c r="N103"/>
      <c r="O103"/>
      <c r="P103" s="1">
        <f t="shared" si="23"/>
        <v>83.337028455284553</v>
      </c>
      <c r="Q103" s="1">
        <f t="shared" si="24"/>
        <v>83.925536585365862</v>
      </c>
      <c r="R103" s="1">
        <f t="shared" si="25"/>
        <v>84.908902824513106</v>
      </c>
      <c r="S103" s="1">
        <f t="shared" si="26"/>
        <v>76.145865384615377</v>
      </c>
    </row>
    <row r="104" spans="1:19" x14ac:dyDescent="0.3">
      <c r="A104">
        <v>2357.8000000000002</v>
      </c>
      <c r="B104">
        <v>81.213301000000001</v>
      </c>
      <c r="C104">
        <v>81.805723999999998</v>
      </c>
      <c r="D104">
        <v>82.474253000000004</v>
      </c>
      <c r="E104">
        <v>73.515501999999998</v>
      </c>
      <c r="F104">
        <v>55.715995999999997</v>
      </c>
      <c r="G104">
        <v>49.970050000000001</v>
      </c>
      <c r="H104">
        <v>50.204611</v>
      </c>
      <c r="I104"/>
      <c r="N104"/>
      <c r="O104"/>
      <c r="P104" s="1">
        <f t="shared" si="23"/>
        <v>83.337028455284553</v>
      </c>
      <c r="Q104" s="1">
        <f t="shared" si="24"/>
        <v>83.925536585365862</v>
      </c>
      <c r="R104" s="1">
        <f t="shared" si="25"/>
        <v>84.908902824513106</v>
      </c>
      <c r="S104" s="1">
        <f t="shared" si="26"/>
        <v>76.145865384615377</v>
      </c>
    </row>
    <row r="105" spans="1:19" x14ac:dyDescent="0.3">
      <c r="A105">
        <v>2358</v>
      </c>
      <c r="B105">
        <v>81.202096999999995</v>
      </c>
      <c r="C105">
        <v>81.806025000000005</v>
      </c>
      <c r="D105">
        <v>82.450940000000003</v>
      </c>
      <c r="E105">
        <v>73.497656000000006</v>
      </c>
      <c r="F105">
        <v>55.551879999999997</v>
      </c>
      <c r="G105">
        <v>49.970050000000001</v>
      </c>
      <c r="H105">
        <v>50.204611</v>
      </c>
      <c r="I105" t="s">
        <v>56</v>
      </c>
      <c r="N105"/>
      <c r="O105"/>
      <c r="P105" s="1">
        <f t="shared" si="23"/>
        <v>83.345649390243906</v>
      </c>
      <c r="Q105" s="1">
        <f t="shared" si="24"/>
        <v>83.949114837398383</v>
      </c>
      <c r="R105" s="1">
        <f t="shared" si="25"/>
        <v>84.886112980524118</v>
      </c>
      <c r="S105" s="1">
        <f t="shared" si="26"/>
        <v>76.137297463175116</v>
      </c>
    </row>
    <row r="106" spans="1:19" x14ac:dyDescent="0.3">
      <c r="A106">
        <v>2358.1999999999998</v>
      </c>
      <c r="B106">
        <v>81.202096999999995</v>
      </c>
      <c r="C106">
        <v>81.806025000000005</v>
      </c>
      <c r="D106">
        <v>82.450940000000003</v>
      </c>
      <c r="E106">
        <v>73.497656000000006</v>
      </c>
      <c r="F106">
        <v>55.551879999999997</v>
      </c>
      <c r="G106">
        <v>50.014499000000001</v>
      </c>
      <c r="H106">
        <v>50.217165999999999</v>
      </c>
      <c r="I106"/>
      <c r="N106"/>
      <c r="O106"/>
      <c r="P106" s="1">
        <f t="shared" si="23"/>
        <v>83.345649390243906</v>
      </c>
      <c r="Q106" s="1">
        <f t="shared" si="24"/>
        <v>83.949114837398383</v>
      </c>
      <c r="R106" s="1">
        <f t="shared" si="25"/>
        <v>84.886112980524118</v>
      </c>
      <c r="S106" s="1">
        <f t="shared" si="26"/>
        <v>76.137297463175116</v>
      </c>
    </row>
    <row r="107" spans="1:19" x14ac:dyDescent="0.3">
      <c r="A107">
        <v>2358.4</v>
      </c>
      <c r="B107">
        <v>81.180341999999996</v>
      </c>
      <c r="C107">
        <v>81.798010000000005</v>
      </c>
      <c r="D107">
        <v>82.459384999999997</v>
      </c>
      <c r="E107">
        <v>73.513683999999998</v>
      </c>
      <c r="F107">
        <v>55.453198</v>
      </c>
      <c r="G107">
        <v>50.014499000000001</v>
      </c>
      <c r="H107">
        <v>50.217165999999999</v>
      </c>
      <c r="I107"/>
      <c r="N107"/>
      <c r="O107"/>
      <c r="P107" s="1">
        <f t="shared" si="23"/>
        <v>83.324240853658551</v>
      </c>
      <c r="Q107" s="1">
        <f t="shared" si="24"/>
        <v>83.922599593495946</v>
      </c>
      <c r="R107" s="1">
        <f t="shared" si="25"/>
        <v>84.899552360558786</v>
      </c>
      <c r="S107" s="1">
        <f t="shared" si="26"/>
        <v>76.119566284779054</v>
      </c>
    </row>
    <row r="108" spans="1:19" x14ac:dyDescent="0.3">
      <c r="A108">
        <v>2358.6</v>
      </c>
      <c r="B108">
        <v>81.180341999999996</v>
      </c>
      <c r="C108">
        <v>81.798010000000005</v>
      </c>
      <c r="D108">
        <v>82.459384999999997</v>
      </c>
      <c r="E108">
        <v>73.513683999999998</v>
      </c>
      <c r="F108">
        <v>55.453198</v>
      </c>
      <c r="G108">
        <v>50.003689000000001</v>
      </c>
      <c r="H108">
        <v>50.217680000000001</v>
      </c>
      <c r="I108"/>
      <c r="N108"/>
      <c r="O108"/>
      <c r="P108" s="1">
        <f t="shared" ref="P108:P171" si="27">(B90+Q$36)/P$36</f>
        <v>83.324240853658551</v>
      </c>
      <c r="Q108" s="1">
        <f t="shared" ref="Q108:Q171" si="28">(C90+Q$36)/P$36</f>
        <v>83.922599593495946</v>
      </c>
      <c r="R108" s="1">
        <f t="shared" ref="R108:R171" si="29">(D90+Q$38)/P$38</f>
        <v>84.899552360558786</v>
      </c>
      <c r="S108" s="1">
        <f t="shared" ref="S108:S171" si="30">(E90+Q$39)/P$39</f>
        <v>76.119566284779054</v>
      </c>
    </row>
    <row r="109" spans="1:19" x14ac:dyDescent="0.3">
      <c r="A109">
        <v>2358.8000000000002</v>
      </c>
      <c r="B109">
        <v>81.195943999999997</v>
      </c>
      <c r="C109">
        <v>81.817267999999999</v>
      </c>
      <c r="D109">
        <v>82.439409999999995</v>
      </c>
      <c r="E109">
        <v>73.514392999999998</v>
      </c>
      <c r="F109">
        <v>55.373710000000003</v>
      </c>
      <c r="G109">
        <v>50.003689000000001</v>
      </c>
      <c r="H109">
        <v>50.217680000000001</v>
      </c>
      <c r="I109"/>
      <c r="N109"/>
      <c r="O109"/>
      <c r="P109" s="1">
        <f t="shared" si="27"/>
        <v>83.334633130081301</v>
      </c>
      <c r="Q109" s="1">
        <f t="shared" si="28"/>
        <v>83.924054878048779</v>
      </c>
      <c r="R109" s="1">
        <f t="shared" si="29"/>
        <v>84.885870296726836</v>
      </c>
      <c r="S109" s="1">
        <f t="shared" si="30"/>
        <v>76.144387274959087</v>
      </c>
    </row>
    <row r="110" spans="1:19" x14ac:dyDescent="0.3">
      <c r="A110">
        <v>2359</v>
      </c>
      <c r="B110">
        <v>81.195943999999997</v>
      </c>
      <c r="C110">
        <v>81.817267999999999</v>
      </c>
      <c r="D110">
        <v>82.439409999999995</v>
      </c>
      <c r="E110">
        <v>73.514392999999998</v>
      </c>
      <c r="F110">
        <v>55.373710000000003</v>
      </c>
      <c r="G110">
        <v>49.997436</v>
      </c>
      <c r="H110">
        <v>50.207037</v>
      </c>
      <c r="I110" t="s">
        <v>56</v>
      </c>
      <c r="N110"/>
      <c r="O110"/>
      <c r="P110" s="1">
        <f t="shared" si="27"/>
        <v>83.334633130081301</v>
      </c>
      <c r="Q110" s="1">
        <f t="shared" si="28"/>
        <v>83.924054878048779</v>
      </c>
      <c r="R110" s="1">
        <f t="shared" si="29"/>
        <v>84.885870296726836</v>
      </c>
      <c r="S110" s="1">
        <f t="shared" si="30"/>
        <v>76.144387274959087</v>
      </c>
    </row>
    <row r="111" spans="1:19" x14ac:dyDescent="0.3">
      <c r="A111">
        <v>2359.1999999999998</v>
      </c>
      <c r="B111">
        <v>81.202422999999996</v>
      </c>
      <c r="C111">
        <v>81.800925000000007</v>
      </c>
      <c r="D111">
        <v>82.466555999999997</v>
      </c>
      <c r="E111">
        <v>73.546808999999996</v>
      </c>
      <c r="F111">
        <v>55.583632999999999</v>
      </c>
      <c r="G111">
        <v>49.997436</v>
      </c>
      <c r="H111">
        <v>50.207037</v>
      </c>
      <c r="I111"/>
      <c r="N111"/>
      <c r="O111"/>
      <c r="P111" s="1">
        <f t="shared" si="27"/>
        <v>83.327042682926844</v>
      </c>
      <c r="Q111" s="1">
        <f t="shared" si="28"/>
        <v>83.931841463414642</v>
      </c>
      <c r="R111" s="1">
        <f t="shared" si="29"/>
        <v>84.906482104619144</v>
      </c>
      <c r="S111" s="1">
        <f t="shared" si="30"/>
        <v>76.134051759410795</v>
      </c>
    </row>
    <row r="112" spans="1:19" x14ac:dyDescent="0.3">
      <c r="A112">
        <v>2359.4</v>
      </c>
      <c r="B112">
        <v>81.202422999999996</v>
      </c>
      <c r="C112">
        <v>81.800925000000007</v>
      </c>
      <c r="D112">
        <v>82.466555999999997</v>
      </c>
      <c r="E112">
        <v>73.546808999999996</v>
      </c>
      <c r="F112">
        <v>55.583632999999999</v>
      </c>
      <c r="G112">
        <v>49.991067999999999</v>
      </c>
      <c r="H112">
        <v>50.230710000000002</v>
      </c>
      <c r="I112"/>
      <c r="N112"/>
      <c r="O112"/>
      <c r="P112" s="1">
        <f t="shared" si="27"/>
        <v>83.327042682926844</v>
      </c>
      <c r="Q112" s="1">
        <f t="shared" si="28"/>
        <v>83.931841463414642</v>
      </c>
      <c r="R112" s="1">
        <f t="shared" si="29"/>
        <v>84.906482104619144</v>
      </c>
      <c r="S112" s="1">
        <f t="shared" si="30"/>
        <v>76.134051759410795</v>
      </c>
    </row>
    <row r="113" spans="1:19" x14ac:dyDescent="0.3">
      <c r="A113">
        <v>2359.6</v>
      </c>
      <c r="B113">
        <v>81.201871999999995</v>
      </c>
      <c r="C113">
        <v>81.808285999999995</v>
      </c>
      <c r="D113">
        <v>82.447118000000003</v>
      </c>
      <c r="E113">
        <v>73.531479000000004</v>
      </c>
      <c r="F113">
        <v>55.925192000000003</v>
      </c>
      <c r="G113">
        <v>49.991067999999999</v>
      </c>
      <c r="H113">
        <v>50.230710000000002</v>
      </c>
      <c r="I113"/>
      <c r="N113"/>
      <c r="O113"/>
      <c r="P113" s="1">
        <f t="shared" si="27"/>
        <v>83.345942073170747</v>
      </c>
      <c r="Q113" s="1">
        <f t="shared" si="28"/>
        <v>83.91884654471545</v>
      </c>
      <c r="R113" s="1">
        <f t="shared" si="29"/>
        <v>84.910940144794537</v>
      </c>
      <c r="S113" s="1">
        <f t="shared" si="30"/>
        <v>76.145151391162017</v>
      </c>
    </row>
    <row r="114" spans="1:19" x14ac:dyDescent="0.3">
      <c r="A114">
        <v>2359.8000000000002</v>
      </c>
      <c r="B114">
        <v>81.201871999999995</v>
      </c>
      <c r="C114">
        <v>81.808285999999995</v>
      </c>
      <c r="D114">
        <v>82.447118000000003</v>
      </c>
      <c r="E114">
        <v>73.531479000000004</v>
      </c>
      <c r="F114">
        <v>55.925192000000003</v>
      </c>
      <c r="G114">
        <v>50.000646000000003</v>
      </c>
      <c r="H114">
        <v>50.224342</v>
      </c>
      <c r="I114"/>
      <c r="N114"/>
      <c r="O114"/>
      <c r="P114" s="1">
        <f t="shared" si="27"/>
        <v>83.345942073170747</v>
      </c>
      <c r="Q114" s="1">
        <f t="shared" si="28"/>
        <v>83.91884654471545</v>
      </c>
      <c r="R114" s="1">
        <f t="shared" si="29"/>
        <v>84.910940144794537</v>
      </c>
      <c r="S114" s="1">
        <f t="shared" si="30"/>
        <v>76.145151391162017</v>
      </c>
    </row>
    <row r="115" spans="1:19" x14ac:dyDescent="0.3">
      <c r="A115">
        <v>2360</v>
      </c>
      <c r="B115">
        <v>81.211044000000001</v>
      </c>
      <c r="C115">
        <v>81.808888999999994</v>
      </c>
      <c r="D115">
        <v>82.456711999999996</v>
      </c>
      <c r="E115">
        <v>73.557385999999994</v>
      </c>
      <c r="F115">
        <v>56.341152000000001</v>
      </c>
      <c r="G115">
        <v>50.000646000000003</v>
      </c>
      <c r="H115">
        <v>50.224342</v>
      </c>
      <c r="I115" t="s">
        <v>56</v>
      </c>
      <c r="N115"/>
      <c r="O115"/>
      <c r="P115" s="1">
        <f t="shared" si="27"/>
        <v>83.340351626016258</v>
      </c>
      <c r="Q115" s="1">
        <f t="shared" si="28"/>
        <v>83.937829268292688</v>
      </c>
      <c r="R115" s="1">
        <f t="shared" si="29"/>
        <v>84.911309268889568</v>
      </c>
      <c r="S115" s="1">
        <f t="shared" si="30"/>
        <v>76.132001841243849</v>
      </c>
    </row>
    <row r="116" spans="1:19" x14ac:dyDescent="0.3">
      <c r="A116">
        <v>2360.1999999999998</v>
      </c>
      <c r="B116">
        <v>81.211044000000001</v>
      </c>
      <c r="C116">
        <v>81.808888999999994</v>
      </c>
      <c r="D116">
        <v>82.456711999999996</v>
      </c>
      <c r="E116">
        <v>73.557385999999994</v>
      </c>
      <c r="F116">
        <v>56.341152000000001</v>
      </c>
      <c r="G116">
        <v>49.981489000000003</v>
      </c>
      <c r="H116">
        <v>50.201721999999997</v>
      </c>
      <c r="I116"/>
      <c r="N116"/>
      <c r="O116"/>
      <c r="P116" s="1">
        <f t="shared" si="27"/>
        <v>83.340351626016258</v>
      </c>
      <c r="Q116" s="1">
        <f t="shared" si="28"/>
        <v>83.937829268292688</v>
      </c>
      <c r="R116" s="1">
        <f t="shared" si="29"/>
        <v>84.911309268889568</v>
      </c>
      <c r="S116" s="1">
        <f t="shared" si="30"/>
        <v>76.132001841243849</v>
      </c>
    </row>
    <row r="117" spans="1:19" x14ac:dyDescent="0.3">
      <c r="A117">
        <v>2360.4</v>
      </c>
      <c r="B117">
        <v>81.200316999999998</v>
      </c>
      <c r="C117">
        <v>81.793839000000006</v>
      </c>
      <c r="D117">
        <v>82.452314000000001</v>
      </c>
      <c r="E117">
        <v>73.544269999999997</v>
      </c>
      <c r="F117">
        <v>56.674166</v>
      </c>
      <c r="G117">
        <v>49.981489000000003</v>
      </c>
      <c r="H117">
        <v>50.201721999999997</v>
      </c>
      <c r="I117"/>
      <c r="N117"/>
      <c r="O117"/>
      <c r="P117" s="1">
        <f t="shared" si="27"/>
        <v>83.318383130081315</v>
      </c>
      <c r="Q117" s="1">
        <f t="shared" si="28"/>
        <v>83.911901422764231</v>
      </c>
      <c r="R117" s="1">
        <f t="shared" si="29"/>
        <v>84.908366472927497</v>
      </c>
      <c r="S117" s="1">
        <f t="shared" si="30"/>
        <v>76.135934942716858</v>
      </c>
    </row>
    <row r="118" spans="1:19" x14ac:dyDescent="0.3">
      <c r="A118">
        <v>2360.6</v>
      </c>
      <c r="B118">
        <v>81.200316999999998</v>
      </c>
      <c r="C118">
        <v>81.793839000000006</v>
      </c>
      <c r="D118">
        <v>82.452314000000001</v>
      </c>
      <c r="E118">
        <v>73.544269999999997</v>
      </c>
      <c r="F118">
        <v>56.674166</v>
      </c>
      <c r="G118">
        <v>49.998707000000003</v>
      </c>
      <c r="H118">
        <v>50.221479000000002</v>
      </c>
      <c r="I118"/>
      <c r="N118"/>
      <c r="O118"/>
      <c r="P118" s="1">
        <f t="shared" si="27"/>
        <v>83.318383130081315</v>
      </c>
      <c r="Q118" s="1">
        <f t="shared" si="28"/>
        <v>83.911901422764231</v>
      </c>
      <c r="R118" s="1">
        <f t="shared" si="29"/>
        <v>84.908366472927497</v>
      </c>
      <c r="S118" s="1">
        <f t="shared" si="30"/>
        <v>76.135934942716858</v>
      </c>
    </row>
    <row r="119" spans="1:19" x14ac:dyDescent="0.3">
      <c r="A119">
        <v>2360.8000000000002</v>
      </c>
      <c r="B119">
        <v>81.214501999999996</v>
      </c>
      <c r="C119">
        <v>81.816877000000005</v>
      </c>
      <c r="D119">
        <v>82.453637999999998</v>
      </c>
      <c r="E119">
        <v>73.547605000000004</v>
      </c>
      <c r="F119">
        <v>56.776823999999998</v>
      </c>
      <c r="G119">
        <v>49.998707000000003</v>
      </c>
      <c r="H119">
        <v>50.221479000000002</v>
      </c>
      <c r="I119"/>
      <c r="N119"/>
      <c r="O119"/>
      <c r="P119" s="1">
        <f t="shared" si="27"/>
        <v>83.327475609756092</v>
      </c>
      <c r="Q119" s="1">
        <f t="shared" si="28"/>
        <v>83.929977642276427</v>
      </c>
      <c r="R119" s="1">
        <f t="shared" si="29"/>
        <v>84.899577852554287</v>
      </c>
      <c r="S119" s="1">
        <f t="shared" si="30"/>
        <v>76.126923076923063</v>
      </c>
    </row>
    <row r="120" spans="1:19" x14ac:dyDescent="0.3">
      <c r="A120">
        <v>2361</v>
      </c>
      <c r="B120">
        <v>81.214501999999996</v>
      </c>
      <c r="C120">
        <v>81.816877000000005</v>
      </c>
      <c r="D120">
        <v>82.453637999999998</v>
      </c>
      <c r="E120">
        <v>73.547605000000004</v>
      </c>
      <c r="F120">
        <v>56.776823999999998</v>
      </c>
      <c r="G120">
        <v>49.977136999999999</v>
      </c>
      <c r="H120">
        <v>50.222557999999999</v>
      </c>
      <c r="I120" t="s">
        <v>56</v>
      </c>
      <c r="N120"/>
      <c r="O120"/>
      <c r="P120" s="1">
        <f t="shared" si="27"/>
        <v>83.327475609756092</v>
      </c>
      <c r="Q120" s="1">
        <f t="shared" si="28"/>
        <v>83.929977642276427</v>
      </c>
      <c r="R120" s="1">
        <f t="shared" si="29"/>
        <v>84.899577852554287</v>
      </c>
      <c r="S120" s="1">
        <f t="shared" si="30"/>
        <v>76.126923076923063</v>
      </c>
    </row>
    <row r="121" spans="1:19" x14ac:dyDescent="0.3">
      <c r="A121">
        <v>2361.1999999999998</v>
      </c>
      <c r="B121">
        <v>81.213825999999997</v>
      </c>
      <c r="C121">
        <v>81.807607000000004</v>
      </c>
      <c r="D121">
        <v>82.458584999999999</v>
      </c>
      <c r="E121">
        <v>73.560148999999996</v>
      </c>
      <c r="F121">
        <v>56.595447999999998</v>
      </c>
      <c r="G121">
        <v>49.977136999999999</v>
      </c>
      <c r="H121">
        <v>50.222557999999999</v>
      </c>
      <c r="I121"/>
      <c r="N121"/>
      <c r="O121"/>
      <c r="P121" s="1">
        <f t="shared" si="27"/>
        <v>83.33313109756098</v>
      </c>
      <c r="Q121" s="1">
        <f t="shared" si="28"/>
        <v>83.935186991869926</v>
      </c>
      <c r="R121" s="1">
        <f t="shared" si="29"/>
        <v>84.923578056490257</v>
      </c>
      <c r="S121" s="1">
        <f t="shared" si="30"/>
        <v>76.144948854337144</v>
      </c>
    </row>
    <row r="122" spans="1:19" x14ac:dyDescent="0.3">
      <c r="A122">
        <v>2361.4</v>
      </c>
      <c r="B122">
        <v>81.213825999999997</v>
      </c>
      <c r="C122">
        <v>81.807607000000004</v>
      </c>
      <c r="D122">
        <v>82.458584999999999</v>
      </c>
      <c r="E122">
        <v>73.560148999999996</v>
      </c>
      <c r="F122">
        <v>56.595447999999998</v>
      </c>
      <c r="G122">
        <v>50.025503</v>
      </c>
      <c r="H122">
        <v>50.236255</v>
      </c>
      <c r="I122"/>
      <c r="N122"/>
      <c r="O122"/>
      <c r="P122" s="1">
        <f t="shared" si="27"/>
        <v>83.33313109756098</v>
      </c>
      <c r="Q122" s="1">
        <f t="shared" si="28"/>
        <v>83.935186991869926</v>
      </c>
      <c r="R122" s="1">
        <f t="shared" si="29"/>
        <v>84.923578056490257</v>
      </c>
      <c r="S122" s="1">
        <f t="shared" si="30"/>
        <v>76.144948854337144</v>
      </c>
    </row>
    <row r="123" spans="1:19" x14ac:dyDescent="0.3">
      <c r="A123">
        <v>2361.6</v>
      </c>
      <c r="B123">
        <v>81.213650000000001</v>
      </c>
      <c r="C123">
        <v>81.819188999999994</v>
      </c>
      <c r="D123">
        <v>82.469427999999994</v>
      </c>
      <c r="E123">
        <v>73.566022000000004</v>
      </c>
      <c r="F123">
        <v>56.359045999999999</v>
      </c>
      <c r="G123">
        <v>50.025503</v>
      </c>
      <c r="H123">
        <v>50.236255</v>
      </c>
      <c r="I123"/>
      <c r="N123"/>
      <c r="O123"/>
      <c r="P123" s="1">
        <f t="shared" si="27"/>
        <v>83.321744918699181</v>
      </c>
      <c r="Q123" s="1">
        <f t="shared" si="28"/>
        <v>83.935492886178878</v>
      </c>
      <c r="R123" s="1">
        <f t="shared" si="29"/>
        <v>84.899806260834097</v>
      </c>
      <c r="S123" s="1">
        <f t="shared" si="30"/>
        <v>76.126693944353519</v>
      </c>
    </row>
    <row r="124" spans="1:19" x14ac:dyDescent="0.3">
      <c r="A124">
        <v>2361.8000000000002</v>
      </c>
      <c r="B124">
        <v>81.213650000000001</v>
      </c>
      <c r="C124">
        <v>81.819188999999994</v>
      </c>
      <c r="D124">
        <v>82.469427999999994</v>
      </c>
      <c r="E124">
        <v>73.566022000000004</v>
      </c>
      <c r="F124">
        <v>56.359045999999999</v>
      </c>
      <c r="G124">
        <v>50.020893999999998</v>
      </c>
      <c r="H124">
        <v>50.213391999999999</v>
      </c>
      <c r="I124"/>
      <c r="N124"/>
      <c r="O124"/>
      <c r="P124" s="1">
        <f t="shared" si="27"/>
        <v>83.321744918699181</v>
      </c>
      <c r="Q124" s="1">
        <f t="shared" si="28"/>
        <v>83.935492886178878</v>
      </c>
      <c r="R124" s="1">
        <f t="shared" si="29"/>
        <v>84.899806260834097</v>
      </c>
      <c r="S124" s="1">
        <f t="shared" si="30"/>
        <v>76.126693944353519</v>
      </c>
    </row>
    <row r="125" spans="1:19" x14ac:dyDescent="0.3">
      <c r="A125">
        <v>4068</v>
      </c>
      <c r="B125">
        <v>89.523373000000007</v>
      </c>
      <c r="C125">
        <v>90.363354000000001</v>
      </c>
      <c r="D125">
        <v>91.281818999999999</v>
      </c>
      <c r="E125">
        <v>79.514904999999999</v>
      </c>
      <c r="F125">
        <v>58.173687999999999</v>
      </c>
      <c r="G125">
        <v>50.002178999999998</v>
      </c>
      <c r="H125">
        <v>50.398015000000001</v>
      </c>
      <c r="I125" t="s">
        <v>56</v>
      </c>
      <c r="N125"/>
      <c r="O125"/>
      <c r="P125" s="1">
        <f t="shared" si="27"/>
        <v>83.299636178861789</v>
      </c>
      <c r="Q125" s="1">
        <f t="shared" si="28"/>
        <v>83.927347560975619</v>
      </c>
      <c r="R125" s="1">
        <f t="shared" si="29"/>
        <v>84.908417456918528</v>
      </c>
      <c r="S125" s="1">
        <f t="shared" si="30"/>
        <v>76.143089198036009</v>
      </c>
    </row>
    <row r="126" spans="1:19" x14ac:dyDescent="0.3">
      <c r="A126">
        <v>4068.2</v>
      </c>
      <c r="B126">
        <v>89.523373000000007</v>
      </c>
      <c r="C126">
        <v>90.363354000000001</v>
      </c>
      <c r="D126">
        <v>91.281818999999999</v>
      </c>
      <c r="E126">
        <v>79.514904999999999</v>
      </c>
      <c r="F126">
        <v>58.173687999999999</v>
      </c>
      <c r="G126">
        <v>50.028652999999998</v>
      </c>
      <c r="H126">
        <v>50.400683999999998</v>
      </c>
      <c r="I126"/>
      <c r="N126"/>
      <c r="O126"/>
      <c r="P126" s="1">
        <f t="shared" si="27"/>
        <v>83.299636178861789</v>
      </c>
      <c r="Q126" s="1">
        <f t="shared" si="28"/>
        <v>83.927347560975619</v>
      </c>
      <c r="R126" s="1">
        <f t="shared" si="29"/>
        <v>84.908417456918528</v>
      </c>
      <c r="S126" s="1">
        <f t="shared" si="30"/>
        <v>76.143089198036009</v>
      </c>
    </row>
    <row r="127" spans="1:19" x14ac:dyDescent="0.3">
      <c r="A127">
        <v>4068.4</v>
      </c>
      <c r="B127">
        <v>89.514218999999997</v>
      </c>
      <c r="C127">
        <v>90.362334000000004</v>
      </c>
      <c r="D127">
        <v>91.303798999999998</v>
      </c>
      <c r="E127">
        <v>79.518602000000001</v>
      </c>
      <c r="F127">
        <v>58.019672999999997</v>
      </c>
      <c r="G127">
        <v>50.028652999999998</v>
      </c>
      <c r="H127">
        <v>50.400683999999998</v>
      </c>
      <c r="I127"/>
      <c r="N127"/>
      <c r="O127"/>
      <c r="P127" s="1">
        <f t="shared" si="27"/>
        <v>83.315491869918702</v>
      </c>
      <c r="Q127" s="1">
        <f t="shared" si="28"/>
        <v>83.946918699186995</v>
      </c>
      <c r="R127" s="1">
        <f t="shared" si="29"/>
        <v>84.888049352503302</v>
      </c>
      <c r="S127" s="1">
        <f t="shared" si="30"/>
        <v>76.143814443535192</v>
      </c>
    </row>
    <row r="128" spans="1:19" x14ac:dyDescent="0.3">
      <c r="A128">
        <v>4068.6</v>
      </c>
      <c r="B128">
        <v>89.514218999999997</v>
      </c>
      <c r="C128">
        <v>90.362334000000004</v>
      </c>
      <c r="D128">
        <v>91.303798999999998</v>
      </c>
      <c r="E128">
        <v>79.518602000000001</v>
      </c>
      <c r="F128">
        <v>58.019672999999997</v>
      </c>
      <c r="G128">
        <v>50.020873999999999</v>
      </c>
      <c r="H128">
        <v>50.402149000000001</v>
      </c>
      <c r="I128"/>
      <c r="N128"/>
      <c r="O128"/>
      <c r="P128" s="1">
        <f t="shared" si="27"/>
        <v>83.315491869918702</v>
      </c>
      <c r="Q128" s="1">
        <f t="shared" si="28"/>
        <v>83.946918699186995</v>
      </c>
      <c r="R128" s="1">
        <f t="shared" si="29"/>
        <v>84.888049352503302</v>
      </c>
      <c r="S128" s="1">
        <f t="shared" si="30"/>
        <v>76.143814443535192</v>
      </c>
    </row>
    <row r="129" spans="1:19" x14ac:dyDescent="0.3">
      <c r="A129">
        <v>4068.8</v>
      </c>
      <c r="B129">
        <v>89.522870999999995</v>
      </c>
      <c r="C129">
        <v>90.355825999999993</v>
      </c>
      <c r="D129">
        <v>91.284024000000002</v>
      </c>
      <c r="E129">
        <v>79.504548999999997</v>
      </c>
      <c r="F129">
        <v>58.084974000000003</v>
      </c>
      <c r="G129">
        <v>50.020873999999999</v>
      </c>
      <c r="H129">
        <v>50.402149000000001</v>
      </c>
      <c r="I129"/>
      <c r="N129"/>
      <c r="O129"/>
      <c r="P129" s="1">
        <f t="shared" si="27"/>
        <v>83.322076219512198</v>
      </c>
      <c r="Q129" s="1">
        <f t="shared" si="28"/>
        <v>83.9303099593496</v>
      </c>
      <c r="R129" s="1">
        <f t="shared" si="29"/>
        <v>84.915729580911588</v>
      </c>
      <c r="S129" s="1">
        <f t="shared" si="30"/>
        <v>76.176973199672659</v>
      </c>
    </row>
    <row r="130" spans="1:19" x14ac:dyDescent="0.3">
      <c r="A130">
        <v>4069</v>
      </c>
      <c r="B130">
        <v>89.522870999999995</v>
      </c>
      <c r="C130">
        <v>90.355825999999993</v>
      </c>
      <c r="D130">
        <v>91.284024000000002</v>
      </c>
      <c r="E130">
        <v>79.504548999999997</v>
      </c>
      <c r="F130">
        <v>58.084974000000003</v>
      </c>
      <c r="G130">
        <v>50.016801999999998</v>
      </c>
      <c r="H130">
        <v>50.40316</v>
      </c>
      <c r="I130" t="s">
        <v>56</v>
      </c>
      <c r="N130"/>
      <c r="O130"/>
      <c r="P130" s="1">
        <f t="shared" si="27"/>
        <v>83.322076219512198</v>
      </c>
      <c r="Q130" s="1">
        <f t="shared" si="28"/>
        <v>83.9303099593496</v>
      </c>
      <c r="R130" s="1">
        <f t="shared" si="29"/>
        <v>84.915729580911588</v>
      </c>
      <c r="S130" s="1">
        <f t="shared" si="30"/>
        <v>76.176973199672659</v>
      </c>
    </row>
    <row r="131" spans="1:19" x14ac:dyDescent="0.3">
      <c r="A131">
        <v>4069.2</v>
      </c>
      <c r="B131">
        <v>89.522030000000001</v>
      </c>
      <c r="C131">
        <v>90.366992999999994</v>
      </c>
      <c r="D131">
        <v>91.290623999999994</v>
      </c>
      <c r="E131">
        <v>79.522536000000002</v>
      </c>
      <c r="F131">
        <v>58.394485000000003</v>
      </c>
      <c r="G131">
        <v>50.016801999999998</v>
      </c>
      <c r="H131">
        <v>50.40316</v>
      </c>
      <c r="I131"/>
      <c r="N131"/>
      <c r="O131"/>
      <c r="P131" s="1">
        <f t="shared" si="27"/>
        <v>83.321516260162596</v>
      </c>
      <c r="Q131" s="1">
        <f t="shared" si="28"/>
        <v>83.937790650406498</v>
      </c>
      <c r="R131" s="1">
        <f t="shared" si="29"/>
        <v>84.895909044560014</v>
      </c>
      <c r="S131" s="1">
        <f t="shared" si="30"/>
        <v>76.161291939443544</v>
      </c>
    </row>
    <row r="132" spans="1:19" x14ac:dyDescent="0.3">
      <c r="A132">
        <v>4069.4</v>
      </c>
      <c r="B132">
        <v>89.522030000000001</v>
      </c>
      <c r="C132">
        <v>90.366992999999994</v>
      </c>
      <c r="D132">
        <v>91.290623999999994</v>
      </c>
      <c r="E132">
        <v>79.522536000000002</v>
      </c>
      <c r="F132">
        <v>58.394485000000003</v>
      </c>
      <c r="G132">
        <v>50.020128</v>
      </c>
      <c r="H132">
        <v>50.396089000000003</v>
      </c>
      <c r="I132"/>
      <c r="N132"/>
      <c r="O132"/>
      <c r="P132" s="1">
        <f t="shared" si="27"/>
        <v>83.321516260162596</v>
      </c>
      <c r="Q132" s="1">
        <f t="shared" si="28"/>
        <v>83.937790650406498</v>
      </c>
      <c r="R132" s="1">
        <f t="shared" si="29"/>
        <v>84.895909044560014</v>
      </c>
      <c r="S132" s="1">
        <f t="shared" si="30"/>
        <v>76.161291939443544</v>
      </c>
    </row>
    <row r="133" spans="1:19" x14ac:dyDescent="0.3">
      <c r="A133">
        <v>4069.6</v>
      </c>
      <c r="B133">
        <v>89.495357999999996</v>
      </c>
      <c r="C133">
        <v>90.373110999999994</v>
      </c>
      <c r="D133">
        <v>91.296260000000004</v>
      </c>
      <c r="E133">
        <v>79.543149</v>
      </c>
      <c r="F133">
        <v>58.285758999999999</v>
      </c>
      <c r="G133">
        <v>50.020128</v>
      </c>
      <c r="H133">
        <v>50.396089000000003</v>
      </c>
      <c r="I133"/>
      <c r="N133"/>
      <c r="O133"/>
      <c r="P133" s="1">
        <f t="shared" si="27"/>
        <v>83.330837398373987</v>
      </c>
      <c r="Q133" s="1">
        <f t="shared" si="28"/>
        <v>83.938403455284558</v>
      </c>
      <c r="R133" s="1">
        <f t="shared" si="29"/>
        <v>84.905691852758224</v>
      </c>
      <c r="S133" s="1">
        <f t="shared" si="30"/>
        <v>76.187792553191485</v>
      </c>
    </row>
    <row r="134" spans="1:19" x14ac:dyDescent="0.3">
      <c r="A134">
        <v>4069.8</v>
      </c>
      <c r="B134">
        <v>89.495357999999996</v>
      </c>
      <c r="C134">
        <v>90.373110999999994</v>
      </c>
      <c r="D134">
        <v>91.296260000000004</v>
      </c>
      <c r="E134">
        <v>79.543149</v>
      </c>
      <c r="F134">
        <v>58.285758999999999</v>
      </c>
      <c r="G134">
        <v>50.028523999999997</v>
      </c>
      <c r="H134">
        <v>50.387385000000002</v>
      </c>
      <c r="I134"/>
      <c r="N134"/>
      <c r="O134"/>
      <c r="P134" s="1">
        <f t="shared" si="27"/>
        <v>83.330837398373987</v>
      </c>
      <c r="Q134" s="1">
        <f t="shared" si="28"/>
        <v>83.938403455284558</v>
      </c>
      <c r="R134" s="1">
        <f t="shared" si="29"/>
        <v>84.905691852758224</v>
      </c>
      <c r="S134" s="1">
        <f t="shared" si="30"/>
        <v>76.187792553191485</v>
      </c>
    </row>
    <row r="135" spans="1:19" x14ac:dyDescent="0.3">
      <c r="A135">
        <v>4070</v>
      </c>
      <c r="B135">
        <v>89.51491</v>
      </c>
      <c r="C135">
        <v>90.370052000000001</v>
      </c>
      <c r="D135">
        <v>91.280366999999998</v>
      </c>
      <c r="E135">
        <v>79.550878999999995</v>
      </c>
      <c r="F135">
        <v>58.211641999999998</v>
      </c>
      <c r="G135">
        <v>50.028523999999997</v>
      </c>
      <c r="H135">
        <v>50.387385000000002</v>
      </c>
      <c r="I135" t="s">
        <v>56</v>
      </c>
      <c r="N135"/>
      <c r="O135"/>
      <c r="P135" s="1">
        <f t="shared" si="27"/>
        <v>83.319935975609766</v>
      </c>
      <c r="Q135" s="1">
        <f t="shared" si="28"/>
        <v>83.923108739837403</v>
      </c>
      <c r="R135" s="1">
        <f t="shared" si="29"/>
        <v>84.901207300907515</v>
      </c>
      <c r="S135" s="1">
        <f t="shared" si="30"/>
        <v>76.17437602291325</v>
      </c>
    </row>
    <row r="136" spans="1:19" x14ac:dyDescent="0.3">
      <c r="A136">
        <v>4070.2</v>
      </c>
      <c r="B136">
        <v>89.51491</v>
      </c>
      <c r="C136">
        <v>90.370052000000001</v>
      </c>
      <c r="D136">
        <v>91.280366999999998</v>
      </c>
      <c r="E136">
        <v>79.550878999999995</v>
      </c>
      <c r="F136">
        <v>58.211641999999998</v>
      </c>
      <c r="G136">
        <v>50.020591000000003</v>
      </c>
      <c r="H136">
        <v>50.398631000000002</v>
      </c>
      <c r="I136"/>
      <c r="N136"/>
      <c r="O136"/>
      <c r="P136" s="1">
        <f t="shared" si="27"/>
        <v>83.319935975609766</v>
      </c>
      <c r="Q136" s="1">
        <f t="shared" si="28"/>
        <v>83.923108739837403</v>
      </c>
      <c r="R136" s="1">
        <f t="shared" si="29"/>
        <v>84.901207300907515</v>
      </c>
      <c r="S136" s="1">
        <f t="shared" si="30"/>
        <v>76.17437602291325</v>
      </c>
    </row>
    <row r="137" spans="1:19" x14ac:dyDescent="0.3">
      <c r="A137">
        <v>4070.4</v>
      </c>
      <c r="B137">
        <v>89.536709000000002</v>
      </c>
      <c r="C137">
        <v>90.353610000000003</v>
      </c>
      <c r="D137">
        <v>91.273027999999996</v>
      </c>
      <c r="E137">
        <v>79.570471999999995</v>
      </c>
      <c r="F137">
        <v>58.266652000000001</v>
      </c>
      <c r="G137">
        <v>50.020591000000003</v>
      </c>
      <c r="H137">
        <v>50.398631000000002</v>
      </c>
      <c r="I137"/>
      <c r="N137"/>
      <c r="O137"/>
      <c r="P137" s="1">
        <f t="shared" si="27"/>
        <v>83.334351626016257</v>
      </c>
      <c r="Q137" s="1">
        <f t="shared" si="28"/>
        <v>83.946521341463423</v>
      </c>
      <c r="R137" s="1">
        <f t="shared" si="29"/>
        <v>84.902557356989902</v>
      </c>
      <c r="S137" s="1">
        <f t="shared" si="30"/>
        <v>76.177787438625202</v>
      </c>
    </row>
    <row r="138" spans="1:19" x14ac:dyDescent="0.3">
      <c r="A138">
        <v>4070.6</v>
      </c>
      <c r="B138">
        <v>89.536709000000002</v>
      </c>
      <c r="C138">
        <v>90.353610000000003</v>
      </c>
      <c r="D138">
        <v>91.273027999999996</v>
      </c>
      <c r="E138">
        <v>79.570471999999995</v>
      </c>
      <c r="F138">
        <v>58.266652000000001</v>
      </c>
      <c r="G138">
        <v>50.00788</v>
      </c>
      <c r="H138">
        <v>50.392392000000001</v>
      </c>
      <c r="I138"/>
      <c r="N138"/>
      <c r="O138"/>
      <c r="P138" s="1">
        <f t="shared" si="27"/>
        <v>83.334351626016257</v>
      </c>
      <c r="Q138" s="1">
        <f t="shared" si="28"/>
        <v>83.946521341463423</v>
      </c>
      <c r="R138" s="1">
        <f t="shared" si="29"/>
        <v>84.902557356989902</v>
      </c>
      <c r="S138" s="1">
        <f t="shared" si="30"/>
        <v>76.177787438625202</v>
      </c>
    </row>
    <row r="139" spans="1:19" x14ac:dyDescent="0.3">
      <c r="A139">
        <v>4070.8</v>
      </c>
      <c r="B139">
        <v>89.519958000000003</v>
      </c>
      <c r="C139">
        <v>90.366275999999999</v>
      </c>
      <c r="D139">
        <v>91.293066999999994</v>
      </c>
      <c r="E139">
        <v>79.595765999999998</v>
      </c>
      <c r="F139">
        <v>58.245809999999999</v>
      </c>
      <c r="G139">
        <v>50.00788</v>
      </c>
      <c r="H139">
        <v>50.392392000000001</v>
      </c>
      <c r="I139"/>
      <c r="N139"/>
      <c r="O139"/>
      <c r="P139" s="1">
        <f t="shared" si="27"/>
        <v>83.333664634146345</v>
      </c>
      <c r="Q139" s="1">
        <f t="shared" si="28"/>
        <v>83.937100609756101</v>
      </c>
      <c r="R139" s="1">
        <f t="shared" si="29"/>
        <v>84.907601713062093</v>
      </c>
      <c r="S139" s="1">
        <f t="shared" si="30"/>
        <v>76.190618862520452</v>
      </c>
    </row>
    <row r="140" spans="1:19" x14ac:dyDescent="0.3">
      <c r="A140">
        <v>4071</v>
      </c>
      <c r="B140">
        <v>89.519958000000003</v>
      </c>
      <c r="C140">
        <v>90.366275999999999</v>
      </c>
      <c r="D140">
        <v>91.293066999999994</v>
      </c>
      <c r="E140">
        <v>79.595765999999998</v>
      </c>
      <c r="F140">
        <v>58.245809999999999</v>
      </c>
      <c r="G140">
        <v>50.017547999999998</v>
      </c>
      <c r="H140">
        <v>50.384960999999997</v>
      </c>
      <c r="I140" t="s">
        <v>56</v>
      </c>
      <c r="N140"/>
      <c r="O140"/>
      <c r="P140" s="1">
        <f t="shared" si="27"/>
        <v>83.333664634146345</v>
      </c>
      <c r="Q140" s="1">
        <f t="shared" si="28"/>
        <v>83.937100609756101</v>
      </c>
      <c r="R140" s="1">
        <f t="shared" si="29"/>
        <v>84.907601713062093</v>
      </c>
      <c r="S140" s="1">
        <f t="shared" si="30"/>
        <v>76.190618862520452</v>
      </c>
    </row>
    <row r="141" spans="1:19" x14ac:dyDescent="0.3">
      <c r="A141">
        <v>4071.2</v>
      </c>
      <c r="B141">
        <v>89.51</v>
      </c>
      <c r="C141">
        <v>90.352665000000002</v>
      </c>
      <c r="D141">
        <v>91.279978</v>
      </c>
      <c r="E141">
        <v>79.580517</v>
      </c>
      <c r="F141">
        <v>58.060422000000003</v>
      </c>
      <c r="G141">
        <v>50.017547999999998</v>
      </c>
      <c r="H141">
        <v>50.384960999999997</v>
      </c>
      <c r="I141"/>
      <c r="N141"/>
      <c r="O141"/>
      <c r="P141" s="1">
        <f t="shared" si="27"/>
        <v>83.333485772357733</v>
      </c>
      <c r="Q141" s="1">
        <f t="shared" si="28"/>
        <v>83.948870934959345</v>
      </c>
      <c r="R141" s="1">
        <f t="shared" si="29"/>
        <v>84.918658101356158</v>
      </c>
      <c r="S141" s="1">
        <f t="shared" si="30"/>
        <v>76.19662643207856</v>
      </c>
    </row>
    <row r="142" spans="1:19" x14ac:dyDescent="0.3">
      <c r="A142">
        <v>4071.4</v>
      </c>
      <c r="B142">
        <v>89.51</v>
      </c>
      <c r="C142">
        <v>90.352665000000002</v>
      </c>
      <c r="D142">
        <v>91.279978</v>
      </c>
      <c r="E142">
        <v>79.580517</v>
      </c>
      <c r="F142">
        <v>58.060422000000003</v>
      </c>
      <c r="G142">
        <v>50.012757999999998</v>
      </c>
      <c r="H142">
        <v>50.407896999999998</v>
      </c>
      <c r="I142"/>
      <c r="N142"/>
      <c r="O142"/>
      <c r="P142" s="1">
        <f t="shared" si="27"/>
        <v>83.333485772357733</v>
      </c>
      <c r="Q142" s="1">
        <f t="shared" si="28"/>
        <v>83.948870934959345</v>
      </c>
      <c r="R142" s="1">
        <f t="shared" si="29"/>
        <v>84.918658101356158</v>
      </c>
      <c r="S142" s="1">
        <f t="shared" si="30"/>
        <v>76.19662643207856</v>
      </c>
    </row>
    <row r="143" spans="1:19" x14ac:dyDescent="0.3">
      <c r="A143">
        <v>4071.6</v>
      </c>
      <c r="B143">
        <v>89.522757999999996</v>
      </c>
      <c r="C143">
        <v>90.361830999999995</v>
      </c>
      <c r="D143">
        <v>91.281205999999997</v>
      </c>
      <c r="E143">
        <v>79.598318000000006</v>
      </c>
      <c r="F143">
        <v>57.908512999999999</v>
      </c>
      <c r="G143">
        <v>50.012757999999998</v>
      </c>
      <c r="H143">
        <v>50.407896999999998</v>
      </c>
      <c r="I143"/>
      <c r="N143"/>
      <c r="O143"/>
      <c r="P143" s="1">
        <f t="shared" si="27"/>
        <v>91.778326219512209</v>
      </c>
      <c r="Q143" s="1">
        <f t="shared" si="28"/>
        <v>92.631965447154471</v>
      </c>
      <c r="R143" s="1">
        <f t="shared" si="29"/>
        <v>93.904475374732328</v>
      </c>
      <c r="S143" s="1">
        <f t="shared" si="30"/>
        <v>82.281817716857603</v>
      </c>
    </row>
    <row r="144" spans="1:19" x14ac:dyDescent="0.3">
      <c r="A144">
        <v>4071.8</v>
      </c>
      <c r="B144">
        <v>89.522757999999996</v>
      </c>
      <c r="C144">
        <v>90.361830999999995</v>
      </c>
      <c r="D144">
        <v>91.281205999999997</v>
      </c>
      <c r="E144">
        <v>79.598318000000006</v>
      </c>
      <c r="F144">
        <v>57.908512999999999</v>
      </c>
      <c r="G144">
        <v>50.013427</v>
      </c>
      <c r="H144">
        <v>50.395397000000003</v>
      </c>
      <c r="I144"/>
      <c r="N144"/>
      <c r="O144"/>
      <c r="P144" s="1">
        <f t="shared" si="27"/>
        <v>91.778326219512209</v>
      </c>
      <c r="Q144" s="1">
        <f t="shared" si="28"/>
        <v>92.631965447154471</v>
      </c>
      <c r="R144" s="1">
        <f t="shared" si="29"/>
        <v>93.904475374732328</v>
      </c>
      <c r="S144" s="1">
        <f t="shared" si="30"/>
        <v>82.281817716857603</v>
      </c>
    </row>
    <row r="145" spans="1:19" x14ac:dyDescent="0.3">
      <c r="A145">
        <v>4072</v>
      </c>
      <c r="B145">
        <v>89.518174999999999</v>
      </c>
      <c r="C145">
        <v>90.364034000000004</v>
      </c>
      <c r="D145">
        <v>91.299853999999996</v>
      </c>
      <c r="E145">
        <v>79.610803000000004</v>
      </c>
      <c r="F145">
        <v>57.832541999999997</v>
      </c>
      <c r="G145">
        <v>50.013427</v>
      </c>
      <c r="H145">
        <v>50.395397000000003</v>
      </c>
      <c r="I145" t="s">
        <v>56</v>
      </c>
      <c r="N145"/>
      <c r="O145"/>
      <c r="P145" s="1">
        <f t="shared" si="27"/>
        <v>91.769023373983742</v>
      </c>
      <c r="Q145" s="1">
        <f t="shared" si="28"/>
        <v>92.630928861788632</v>
      </c>
      <c r="R145" s="1">
        <f t="shared" si="29"/>
        <v>93.926887937187715</v>
      </c>
      <c r="S145" s="1">
        <f t="shared" si="30"/>
        <v>82.285599427168577</v>
      </c>
    </row>
    <row r="146" spans="1:19" x14ac:dyDescent="0.3">
      <c r="A146">
        <v>4072.2</v>
      </c>
      <c r="B146">
        <v>89.518174999999999</v>
      </c>
      <c r="C146">
        <v>90.364034000000004</v>
      </c>
      <c r="D146">
        <v>91.299853999999996</v>
      </c>
      <c r="E146">
        <v>79.610803000000004</v>
      </c>
      <c r="F146">
        <v>57.832541999999997</v>
      </c>
      <c r="G146">
        <v>50.015557999999999</v>
      </c>
      <c r="H146">
        <v>50.401916999999997</v>
      </c>
      <c r="I146"/>
      <c r="N146"/>
      <c r="O146"/>
      <c r="P146" s="1">
        <f t="shared" si="27"/>
        <v>91.769023373983742</v>
      </c>
      <c r="Q146" s="1">
        <f t="shared" si="28"/>
        <v>92.630928861788632</v>
      </c>
      <c r="R146" s="1">
        <f t="shared" si="29"/>
        <v>93.926887937187715</v>
      </c>
      <c r="S146" s="1">
        <f t="shared" si="30"/>
        <v>82.285599427168577</v>
      </c>
    </row>
    <row r="147" spans="1:19" x14ac:dyDescent="0.3">
      <c r="A147">
        <v>4072.4</v>
      </c>
      <c r="B147">
        <v>89.525268999999994</v>
      </c>
      <c r="C147">
        <v>90.363442000000006</v>
      </c>
      <c r="D147">
        <v>91.293629999999993</v>
      </c>
      <c r="E147">
        <v>79.639122</v>
      </c>
      <c r="F147">
        <v>57.847644000000003</v>
      </c>
      <c r="G147">
        <v>50.015557999999999</v>
      </c>
      <c r="H147">
        <v>50.401916999999997</v>
      </c>
      <c r="I147"/>
      <c r="N147"/>
      <c r="O147"/>
      <c r="P147" s="1">
        <f t="shared" si="27"/>
        <v>91.777816056910567</v>
      </c>
      <c r="Q147" s="1">
        <f t="shared" si="28"/>
        <v>92.624315040650401</v>
      </c>
      <c r="R147" s="1">
        <f t="shared" si="29"/>
        <v>93.906723768736612</v>
      </c>
      <c r="S147" s="1">
        <f t="shared" si="30"/>
        <v>82.271224427168576</v>
      </c>
    </row>
    <row r="148" spans="1:19" x14ac:dyDescent="0.3">
      <c r="A148">
        <v>4072.6</v>
      </c>
      <c r="B148">
        <v>89.525268999999994</v>
      </c>
      <c r="C148">
        <v>90.363442000000006</v>
      </c>
      <c r="D148">
        <v>91.293629999999993</v>
      </c>
      <c r="E148">
        <v>79.639122</v>
      </c>
      <c r="F148">
        <v>57.847644000000003</v>
      </c>
      <c r="G148">
        <v>50.019421999999999</v>
      </c>
      <c r="H148">
        <v>50.404162999999997</v>
      </c>
      <c r="I148"/>
      <c r="N148"/>
      <c r="O148"/>
      <c r="P148" s="1">
        <f t="shared" si="27"/>
        <v>91.777816056910567</v>
      </c>
      <c r="Q148" s="1">
        <f t="shared" si="28"/>
        <v>92.624315040650401</v>
      </c>
      <c r="R148" s="1">
        <f t="shared" si="29"/>
        <v>93.906723768736612</v>
      </c>
      <c r="S148" s="1">
        <f t="shared" si="30"/>
        <v>82.271224427168576</v>
      </c>
    </row>
    <row r="149" spans="1:19" x14ac:dyDescent="0.3">
      <c r="A149">
        <v>4072.8</v>
      </c>
      <c r="B149">
        <v>89.551564999999997</v>
      </c>
      <c r="C149">
        <v>90.397510999999994</v>
      </c>
      <c r="D149">
        <v>91.299791999999997</v>
      </c>
      <c r="E149">
        <v>79.637180000000001</v>
      </c>
      <c r="F149">
        <v>57.789423999999997</v>
      </c>
      <c r="G149">
        <v>50.019421999999999</v>
      </c>
      <c r="H149">
        <v>50.404162999999997</v>
      </c>
      <c r="I149"/>
      <c r="N149"/>
      <c r="O149"/>
      <c r="P149" s="1">
        <f t="shared" si="27"/>
        <v>91.776961382113825</v>
      </c>
      <c r="Q149" s="1">
        <f t="shared" si="28"/>
        <v>92.635663617886181</v>
      </c>
      <c r="R149" s="1">
        <f t="shared" si="29"/>
        <v>93.913453655552146</v>
      </c>
      <c r="S149" s="1">
        <f t="shared" si="30"/>
        <v>82.289623567921439</v>
      </c>
    </row>
    <row r="150" spans="1:19" x14ac:dyDescent="0.3">
      <c r="A150">
        <v>4073</v>
      </c>
      <c r="B150">
        <v>89.551564999999997</v>
      </c>
      <c r="C150">
        <v>90.397510999999994</v>
      </c>
      <c r="D150">
        <v>91.299791999999997</v>
      </c>
      <c r="E150">
        <v>79.637180000000001</v>
      </c>
      <c r="F150">
        <v>57.789423999999997</v>
      </c>
      <c r="G150">
        <v>49.994309000000001</v>
      </c>
      <c r="H150">
        <v>50.377439000000003</v>
      </c>
      <c r="I150" t="s">
        <v>56</v>
      </c>
      <c r="N150"/>
      <c r="O150"/>
      <c r="P150" s="1">
        <f t="shared" si="27"/>
        <v>91.776961382113825</v>
      </c>
      <c r="Q150" s="1">
        <f t="shared" si="28"/>
        <v>92.635663617886181</v>
      </c>
      <c r="R150" s="1">
        <f t="shared" si="29"/>
        <v>93.913453655552146</v>
      </c>
      <c r="S150" s="1">
        <f t="shared" si="30"/>
        <v>82.289623567921439</v>
      </c>
    </row>
    <row r="151" spans="1:19" x14ac:dyDescent="0.3">
      <c r="A151">
        <v>4073.2</v>
      </c>
      <c r="B151">
        <v>89.54</v>
      </c>
      <c r="C151">
        <v>90.392940999999993</v>
      </c>
      <c r="D151">
        <v>91.296148000000002</v>
      </c>
      <c r="E151">
        <v>79.655963999999997</v>
      </c>
      <c r="F151">
        <v>57.744295999999999</v>
      </c>
      <c r="G151">
        <v>49.994309000000001</v>
      </c>
      <c r="H151">
        <v>50.377439000000003</v>
      </c>
      <c r="I151"/>
      <c r="N151"/>
      <c r="O151"/>
      <c r="P151" s="1">
        <f t="shared" si="27"/>
        <v>91.749855691056908</v>
      </c>
      <c r="Q151" s="1">
        <f t="shared" si="28"/>
        <v>92.641881097560969</v>
      </c>
      <c r="R151" s="1">
        <f t="shared" si="29"/>
        <v>93.919200571020696</v>
      </c>
      <c r="S151" s="1">
        <f t="shared" si="30"/>
        <v>82.31070887888707</v>
      </c>
    </row>
    <row r="152" spans="1:19" x14ac:dyDescent="0.3">
      <c r="A152">
        <v>4073.4</v>
      </c>
      <c r="B152">
        <v>89.54</v>
      </c>
      <c r="C152">
        <v>90.392940999999993</v>
      </c>
      <c r="D152">
        <v>91.296148000000002</v>
      </c>
      <c r="E152">
        <v>79.655963999999997</v>
      </c>
      <c r="F152">
        <v>57.744295999999999</v>
      </c>
      <c r="G152">
        <v>50.014479000000001</v>
      </c>
      <c r="H152">
        <v>50.379812999999999</v>
      </c>
      <c r="I152"/>
      <c r="N152"/>
      <c r="O152"/>
      <c r="P152" s="1">
        <f t="shared" si="27"/>
        <v>91.749855691056908</v>
      </c>
      <c r="Q152" s="1">
        <f t="shared" si="28"/>
        <v>92.641881097560969</v>
      </c>
      <c r="R152" s="1">
        <f t="shared" si="29"/>
        <v>93.919200571020696</v>
      </c>
      <c r="S152" s="1">
        <f t="shared" si="30"/>
        <v>82.31070887888707</v>
      </c>
    </row>
    <row r="153" spans="1:19" x14ac:dyDescent="0.3">
      <c r="A153">
        <v>4073.6</v>
      </c>
      <c r="B153">
        <v>89.559640000000002</v>
      </c>
      <c r="C153">
        <v>90.386116999999999</v>
      </c>
      <c r="D153">
        <v>91.290937</v>
      </c>
      <c r="E153">
        <v>79.665797999999995</v>
      </c>
      <c r="F153">
        <v>57.789138000000001</v>
      </c>
      <c r="G153">
        <v>50.014479000000001</v>
      </c>
      <c r="H153">
        <v>50.379812999999999</v>
      </c>
      <c r="I153"/>
      <c r="N153"/>
      <c r="O153"/>
      <c r="P153" s="1">
        <f t="shared" si="27"/>
        <v>91.769725609756108</v>
      </c>
      <c r="Q153" s="1">
        <f t="shared" si="28"/>
        <v>92.638772357723582</v>
      </c>
      <c r="R153" s="1">
        <f t="shared" si="29"/>
        <v>93.902994799632907</v>
      </c>
      <c r="S153" s="1">
        <f t="shared" si="30"/>
        <v>82.318615998363327</v>
      </c>
    </row>
    <row r="154" spans="1:19" x14ac:dyDescent="0.3">
      <c r="A154">
        <v>4073.8</v>
      </c>
      <c r="B154">
        <v>89.559640000000002</v>
      </c>
      <c r="C154">
        <v>90.386116999999999</v>
      </c>
      <c r="D154">
        <v>91.290937</v>
      </c>
      <c r="E154">
        <v>79.665797999999995</v>
      </c>
      <c r="F154">
        <v>57.789138000000001</v>
      </c>
      <c r="G154">
        <v>50.023133999999999</v>
      </c>
      <c r="H154">
        <v>50.387540999999999</v>
      </c>
      <c r="I154"/>
      <c r="N154"/>
      <c r="O154"/>
      <c r="P154" s="1">
        <f t="shared" si="27"/>
        <v>91.769725609756108</v>
      </c>
      <c r="Q154" s="1">
        <f t="shared" si="28"/>
        <v>92.638772357723582</v>
      </c>
      <c r="R154" s="1">
        <f t="shared" si="29"/>
        <v>93.902994799632907</v>
      </c>
      <c r="S154" s="1">
        <f t="shared" si="30"/>
        <v>82.318615998363327</v>
      </c>
    </row>
    <row r="155" spans="1:19" x14ac:dyDescent="0.3">
      <c r="A155">
        <v>4074</v>
      </c>
      <c r="B155">
        <v>89.554779999999994</v>
      </c>
      <c r="C155">
        <v>90.371499999999997</v>
      </c>
      <c r="D155">
        <v>91.296009999999995</v>
      </c>
      <c r="E155">
        <v>79.641935000000004</v>
      </c>
      <c r="F155">
        <v>57.872016000000002</v>
      </c>
      <c r="G155">
        <v>50.023133999999999</v>
      </c>
      <c r="H155">
        <v>50.387540999999999</v>
      </c>
      <c r="I155" t="s">
        <v>56</v>
      </c>
      <c r="N155"/>
      <c r="O155"/>
      <c r="P155" s="1">
        <f t="shared" si="27"/>
        <v>91.791879065040661</v>
      </c>
      <c r="Q155" s="1">
        <f t="shared" si="28"/>
        <v>92.622063008130084</v>
      </c>
      <c r="R155" s="1">
        <f t="shared" si="29"/>
        <v>93.895511369429997</v>
      </c>
      <c r="S155" s="1">
        <f t="shared" si="30"/>
        <v>82.338657937806872</v>
      </c>
    </row>
    <row r="156" spans="1:19" x14ac:dyDescent="0.3">
      <c r="A156">
        <v>4074.2</v>
      </c>
      <c r="B156">
        <v>89.554779999999994</v>
      </c>
      <c r="C156">
        <v>90.371499999999997</v>
      </c>
      <c r="D156">
        <v>91.296009999999995</v>
      </c>
      <c r="E156">
        <v>79.641935000000004</v>
      </c>
      <c r="F156">
        <v>57.872016000000002</v>
      </c>
      <c r="G156">
        <v>50.018382000000003</v>
      </c>
      <c r="H156">
        <v>50.384177000000001</v>
      </c>
      <c r="I156"/>
      <c r="N156"/>
      <c r="O156"/>
      <c r="P156" s="1">
        <f t="shared" si="27"/>
        <v>91.791879065040661</v>
      </c>
      <c r="Q156" s="1">
        <f t="shared" si="28"/>
        <v>92.622063008130084</v>
      </c>
      <c r="R156" s="1">
        <f t="shared" si="29"/>
        <v>93.895511369429997</v>
      </c>
      <c r="S156" s="1">
        <f t="shared" si="30"/>
        <v>82.338657937806872</v>
      </c>
    </row>
    <row r="157" spans="1:19" x14ac:dyDescent="0.3">
      <c r="A157">
        <v>4074.4</v>
      </c>
      <c r="B157">
        <v>89.547497000000007</v>
      </c>
      <c r="C157">
        <v>90.408162000000004</v>
      </c>
      <c r="D157">
        <v>91.304525999999996</v>
      </c>
      <c r="E157">
        <v>79.620599999999996</v>
      </c>
      <c r="F157">
        <v>57.795389999999998</v>
      </c>
      <c r="G157">
        <v>50.018382000000003</v>
      </c>
      <c r="H157">
        <v>50.384177000000001</v>
      </c>
      <c r="I157"/>
      <c r="N157"/>
      <c r="O157"/>
      <c r="P157" s="1">
        <f t="shared" si="27"/>
        <v>91.774855691056914</v>
      </c>
      <c r="Q157" s="1">
        <f t="shared" si="28"/>
        <v>92.634934959349593</v>
      </c>
      <c r="R157" s="1">
        <f t="shared" si="29"/>
        <v>93.915944733353712</v>
      </c>
      <c r="S157" s="1">
        <f t="shared" si="30"/>
        <v>82.364531505728309</v>
      </c>
    </row>
    <row r="158" spans="1:19" x14ac:dyDescent="0.3">
      <c r="A158">
        <v>4074.6</v>
      </c>
      <c r="B158">
        <v>89.547497000000007</v>
      </c>
      <c r="C158">
        <v>90.408162000000004</v>
      </c>
      <c r="D158">
        <v>91.304525999999996</v>
      </c>
      <c r="E158">
        <v>79.620599999999996</v>
      </c>
      <c r="F158">
        <v>57.795389999999998</v>
      </c>
      <c r="G158">
        <v>50.015019000000002</v>
      </c>
      <c r="H158">
        <v>50.380583999999999</v>
      </c>
      <c r="I158"/>
      <c r="N158"/>
      <c r="O158"/>
      <c r="P158" s="1">
        <f t="shared" si="27"/>
        <v>91.774855691056914</v>
      </c>
      <c r="Q158" s="1">
        <f t="shared" si="28"/>
        <v>92.634934959349593</v>
      </c>
      <c r="R158" s="1">
        <f t="shared" si="29"/>
        <v>93.915944733353712</v>
      </c>
      <c r="S158" s="1">
        <f t="shared" si="30"/>
        <v>82.364531505728309</v>
      </c>
    </row>
    <row r="159" spans="1:19" x14ac:dyDescent="0.3">
      <c r="A159">
        <v>4074.8</v>
      </c>
      <c r="B159">
        <v>89.550272000000007</v>
      </c>
      <c r="C159">
        <v>90.395988000000003</v>
      </c>
      <c r="D159">
        <v>91.287229999999994</v>
      </c>
      <c r="E159">
        <v>79.604529999999997</v>
      </c>
      <c r="F159">
        <v>57.655028999999999</v>
      </c>
      <c r="G159">
        <v>50.015019000000002</v>
      </c>
      <c r="H159">
        <v>50.380583999999999</v>
      </c>
      <c r="I159"/>
      <c r="N159"/>
      <c r="O159"/>
      <c r="P159" s="1">
        <f t="shared" si="27"/>
        <v>91.764735772357739</v>
      </c>
      <c r="Q159" s="1">
        <f t="shared" si="28"/>
        <v>92.621102642276426</v>
      </c>
      <c r="R159" s="1">
        <f t="shared" si="29"/>
        <v>93.902598144182718</v>
      </c>
      <c r="S159" s="1">
        <f t="shared" si="30"/>
        <v>82.348933101472994</v>
      </c>
    </row>
    <row r="160" spans="1:19" x14ac:dyDescent="0.3">
      <c r="A160">
        <v>4075</v>
      </c>
      <c r="B160">
        <v>89.550272000000007</v>
      </c>
      <c r="C160">
        <v>90.395988000000003</v>
      </c>
      <c r="D160">
        <v>91.287229999999994</v>
      </c>
      <c r="E160">
        <v>79.604529999999997</v>
      </c>
      <c r="F160">
        <v>57.655028999999999</v>
      </c>
      <c r="G160">
        <v>50.018549999999998</v>
      </c>
      <c r="H160">
        <v>50.399825</v>
      </c>
      <c r="I160" t="s">
        <v>56</v>
      </c>
      <c r="N160"/>
      <c r="O160"/>
      <c r="P160" s="1">
        <f t="shared" si="27"/>
        <v>91.764735772357739</v>
      </c>
      <c r="Q160" s="1">
        <f t="shared" si="28"/>
        <v>92.621102642276426</v>
      </c>
      <c r="R160" s="1">
        <f t="shared" si="29"/>
        <v>93.902598144182718</v>
      </c>
      <c r="S160" s="1">
        <f t="shared" si="30"/>
        <v>82.348933101472994</v>
      </c>
    </row>
    <row r="161" spans="1:19" x14ac:dyDescent="0.3">
      <c r="A161">
        <v>4075.2</v>
      </c>
      <c r="B161">
        <v>89.566584000000006</v>
      </c>
      <c r="C161">
        <v>90.405996999999999</v>
      </c>
      <c r="D161">
        <v>91.305527999999995</v>
      </c>
      <c r="E161">
        <v>79.599412999999998</v>
      </c>
      <c r="F161">
        <v>57.525561000000003</v>
      </c>
      <c r="G161">
        <v>50.018549999999998</v>
      </c>
      <c r="H161">
        <v>50.399825</v>
      </c>
      <c r="I161"/>
      <c r="N161"/>
      <c r="O161"/>
      <c r="P161" s="1">
        <f t="shared" si="27"/>
        <v>91.777701219512196</v>
      </c>
      <c r="Q161" s="1">
        <f t="shared" si="28"/>
        <v>92.630417682926833</v>
      </c>
      <c r="R161" s="1">
        <f t="shared" si="29"/>
        <v>93.903850311002344</v>
      </c>
      <c r="S161" s="1">
        <f t="shared" si="30"/>
        <v>82.367141980360074</v>
      </c>
    </row>
    <row r="162" spans="1:19" x14ac:dyDescent="0.3">
      <c r="A162">
        <v>4075.4</v>
      </c>
      <c r="B162">
        <v>89.566584000000006</v>
      </c>
      <c r="C162">
        <v>90.405996999999999</v>
      </c>
      <c r="D162">
        <v>91.305527999999995</v>
      </c>
      <c r="E162">
        <v>79.599412999999998</v>
      </c>
      <c r="F162">
        <v>57.525561000000003</v>
      </c>
      <c r="G162">
        <v>50.011412</v>
      </c>
      <c r="H162">
        <v>50.389223000000001</v>
      </c>
      <c r="I162"/>
      <c r="N162"/>
      <c r="O162"/>
      <c r="P162" s="1">
        <f t="shared" si="27"/>
        <v>91.777701219512196</v>
      </c>
      <c r="Q162" s="1">
        <f t="shared" si="28"/>
        <v>92.630417682926833</v>
      </c>
      <c r="R162" s="1">
        <f t="shared" si="29"/>
        <v>93.903850311002344</v>
      </c>
      <c r="S162" s="1">
        <f t="shared" si="30"/>
        <v>82.367141980360074</v>
      </c>
    </row>
    <row r="163" spans="1:19" x14ac:dyDescent="0.3">
      <c r="A163">
        <v>4075.6</v>
      </c>
      <c r="B163">
        <v>89.553160000000005</v>
      </c>
      <c r="C163">
        <v>90.419505999999998</v>
      </c>
      <c r="D163">
        <v>91.297099000000003</v>
      </c>
      <c r="E163">
        <v>79.636071999999999</v>
      </c>
      <c r="F163">
        <v>57.414884999999998</v>
      </c>
      <c r="G163">
        <v>50.011412</v>
      </c>
      <c r="H163">
        <v>50.389223000000001</v>
      </c>
      <c r="I163"/>
      <c r="N163"/>
      <c r="O163"/>
      <c r="P163" s="1">
        <f t="shared" si="27"/>
        <v>91.773043699186999</v>
      </c>
      <c r="Q163" s="1">
        <f t="shared" si="28"/>
        <v>92.632656504065054</v>
      </c>
      <c r="R163" s="1">
        <f t="shared" si="29"/>
        <v>93.922865300295697</v>
      </c>
      <c r="S163" s="1">
        <f t="shared" si="30"/>
        <v>82.379913052373155</v>
      </c>
    </row>
    <row r="164" spans="1:19" x14ac:dyDescent="0.3">
      <c r="A164">
        <v>4075.8</v>
      </c>
      <c r="B164">
        <v>89.553160000000005</v>
      </c>
      <c r="C164">
        <v>90.419505999999998</v>
      </c>
      <c r="D164">
        <v>91.297099000000003</v>
      </c>
      <c r="E164">
        <v>79.636071999999999</v>
      </c>
      <c r="F164">
        <v>57.414884999999998</v>
      </c>
      <c r="G164">
        <v>50.012231999999997</v>
      </c>
      <c r="H164">
        <v>50.375487</v>
      </c>
      <c r="I164"/>
      <c r="N164"/>
      <c r="O164"/>
      <c r="P164" s="1">
        <f t="shared" si="27"/>
        <v>91.773043699186999</v>
      </c>
      <c r="Q164" s="1">
        <f t="shared" si="28"/>
        <v>92.632656504065054</v>
      </c>
      <c r="R164" s="1">
        <f t="shared" si="29"/>
        <v>93.922865300295697</v>
      </c>
      <c r="S164" s="1">
        <f t="shared" si="30"/>
        <v>82.379913052373155</v>
      </c>
    </row>
    <row r="165" spans="1:19" x14ac:dyDescent="0.3">
      <c r="A165">
        <v>4076</v>
      </c>
      <c r="B165">
        <v>89.560857999999996</v>
      </c>
      <c r="C165">
        <v>90.376913999999999</v>
      </c>
      <c r="D165">
        <v>91.316274000000007</v>
      </c>
      <c r="E165">
        <v>79.630482999999998</v>
      </c>
      <c r="F165">
        <v>57.292492000000003</v>
      </c>
      <c r="G165">
        <v>50.012231999999997</v>
      </c>
      <c r="H165">
        <v>50.375487</v>
      </c>
      <c r="I165" t="s">
        <v>56</v>
      </c>
      <c r="N165"/>
      <c r="O165"/>
      <c r="P165" s="1">
        <f t="shared" si="27"/>
        <v>91.78025304878048</v>
      </c>
      <c r="Q165" s="1">
        <f t="shared" si="28"/>
        <v>92.632054878048791</v>
      </c>
      <c r="R165" s="1">
        <f t="shared" si="29"/>
        <v>93.916518813092679</v>
      </c>
      <c r="S165" s="1">
        <f t="shared" si="30"/>
        <v>82.408880932896892</v>
      </c>
    </row>
    <row r="166" spans="1:19" x14ac:dyDescent="0.3">
      <c r="A166">
        <v>4076.2</v>
      </c>
      <c r="B166">
        <v>89.560857999999996</v>
      </c>
      <c r="C166">
        <v>90.376913999999999</v>
      </c>
      <c r="D166">
        <v>91.316274000000007</v>
      </c>
      <c r="E166">
        <v>79.630482999999998</v>
      </c>
      <c r="F166">
        <v>57.292492000000003</v>
      </c>
      <c r="G166">
        <v>50.003349</v>
      </c>
      <c r="H166">
        <v>50.389710999999998</v>
      </c>
      <c r="I166"/>
      <c r="N166"/>
      <c r="O166"/>
      <c r="P166" s="1">
        <f t="shared" si="27"/>
        <v>91.78025304878048</v>
      </c>
      <c r="Q166" s="1">
        <f t="shared" si="28"/>
        <v>92.632054878048791</v>
      </c>
      <c r="R166" s="1">
        <f t="shared" si="29"/>
        <v>93.916518813092679</v>
      </c>
      <c r="S166" s="1">
        <f t="shared" si="30"/>
        <v>82.408880932896892</v>
      </c>
    </row>
    <row r="167" spans="1:19" x14ac:dyDescent="0.3">
      <c r="A167">
        <v>4076.4</v>
      </c>
      <c r="B167">
        <v>89.554704999999998</v>
      </c>
      <c r="C167">
        <v>90.41131</v>
      </c>
      <c r="D167">
        <v>91.313969999999998</v>
      </c>
      <c r="E167">
        <v>79.628192999999996</v>
      </c>
      <c r="F167">
        <v>57.184730000000002</v>
      </c>
      <c r="G167">
        <v>50.003349</v>
      </c>
      <c r="H167">
        <v>50.389710999999998</v>
      </c>
      <c r="I167"/>
      <c r="N167"/>
      <c r="O167"/>
      <c r="P167" s="1">
        <f t="shared" si="27"/>
        <v>91.806976626016265</v>
      </c>
      <c r="Q167" s="1">
        <f t="shared" si="28"/>
        <v>92.666677845528454</v>
      </c>
      <c r="R167" s="1">
        <f t="shared" si="29"/>
        <v>93.922802080146823</v>
      </c>
      <c r="S167" s="1">
        <f t="shared" si="30"/>
        <v>82.406894435351887</v>
      </c>
    </row>
    <row r="168" spans="1:19" x14ac:dyDescent="0.3">
      <c r="A168">
        <v>4076.6</v>
      </c>
      <c r="B168">
        <v>89.554704999999998</v>
      </c>
      <c r="C168">
        <v>90.41131</v>
      </c>
      <c r="D168">
        <v>91.313969999999998</v>
      </c>
      <c r="E168">
        <v>79.628192999999996</v>
      </c>
      <c r="F168">
        <v>57.184730000000002</v>
      </c>
      <c r="G168">
        <v>50.028064000000001</v>
      </c>
      <c r="H168">
        <v>50.374679999999998</v>
      </c>
      <c r="I168"/>
      <c r="N168"/>
      <c r="O168"/>
      <c r="P168" s="1">
        <f t="shared" si="27"/>
        <v>91.806976626016265</v>
      </c>
      <c r="Q168" s="1">
        <f t="shared" si="28"/>
        <v>92.666677845528454</v>
      </c>
      <c r="R168" s="1">
        <f t="shared" si="29"/>
        <v>93.922802080146823</v>
      </c>
      <c r="S168" s="1">
        <f t="shared" si="30"/>
        <v>82.406894435351887</v>
      </c>
    </row>
    <row r="169" spans="1:19" x14ac:dyDescent="0.3">
      <c r="A169">
        <v>4076.8</v>
      </c>
      <c r="B169">
        <v>89.579418000000004</v>
      </c>
      <c r="C169">
        <v>90.401415</v>
      </c>
      <c r="D169">
        <v>91.307282000000001</v>
      </c>
      <c r="E169">
        <v>79.641264000000007</v>
      </c>
      <c r="F169">
        <v>57.186545000000002</v>
      </c>
      <c r="G169">
        <v>50.028064000000001</v>
      </c>
      <c r="H169">
        <v>50.374679999999998</v>
      </c>
      <c r="I169"/>
      <c r="N169"/>
      <c r="O169"/>
      <c r="P169" s="1">
        <f t="shared" si="27"/>
        <v>91.795223577235788</v>
      </c>
      <c r="Q169" s="1">
        <f t="shared" si="28"/>
        <v>92.662033536585369</v>
      </c>
      <c r="R169" s="1">
        <f t="shared" si="29"/>
        <v>93.919086366880805</v>
      </c>
      <c r="S169" s="1">
        <f t="shared" si="30"/>
        <v>82.426108837970531</v>
      </c>
    </row>
    <row r="170" spans="1:19" x14ac:dyDescent="0.3">
      <c r="A170">
        <v>4077</v>
      </c>
      <c r="B170">
        <v>89.579418000000004</v>
      </c>
      <c r="C170">
        <v>90.401415</v>
      </c>
      <c r="D170">
        <v>91.307282000000001</v>
      </c>
      <c r="E170">
        <v>79.641264000000007</v>
      </c>
      <c r="F170">
        <v>57.186545000000002</v>
      </c>
      <c r="G170">
        <v>50.023468000000001</v>
      </c>
      <c r="H170">
        <v>50.393189</v>
      </c>
      <c r="I170" t="s">
        <v>56</v>
      </c>
      <c r="N170"/>
      <c r="O170"/>
      <c r="P170" s="1">
        <f t="shared" si="27"/>
        <v>91.795223577235788</v>
      </c>
      <c r="Q170" s="1">
        <f t="shared" si="28"/>
        <v>92.662033536585369</v>
      </c>
      <c r="R170" s="1">
        <f t="shared" si="29"/>
        <v>93.919086366880805</v>
      </c>
      <c r="S170" s="1">
        <f t="shared" si="30"/>
        <v>82.426108837970531</v>
      </c>
    </row>
    <row r="171" spans="1:19" x14ac:dyDescent="0.3">
      <c r="A171">
        <v>4077.2</v>
      </c>
      <c r="B171">
        <v>89.563068000000001</v>
      </c>
      <c r="C171">
        <v>90.387742000000003</v>
      </c>
      <c r="D171">
        <v>91.311490000000006</v>
      </c>
      <c r="E171">
        <v>79.644998000000001</v>
      </c>
      <c r="F171">
        <v>57.222060999999997</v>
      </c>
      <c r="G171">
        <v>50.023468000000001</v>
      </c>
      <c r="H171">
        <v>50.393189</v>
      </c>
      <c r="I171"/>
      <c r="N171"/>
      <c r="O171"/>
      <c r="P171" s="1">
        <f t="shared" si="27"/>
        <v>91.81518292682928</v>
      </c>
      <c r="Q171" s="1">
        <f t="shared" si="28"/>
        <v>92.655098577235776</v>
      </c>
      <c r="R171" s="1">
        <f t="shared" si="29"/>
        <v>93.913772815335975</v>
      </c>
      <c r="S171" s="1">
        <f t="shared" si="30"/>
        <v>82.436168166939439</v>
      </c>
    </row>
    <row r="172" spans="1:19" x14ac:dyDescent="0.3">
      <c r="A172">
        <v>4077.4</v>
      </c>
      <c r="B172">
        <v>89.563068000000001</v>
      </c>
      <c r="C172">
        <v>90.387742000000003</v>
      </c>
      <c r="D172">
        <v>91.311490000000006</v>
      </c>
      <c r="E172">
        <v>79.644998000000001</v>
      </c>
      <c r="F172">
        <v>57.222060999999997</v>
      </c>
      <c r="G172">
        <v>50.014659999999999</v>
      </c>
      <c r="H172">
        <v>50.379300999999998</v>
      </c>
      <c r="I172"/>
      <c r="N172"/>
      <c r="O172"/>
      <c r="P172" s="1">
        <f t="shared" ref="P172:P235" si="31">(B154+Q$36)/P$36</f>
        <v>91.81518292682928</v>
      </c>
      <c r="Q172" s="1">
        <f t="shared" ref="Q172:Q235" si="32">(C154+Q$36)/P$36</f>
        <v>92.655098577235776</v>
      </c>
      <c r="R172" s="1">
        <f t="shared" ref="R172:R235" si="33">(D154+Q$38)/P$38</f>
        <v>93.913772815335975</v>
      </c>
      <c r="S172" s="1">
        <f t="shared" ref="S172:S235" si="34">(E154+Q$39)/P$39</f>
        <v>82.436168166939439</v>
      </c>
    </row>
    <row r="173" spans="1:19" x14ac:dyDescent="0.3">
      <c r="A173">
        <v>4077.6</v>
      </c>
      <c r="B173">
        <v>89.584491</v>
      </c>
      <c r="C173">
        <v>90.401515000000003</v>
      </c>
      <c r="D173">
        <v>91.315273000000005</v>
      </c>
      <c r="E173">
        <v>79.656823000000003</v>
      </c>
      <c r="F173">
        <v>57.316972999999997</v>
      </c>
      <c r="G173">
        <v>50.014659999999999</v>
      </c>
      <c r="H173">
        <v>50.379300999999998</v>
      </c>
      <c r="I173"/>
      <c r="N173"/>
      <c r="O173"/>
      <c r="P173" s="1">
        <f t="shared" si="31"/>
        <v>91.810243902439026</v>
      </c>
      <c r="Q173" s="1">
        <f t="shared" si="32"/>
        <v>92.640243902439025</v>
      </c>
      <c r="R173" s="1">
        <f t="shared" si="33"/>
        <v>93.918945651065556</v>
      </c>
      <c r="S173" s="1">
        <f t="shared" si="34"/>
        <v>82.41175838788871</v>
      </c>
    </row>
    <row r="174" spans="1:19" x14ac:dyDescent="0.3">
      <c r="A174">
        <v>4077.8</v>
      </c>
      <c r="B174">
        <v>89.584491</v>
      </c>
      <c r="C174">
        <v>90.401515000000003</v>
      </c>
      <c r="D174">
        <v>91.315273000000005</v>
      </c>
      <c r="E174">
        <v>79.656823000000003</v>
      </c>
      <c r="F174">
        <v>57.316972999999997</v>
      </c>
      <c r="G174">
        <v>50.015224000000003</v>
      </c>
      <c r="H174">
        <v>50.389336999999998</v>
      </c>
      <c r="I174"/>
      <c r="N174"/>
      <c r="O174"/>
      <c r="P174" s="1">
        <f t="shared" si="31"/>
        <v>91.810243902439026</v>
      </c>
      <c r="Q174" s="1">
        <f t="shared" si="32"/>
        <v>92.640243902439025</v>
      </c>
      <c r="R174" s="1">
        <f t="shared" si="33"/>
        <v>93.918945651065556</v>
      </c>
      <c r="S174" s="1">
        <f t="shared" si="34"/>
        <v>82.41175838788871</v>
      </c>
    </row>
    <row r="175" spans="1:19" x14ac:dyDescent="0.3">
      <c r="A175">
        <v>4731</v>
      </c>
      <c r="B175">
        <v>95.431265999999994</v>
      </c>
      <c r="C175">
        <v>96.544118999999995</v>
      </c>
      <c r="D175">
        <v>97.764601999999996</v>
      </c>
      <c r="E175">
        <v>82.360176999999993</v>
      </c>
      <c r="F175">
        <v>59.562868999999999</v>
      </c>
      <c r="G175">
        <v>50.002201999999997</v>
      </c>
      <c r="H175">
        <v>50.560684999999999</v>
      </c>
      <c r="I175" t="s">
        <v>56</v>
      </c>
      <c r="N175"/>
      <c r="O175"/>
      <c r="P175" s="1">
        <f t="shared" si="31"/>
        <v>91.802842479674808</v>
      </c>
      <c r="Q175" s="1">
        <f t="shared" si="32"/>
        <v>92.677502032520337</v>
      </c>
      <c r="R175" s="1">
        <f t="shared" si="33"/>
        <v>93.927629244417247</v>
      </c>
      <c r="S175" s="1">
        <f t="shared" si="34"/>
        <v>82.389934533551553</v>
      </c>
    </row>
    <row r="176" spans="1:19" x14ac:dyDescent="0.3">
      <c r="A176">
        <v>4731.2</v>
      </c>
      <c r="B176">
        <v>95.427867000000006</v>
      </c>
      <c r="C176">
        <v>96.541619999999995</v>
      </c>
      <c r="D176">
        <v>97.775001000000003</v>
      </c>
      <c r="E176">
        <v>82.338881999999998</v>
      </c>
      <c r="F176">
        <v>58.733539999999998</v>
      </c>
      <c r="G176">
        <v>50.002201999999997</v>
      </c>
      <c r="H176">
        <v>50.560684999999999</v>
      </c>
      <c r="I176"/>
      <c r="N176"/>
      <c r="O176"/>
      <c r="P176" s="1">
        <f t="shared" si="31"/>
        <v>91.802842479674808</v>
      </c>
      <c r="Q176" s="1">
        <f t="shared" si="32"/>
        <v>92.677502032520337</v>
      </c>
      <c r="R176" s="1">
        <f t="shared" si="33"/>
        <v>93.927629244417247</v>
      </c>
      <c r="S176" s="1">
        <f t="shared" si="34"/>
        <v>82.389934533551553</v>
      </c>
    </row>
    <row r="177" spans="1:19" x14ac:dyDescent="0.3">
      <c r="A177">
        <v>4731.3999999999996</v>
      </c>
      <c r="B177">
        <v>95.427867000000006</v>
      </c>
      <c r="C177">
        <v>96.541619999999995</v>
      </c>
      <c r="D177">
        <v>97.775001000000003</v>
      </c>
      <c r="E177">
        <v>82.338881999999998</v>
      </c>
      <c r="F177">
        <v>58.733539999999998</v>
      </c>
      <c r="G177">
        <v>50.004961999999999</v>
      </c>
      <c r="H177">
        <v>50.559286</v>
      </c>
      <c r="I177"/>
      <c r="N177"/>
      <c r="O177"/>
      <c r="P177" s="1">
        <f t="shared" si="31"/>
        <v>91.805662601626025</v>
      </c>
      <c r="Q177" s="1">
        <f t="shared" si="32"/>
        <v>92.665130081300816</v>
      </c>
      <c r="R177" s="1">
        <f t="shared" si="33"/>
        <v>93.909992862241253</v>
      </c>
      <c r="S177" s="1">
        <f t="shared" si="34"/>
        <v>82.373496317512263</v>
      </c>
    </row>
    <row r="178" spans="1:19" x14ac:dyDescent="0.3">
      <c r="A178">
        <v>4731.6000000000004</v>
      </c>
      <c r="B178">
        <v>95.429077000000007</v>
      </c>
      <c r="C178">
        <v>96.553963999999993</v>
      </c>
      <c r="D178">
        <v>97.789996000000002</v>
      </c>
      <c r="E178">
        <v>82.384013999999993</v>
      </c>
      <c r="F178">
        <v>58.086193000000002</v>
      </c>
      <c r="G178">
        <v>50.004961999999999</v>
      </c>
      <c r="H178">
        <v>50.559286</v>
      </c>
      <c r="I178"/>
      <c r="N178"/>
      <c r="O178"/>
      <c r="P178" s="1">
        <f t="shared" si="31"/>
        <v>91.805662601626025</v>
      </c>
      <c r="Q178" s="1">
        <f t="shared" si="32"/>
        <v>92.665130081300816</v>
      </c>
      <c r="R178" s="1">
        <f t="shared" si="33"/>
        <v>93.909992862241253</v>
      </c>
      <c r="S178" s="1">
        <f t="shared" si="34"/>
        <v>82.373496317512263</v>
      </c>
    </row>
    <row r="179" spans="1:19" x14ac:dyDescent="0.3">
      <c r="A179">
        <v>4731.8</v>
      </c>
      <c r="B179">
        <v>95.429077000000007</v>
      </c>
      <c r="C179">
        <v>96.553963999999993</v>
      </c>
      <c r="D179">
        <v>97.789996000000002</v>
      </c>
      <c r="E179">
        <v>82.384013999999993</v>
      </c>
      <c r="F179">
        <v>58.086193000000002</v>
      </c>
      <c r="G179">
        <v>50.001161000000003</v>
      </c>
      <c r="H179">
        <v>50.562648000000003</v>
      </c>
      <c r="I179"/>
      <c r="N179"/>
      <c r="O179"/>
      <c r="P179" s="1">
        <f t="shared" si="31"/>
        <v>91.822239837398385</v>
      </c>
      <c r="Q179" s="1">
        <f t="shared" si="32"/>
        <v>92.675301829268292</v>
      </c>
      <c r="R179" s="1">
        <f t="shared" si="33"/>
        <v>93.92865096359742</v>
      </c>
      <c r="S179" s="1">
        <f t="shared" si="34"/>
        <v>82.368262070376431</v>
      </c>
    </row>
    <row r="180" spans="1:19" x14ac:dyDescent="0.3">
      <c r="A180">
        <v>4732</v>
      </c>
      <c r="B180">
        <v>95.451038999999994</v>
      </c>
      <c r="C180">
        <v>96.551225000000002</v>
      </c>
      <c r="D180">
        <v>97.798122000000006</v>
      </c>
      <c r="E180">
        <v>82.456855000000004</v>
      </c>
      <c r="F180">
        <v>57.648705</v>
      </c>
      <c r="G180">
        <v>50.001161000000003</v>
      </c>
      <c r="H180">
        <v>50.562648000000003</v>
      </c>
      <c r="I180" t="s">
        <v>56</v>
      </c>
      <c r="N180"/>
      <c r="O180"/>
      <c r="P180" s="1">
        <f t="shared" si="31"/>
        <v>91.822239837398385</v>
      </c>
      <c r="Q180" s="1">
        <f t="shared" si="32"/>
        <v>92.675301829268292</v>
      </c>
      <c r="R180" s="1">
        <f t="shared" si="33"/>
        <v>93.92865096359742</v>
      </c>
      <c r="S180" s="1">
        <f t="shared" si="34"/>
        <v>82.368262070376431</v>
      </c>
    </row>
    <row r="181" spans="1:19" x14ac:dyDescent="0.3">
      <c r="A181">
        <v>4732.2</v>
      </c>
      <c r="B181">
        <v>95.451038999999994</v>
      </c>
      <c r="C181">
        <v>96.551225000000002</v>
      </c>
      <c r="D181">
        <v>97.798122000000006</v>
      </c>
      <c r="E181">
        <v>82.456855000000004</v>
      </c>
      <c r="F181">
        <v>57.648705</v>
      </c>
      <c r="G181">
        <v>49.983713999999999</v>
      </c>
      <c r="H181">
        <v>50.544283999999998</v>
      </c>
      <c r="I181"/>
      <c r="N181"/>
      <c r="O181"/>
      <c r="P181" s="1">
        <f t="shared" si="31"/>
        <v>91.808597560975613</v>
      </c>
      <c r="Q181" s="1">
        <f t="shared" si="32"/>
        <v>92.689030487804885</v>
      </c>
      <c r="R181" s="1">
        <f t="shared" si="33"/>
        <v>93.920056082390133</v>
      </c>
      <c r="S181" s="1">
        <f t="shared" si="34"/>
        <v>82.405761047463173</v>
      </c>
    </row>
    <row r="182" spans="1:19" x14ac:dyDescent="0.3">
      <c r="A182">
        <v>4732.3999999999996</v>
      </c>
      <c r="B182">
        <v>95.449830000000006</v>
      </c>
      <c r="C182">
        <v>96.552739000000003</v>
      </c>
      <c r="D182">
        <v>97.784709000000007</v>
      </c>
      <c r="E182">
        <v>82.398273000000003</v>
      </c>
      <c r="F182">
        <v>58.185557000000003</v>
      </c>
      <c r="G182">
        <v>49.983713999999999</v>
      </c>
      <c r="H182">
        <v>50.544283999999998</v>
      </c>
      <c r="I182"/>
      <c r="N182"/>
      <c r="O182"/>
      <c r="P182" s="1">
        <f t="shared" si="31"/>
        <v>91.808597560975613</v>
      </c>
      <c r="Q182" s="1">
        <f t="shared" si="32"/>
        <v>92.689030487804885</v>
      </c>
      <c r="R182" s="1">
        <f t="shared" si="33"/>
        <v>93.920056082390133</v>
      </c>
      <c r="S182" s="1">
        <f t="shared" si="34"/>
        <v>82.405761047463173</v>
      </c>
    </row>
    <row r="183" spans="1:19" x14ac:dyDescent="0.3">
      <c r="A183">
        <v>4732.6000000000004</v>
      </c>
      <c r="B183">
        <v>95.449830000000006</v>
      </c>
      <c r="C183">
        <v>96.552739000000003</v>
      </c>
      <c r="D183">
        <v>97.784709000000007</v>
      </c>
      <c r="E183">
        <v>82.398273000000003</v>
      </c>
      <c r="F183">
        <v>58.185557000000003</v>
      </c>
      <c r="G183">
        <v>50.012089000000003</v>
      </c>
      <c r="H183">
        <v>50.572648000000001</v>
      </c>
      <c r="I183"/>
      <c r="N183"/>
      <c r="O183"/>
      <c r="P183" s="1">
        <f t="shared" si="31"/>
        <v>91.816420731707325</v>
      </c>
      <c r="Q183" s="1">
        <f t="shared" si="32"/>
        <v>92.645745934959351</v>
      </c>
      <c r="R183" s="1">
        <f t="shared" si="33"/>
        <v>93.939608442948924</v>
      </c>
      <c r="S183" s="1">
        <f t="shared" si="34"/>
        <v>82.400043985270045</v>
      </c>
    </row>
    <row r="184" spans="1:19" x14ac:dyDescent="0.3">
      <c r="A184">
        <v>4732.8</v>
      </c>
      <c r="B184">
        <v>95.450547</v>
      </c>
      <c r="C184">
        <v>96.554821000000004</v>
      </c>
      <c r="D184">
        <v>97.781807000000001</v>
      </c>
      <c r="E184">
        <v>82.395396000000005</v>
      </c>
      <c r="F184">
        <v>58.333688000000002</v>
      </c>
      <c r="G184">
        <v>50.012089000000003</v>
      </c>
      <c r="H184">
        <v>50.572648000000001</v>
      </c>
      <c r="I184"/>
      <c r="N184"/>
      <c r="O184"/>
      <c r="P184" s="1">
        <f t="shared" si="31"/>
        <v>91.816420731707325</v>
      </c>
      <c r="Q184" s="1">
        <f t="shared" si="32"/>
        <v>92.645745934959351</v>
      </c>
      <c r="R184" s="1">
        <f t="shared" si="33"/>
        <v>93.939608442948924</v>
      </c>
      <c r="S184" s="1">
        <f t="shared" si="34"/>
        <v>82.400043985270045</v>
      </c>
    </row>
    <row r="185" spans="1:19" x14ac:dyDescent="0.3">
      <c r="A185">
        <v>4733</v>
      </c>
      <c r="B185">
        <v>95.450547</v>
      </c>
      <c r="C185">
        <v>96.554821000000004</v>
      </c>
      <c r="D185">
        <v>97.781807000000001</v>
      </c>
      <c r="E185">
        <v>82.395396000000005</v>
      </c>
      <c r="F185">
        <v>58.333688000000002</v>
      </c>
      <c r="G185">
        <v>49.999737000000003</v>
      </c>
      <c r="H185">
        <v>50.559145000000001</v>
      </c>
      <c r="I185" t="s">
        <v>56</v>
      </c>
      <c r="N185"/>
      <c r="O185"/>
      <c r="P185" s="1">
        <f t="shared" si="31"/>
        <v>91.810167682926831</v>
      </c>
      <c r="Q185" s="1">
        <f t="shared" si="32"/>
        <v>92.680701219512201</v>
      </c>
      <c r="R185" s="1">
        <f t="shared" si="33"/>
        <v>93.937259100642393</v>
      </c>
      <c r="S185" s="1">
        <f t="shared" si="34"/>
        <v>82.397701513911613</v>
      </c>
    </row>
    <row r="186" spans="1:19" x14ac:dyDescent="0.3">
      <c r="A186">
        <v>4733.2</v>
      </c>
      <c r="B186">
        <v>95.432726000000002</v>
      </c>
      <c r="C186">
        <v>96.587155999999993</v>
      </c>
      <c r="D186">
        <v>97.819633999999994</v>
      </c>
      <c r="E186">
        <v>82.421698000000006</v>
      </c>
      <c r="F186">
        <v>58.434097999999999</v>
      </c>
      <c r="G186">
        <v>49.999737000000003</v>
      </c>
      <c r="H186">
        <v>50.559145000000001</v>
      </c>
      <c r="I186"/>
      <c r="N186"/>
      <c r="O186"/>
      <c r="P186" s="1">
        <f t="shared" si="31"/>
        <v>91.810167682926831</v>
      </c>
      <c r="Q186" s="1">
        <f t="shared" si="32"/>
        <v>92.680701219512201</v>
      </c>
      <c r="R186" s="1">
        <f t="shared" si="33"/>
        <v>93.937259100642393</v>
      </c>
      <c r="S186" s="1">
        <f t="shared" si="34"/>
        <v>82.397701513911613</v>
      </c>
    </row>
    <row r="187" spans="1:19" x14ac:dyDescent="0.3">
      <c r="A187">
        <v>4733.3999999999996</v>
      </c>
      <c r="B187">
        <v>95.432726000000002</v>
      </c>
      <c r="C187">
        <v>96.587155999999993</v>
      </c>
      <c r="D187">
        <v>97.819633999999994</v>
      </c>
      <c r="E187">
        <v>82.421698000000006</v>
      </c>
      <c r="F187">
        <v>58.434097999999999</v>
      </c>
      <c r="G187">
        <v>49.981686000000003</v>
      </c>
      <c r="H187">
        <v>50.563048000000002</v>
      </c>
      <c r="I187"/>
      <c r="N187"/>
      <c r="O187"/>
      <c r="P187" s="1">
        <f t="shared" si="31"/>
        <v>91.835282520325208</v>
      </c>
      <c r="Q187" s="1">
        <f t="shared" si="32"/>
        <v>92.670645325203253</v>
      </c>
      <c r="R187" s="1">
        <f t="shared" si="33"/>
        <v>93.930439482002654</v>
      </c>
      <c r="S187" s="1">
        <f t="shared" si="34"/>
        <v>82.411072013093289</v>
      </c>
    </row>
    <row r="188" spans="1:19" x14ac:dyDescent="0.3">
      <c r="A188">
        <v>4733.6000000000004</v>
      </c>
      <c r="B188">
        <v>95.443059000000005</v>
      </c>
      <c r="C188">
        <v>96.550719999999998</v>
      </c>
      <c r="D188">
        <v>97.79468</v>
      </c>
      <c r="E188">
        <v>82.388883000000007</v>
      </c>
      <c r="F188">
        <v>58.034323000000001</v>
      </c>
      <c r="G188">
        <v>49.981686000000003</v>
      </c>
      <c r="H188">
        <v>50.563048000000002</v>
      </c>
      <c r="I188"/>
      <c r="N188"/>
      <c r="O188"/>
      <c r="P188" s="1">
        <f t="shared" si="31"/>
        <v>91.835282520325208</v>
      </c>
      <c r="Q188" s="1">
        <f t="shared" si="32"/>
        <v>92.670645325203253</v>
      </c>
      <c r="R188" s="1">
        <f t="shared" si="33"/>
        <v>93.930439482002654</v>
      </c>
      <c r="S188" s="1">
        <f t="shared" si="34"/>
        <v>82.411072013093289</v>
      </c>
    </row>
    <row r="189" spans="1:19" x14ac:dyDescent="0.3">
      <c r="A189">
        <v>4733.8</v>
      </c>
      <c r="B189">
        <v>95.443059000000005</v>
      </c>
      <c r="C189">
        <v>96.550719999999998</v>
      </c>
      <c r="D189">
        <v>97.79468</v>
      </c>
      <c r="E189">
        <v>82.388883000000007</v>
      </c>
      <c r="F189">
        <v>58.034323000000001</v>
      </c>
      <c r="G189">
        <v>50.015695999999998</v>
      </c>
      <c r="H189">
        <v>50.566088999999998</v>
      </c>
      <c r="I189"/>
      <c r="N189"/>
      <c r="O189"/>
      <c r="P189" s="1">
        <f t="shared" si="31"/>
        <v>91.818666666666672</v>
      </c>
      <c r="Q189" s="1">
        <f t="shared" si="32"/>
        <v>92.656750000000002</v>
      </c>
      <c r="R189" s="1">
        <f t="shared" si="33"/>
        <v>93.934730294687469</v>
      </c>
      <c r="S189" s="1">
        <f t="shared" si="34"/>
        <v>82.414891571194758</v>
      </c>
    </row>
    <row r="190" spans="1:19" x14ac:dyDescent="0.3">
      <c r="A190">
        <v>4734</v>
      </c>
      <c r="B190">
        <v>95.459948999999995</v>
      </c>
      <c r="C190">
        <v>96.579696999999996</v>
      </c>
      <c r="D190">
        <v>97.825322999999997</v>
      </c>
      <c r="E190">
        <v>82.418149</v>
      </c>
      <c r="F190">
        <v>57.757708999999998</v>
      </c>
      <c r="G190">
        <v>50.015695999999998</v>
      </c>
      <c r="H190">
        <v>50.566088999999998</v>
      </c>
      <c r="I190" t="s">
        <v>56</v>
      </c>
      <c r="N190"/>
      <c r="O190"/>
      <c r="P190" s="1">
        <f t="shared" si="31"/>
        <v>91.818666666666672</v>
      </c>
      <c r="Q190" s="1">
        <f t="shared" si="32"/>
        <v>92.656750000000002</v>
      </c>
      <c r="R190" s="1">
        <f t="shared" si="33"/>
        <v>93.934730294687469</v>
      </c>
      <c r="S190" s="1">
        <f t="shared" si="34"/>
        <v>82.414891571194758</v>
      </c>
    </row>
    <row r="191" spans="1:19" x14ac:dyDescent="0.3">
      <c r="A191">
        <v>4734.2</v>
      </c>
      <c r="B191">
        <v>95.459948999999995</v>
      </c>
      <c r="C191">
        <v>96.579696999999996</v>
      </c>
      <c r="D191">
        <v>97.825322999999997</v>
      </c>
      <c r="E191">
        <v>82.418149</v>
      </c>
      <c r="F191">
        <v>57.757708999999998</v>
      </c>
      <c r="G191">
        <v>50.010227999999998</v>
      </c>
      <c r="H191">
        <v>50.533824000000003</v>
      </c>
      <c r="I191"/>
      <c r="N191"/>
      <c r="O191"/>
      <c r="P191" s="1">
        <f t="shared" si="31"/>
        <v>91.840438008130093</v>
      </c>
      <c r="Q191" s="1">
        <f t="shared" si="32"/>
        <v>92.670746951219527</v>
      </c>
      <c r="R191" s="1">
        <f t="shared" si="33"/>
        <v>93.938587743448565</v>
      </c>
      <c r="S191" s="1">
        <f t="shared" si="34"/>
        <v>82.426987520458269</v>
      </c>
    </row>
    <row r="192" spans="1:19" x14ac:dyDescent="0.3">
      <c r="A192">
        <v>4734.3999999999996</v>
      </c>
      <c r="B192">
        <v>95.460994999999997</v>
      </c>
      <c r="C192">
        <v>96.593468000000001</v>
      </c>
      <c r="D192">
        <v>97.797432000000001</v>
      </c>
      <c r="E192">
        <v>82.375697000000002</v>
      </c>
      <c r="F192">
        <v>57.622019999999999</v>
      </c>
      <c r="G192">
        <v>50.010227999999998</v>
      </c>
      <c r="H192">
        <v>50.533824000000003</v>
      </c>
      <c r="I192"/>
      <c r="N192"/>
      <c r="O192"/>
      <c r="P192" s="1">
        <f t="shared" si="31"/>
        <v>91.840438008130093</v>
      </c>
      <c r="Q192" s="1">
        <f t="shared" si="32"/>
        <v>92.670746951219527</v>
      </c>
      <c r="R192" s="1">
        <f t="shared" si="33"/>
        <v>93.938587743448565</v>
      </c>
      <c r="S192" s="1">
        <f t="shared" si="34"/>
        <v>82.426987520458269</v>
      </c>
    </row>
    <row r="193" spans="1:19" x14ac:dyDescent="0.3">
      <c r="A193">
        <v>4734.6000000000004</v>
      </c>
      <c r="B193">
        <v>95.460994999999997</v>
      </c>
      <c r="C193">
        <v>96.593468000000001</v>
      </c>
      <c r="D193">
        <v>97.797432000000001</v>
      </c>
      <c r="E193">
        <v>82.375697000000002</v>
      </c>
      <c r="F193">
        <v>57.622019999999999</v>
      </c>
      <c r="G193">
        <v>49.994205000000001</v>
      </c>
      <c r="H193">
        <v>50.571173000000002</v>
      </c>
      <c r="I193"/>
      <c r="N193"/>
      <c r="O193"/>
      <c r="P193" s="1">
        <f t="shared" si="31"/>
        <v>97.782282520325197</v>
      </c>
      <c r="Q193" s="1">
        <f t="shared" si="32"/>
        <v>98.91323069105691</v>
      </c>
      <c r="R193" s="1">
        <f t="shared" si="33"/>
        <v>100.51483838074844</v>
      </c>
      <c r="S193" s="1">
        <f t="shared" si="34"/>
        <v>85.192284165302766</v>
      </c>
    </row>
    <row r="194" spans="1:19" x14ac:dyDescent="0.3">
      <c r="A194">
        <v>4734.8</v>
      </c>
      <c r="B194">
        <v>95.462052</v>
      </c>
      <c r="C194">
        <v>96.565676999999994</v>
      </c>
      <c r="D194">
        <v>97.799391</v>
      </c>
      <c r="E194">
        <v>82.398262000000003</v>
      </c>
      <c r="F194">
        <v>57.373164000000003</v>
      </c>
      <c r="G194">
        <v>49.994205000000001</v>
      </c>
      <c r="H194">
        <v>50.571173000000002</v>
      </c>
      <c r="I194"/>
      <c r="N194"/>
      <c r="O194"/>
      <c r="P194" s="1">
        <f t="shared" si="31"/>
        <v>97.778828252032525</v>
      </c>
      <c r="Q194" s="1">
        <f t="shared" si="32"/>
        <v>98.910691056910565</v>
      </c>
      <c r="R194" s="1">
        <f t="shared" si="33"/>
        <v>100.5254420312022</v>
      </c>
      <c r="S194" s="1">
        <f t="shared" si="34"/>
        <v>85.170501227495905</v>
      </c>
    </row>
    <row r="195" spans="1:19" x14ac:dyDescent="0.3">
      <c r="A195">
        <v>4735</v>
      </c>
      <c r="B195">
        <v>95.462052</v>
      </c>
      <c r="C195">
        <v>96.565676999999994</v>
      </c>
      <c r="D195">
        <v>97.799391</v>
      </c>
      <c r="E195">
        <v>82.398262000000003</v>
      </c>
      <c r="F195">
        <v>57.373164000000003</v>
      </c>
      <c r="G195">
        <v>50.005786000000001</v>
      </c>
      <c r="H195">
        <v>50.571660000000001</v>
      </c>
      <c r="I195" t="s">
        <v>56</v>
      </c>
      <c r="N195"/>
      <c r="O195"/>
      <c r="P195" s="1">
        <f t="shared" si="31"/>
        <v>97.778828252032525</v>
      </c>
      <c r="Q195" s="1">
        <f t="shared" si="32"/>
        <v>98.910691056910565</v>
      </c>
      <c r="R195" s="1">
        <f t="shared" si="33"/>
        <v>100.5254420312022</v>
      </c>
      <c r="S195" s="1">
        <f t="shared" si="34"/>
        <v>85.170501227495905</v>
      </c>
    </row>
    <row r="196" spans="1:19" x14ac:dyDescent="0.3">
      <c r="A196">
        <v>4735.2</v>
      </c>
      <c r="B196">
        <v>95.444721000000001</v>
      </c>
      <c r="C196">
        <v>96.577149000000006</v>
      </c>
      <c r="D196">
        <v>97.808546000000007</v>
      </c>
      <c r="E196">
        <v>82.395908000000006</v>
      </c>
      <c r="F196">
        <v>57.399642999999998</v>
      </c>
      <c r="G196">
        <v>50.005786000000001</v>
      </c>
      <c r="H196">
        <v>50.571660000000001</v>
      </c>
      <c r="I196"/>
      <c r="N196"/>
      <c r="O196"/>
      <c r="P196" s="1">
        <f t="shared" si="31"/>
        <v>97.780057926829286</v>
      </c>
      <c r="Q196" s="1">
        <f t="shared" si="32"/>
        <v>98.923235772357728</v>
      </c>
      <c r="R196" s="1">
        <f t="shared" si="33"/>
        <v>100.54073213011114</v>
      </c>
      <c r="S196" s="1">
        <f t="shared" si="34"/>
        <v>85.216667348608823</v>
      </c>
    </row>
    <row r="197" spans="1:19" x14ac:dyDescent="0.3">
      <c r="A197">
        <v>4735.3999999999996</v>
      </c>
      <c r="B197">
        <v>95.444721000000001</v>
      </c>
      <c r="C197">
        <v>96.577149000000006</v>
      </c>
      <c r="D197">
        <v>97.808546000000007</v>
      </c>
      <c r="E197">
        <v>82.395908000000006</v>
      </c>
      <c r="F197">
        <v>57.399642999999998</v>
      </c>
      <c r="G197">
        <v>49.993409</v>
      </c>
      <c r="H197">
        <v>50.568759999999997</v>
      </c>
      <c r="I197"/>
      <c r="N197"/>
      <c r="O197"/>
      <c r="P197" s="1">
        <f t="shared" si="31"/>
        <v>97.780057926829286</v>
      </c>
      <c r="Q197" s="1">
        <f t="shared" si="32"/>
        <v>98.923235772357728</v>
      </c>
      <c r="R197" s="1">
        <f t="shared" si="33"/>
        <v>100.54073213011114</v>
      </c>
      <c r="S197" s="1">
        <f t="shared" si="34"/>
        <v>85.216667348608823</v>
      </c>
    </row>
    <row r="198" spans="1:19" x14ac:dyDescent="0.3">
      <c r="A198">
        <v>4735.6000000000004</v>
      </c>
      <c r="B198">
        <v>95.443437000000003</v>
      </c>
      <c r="C198">
        <v>96.584721000000002</v>
      </c>
      <c r="D198">
        <v>97.825123000000005</v>
      </c>
      <c r="E198">
        <v>82.420863999999995</v>
      </c>
      <c r="F198">
        <v>57.430469000000002</v>
      </c>
      <c r="G198">
        <v>49.993409</v>
      </c>
      <c r="H198">
        <v>50.568759999999997</v>
      </c>
      <c r="I198"/>
      <c r="N198"/>
      <c r="O198"/>
      <c r="P198" s="1">
        <f t="shared" si="31"/>
        <v>97.802377032520326</v>
      </c>
      <c r="Q198" s="1">
        <f t="shared" si="32"/>
        <v>98.920452235772359</v>
      </c>
      <c r="R198" s="1">
        <f t="shared" si="33"/>
        <v>100.54901804833283</v>
      </c>
      <c r="S198" s="1">
        <f t="shared" si="34"/>
        <v>85.29117737315876</v>
      </c>
    </row>
    <row r="199" spans="1:19" x14ac:dyDescent="0.3">
      <c r="A199">
        <v>4735.8</v>
      </c>
      <c r="B199">
        <v>95.443437000000003</v>
      </c>
      <c r="C199">
        <v>96.584721000000002</v>
      </c>
      <c r="D199">
        <v>97.825123000000005</v>
      </c>
      <c r="E199">
        <v>82.420863999999995</v>
      </c>
      <c r="F199">
        <v>57.430469000000002</v>
      </c>
      <c r="G199">
        <v>49.987158000000001</v>
      </c>
      <c r="H199">
        <v>50.576602999999999</v>
      </c>
      <c r="I199"/>
      <c r="N199"/>
      <c r="O199"/>
      <c r="P199" s="1">
        <f t="shared" si="31"/>
        <v>97.802377032520326</v>
      </c>
      <c r="Q199" s="1">
        <f t="shared" si="32"/>
        <v>98.920452235772359</v>
      </c>
      <c r="R199" s="1">
        <f t="shared" si="33"/>
        <v>100.54901804833283</v>
      </c>
      <c r="S199" s="1">
        <f t="shared" si="34"/>
        <v>85.29117737315876</v>
      </c>
    </row>
    <row r="200" spans="1:19" x14ac:dyDescent="0.3">
      <c r="A200">
        <v>4736</v>
      </c>
      <c r="B200">
        <v>95.464442000000005</v>
      </c>
      <c r="C200">
        <v>96.584202000000005</v>
      </c>
      <c r="D200">
        <v>97.818278000000007</v>
      </c>
      <c r="E200">
        <v>82.432457999999997</v>
      </c>
      <c r="F200">
        <v>57.814298999999998</v>
      </c>
      <c r="G200">
        <v>49.987158000000001</v>
      </c>
      <c r="H200">
        <v>50.576602999999999</v>
      </c>
      <c r="I200" t="s">
        <v>56</v>
      </c>
      <c r="N200"/>
      <c r="O200"/>
      <c r="P200" s="1">
        <f t="shared" si="31"/>
        <v>97.80114837398375</v>
      </c>
      <c r="Q200" s="1">
        <f t="shared" si="32"/>
        <v>98.921990853658542</v>
      </c>
      <c r="R200" s="1">
        <f t="shared" si="33"/>
        <v>100.53534108289998</v>
      </c>
      <c r="S200" s="1">
        <f t="shared" si="34"/>
        <v>85.231253068739775</v>
      </c>
    </row>
    <row r="201" spans="1:19" x14ac:dyDescent="0.3">
      <c r="A201">
        <v>4736.2</v>
      </c>
      <c r="B201">
        <v>95.464442000000005</v>
      </c>
      <c r="C201">
        <v>96.584202000000005</v>
      </c>
      <c r="D201">
        <v>97.818278000000007</v>
      </c>
      <c r="E201">
        <v>82.432457999999997</v>
      </c>
      <c r="F201">
        <v>57.814298999999998</v>
      </c>
      <c r="G201">
        <v>50.006737000000001</v>
      </c>
      <c r="H201">
        <v>50.56776</v>
      </c>
      <c r="I201"/>
      <c r="N201"/>
      <c r="O201"/>
      <c r="P201" s="1">
        <f t="shared" si="31"/>
        <v>97.80114837398375</v>
      </c>
      <c r="Q201" s="1">
        <f t="shared" si="32"/>
        <v>98.921990853658542</v>
      </c>
      <c r="R201" s="1">
        <f t="shared" si="33"/>
        <v>100.53534108289998</v>
      </c>
      <c r="S201" s="1">
        <f t="shared" si="34"/>
        <v>85.231253068739775</v>
      </c>
    </row>
    <row r="202" spans="1:19" x14ac:dyDescent="0.3">
      <c r="A202">
        <v>4736.3999999999996</v>
      </c>
      <c r="B202">
        <v>95.449667000000005</v>
      </c>
      <c r="C202">
        <v>96.573021999999995</v>
      </c>
      <c r="D202">
        <v>97.813933000000006</v>
      </c>
      <c r="E202">
        <v>82.355520999999996</v>
      </c>
      <c r="F202">
        <v>57.999367999999997</v>
      </c>
      <c r="G202">
        <v>50.006737000000001</v>
      </c>
      <c r="H202">
        <v>50.56776</v>
      </c>
      <c r="I202"/>
      <c r="N202"/>
      <c r="O202"/>
      <c r="P202" s="1">
        <f t="shared" si="31"/>
        <v>97.801877032520338</v>
      </c>
      <c r="Q202" s="1">
        <f t="shared" si="32"/>
        <v>98.92410670731708</v>
      </c>
      <c r="R202" s="1">
        <f t="shared" si="33"/>
        <v>100.53238197206078</v>
      </c>
      <c r="S202" s="1">
        <f t="shared" si="34"/>
        <v>85.22831014729951</v>
      </c>
    </row>
    <row r="203" spans="1:19" x14ac:dyDescent="0.3">
      <c r="A203">
        <v>4736.6000000000004</v>
      </c>
      <c r="B203">
        <v>95.449667000000005</v>
      </c>
      <c r="C203">
        <v>96.573021999999995</v>
      </c>
      <c r="D203">
        <v>97.813933000000006</v>
      </c>
      <c r="E203">
        <v>82.355520999999996</v>
      </c>
      <c r="F203">
        <v>57.999367999999997</v>
      </c>
      <c r="G203">
        <v>50.019038000000002</v>
      </c>
      <c r="H203">
        <v>50.578207999999997</v>
      </c>
      <c r="I203"/>
      <c r="N203"/>
      <c r="O203"/>
      <c r="P203" s="1">
        <f t="shared" si="31"/>
        <v>97.801877032520338</v>
      </c>
      <c r="Q203" s="1">
        <f t="shared" si="32"/>
        <v>98.92410670731708</v>
      </c>
      <c r="R203" s="1">
        <f t="shared" si="33"/>
        <v>100.53238197206078</v>
      </c>
      <c r="S203" s="1">
        <f t="shared" si="34"/>
        <v>85.22831014729951</v>
      </c>
    </row>
    <row r="204" spans="1:19" x14ac:dyDescent="0.3">
      <c r="A204">
        <v>4736.8</v>
      </c>
      <c r="B204">
        <v>95.459219000000004</v>
      </c>
      <c r="C204">
        <v>96.58896</v>
      </c>
      <c r="D204">
        <v>97.828664000000003</v>
      </c>
      <c r="E204">
        <v>82.361161999999993</v>
      </c>
      <c r="F204">
        <v>58.023175999999999</v>
      </c>
      <c r="G204">
        <v>50.019038000000002</v>
      </c>
      <c r="H204">
        <v>50.578207999999997</v>
      </c>
      <c r="I204"/>
      <c r="N204"/>
      <c r="O204"/>
      <c r="P204" s="1">
        <f t="shared" si="31"/>
        <v>97.783766260162608</v>
      </c>
      <c r="Q204" s="1">
        <f t="shared" si="32"/>
        <v>98.956967479674802</v>
      </c>
      <c r="R204" s="1">
        <f t="shared" si="33"/>
        <v>100.57095340063219</v>
      </c>
      <c r="S204" s="1">
        <f t="shared" si="34"/>
        <v>85.255214811783972</v>
      </c>
    </row>
    <row r="205" spans="1:19" x14ac:dyDescent="0.3">
      <c r="A205">
        <v>4737</v>
      </c>
      <c r="B205">
        <v>95.459219000000004</v>
      </c>
      <c r="C205">
        <v>96.58896</v>
      </c>
      <c r="D205">
        <v>97.828664000000003</v>
      </c>
      <c r="E205">
        <v>82.361161999999993</v>
      </c>
      <c r="F205">
        <v>58.023175999999999</v>
      </c>
      <c r="G205">
        <v>50.006082999999997</v>
      </c>
      <c r="H205">
        <v>50.538690000000003</v>
      </c>
      <c r="I205" t="s">
        <v>56</v>
      </c>
      <c r="N205"/>
      <c r="O205"/>
      <c r="P205" s="1">
        <f t="shared" si="31"/>
        <v>97.783766260162608</v>
      </c>
      <c r="Q205" s="1">
        <f t="shared" si="32"/>
        <v>98.956967479674802</v>
      </c>
      <c r="R205" s="1">
        <f t="shared" si="33"/>
        <v>100.57095340063219</v>
      </c>
      <c r="S205" s="1">
        <f t="shared" si="34"/>
        <v>85.255214811783972</v>
      </c>
    </row>
    <row r="206" spans="1:19" x14ac:dyDescent="0.3">
      <c r="A206">
        <v>4737.2</v>
      </c>
      <c r="B206">
        <v>95.471075999999996</v>
      </c>
      <c r="C206">
        <v>96.586539000000002</v>
      </c>
      <c r="D206">
        <v>97.821054000000004</v>
      </c>
      <c r="E206">
        <v>82.398897000000005</v>
      </c>
      <c r="F206">
        <v>58.106592999999997</v>
      </c>
      <c r="G206">
        <v>50.006082999999997</v>
      </c>
      <c r="H206">
        <v>50.538690000000003</v>
      </c>
      <c r="I206"/>
      <c r="N206"/>
      <c r="O206"/>
      <c r="P206" s="1">
        <f t="shared" si="31"/>
        <v>97.794267276422772</v>
      </c>
      <c r="Q206" s="1">
        <f t="shared" si="32"/>
        <v>98.919939024390246</v>
      </c>
      <c r="R206" s="1">
        <f t="shared" si="33"/>
        <v>100.54550831039053</v>
      </c>
      <c r="S206" s="1">
        <f t="shared" si="34"/>
        <v>85.221647913256959</v>
      </c>
    </row>
    <row r="207" spans="1:19" x14ac:dyDescent="0.3">
      <c r="A207">
        <v>4737.3999999999996</v>
      </c>
      <c r="B207">
        <v>95.471075999999996</v>
      </c>
      <c r="C207">
        <v>96.586539000000002</v>
      </c>
      <c r="D207">
        <v>97.821054000000004</v>
      </c>
      <c r="E207">
        <v>82.398897000000005</v>
      </c>
      <c r="F207">
        <v>58.106592999999997</v>
      </c>
      <c r="G207">
        <v>50.007429000000002</v>
      </c>
      <c r="H207">
        <v>50.546042999999997</v>
      </c>
      <c r="I207"/>
      <c r="N207"/>
      <c r="O207"/>
      <c r="P207" s="1">
        <f t="shared" si="31"/>
        <v>97.794267276422772</v>
      </c>
      <c r="Q207" s="1">
        <f t="shared" si="32"/>
        <v>98.919939024390246</v>
      </c>
      <c r="R207" s="1">
        <f t="shared" si="33"/>
        <v>100.54550831039053</v>
      </c>
      <c r="S207" s="1">
        <f t="shared" si="34"/>
        <v>85.221647913256959</v>
      </c>
    </row>
    <row r="208" spans="1:19" x14ac:dyDescent="0.3">
      <c r="A208">
        <v>4737.6000000000004</v>
      </c>
      <c r="B208">
        <v>95.437899999999999</v>
      </c>
      <c r="C208">
        <v>96.569626999999997</v>
      </c>
      <c r="D208">
        <v>97.803548000000006</v>
      </c>
      <c r="E208">
        <v>82.479049000000003</v>
      </c>
      <c r="F208">
        <v>57.975924999999997</v>
      </c>
      <c r="G208">
        <v>50.007429000000002</v>
      </c>
      <c r="H208">
        <v>50.546042999999997</v>
      </c>
      <c r="I208"/>
      <c r="N208"/>
      <c r="O208"/>
      <c r="P208" s="1">
        <f t="shared" si="31"/>
        <v>97.811431910569112</v>
      </c>
      <c r="Q208" s="1">
        <f t="shared" si="32"/>
        <v>98.949387195121957</v>
      </c>
      <c r="R208" s="1">
        <f t="shared" si="33"/>
        <v>100.57675435913123</v>
      </c>
      <c r="S208" s="1">
        <f t="shared" si="34"/>
        <v>85.251584492635018</v>
      </c>
    </row>
    <row r="209" spans="1:19" x14ac:dyDescent="0.3">
      <c r="A209">
        <v>4737.8</v>
      </c>
      <c r="B209">
        <v>95.437899999999999</v>
      </c>
      <c r="C209">
        <v>96.569626999999997</v>
      </c>
      <c r="D209">
        <v>97.803548000000006</v>
      </c>
      <c r="E209">
        <v>82.479049000000003</v>
      </c>
      <c r="F209">
        <v>57.975924999999997</v>
      </c>
      <c r="G209">
        <v>49.990354000000004</v>
      </c>
      <c r="H209">
        <v>50.547918000000003</v>
      </c>
      <c r="I209"/>
      <c r="N209"/>
      <c r="O209"/>
      <c r="P209" s="1">
        <f t="shared" si="31"/>
        <v>97.811431910569112</v>
      </c>
      <c r="Q209" s="1">
        <f t="shared" si="32"/>
        <v>98.949387195121957</v>
      </c>
      <c r="R209" s="1">
        <f t="shared" si="33"/>
        <v>100.57675435913123</v>
      </c>
      <c r="S209" s="1">
        <f t="shared" si="34"/>
        <v>85.251584492635018</v>
      </c>
    </row>
    <row r="210" spans="1:19" x14ac:dyDescent="0.3">
      <c r="A210">
        <v>4738</v>
      </c>
      <c r="B210">
        <v>95.458388999999997</v>
      </c>
      <c r="C210">
        <v>96.586310999999995</v>
      </c>
      <c r="D210">
        <v>97.818115000000006</v>
      </c>
      <c r="E210">
        <v>82.479371</v>
      </c>
      <c r="F210">
        <v>57.824075999999998</v>
      </c>
      <c r="G210">
        <v>49.990354000000004</v>
      </c>
      <c r="H210">
        <v>50.547918000000003</v>
      </c>
      <c r="I210" t="s">
        <v>56</v>
      </c>
      <c r="N210"/>
      <c r="O210"/>
      <c r="P210" s="1">
        <f t="shared" si="31"/>
        <v>97.812494918699187</v>
      </c>
      <c r="Q210" s="1">
        <f t="shared" si="32"/>
        <v>98.96338211382114</v>
      </c>
      <c r="R210" s="1">
        <f t="shared" si="33"/>
        <v>100.54831446925665</v>
      </c>
      <c r="S210" s="1">
        <f t="shared" si="34"/>
        <v>85.208159779050732</v>
      </c>
    </row>
    <row r="211" spans="1:19" x14ac:dyDescent="0.3">
      <c r="A211">
        <v>4738.2</v>
      </c>
      <c r="B211">
        <v>95.458388999999997</v>
      </c>
      <c r="C211">
        <v>96.586310999999995</v>
      </c>
      <c r="D211">
        <v>97.818115000000006</v>
      </c>
      <c r="E211">
        <v>82.479371</v>
      </c>
      <c r="F211">
        <v>57.824075999999998</v>
      </c>
      <c r="G211">
        <v>49.999778999999997</v>
      </c>
      <c r="H211">
        <v>50.539551000000003</v>
      </c>
      <c r="I211"/>
      <c r="N211"/>
      <c r="O211"/>
      <c r="P211" s="1">
        <f t="shared" si="31"/>
        <v>97.812494918699187</v>
      </c>
      <c r="Q211" s="1">
        <f t="shared" si="32"/>
        <v>98.96338211382114</v>
      </c>
      <c r="R211" s="1">
        <f t="shared" si="33"/>
        <v>100.54831446925665</v>
      </c>
      <c r="S211" s="1">
        <f t="shared" si="34"/>
        <v>85.208159779050732</v>
      </c>
    </row>
    <row r="212" spans="1:19" x14ac:dyDescent="0.3">
      <c r="A212">
        <v>4738.3999999999996</v>
      </c>
      <c r="B212">
        <v>95.474650999999994</v>
      </c>
      <c r="C212">
        <v>96.588761000000005</v>
      </c>
      <c r="D212">
        <v>97.814901000000006</v>
      </c>
      <c r="E212">
        <v>82.384276999999997</v>
      </c>
      <c r="F212">
        <v>57.800592000000002</v>
      </c>
      <c r="G212">
        <v>49.999778999999997</v>
      </c>
      <c r="H212">
        <v>50.539551000000003</v>
      </c>
      <c r="I212"/>
      <c r="N212"/>
      <c r="O212"/>
      <c r="P212" s="1">
        <f t="shared" si="31"/>
        <v>97.813569105691059</v>
      </c>
      <c r="Q212" s="1">
        <f t="shared" si="32"/>
        <v>98.935139227642281</v>
      </c>
      <c r="R212" s="1">
        <f t="shared" si="33"/>
        <v>100.55031202202508</v>
      </c>
      <c r="S212" s="1">
        <f t="shared" si="34"/>
        <v>85.231241816693938</v>
      </c>
    </row>
    <row r="213" spans="1:19" x14ac:dyDescent="0.3">
      <c r="A213">
        <v>4738.6000000000004</v>
      </c>
      <c r="B213">
        <v>95.474650999999994</v>
      </c>
      <c r="C213">
        <v>96.588761000000005</v>
      </c>
      <c r="D213">
        <v>97.814901000000006</v>
      </c>
      <c r="E213">
        <v>82.384276999999997</v>
      </c>
      <c r="F213">
        <v>57.800592000000002</v>
      </c>
      <c r="G213">
        <v>50.002499999999998</v>
      </c>
      <c r="H213">
        <v>50.554513999999998</v>
      </c>
      <c r="I213"/>
      <c r="N213"/>
      <c r="O213"/>
      <c r="P213" s="1">
        <f t="shared" si="31"/>
        <v>97.813569105691059</v>
      </c>
      <c r="Q213" s="1">
        <f t="shared" si="32"/>
        <v>98.935139227642281</v>
      </c>
      <c r="R213" s="1">
        <f t="shared" si="33"/>
        <v>100.55031202202508</v>
      </c>
      <c r="S213" s="1">
        <f t="shared" si="34"/>
        <v>85.231241816693938</v>
      </c>
    </row>
    <row r="214" spans="1:19" x14ac:dyDescent="0.3">
      <c r="A214">
        <v>4738.8</v>
      </c>
      <c r="B214">
        <v>95.483435999999998</v>
      </c>
      <c r="C214">
        <v>96.577123</v>
      </c>
      <c r="D214">
        <v>97.821179999999998</v>
      </c>
      <c r="E214">
        <v>82.294786999999999</v>
      </c>
      <c r="F214">
        <v>57.401274999999998</v>
      </c>
      <c r="G214">
        <v>50.002499999999998</v>
      </c>
      <c r="H214">
        <v>50.554513999999998</v>
      </c>
      <c r="I214"/>
      <c r="N214"/>
      <c r="O214"/>
      <c r="P214" s="1">
        <f t="shared" si="31"/>
        <v>97.795956300813017</v>
      </c>
      <c r="Q214" s="1">
        <f t="shared" si="32"/>
        <v>98.946797764227654</v>
      </c>
      <c r="R214" s="1">
        <f t="shared" si="33"/>
        <v>100.5596471907821</v>
      </c>
      <c r="S214" s="1">
        <f t="shared" si="34"/>
        <v>85.228833878887073</v>
      </c>
    </row>
    <row r="215" spans="1:19" x14ac:dyDescent="0.3">
      <c r="A215">
        <v>4739</v>
      </c>
      <c r="B215">
        <v>95.483435999999998</v>
      </c>
      <c r="C215">
        <v>96.577123</v>
      </c>
      <c r="D215">
        <v>97.821179999999998</v>
      </c>
      <c r="E215">
        <v>82.294786999999999</v>
      </c>
      <c r="F215">
        <v>57.401274999999998</v>
      </c>
      <c r="G215">
        <v>50.014234999999999</v>
      </c>
      <c r="H215">
        <v>50.557234999999999</v>
      </c>
      <c r="I215" t="s">
        <v>56</v>
      </c>
      <c r="N215"/>
      <c r="O215"/>
      <c r="P215" s="1">
        <f t="shared" si="31"/>
        <v>97.795956300813017</v>
      </c>
      <c r="Q215" s="1">
        <f t="shared" si="32"/>
        <v>98.946797764227654</v>
      </c>
      <c r="R215" s="1">
        <f t="shared" si="33"/>
        <v>100.5596471907821</v>
      </c>
      <c r="S215" s="1">
        <f t="shared" si="34"/>
        <v>85.228833878887073</v>
      </c>
    </row>
    <row r="216" spans="1:19" x14ac:dyDescent="0.3">
      <c r="A216">
        <v>4739.2</v>
      </c>
      <c r="B216">
        <v>95.457496000000006</v>
      </c>
      <c r="C216">
        <v>96.574737999999996</v>
      </c>
      <c r="D216">
        <v>97.810215999999997</v>
      </c>
      <c r="E216">
        <v>82.367750999999998</v>
      </c>
      <c r="F216">
        <v>57.475158999999998</v>
      </c>
      <c r="G216">
        <v>50.014234999999999</v>
      </c>
      <c r="H216">
        <v>50.557234999999999</v>
      </c>
      <c r="I216"/>
      <c r="N216"/>
      <c r="O216"/>
      <c r="P216" s="1">
        <f t="shared" si="31"/>
        <v>97.794651422764233</v>
      </c>
      <c r="Q216" s="1">
        <f t="shared" si="32"/>
        <v>98.954492886178869</v>
      </c>
      <c r="R216" s="1">
        <f t="shared" si="33"/>
        <v>100.57655042316712</v>
      </c>
      <c r="S216" s="1">
        <f t="shared" si="34"/>
        <v>85.254361702127653</v>
      </c>
    </row>
    <row r="217" spans="1:19" x14ac:dyDescent="0.3">
      <c r="A217">
        <v>4739.3999999999996</v>
      </c>
      <c r="B217">
        <v>95.457496000000006</v>
      </c>
      <c r="C217">
        <v>96.574737999999996</v>
      </c>
      <c r="D217">
        <v>97.810215999999997</v>
      </c>
      <c r="E217">
        <v>82.367750999999998</v>
      </c>
      <c r="F217">
        <v>57.475158999999998</v>
      </c>
      <c r="G217">
        <v>49.992883999999997</v>
      </c>
      <c r="H217">
        <v>50.566386999999999</v>
      </c>
      <c r="I217"/>
      <c r="N217"/>
      <c r="O217"/>
      <c r="P217" s="1">
        <f t="shared" si="31"/>
        <v>97.794651422764233</v>
      </c>
      <c r="Q217" s="1">
        <f t="shared" si="32"/>
        <v>98.954492886178869</v>
      </c>
      <c r="R217" s="1">
        <f t="shared" si="33"/>
        <v>100.57655042316712</v>
      </c>
      <c r="S217" s="1">
        <f t="shared" si="34"/>
        <v>85.254361702127653</v>
      </c>
    </row>
    <row r="218" spans="1:19" x14ac:dyDescent="0.3">
      <c r="A218">
        <v>4739.6000000000004</v>
      </c>
      <c r="B218">
        <v>95.453519</v>
      </c>
      <c r="C218">
        <v>96.588924000000006</v>
      </c>
      <c r="D218">
        <v>97.822297000000006</v>
      </c>
      <c r="E218">
        <v>82.335346999999999</v>
      </c>
      <c r="F218">
        <v>57.978887999999998</v>
      </c>
      <c r="G218">
        <v>49.992883999999997</v>
      </c>
      <c r="H218">
        <v>50.566386999999999</v>
      </c>
      <c r="I218"/>
      <c r="N218"/>
      <c r="O218"/>
      <c r="P218" s="1">
        <f t="shared" si="31"/>
        <v>97.815997967479689</v>
      </c>
      <c r="Q218" s="1">
        <f t="shared" si="32"/>
        <v>98.953965447154488</v>
      </c>
      <c r="R218" s="1">
        <f t="shared" si="33"/>
        <v>100.56957071479556</v>
      </c>
      <c r="S218" s="1">
        <f t="shared" si="34"/>
        <v>85.266221358428794</v>
      </c>
    </row>
    <row r="219" spans="1:19" x14ac:dyDescent="0.3">
      <c r="A219">
        <v>4739.8</v>
      </c>
      <c r="B219">
        <v>95.453519</v>
      </c>
      <c r="C219">
        <v>96.588924000000006</v>
      </c>
      <c r="D219">
        <v>97.822297000000006</v>
      </c>
      <c r="E219">
        <v>82.335346999999999</v>
      </c>
      <c r="F219">
        <v>57.978887999999998</v>
      </c>
      <c r="G219">
        <v>49.995348</v>
      </c>
      <c r="H219">
        <v>50.560071999999998</v>
      </c>
      <c r="I219"/>
      <c r="N219"/>
      <c r="O219"/>
      <c r="P219" s="1">
        <f t="shared" si="31"/>
        <v>97.815997967479689</v>
      </c>
      <c r="Q219" s="1">
        <f t="shared" si="32"/>
        <v>98.953965447154488</v>
      </c>
      <c r="R219" s="1">
        <f t="shared" si="33"/>
        <v>100.56957071479556</v>
      </c>
      <c r="S219" s="1">
        <f t="shared" si="34"/>
        <v>85.266221358428794</v>
      </c>
    </row>
    <row r="220" spans="1:19" x14ac:dyDescent="0.3">
      <c r="A220">
        <v>4740</v>
      </c>
      <c r="B220">
        <v>95.459333000000001</v>
      </c>
      <c r="C220">
        <v>96.584531999999996</v>
      </c>
      <c r="D220">
        <v>97.813631999999998</v>
      </c>
      <c r="E220">
        <v>82.347825</v>
      </c>
      <c r="F220">
        <v>57.919705999999998</v>
      </c>
      <c r="G220">
        <v>49.995348</v>
      </c>
      <c r="H220">
        <v>50.560071999999998</v>
      </c>
      <c r="I220" t="s">
        <v>56</v>
      </c>
      <c r="N220"/>
      <c r="O220"/>
      <c r="P220" s="1">
        <f t="shared" si="31"/>
        <v>97.800982723577249</v>
      </c>
      <c r="Q220" s="1">
        <f t="shared" si="32"/>
        <v>98.942603658536584</v>
      </c>
      <c r="R220" s="1">
        <f t="shared" si="33"/>
        <v>100.56514020597533</v>
      </c>
      <c r="S220" s="1">
        <f t="shared" si="34"/>
        <v>85.187521481178393</v>
      </c>
    </row>
    <row r="221" spans="1:19" x14ac:dyDescent="0.3">
      <c r="A221">
        <v>4740.2</v>
      </c>
      <c r="B221">
        <v>95.459333000000001</v>
      </c>
      <c r="C221">
        <v>96.584531999999996</v>
      </c>
      <c r="D221">
        <v>97.813631999999998</v>
      </c>
      <c r="E221">
        <v>82.347825</v>
      </c>
      <c r="F221">
        <v>57.919705999999998</v>
      </c>
      <c r="G221">
        <v>50.000512000000001</v>
      </c>
      <c r="H221">
        <v>50.589027999999999</v>
      </c>
      <c r="I221"/>
      <c r="N221"/>
      <c r="O221"/>
      <c r="P221" s="1">
        <f t="shared" si="31"/>
        <v>97.800982723577249</v>
      </c>
      <c r="Q221" s="1">
        <f t="shared" si="32"/>
        <v>98.942603658536584</v>
      </c>
      <c r="R221" s="1">
        <f t="shared" si="33"/>
        <v>100.56514020597533</v>
      </c>
      <c r="S221" s="1">
        <f t="shared" si="34"/>
        <v>85.187521481178393</v>
      </c>
    </row>
    <row r="222" spans="1:19" x14ac:dyDescent="0.3">
      <c r="A222">
        <v>4740.3999999999996</v>
      </c>
      <c r="B222">
        <v>95.45917</v>
      </c>
      <c r="C222">
        <v>96.565966000000003</v>
      </c>
      <c r="D222">
        <v>97.822511000000006</v>
      </c>
      <c r="E222">
        <v>82.305520999999999</v>
      </c>
      <c r="F222">
        <v>58.004041000000001</v>
      </c>
      <c r="G222">
        <v>50.000512000000001</v>
      </c>
      <c r="H222">
        <v>50.589027999999999</v>
      </c>
      <c r="I222"/>
      <c r="N222"/>
      <c r="O222"/>
      <c r="P222" s="1">
        <f t="shared" si="31"/>
        <v>97.810690040650414</v>
      </c>
      <c r="Q222" s="1">
        <f t="shared" si="32"/>
        <v>98.958800813008139</v>
      </c>
      <c r="R222" s="1">
        <f t="shared" si="33"/>
        <v>100.58016110941165</v>
      </c>
      <c r="S222" s="1">
        <f t="shared" si="34"/>
        <v>85.193291734860878</v>
      </c>
    </row>
    <row r="223" spans="1:19" x14ac:dyDescent="0.3">
      <c r="A223">
        <v>4740.6000000000004</v>
      </c>
      <c r="B223">
        <v>95.45917</v>
      </c>
      <c r="C223">
        <v>96.565966000000003</v>
      </c>
      <c r="D223">
        <v>97.822511000000006</v>
      </c>
      <c r="E223">
        <v>82.305520999999999</v>
      </c>
      <c r="F223">
        <v>58.004041000000001</v>
      </c>
      <c r="G223">
        <v>50.017009000000002</v>
      </c>
      <c r="H223">
        <v>50.610138999999997</v>
      </c>
      <c r="I223"/>
      <c r="N223"/>
      <c r="O223"/>
      <c r="P223" s="1">
        <f t="shared" si="31"/>
        <v>97.810690040650414</v>
      </c>
      <c r="Q223" s="1">
        <f t="shared" si="32"/>
        <v>98.958800813008139</v>
      </c>
      <c r="R223" s="1">
        <f t="shared" si="33"/>
        <v>100.58016110941165</v>
      </c>
      <c r="S223" s="1">
        <f t="shared" si="34"/>
        <v>85.193291734860878</v>
      </c>
    </row>
    <row r="224" spans="1:19" x14ac:dyDescent="0.3">
      <c r="A224">
        <v>4740.8</v>
      </c>
      <c r="B224">
        <v>95.451303999999993</v>
      </c>
      <c r="C224">
        <v>96.576252999999994</v>
      </c>
      <c r="D224">
        <v>97.802454999999995</v>
      </c>
      <c r="E224">
        <v>82.272857000000002</v>
      </c>
      <c r="F224">
        <v>57.991509999999998</v>
      </c>
      <c r="G224">
        <v>50.017009000000002</v>
      </c>
      <c r="H224">
        <v>50.610138999999997</v>
      </c>
      <c r="I224"/>
      <c r="N224"/>
      <c r="O224"/>
      <c r="P224" s="1">
        <f t="shared" si="31"/>
        <v>97.822739837398373</v>
      </c>
      <c r="Q224" s="1">
        <f t="shared" si="32"/>
        <v>98.956340447154474</v>
      </c>
      <c r="R224" s="1">
        <f t="shared" si="33"/>
        <v>100.57240134597737</v>
      </c>
      <c r="S224" s="1">
        <f t="shared" si="34"/>
        <v>85.231891366612118</v>
      </c>
    </row>
    <row r="225" spans="1:19" x14ac:dyDescent="0.3">
      <c r="A225">
        <v>5597</v>
      </c>
      <c r="B225">
        <v>102.03559</v>
      </c>
      <c r="C225">
        <v>103.56817599999999</v>
      </c>
      <c r="D225">
        <v>105.19007999999999</v>
      </c>
      <c r="E225">
        <v>85.631505000000004</v>
      </c>
      <c r="F225">
        <v>63.914797</v>
      </c>
      <c r="G225">
        <v>50.034883999999998</v>
      </c>
      <c r="H225">
        <v>50.805413000000001</v>
      </c>
      <c r="I225" t="s">
        <v>56</v>
      </c>
      <c r="N225"/>
      <c r="O225"/>
      <c r="P225" s="1">
        <f t="shared" si="31"/>
        <v>97.822739837398373</v>
      </c>
      <c r="Q225" s="1">
        <f t="shared" si="32"/>
        <v>98.956340447154474</v>
      </c>
      <c r="R225" s="1">
        <f t="shared" si="33"/>
        <v>100.57240134597737</v>
      </c>
      <c r="S225" s="1">
        <f t="shared" si="34"/>
        <v>85.231891366612118</v>
      </c>
    </row>
    <row r="226" spans="1:19" x14ac:dyDescent="0.3">
      <c r="A226">
        <v>5597.2</v>
      </c>
      <c r="B226">
        <v>102.044366</v>
      </c>
      <c r="C226">
        <v>103.586781</v>
      </c>
      <c r="D226">
        <v>105.23378599999999</v>
      </c>
      <c r="E226">
        <v>85.580049000000002</v>
      </c>
      <c r="F226">
        <v>63.986803000000002</v>
      </c>
      <c r="G226">
        <v>50.043947000000003</v>
      </c>
      <c r="H226">
        <v>50.827174999999997</v>
      </c>
      <c r="I226"/>
      <c r="N226"/>
      <c r="O226"/>
      <c r="P226" s="1">
        <f t="shared" si="31"/>
        <v>97.78902439024391</v>
      </c>
      <c r="Q226" s="1">
        <f t="shared" si="32"/>
        <v>98.939153455284554</v>
      </c>
      <c r="R226" s="1">
        <f t="shared" si="33"/>
        <v>100.55455083103905</v>
      </c>
      <c r="S226" s="1">
        <f t="shared" si="34"/>
        <v>85.31387990998364</v>
      </c>
    </row>
    <row r="227" spans="1:19" x14ac:dyDescent="0.3">
      <c r="A227">
        <v>5597.4</v>
      </c>
      <c r="B227">
        <v>102.044366</v>
      </c>
      <c r="C227">
        <v>103.586781</v>
      </c>
      <c r="D227">
        <v>105.23378599999999</v>
      </c>
      <c r="E227">
        <v>85.580049000000002</v>
      </c>
      <c r="F227">
        <v>63.986803000000002</v>
      </c>
      <c r="G227">
        <v>50.043947000000003</v>
      </c>
      <c r="H227">
        <v>50.827174999999997</v>
      </c>
      <c r="I227"/>
      <c r="N227"/>
      <c r="O227"/>
      <c r="P227" s="1">
        <f t="shared" si="31"/>
        <v>97.78902439024391</v>
      </c>
      <c r="Q227" s="1">
        <f t="shared" si="32"/>
        <v>98.939153455284554</v>
      </c>
      <c r="R227" s="1">
        <f t="shared" si="33"/>
        <v>100.55455083103905</v>
      </c>
      <c r="S227" s="1">
        <f t="shared" si="34"/>
        <v>85.31387990998364</v>
      </c>
    </row>
    <row r="228" spans="1:19" x14ac:dyDescent="0.3">
      <c r="A228">
        <v>5597.6</v>
      </c>
      <c r="B228">
        <v>102.04713099999999</v>
      </c>
      <c r="C228">
        <v>103.55832599999999</v>
      </c>
      <c r="D228">
        <v>105.227698</v>
      </c>
      <c r="E228">
        <v>85.422387999999998</v>
      </c>
      <c r="F228">
        <v>64.208725000000001</v>
      </c>
      <c r="G228">
        <v>50.016061000000001</v>
      </c>
      <c r="H228">
        <v>50.834181999999998</v>
      </c>
      <c r="I228"/>
      <c r="N228"/>
      <c r="O228"/>
      <c r="P228" s="1">
        <f t="shared" si="31"/>
        <v>97.809846544715455</v>
      </c>
      <c r="Q228" s="1">
        <f t="shared" si="32"/>
        <v>98.956108739837404</v>
      </c>
      <c r="R228" s="1">
        <f t="shared" si="33"/>
        <v>100.56940450698481</v>
      </c>
      <c r="S228" s="1">
        <f t="shared" si="34"/>
        <v>85.314209288052368</v>
      </c>
    </row>
    <row r="229" spans="1:19" x14ac:dyDescent="0.3">
      <c r="A229">
        <v>5597.8</v>
      </c>
      <c r="B229">
        <v>102.04713099999999</v>
      </c>
      <c r="C229">
        <v>103.55832599999999</v>
      </c>
      <c r="D229">
        <v>105.227698</v>
      </c>
      <c r="E229">
        <v>85.422387999999998</v>
      </c>
      <c r="F229">
        <v>64.208725000000001</v>
      </c>
      <c r="G229">
        <v>50.016061000000001</v>
      </c>
      <c r="H229">
        <v>50.834181999999998</v>
      </c>
      <c r="I229"/>
      <c r="N229"/>
      <c r="O229"/>
      <c r="P229" s="1">
        <f t="shared" si="31"/>
        <v>97.809846544715455</v>
      </c>
      <c r="Q229" s="1">
        <f t="shared" si="32"/>
        <v>98.956108739837404</v>
      </c>
      <c r="R229" s="1">
        <f t="shared" si="33"/>
        <v>100.56940450698481</v>
      </c>
      <c r="S229" s="1">
        <f t="shared" si="34"/>
        <v>85.314209288052368</v>
      </c>
    </row>
    <row r="230" spans="1:19" x14ac:dyDescent="0.3">
      <c r="A230">
        <v>5598</v>
      </c>
      <c r="B230">
        <v>102.040543</v>
      </c>
      <c r="C230">
        <v>103.569497</v>
      </c>
      <c r="D230">
        <v>105.234054</v>
      </c>
      <c r="E230">
        <v>85.386724000000001</v>
      </c>
      <c r="F230">
        <v>63.943956</v>
      </c>
      <c r="G230">
        <v>50.016164000000003</v>
      </c>
      <c r="H230">
        <v>50.826433000000002</v>
      </c>
      <c r="I230" t="s">
        <v>56</v>
      </c>
      <c r="N230"/>
      <c r="O230"/>
      <c r="P230" s="1">
        <f t="shared" si="31"/>
        <v>97.826372967479671</v>
      </c>
      <c r="Q230" s="1">
        <f t="shared" si="32"/>
        <v>98.958598577235776</v>
      </c>
      <c r="R230" s="1">
        <f t="shared" si="33"/>
        <v>100.56612725604161</v>
      </c>
      <c r="S230" s="1">
        <f t="shared" si="34"/>
        <v>85.216936374795409</v>
      </c>
    </row>
    <row r="231" spans="1:19" x14ac:dyDescent="0.3">
      <c r="A231">
        <v>5598.2</v>
      </c>
      <c r="B231">
        <v>102.040543</v>
      </c>
      <c r="C231">
        <v>103.569497</v>
      </c>
      <c r="D231">
        <v>105.234054</v>
      </c>
      <c r="E231">
        <v>85.386724000000001</v>
      </c>
      <c r="F231">
        <v>63.943956</v>
      </c>
      <c r="G231">
        <v>50.016164000000003</v>
      </c>
      <c r="H231">
        <v>50.826433000000002</v>
      </c>
      <c r="I231"/>
      <c r="N231"/>
      <c r="O231"/>
      <c r="P231" s="1">
        <f t="shared" si="31"/>
        <v>97.826372967479671</v>
      </c>
      <c r="Q231" s="1">
        <f t="shared" si="32"/>
        <v>98.958598577235776</v>
      </c>
      <c r="R231" s="1">
        <f t="shared" si="33"/>
        <v>100.56612725604161</v>
      </c>
      <c r="S231" s="1">
        <f t="shared" si="34"/>
        <v>85.216936374795409</v>
      </c>
    </row>
    <row r="232" spans="1:19" x14ac:dyDescent="0.3">
      <c r="A232">
        <v>5598.4</v>
      </c>
      <c r="B232">
        <v>102.032197</v>
      </c>
      <c r="C232">
        <v>103.575259</v>
      </c>
      <c r="D232">
        <v>105.231847</v>
      </c>
      <c r="E232">
        <v>85.432096999999999</v>
      </c>
      <c r="F232">
        <v>63.842607000000001</v>
      </c>
      <c r="G232">
        <v>50.036836000000001</v>
      </c>
      <c r="H232">
        <v>50.817990000000002</v>
      </c>
      <c r="I232"/>
      <c r="N232"/>
      <c r="O232"/>
      <c r="P232" s="1">
        <f t="shared" si="31"/>
        <v>97.835300813008132</v>
      </c>
      <c r="Q232" s="1">
        <f t="shared" si="32"/>
        <v>98.946771341463418</v>
      </c>
      <c r="R232" s="1">
        <f t="shared" si="33"/>
        <v>100.57252982563475</v>
      </c>
      <c r="S232" s="1">
        <f t="shared" si="34"/>
        <v>85.125395867430441</v>
      </c>
    </row>
    <row r="233" spans="1:19" x14ac:dyDescent="0.3">
      <c r="A233">
        <v>5598.6</v>
      </c>
      <c r="B233">
        <v>102.032197</v>
      </c>
      <c r="C233">
        <v>103.575259</v>
      </c>
      <c r="D233">
        <v>105.231847</v>
      </c>
      <c r="E233">
        <v>85.432096999999999</v>
      </c>
      <c r="F233">
        <v>63.842607000000001</v>
      </c>
      <c r="G233">
        <v>50.036836000000001</v>
      </c>
      <c r="H233">
        <v>50.817990000000002</v>
      </c>
      <c r="I233"/>
      <c r="N233"/>
      <c r="O233"/>
      <c r="P233" s="1">
        <f t="shared" si="31"/>
        <v>97.835300813008132</v>
      </c>
      <c r="Q233" s="1">
        <f t="shared" si="32"/>
        <v>98.946771341463418</v>
      </c>
      <c r="R233" s="1">
        <f t="shared" si="33"/>
        <v>100.57252982563475</v>
      </c>
      <c r="S233" s="1">
        <f t="shared" si="34"/>
        <v>85.125395867430441</v>
      </c>
    </row>
    <row r="234" spans="1:19" x14ac:dyDescent="0.3">
      <c r="A234">
        <v>5598.8</v>
      </c>
      <c r="B234">
        <v>102.03844599999999</v>
      </c>
      <c r="C234">
        <v>103.57559999999999</v>
      </c>
      <c r="D234">
        <v>105.231279</v>
      </c>
      <c r="E234">
        <v>85.363343999999998</v>
      </c>
      <c r="F234">
        <v>63.786605000000002</v>
      </c>
      <c r="G234">
        <v>50.057248999999999</v>
      </c>
      <c r="H234">
        <v>50.825918999999999</v>
      </c>
      <c r="I234"/>
      <c r="N234"/>
      <c r="O234"/>
      <c r="P234" s="1">
        <f t="shared" si="31"/>
        <v>97.808939024390256</v>
      </c>
      <c r="Q234" s="1">
        <f t="shared" si="32"/>
        <v>98.944347560975615</v>
      </c>
      <c r="R234" s="1">
        <f t="shared" si="33"/>
        <v>100.56135005608239</v>
      </c>
      <c r="S234" s="1">
        <f t="shared" si="34"/>
        <v>85.200031710310967</v>
      </c>
    </row>
    <row r="235" spans="1:19" x14ac:dyDescent="0.3">
      <c r="A235">
        <v>5599</v>
      </c>
      <c r="B235">
        <v>102.03844599999999</v>
      </c>
      <c r="C235">
        <v>103.57559999999999</v>
      </c>
      <c r="D235">
        <v>105.231279</v>
      </c>
      <c r="E235">
        <v>85.363343999999998</v>
      </c>
      <c r="F235">
        <v>63.786605000000002</v>
      </c>
      <c r="G235">
        <v>50.057248999999999</v>
      </c>
      <c r="H235">
        <v>50.825918999999999</v>
      </c>
      <c r="I235" t="s">
        <v>56</v>
      </c>
      <c r="N235"/>
      <c r="O235"/>
      <c r="P235" s="1">
        <f t="shared" si="31"/>
        <v>97.808939024390256</v>
      </c>
      <c r="Q235" s="1">
        <f t="shared" si="32"/>
        <v>98.944347560975615</v>
      </c>
      <c r="R235" s="1">
        <f t="shared" si="33"/>
        <v>100.56135005608239</v>
      </c>
      <c r="S235" s="1">
        <f t="shared" si="34"/>
        <v>85.200031710310967</v>
      </c>
    </row>
    <row r="236" spans="1:19" x14ac:dyDescent="0.3">
      <c r="A236">
        <v>5599.2</v>
      </c>
      <c r="B236">
        <v>102.01841</v>
      </c>
      <c r="C236">
        <v>103.58376800000001</v>
      </c>
      <c r="D236">
        <v>105.226022</v>
      </c>
      <c r="E236">
        <v>85.408169000000001</v>
      </c>
      <c r="F236">
        <v>63.338977</v>
      </c>
      <c r="G236">
        <v>50.033883000000003</v>
      </c>
      <c r="H236">
        <v>50.819426999999997</v>
      </c>
      <c r="I236"/>
      <c r="N236"/>
      <c r="O236"/>
      <c r="P236" s="1">
        <f t="shared" ref="P236:P299" si="35">(B218+Q$36)/P$36</f>
        <v>97.804897357723576</v>
      </c>
      <c r="Q236" s="1">
        <f t="shared" ref="Q236:Q299" si="36">(C218+Q$36)/P$36</f>
        <v>98.958764227642291</v>
      </c>
      <c r="R236" s="1">
        <f t="shared" ref="R236:R299" si="37">(D218+Q$38)/P$38</f>
        <v>100.5736688079943</v>
      </c>
      <c r="S236" s="1">
        <f t="shared" ref="S236:S299" si="38">(E218+Q$39)/P$39</f>
        <v>85.166885229132561</v>
      </c>
    </row>
    <row r="237" spans="1:19" x14ac:dyDescent="0.3">
      <c r="A237">
        <v>5599.4</v>
      </c>
      <c r="B237">
        <v>102.01841</v>
      </c>
      <c r="C237">
        <v>103.58376800000001</v>
      </c>
      <c r="D237">
        <v>105.226022</v>
      </c>
      <c r="E237">
        <v>85.408169000000001</v>
      </c>
      <c r="F237">
        <v>63.338977</v>
      </c>
      <c r="G237">
        <v>50.033883000000003</v>
      </c>
      <c r="H237">
        <v>50.819426999999997</v>
      </c>
      <c r="I237"/>
      <c r="N237"/>
      <c r="O237"/>
      <c r="P237" s="1">
        <f t="shared" si="35"/>
        <v>97.804897357723576</v>
      </c>
      <c r="Q237" s="1">
        <f t="shared" si="36"/>
        <v>98.958764227642291</v>
      </c>
      <c r="R237" s="1">
        <f t="shared" si="37"/>
        <v>100.5736688079943</v>
      </c>
      <c r="S237" s="1">
        <f t="shared" si="38"/>
        <v>85.166885229132561</v>
      </c>
    </row>
    <row r="238" spans="1:19" x14ac:dyDescent="0.3">
      <c r="A238">
        <v>5599.6</v>
      </c>
      <c r="B238">
        <v>102.039382</v>
      </c>
      <c r="C238">
        <v>103.566737</v>
      </c>
      <c r="D238">
        <v>105.24060900000001</v>
      </c>
      <c r="E238">
        <v>85.432235000000006</v>
      </c>
      <c r="F238">
        <v>62.739458999999997</v>
      </c>
      <c r="G238">
        <v>50.025908999999999</v>
      </c>
      <c r="H238">
        <v>50.849800000000002</v>
      </c>
      <c r="I238"/>
      <c r="N238"/>
      <c r="O238"/>
      <c r="P238" s="1">
        <f t="shared" si="35"/>
        <v>97.810805894308956</v>
      </c>
      <c r="Q238" s="1">
        <f t="shared" si="36"/>
        <v>98.954300813008132</v>
      </c>
      <c r="R238" s="1">
        <f t="shared" si="37"/>
        <v>100.56483328234934</v>
      </c>
      <c r="S238" s="1">
        <f t="shared" si="38"/>
        <v>85.179649140752858</v>
      </c>
    </row>
    <row r="239" spans="1:19" x14ac:dyDescent="0.3">
      <c r="A239">
        <v>5599.8</v>
      </c>
      <c r="B239">
        <v>102.039382</v>
      </c>
      <c r="C239">
        <v>103.566737</v>
      </c>
      <c r="D239">
        <v>105.24060900000001</v>
      </c>
      <c r="E239">
        <v>85.432235000000006</v>
      </c>
      <c r="F239">
        <v>62.739458999999997</v>
      </c>
      <c r="G239">
        <v>50.025908999999999</v>
      </c>
      <c r="H239">
        <v>50.849800000000002</v>
      </c>
      <c r="I239"/>
      <c r="N239"/>
      <c r="O239"/>
      <c r="P239" s="1">
        <f t="shared" si="35"/>
        <v>97.810805894308956</v>
      </c>
      <c r="Q239" s="1">
        <f t="shared" si="36"/>
        <v>98.954300813008132</v>
      </c>
      <c r="R239" s="1">
        <f t="shared" si="37"/>
        <v>100.56483328234934</v>
      </c>
      <c r="S239" s="1">
        <f t="shared" si="38"/>
        <v>85.179649140752858</v>
      </c>
    </row>
    <row r="240" spans="1:19" x14ac:dyDescent="0.3">
      <c r="A240">
        <v>5600</v>
      </c>
      <c r="B240">
        <v>102.04013999999999</v>
      </c>
      <c r="C240">
        <v>103.58254100000001</v>
      </c>
      <c r="D240">
        <v>105.230474</v>
      </c>
      <c r="E240">
        <v>85.539535999999998</v>
      </c>
      <c r="F240">
        <v>62.233328999999998</v>
      </c>
      <c r="G240">
        <v>50.032445000000003</v>
      </c>
      <c r="H240">
        <v>50.852175000000003</v>
      </c>
      <c r="I240" t="s">
        <v>56</v>
      </c>
      <c r="N240"/>
      <c r="O240"/>
      <c r="P240" s="1">
        <f t="shared" si="35"/>
        <v>97.810640243902441</v>
      </c>
      <c r="Q240" s="1">
        <f t="shared" si="36"/>
        <v>98.935432926829279</v>
      </c>
      <c r="R240" s="1">
        <f t="shared" si="37"/>
        <v>100.57388701947589</v>
      </c>
      <c r="S240" s="1">
        <f t="shared" si="38"/>
        <v>85.136375818330606</v>
      </c>
    </row>
    <row r="241" spans="1:19" x14ac:dyDescent="0.3">
      <c r="A241">
        <v>5600.2</v>
      </c>
      <c r="B241">
        <v>102.04013999999999</v>
      </c>
      <c r="C241">
        <v>103.58254100000001</v>
      </c>
      <c r="D241">
        <v>105.230474</v>
      </c>
      <c r="E241">
        <v>85.539535999999998</v>
      </c>
      <c r="F241">
        <v>62.233328999999998</v>
      </c>
      <c r="G241">
        <v>50.032445000000003</v>
      </c>
      <c r="H241">
        <v>50.852175000000003</v>
      </c>
      <c r="I241"/>
      <c r="N241"/>
      <c r="O241"/>
      <c r="P241" s="1">
        <f t="shared" si="35"/>
        <v>97.810640243902441</v>
      </c>
      <c r="Q241" s="1">
        <f t="shared" si="36"/>
        <v>98.935432926829279</v>
      </c>
      <c r="R241" s="1">
        <f t="shared" si="37"/>
        <v>100.57388701947589</v>
      </c>
      <c r="S241" s="1">
        <f t="shared" si="38"/>
        <v>85.136375818330606</v>
      </c>
    </row>
    <row r="242" spans="1:19" x14ac:dyDescent="0.3">
      <c r="A242">
        <v>5600.4</v>
      </c>
      <c r="B242">
        <v>102.029826</v>
      </c>
      <c r="C242">
        <v>103.589292</v>
      </c>
      <c r="D242">
        <v>105.22176399999999</v>
      </c>
      <c r="E242">
        <v>85.580276999999995</v>
      </c>
      <c r="F242">
        <v>62.597264000000003</v>
      </c>
      <c r="G242">
        <v>50.042563999999999</v>
      </c>
      <c r="H242">
        <v>50.843116000000002</v>
      </c>
      <c r="I242"/>
      <c r="N242"/>
      <c r="O242"/>
      <c r="P242" s="1">
        <f t="shared" si="35"/>
        <v>97.802646341463415</v>
      </c>
      <c r="Q242" s="1">
        <f t="shared" si="36"/>
        <v>98.945887195121955</v>
      </c>
      <c r="R242" s="1">
        <f t="shared" si="37"/>
        <v>100.5534363209952</v>
      </c>
      <c r="S242" s="1">
        <f t="shared" si="38"/>
        <v>85.1029633797054</v>
      </c>
    </row>
    <row r="243" spans="1:19" x14ac:dyDescent="0.3">
      <c r="A243">
        <v>5600.6</v>
      </c>
      <c r="B243">
        <v>102.029826</v>
      </c>
      <c r="C243">
        <v>103.589292</v>
      </c>
      <c r="D243">
        <v>105.22176399999999</v>
      </c>
      <c r="E243">
        <v>85.580276999999995</v>
      </c>
      <c r="F243">
        <v>62.597264000000003</v>
      </c>
      <c r="G243">
        <v>50.042563999999999</v>
      </c>
      <c r="H243">
        <v>50.843116000000002</v>
      </c>
      <c r="I243"/>
      <c r="N243"/>
      <c r="O243"/>
      <c r="P243" s="1">
        <f t="shared" si="35"/>
        <v>104.49399390243903</v>
      </c>
      <c r="Q243" s="1">
        <f t="shared" si="36"/>
        <v>106.0515</v>
      </c>
      <c r="R243" s="1">
        <f t="shared" si="37"/>
        <v>108.08644845518506</v>
      </c>
      <c r="S243" s="1">
        <f t="shared" si="38"/>
        <v>88.538568944353514</v>
      </c>
    </row>
    <row r="244" spans="1:19" x14ac:dyDescent="0.3">
      <c r="A244">
        <v>5600.8</v>
      </c>
      <c r="B244">
        <v>102.039306</v>
      </c>
      <c r="C244">
        <v>103.58147700000001</v>
      </c>
      <c r="D244">
        <v>105.23349899999999</v>
      </c>
      <c r="E244">
        <v>85.603767000000005</v>
      </c>
      <c r="F244">
        <v>62.826473999999997</v>
      </c>
      <c r="G244">
        <v>50.033265999999998</v>
      </c>
      <c r="H244">
        <v>50.846989999999998</v>
      </c>
      <c r="I244"/>
      <c r="N244"/>
      <c r="O244"/>
      <c r="P244" s="1">
        <f t="shared" si="35"/>
        <v>104.50291260162602</v>
      </c>
      <c r="Q244" s="1">
        <f t="shared" si="36"/>
        <v>106.0704075203252</v>
      </c>
      <c r="R244" s="1">
        <f t="shared" si="37"/>
        <v>108.13101458142143</v>
      </c>
      <c r="S244" s="1">
        <f t="shared" si="38"/>
        <v>88.4859339198036</v>
      </c>
    </row>
    <row r="245" spans="1:19" x14ac:dyDescent="0.3">
      <c r="A245">
        <v>5601</v>
      </c>
      <c r="B245">
        <v>102.039306</v>
      </c>
      <c r="C245">
        <v>103.58147700000001</v>
      </c>
      <c r="D245">
        <v>105.23349899999999</v>
      </c>
      <c r="E245">
        <v>85.603767000000005</v>
      </c>
      <c r="F245">
        <v>62.826473999999997</v>
      </c>
      <c r="G245">
        <v>50.033265999999998</v>
      </c>
      <c r="H245">
        <v>50.846989999999998</v>
      </c>
      <c r="I245" t="s">
        <v>56</v>
      </c>
      <c r="N245"/>
      <c r="O245"/>
      <c r="P245" s="1">
        <f t="shared" si="35"/>
        <v>104.50291260162602</v>
      </c>
      <c r="Q245" s="1">
        <f t="shared" si="36"/>
        <v>106.0704075203252</v>
      </c>
      <c r="R245" s="1">
        <f t="shared" si="37"/>
        <v>108.13101458142143</v>
      </c>
      <c r="S245" s="1">
        <f t="shared" si="38"/>
        <v>88.4859339198036</v>
      </c>
    </row>
    <row r="246" spans="1:19" x14ac:dyDescent="0.3">
      <c r="A246">
        <v>5601.2</v>
      </c>
      <c r="B246">
        <v>102.05022700000001</v>
      </c>
      <c r="C246">
        <v>103.599726</v>
      </c>
      <c r="D246">
        <v>105.241226</v>
      </c>
      <c r="E246">
        <v>85.569682</v>
      </c>
      <c r="F246">
        <v>62.837598999999997</v>
      </c>
      <c r="G246">
        <v>50.028928999999998</v>
      </c>
      <c r="H246">
        <v>50.821404000000001</v>
      </c>
      <c r="I246"/>
      <c r="N246"/>
      <c r="O246"/>
      <c r="P246" s="1">
        <f t="shared" si="35"/>
        <v>104.50572256097561</v>
      </c>
      <c r="Q246" s="1">
        <f t="shared" si="36"/>
        <v>106.04148983739837</v>
      </c>
      <c r="R246" s="1">
        <f t="shared" si="37"/>
        <v>108.12480677067401</v>
      </c>
      <c r="S246" s="1">
        <f t="shared" si="38"/>
        <v>88.324660392798691</v>
      </c>
    </row>
    <row r="247" spans="1:19" x14ac:dyDescent="0.3">
      <c r="A247">
        <v>5601.4</v>
      </c>
      <c r="B247">
        <v>102.05022700000001</v>
      </c>
      <c r="C247">
        <v>103.599726</v>
      </c>
      <c r="D247">
        <v>105.241226</v>
      </c>
      <c r="E247">
        <v>85.569682</v>
      </c>
      <c r="F247">
        <v>62.837598999999997</v>
      </c>
      <c r="G247">
        <v>50.028928999999998</v>
      </c>
      <c r="H247">
        <v>50.821404000000001</v>
      </c>
      <c r="I247"/>
      <c r="N247"/>
      <c r="O247"/>
      <c r="P247" s="1">
        <f t="shared" si="35"/>
        <v>104.50572256097561</v>
      </c>
      <c r="Q247" s="1">
        <f t="shared" si="36"/>
        <v>106.04148983739837</v>
      </c>
      <c r="R247" s="1">
        <f t="shared" si="37"/>
        <v>108.12480677067401</v>
      </c>
      <c r="S247" s="1">
        <f t="shared" si="38"/>
        <v>88.324660392798691</v>
      </c>
    </row>
    <row r="248" spans="1:19" x14ac:dyDescent="0.3">
      <c r="A248">
        <v>5601.6</v>
      </c>
      <c r="B248">
        <v>102.044836</v>
      </c>
      <c r="C248">
        <v>103.59523</v>
      </c>
      <c r="D248">
        <v>105.265569</v>
      </c>
      <c r="E248">
        <v>85.465883000000005</v>
      </c>
      <c r="F248">
        <v>62.918059</v>
      </c>
      <c r="G248">
        <v>50.013370000000002</v>
      </c>
      <c r="H248">
        <v>50.832417</v>
      </c>
      <c r="I248"/>
      <c r="N248"/>
      <c r="O248"/>
      <c r="P248" s="1">
        <f t="shared" si="35"/>
        <v>104.49902743902439</v>
      </c>
      <c r="Q248" s="1">
        <f t="shared" si="36"/>
        <v>106.05284247967479</v>
      </c>
      <c r="R248" s="1">
        <f t="shared" si="37"/>
        <v>108.13128785561334</v>
      </c>
      <c r="S248" s="1">
        <f t="shared" si="38"/>
        <v>88.288179214402618</v>
      </c>
    </row>
    <row r="249" spans="1:19" x14ac:dyDescent="0.3">
      <c r="A249">
        <v>5601.8</v>
      </c>
      <c r="B249">
        <v>102.044836</v>
      </c>
      <c r="C249">
        <v>103.59523</v>
      </c>
      <c r="D249">
        <v>105.265569</v>
      </c>
      <c r="E249">
        <v>85.465883000000005</v>
      </c>
      <c r="F249">
        <v>62.918059</v>
      </c>
      <c r="G249">
        <v>50.013370000000002</v>
      </c>
      <c r="H249">
        <v>50.832417</v>
      </c>
      <c r="I249"/>
      <c r="N249"/>
      <c r="O249"/>
      <c r="P249" s="1">
        <f t="shared" si="35"/>
        <v>104.49902743902439</v>
      </c>
      <c r="Q249" s="1">
        <f t="shared" si="36"/>
        <v>106.05284247967479</v>
      </c>
      <c r="R249" s="1">
        <f t="shared" si="37"/>
        <v>108.13128785561334</v>
      </c>
      <c r="S249" s="1">
        <f t="shared" si="38"/>
        <v>88.288179214402618</v>
      </c>
    </row>
    <row r="250" spans="1:19" x14ac:dyDescent="0.3">
      <c r="A250">
        <v>5602</v>
      </c>
      <c r="B250">
        <v>102.062941</v>
      </c>
      <c r="C250">
        <v>103.60336100000001</v>
      </c>
      <c r="D250">
        <v>105.25188</v>
      </c>
      <c r="E250">
        <v>85.386848999999998</v>
      </c>
      <c r="F250">
        <v>62.938434000000001</v>
      </c>
      <c r="G250">
        <v>50.030057999999997</v>
      </c>
      <c r="H250">
        <v>50.855331999999997</v>
      </c>
      <c r="I250" t="s">
        <v>56</v>
      </c>
      <c r="N250"/>
      <c r="O250"/>
      <c r="P250" s="1">
        <f t="shared" si="35"/>
        <v>104.49054573170731</v>
      </c>
      <c r="Q250" s="1">
        <f t="shared" si="36"/>
        <v>106.05869817073172</v>
      </c>
      <c r="R250" s="1">
        <f t="shared" si="37"/>
        <v>108.12903742224941</v>
      </c>
      <c r="S250" s="1">
        <f t="shared" si="38"/>
        <v>88.334591857610476</v>
      </c>
    </row>
    <row r="251" spans="1:19" x14ac:dyDescent="0.3">
      <c r="A251">
        <v>5602.2</v>
      </c>
      <c r="B251">
        <v>102.062941</v>
      </c>
      <c r="C251">
        <v>103.60336100000001</v>
      </c>
      <c r="D251">
        <v>105.25188</v>
      </c>
      <c r="E251">
        <v>85.386848999999998</v>
      </c>
      <c r="F251">
        <v>62.938434000000001</v>
      </c>
      <c r="G251">
        <v>50.030057999999997</v>
      </c>
      <c r="H251">
        <v>50.855331999999997</v>
      </c>
      <c r="I251"/>
      <c r="N251"/>
      <c r="O251"/>
      <c r="P251" s="1">
        <f t="shared" si="35"/>
        <v>104.49054573170731</v>
      </c>
      <c r="Q251" s="1">
        <f t="shared" si="36"/>
        <v>106.05869817073172</v>
      </c>
      <c r="R251" s="1">
        <f t="shared" si="37"/>
        <v>108.12903742224941</v>
      </c>
      <c r="S251" s="1">
        <f t="shared" si="38"/>
        <v>88.334591857610476</v>
      </c>
    </row>
    <row r="252" spans="1:19" x14ac:dyDescent="0.3">
      <c r="A252">
        <v>5602.4</v>
      </c>
      <c r="B252">
        <v>102.060581</v>
      </c>
      <c r="C252">
        <v>103.586861</v>
      </c>
      <c r="D252">
        <v>105.26994500000001</v>
      </c>
      <c r="E252">
        <v>85.420410000000004</v>
      </c>
      <c r="F252">
        <v>63.106574999999999</v>
      </c>
      <c r="G252">
        <v>50.034807999999998</v>
      </c>
      <c r="H252">
        <v>50.852226000000002</v>
      </c>
      <c r="I252"/>
      <c r="N252"/>
      <c r="O252"/>
      <c r="P252" s="1">
        <f t="shared" si="35"/>
        <v>104.49689634146341</v>
      </c>
      <c r="Q252" s="1">
        <f t="shared" si="36"/>
        <v>106.05904471544716</v>
      </c>
      <c r="R252" s="1">
        <f t="shared" si="37"/>
        <v>108.12845824411134</v>
      </c>
      <c r="S252" s="1">
        <f t="shared" si="38"/>
        <v>88.26426350245498</v>
      </c>
    </row>
    <row r="253" spans="1:19" x14ac:dyDescent="0.3">
      <c r="A253">
        <v>5602.6</v>
      </c>
      <c r="B253">
        <v>102.060581</v>
      </c>
      <c r="C253">
        <v>103.586861</v>
      </c>
      <c r="D253">
        <v>105.26994500000001</v>
      </c>
      <c r="E253">
        <v>85.420410000000004</v>
      </c>
      <c r="F253">
        <v>63.106574999999999</v>
      </c>
      <c r="G253">
        <v>50.034807999999998</v>
      </c>
      <c r="H253">
        <v>50.852226000000002</v>
      </c>
      <c r="I253"/>
      <c r="N253"/>
      <c r="O253"/>
      <c r="P253" s="1">
        <f t="shared" si="35"/>
        <v>104.49689634146341</v>
      </c>
      <c r="Q253" s="1">
        <f t="shared" si="36"/>
        <v>106.05904471544716</v>
      </c>
      <c r="R253" s="1">
        <f t="shared" si="37"/>
        <v>108.12845824411134</v>
      </c>
      <c r="S253" s="1">
        <f t="shared" si="38"/>
        <v>88.26426350245498</v>
      </c>
    </row>
    <row r="254" spans="1:19" x14ac:dyDescent="0.3">
      <c r="A254">
        <v>5602.8</v>
      </c>
      <c r="B254">
        <v>102.047881</v>
      </c>
      <c r="C254">
        <v>103.600793</v>
      </c>
      <c r="D254">
        <v>105.25000300000001</v>
      </c>
      <c r="E254">
        <v>85.525643000000002</v>
      </c>
      <c r="F254">
        <v>62.766063000000003</v>
      </c>
      <c r="G254">
        <v>50.048251</v>
      </c>
      <c r="H254">
        <v>50.830553000000002</v>
      </c>
      <c r="I254"/>
      <c r="N254"/>
      <c r="O254"/>
      <c r="P254" s="1">
        <f t="shared" si="35"/>
        <v>104.47653455284554</v>
      </c>
      <c r="Q254" s="1">
        <f t="shared" si="36"/>
        <v>106.06734552845529</v>
      </c>
      <c r="R254" s="1">
        <f t="shared" si="37"/>
        <v>108.12309778729478</v>
      </c>
      <c r="S254" s="1">
        <f t="shared" si="38"/>
        <v>88.310115589198034</v>
      </c>
    </row>
    <row r="255" spans="1:19" x14ac:dyDescent="0.3">
      <c r="A255">
        <v>5603</v>
      </c>
      <c r="B255">
        <v>102.047881</v>
      </c>
      <c r="C255">
        <v>103.600793</v>
      </c>
      <c r="D255">
        <v>105.25000300000001</v>
      </c>
      <c r="E255">
        <v>85.525643000000002</v>
      </c>
      <c r="F255">
        <v>62.766063000000003</v>
      </c>
      <c r="G255">
        <v>50.048251</v>
      </c>
      <c r="H255">
        <v>50.830553000000002</v>
      </c>
      <c r="I255" t="s">
        <v>56</v>
      </c>
      <c r="N255"/>
      <c r="O255"/>
      <c r="P255" s="1">
        <f t="shared" si="35"/>
        <v>104.47653455284554</v>
      </c>
      <c r="Q255" s="1">
        <f t="shared" si="36"/>
        <v>106.06734552845529</v>
      </c>
      <c r="R255" s="1">
        <f t="shared" si="37"/>
        <v>108.12309778729478</v>
      </c>
      <c r="S255" s="1">
        <f t="shared" si="38"/>
        <v>88.310115589198034</v>
      </c>
    </row>
    <row r="256" spans="1:19" x14ac:dyDescent="0.3">
      <c r="A256">
        <v>5603.2</v>
      </c>
      <c r="B256">
        <v>102.05317100000001</v>
      </c>
      <c r="C256">
        <v>103.590141</v>
      </c>
      <c r="D256">
        <v>105.25142700000001</v>
      </c>
      <c r="E256">
        <v>85.594571999999999</v>
      </c>
      <c r="F256">
        <v>63.061684999999997</v>
      </c>
      <c r="G256">
        <v>50.021355999999997</v>
      </c>
      <c r="H256">
        <v>50.842477000000002</v>
      </c>
      <c r="I256"/>
      <c r="N256"/>
      <c r="O256"/>
      <c r="P256" s="1">
        <f t="shared" si="35"/>
        <v>104.49784756097561</v>
      </c>
      <c r="Q256" s="1">
        <f t="shared" si="36"/>
        <v>106.05003760162603</v>
      </c>
      <c r="R256" s="1">
        <f t="shared" si="37"/>
        <v>108.13797185683696</v>
      </c>
      <c r="S256" s="1">
        <f t="shared" si="38"/>
        <v>88.334733019639941</v>
      </c>
    </row>
    <row r="257" spans="1:19" x14ac:dyDescent="0.3">
      <c r="A257">
        <v>5603.4</v>
      </c>
      <c r="B257">
        <v>102.05317100000001</v>
      </c>
      <c r="C257">
        <v>103.590141</v>
      </c>
      <c r="D257">
        <v>105.25142700000001</v>
      </c>
      <c r="E257">
        <v>85.594571999999999</v>
      </c>
      <c r="F257">
        <v>63.061684999999997</v>
      </c>
      <c r="G257">
        <v>50.021355999999997</v>
      </c>
      <c r="H257">
        <v>50.842477000000002</v>
      </c>
      <c r="I257"/>
      <c r="N257"/>
      <c r="O257"/>
      <c r="P257" s="1">
        <f t="shared" si="35"/>
        <v>104.49784756097561</v>
      </c>
      <c r="Q257" s="1">
        <f t="shared" si="36"/>
        <v>106.05003760162603</v>
      </c>
      <c r="R257" s="1">
        <f t="shared" si="37"/>
        <v>108.13797185683696</v>
      </c>
      <c r="S257" s="1">
        <f t="shared" si="38"/>
        <v>88.334733019639941</v>
      </c>
    </row>
    <row r="258" spans="1:19" x14ac:dyDescent="0.3">
      <c r="A258">
        <v>5603.6</v>
      </c>
      <c r="B258">
        <v>102.06069599999999</v>
      </c>
      <c r="C258">
        <v>103.60772</v>
      </c>
      <c r="D258">
        <v>105.22921599999999</v>
      </c>
      <c r="E258">
        <v>85.722691999999995</v>
      </c>
      <c r="F258">
        <v>62.989019999999996</v>
      </c>
      <c r="G258">
        <v>50.008141999999999</v>
      </c>
      <c r="H258">
        <v>50.812178000000003</v>
      </c>
      <c r="I258"/>
      <c r="N258"/>
      <c r="O258"/>
      <c r="P258" s="1">
        <f t="shared" si="35"/>
        <v>104.49861788617886</v>
      </c>
      <c r="Q258" s="1">
        <f t="shared" si="36"/>
        <v>106.06609857723578</v>
      </c>
      <c r="R258" s="1">
        <f t="shared" si="37"/>
        <v>108.12763740185582</v>
      </c>
      <c r="S258" s="1">
        <f t="shared" si="38"/>
        <v>88.444492635024545</v>
      </c>
    </row>
    <row r="259" spans="1:19" x14ac:dyDescent="0.3">
      <c r="A259">
        <v>5603.8</v>
      </c>
      <c r="B259">
        <v>102.06069599999999</v>
      </c>
      <c r="C259">
        <v>103.60772</v>
      </c>
      <c r="D259">
        <v>105.22921599999999</v>
      </c>
      <c r="E259">
        <v>85.722691999999995</v>
      </c>
      <c r="F259">
        <v>62.989019999999996</v>
      </c>
      <c r="G259">
        <v>50.008141999999999</v>
      </c>
      <c r="H259">
        <v>50.812178000000003</v>
      </c>
      <c r="I259"/>
      <c r="N259"/>
      <c r="O259"/>
      <c r="P259" s="1">
        <f t="shared" si="35"/>
        <v>104.49861788617886</v>
      </c>
      <c r="Q259" s="1">
        <f t="shared" si="36"/>
        <v>106.06609857723578</v>
      </c>
      <c r="R259" s="1">
        <f t="shared" si="37"/>
        <v>108.12763740185582</v>
      </c>
      <c r="S259" s="1">
        <f t="shared" si="38"/>
        <v>88.444492635024545</v>
      </c>
    </row>
    <row r="260" spans="1:19" x14ac:dyDescent="0.3">
      <c r="A260">
        <v>5604</v>
      </c>
      <c r="B260">
        <v>102.06552000000001</v>
      </c>
      <c r="C260">
        <v>103.60754300000001</v>
      </c>
      <c r="D260">
        <v>105.256269</v>
      </c>
      <c r="E260">
        <v>85.645347000000001</v>
      </c>
      <c r="F260">
        <v>62.933875</v>
      </c>
      <c r="G260">
        <v>50.017580000000002</v>
      </c>
      <c r="H260">
        <v>50.841476</v>
      </c>
      <c r="I260" t="s">
        <v>56</v>
      </c>
      <c r="N260"/>
      <c r="O260"/>
      <c r="P260" s="1">
        <f t="shared" si="35"/>
        <v>104.48813617886179</v>
      </c>
      <c r="Q260" s="1">
        <f t="shared" si="36"/>
        <v>106.0729593495935</v>
      </c>
      <c r="R260" s="1">
        <f t="shared" si="37"/>
        <v>108.11875599061894</v>
      </c>
      <c r="S260" s="1">
        <f t="shared" si="38"/>
        <v>88.486167144026183</v>
      </c>
    </row>
    <row r="261" spans="1:19" x14ac:dyDescent="0.3">
      <c r="A261">
        <v>5604.2</v>
      </c>
      <c r="B261">
        <v>102.06552000000001</v>
      </c>
      <c r="C261">
        <v>103.60754300000001</v>
      </c>
      <c r="D261">
        <v>105.256269</v>
      </c>
      <c r="E261">
        <v>85.645347000000001</v>
      </c>
      <c r="F261">
        <v>62.933875</v>
      </c>
      <c r="G261">
        <v>50.017580000000002</v>
      </c>
      <c r="H261">
        <v>50.841476</v>
      </c>
      <c r="I261"/>
      <c r="N261"/>
      <c r="O261"/>
      <c r="P261" s="1">
        <f t="shared" si="35"/>
        <v>104.48813617886179</v>
      </c>
      <c r="Q261" s="1">
        <f t="shared" si="36"/>
        <v>106.0729593495935</v>
      </c>
      <c r="R261" s="1">
        <f t="shared" si="37"/>
        <v>108.11875599061894</v>
      </c>
      <c r="S261" s="1">
        <f t="shared" si="38"/>
        <v>88.486167144026183</v>
      </c>
    </row>
    <row r="262" spans="1:19" x14ac:dyDescent="0.3">
      <c r="A262">
        <v>5604.4</v>
      </c>
      <c r="B262">
        <v>102.07867400000001</v>
      </c>
      <c r="C262">
        <v>103.612076</v>
      </c>
      <c r="D262">
        <v>105.239678</v>
      </c>
      <c r="E262">
        <v>85.422567000000001</v>
      </c>
      <c r="F262">
        <v>62.867823999999999</v>
      </c>
      <c r="G262">
        <v>50.021676999999997</v>
      </c>
      <c r="H262">
        <v>50.848573000000002</v>
      </c>
      <c r="I262"/>
      <c r="N262"/>
      <c r="O262"/>
      <c r="P262" s="1">
        <f t="shared" si="35"/>
        <v>104.49777032520325</v>
      </c>
      <c r="Q262" s="1">
        <f t="shared" si="36"/>
        <v>106.06501727642278</v>
      </c>
      <c r="R262" s="1">
        <f t="shared" si="37"/>
        <v>108.13072193331293</v>
      </c>
      <c r="S262" s="1">
        <f t="shared" si="38"/>
        <v>88.51019537643208</v>
      </c>
    </row>
    <row r="263" spans="1:19" x14ac:dyDescent="0.3">
      <c r="A263">
        <v>5604.6</v>
      </c>
      <c r="B263">
        <v>102.07867400000001</v>
      </c>
      <c r="C263">
        <v>103.612076</v>
      </c>
      <c r="D263">
        <v>105.239678</v>
      </c>
      <c r="E263">
        <v>85.422567000000001</v>
      </c>
      <c r="F263">
        <v>62.867823999999999</v>
      </c>
      <c r="G263">
        <v>50.021676999999997</v>
      </c>
      <c r="H263">
        <v>50.848573000000002</v>
      </c>
      <c r="I263"/>
      <c r="N263"/>
      <c r="O263"/>
      <c r="P263" s="1">
        <f t="shared" si="35"/>
        <v>104.49777032520325</v>
      </c>
      <c r="Q263" s="1">
        <f t="shared" si="36"/>
        <v>106.06501727642278</v>
      </c>
      <c r="R263" s="1">
        <f t="shared" si="37"/>
        <v>108.13072193331293</v>
      </c>
      <c r="S263" s="1">
        <f t="shared" si="38"/>
        <v>88.51019537643208</v>
      </c>
    </row>
    <row r="264" spans="1:19" x14ac:dyDescent="0.3">
      <c r="A264">
        <v>5604.8</v>
      </c>
      <c r="B264">
        <v>102.08443</v>
      </c>
      <c r="C264">
        <v>103.599385</v>
      </c>
      <c r="D264">
        <v>105.258133</v>
      </c>
      <c r="E264">
        <v>85.376431999999994</v>
      </c>
      <c r="F264">
        <v>62.561148000000003</v>
      </c>
      <c r="G264">
        <v>50.030752999999997</v>
      </c>
      <c r="H264">
        <v>50.828541000000001</v>
      </c>
      <c r="I264"/>
      <c r="N264"/>
      <c r="O264"/>
      <c r="P264" s="1">
        <f t="shared" si="35"/>
        <v>104.50886890243903</v>
      </c>
      <c r="Q264" s="1">
        <f t="shared" si="36"/>
        <v>106.08356300813008</v>
      </c>
      <c r="R264" s="1">
        <f t="shared" si="37"/>
        <v>108.13860099928621</v>
      </c>
      <c r="S264" s="1">
        <f t="shared" si="38"/>
        <v>88.475329378068736</v>
      </c>
    </row>
    <row r="265" spans="1:19" x14ac:dyDescent="0.3">
      <c r="A265">
        <v>5605</v>
      </c>
      <c r="B265">
        <v>102.08443</v>
      </c>
      <c r="C265">
        <v>103.599385</v>
      </c>
      <c r="D265">
        <v>105.258133</v>
      </c>
      <c r="E265">
        <v>85.376431999999994</v>
      </c>
      <c r="F265">
        <v>62.561148000000003</v>
      </c>
      <c r="G265">
        <v>50.030752999999997</v>
      </c>
      <c r="H265">
        <v>50.828541000000001</v>
      </c>
      <c r="I265" t="s">
        <v>56</v>
      </c>
      <c r="N265"/>
      <c r="O265"/>
      <c r="P265" s="1">
        <f t="shared" si="35"/>
        <v>104.50886890243903</v>
      </c>
      <c r="Q265" s="1">
        <f t="shared" si="36"/>
        <v>106.08356300813008</v>
      </c>
      <c r="R265" s="1">
        <f t="shared" si="37"/>
        <v>108.13860099928621</v>
      </c>
      <c r="S265" s="1">
        <f t="shared" si="38"/>
        <v>88.475329378068736</v>
      </c>
    </row>
    <row r="266" spans="1:19" x14ac:dyDescent="0.3">
      <c r="A266">
        <v>5605.2</v>
      </c>
      <c r="B266">
        <v>102.075633</v>
      </c>
      <c r="C266">
        <v>103.619055</v>
      </c>
      <c r="D266">
        <v>105.256157</v>
      </c>
      <c r="E266">
        <v>85.372682999999995</v>
      </c>
      <c r="F266">
        <v>62.901957000000003</v>
      </c>
      <c r="G266">
        <v>50.040484999999997</v>
      </c>
      <c r="H266">
        <v>50.831800000000001</v>
      </c>
      <c r="I266"/>
      <c r="N266"/>
      <c r="O266"/>
      <c r="P266" s="1">
        <f t="shared" si="35"/>
        <v>104.50339024390244</v>
      </c>
      <c r="Q266" s="1">
        <f t="shared" si="36"/>
        <v>106.07899390243902</v>
      </c>
      <c r="R266" s="1">
        <f t="shared" si="37"/>
        <v>108.16342306515753</v>
      </c>
      <c r="S266" s="1">
        <f t="shared" si="38"/>
        <v>88.369152004909992</v>
      </c>
    </row>
    <row r="267" spans="1:19" x14ac:dyDescent="0.3">
      <c r="A267">
        <v>5605.4</v>
      </c>
      <c r="B267">
        <v>102.075633</v>
      </c>
      <c r="C267">
        <v>103.619055</v>
      </c>
      <c r="D267">
        <v>105.256157</v>
      </c>
      <c r="E267">
        <v>85.372682999999995</v>
      </c>
      <c r="F267">
        <v>62.901957000000003</v>
      </c>
      <c r="G267">
        <v>50.040484999999997</v>
      </c>
      <c r="H267">
        <v>50.831800000000001</v>
      </c>
      <c r="I267"/>
      <c r="N267"/>
      <c r="O267"/>
      <c r="P267" s="1">
        <f t="shared" si="35"/>
        <v>104.50339024390244</v>
      </c>
      <c r="Q267" s="1">
        <f t="shared" si="36"/>
        <v>106.07899390243902</v>
      </c>
      <c r="R267" s="1">
        <f t="shared" si="37"/>
        <v>108.16342306515753</v>
      </c>
      <c r="S267" s="1">
        <f t="shared" si="38"/>
        <v>88.369152004909992</v>
      </c>
    </row>
    <row r="268" spans="1:19" x14ac:dyDescent="0.3">
      <c r="A268">
        <v>5605.6</v>
      </c>
      <c r="B268">
        <v>102.081502</v>
      </c>
      <c r="C268">
        <v>103.60556699999999</v>
      </c>
      <c r="D268">
        <v>105.267009</v>
      </c>
      <c r="E268">
        <v>85.451828000000006</v>
      </c>
      <c r="F268">
        <v>63.087153000000001</v>
      </c>
      <c r="G268">
        <v>50.047047999999997</v>
      </c>
      <c r="H268">
        <v>50.836281</v>
      </c>
      <c r="I268"/>
      <c r="N268"/>
      <c r="O268"/>
      <c r="P268" s="1">
        <f t="shared" si="35"/>
        <v>104.52178963414634</v>
      </c>
      <c r="Q268" s="1">
        <f t="shared" si="36"/>
        <v>106.08725711382115</v>
      </c>
      <c r="R268" s="1">
        <f t="shared" si="37"/>
        <v>108.14946466809421</v>
      </c>
      <c r="S268" s="1">
        <f t="shared" si="38"/>
        <v>88.28830707855974</v>
      </c>
    </row>
    <row r="269" spans="1:19" x14ac:dyDescent="0.3">
      <c r="A269">
        <v>5605.8</v>
      </c>
      <c r="B269">
        <v>102.081502</v>
      </c>
      <c r="C269">
        <v>103.60556699999999</v>
      </c>
      <c r="D269">
        <v>105.267009</v>
      </c>
      <c r="E269">
        <v>85.451828000000006</v>
      </c>
      <c r="F269">
        <v>63.087153000000001</v>
      </c>
      <c r="G269">
        <v>50.047047999999997</v>
      </c>
      <c r="H269">
        <v>50.836281</v>
      </c>
      <c r="I269"/>
      <c r="N269"/>
      <c r="O269"/>
      <c r="P269" s="1">
        <f t="shared" si="35"/>
        <v>104.52178963414634</v>
      </c>
      <c r="Q269" s="1">
        <f t="shared" si="36"/>
        <v>106.08725711382115</v>
      </c>
      <c r="R269" s="1">
        <f t="shared" si="37"/>
        <v>108.14946466809421</v>
      </c>
      <c r="S269" s="1">
        <f t="shared" si="38"/>
        <v>88.28830707855974</v>
      </c>
    </row>
    <row r="270" spans="1:19" x14ac:dyDescent="0.3">
      <c r="A270">
        <v>5606</v>
      </c>
      <c r="B270">
        <v>102.062173</v>
      </c>
      <c r="C270">
        <v>103.599171</v>
      </c>
      <c r="D270">
        <v>105.26404700000001</v>
      </c>
      <c r="E270">
        <v>85.417495000000002</v>
      </c>
      <c r="F270">
        <v>62.784014999999997</v>
      </c>
      <c r="G270">
        <v>50.015835000000003</v>
      </c>
      <c r="H270">
        <v>50.831184999999998</v>
      </c>
      <c r="I270" t="s">
        <v>56</v>
      </c>
      <c r="N270"/>
      <c r="O270"/>
      <c r="P270" s="1">
        <f t="shared" si="35"/>
        <v>104.51939126016261</v>
      </c>
      <c r="Q270" s="1">
        <f t="shared" si="36"/>
        <v>106.07048882113821</v>
      </c>
      <c r="R270" s="1">
        <f t="shared" si="37"/>
        <v>108.16788518405221</v>
      </c>
      <c r="S270" s="1">
        <f t="shared" si="38"/>
        <v>88.32263707037643</v>
      </c>
    </row>
    <row r="271" spans="1:19" x14ac:dyDescent="0.3">
      <c r="A271">
        <v>5606.2</v>
      </c>
      <c r="B271">
        <v>102.062173</v>
      </c>
      <c r="C271">
        <v>103.599171</v>
      </c>
      <c r="D271">
        <v>105.26404700000001</v>
      </c>
      <c r="E271">
        <v>85.417495000000002</v>
      </c>
      <c r="F271">
        <v>62.784014999999997</v>
      </c>
      <c r="G271">
        <v>50.015835000000003</v>
      </c>
      <c r="H271">
        <v>50.831184999999998</v>
      </c>
      <c r="I271"/>
      <c r="N271"/>
      <c r="O271"/>
      <c r="P271" s="1">
        <f t="shared" si="35"/>
        <v>104.51939126016261</v>
      </c>
      <c r="Q271" s="1">
        <f t="shared" si="36"/>
        <v>106.07048882113821</v>
      </c>
      <c r="R271" s="1">
        <f t="shared" si="37"/>
        <v>108.16788518405221</v>
      </c>
      <c r="S271" s="1">
        <f t="shared" si="38"/>
        <v>88.32263707037643</v>
      </c>
    </row>
    <row r="272" spans="1:19" x14ac:dyDescent="0.3">
      <c r="A272">
        <v>5606.4</v>
      </c>
      <c r="B272">
        <v>102.07023</v>
      </c>
      <c r="C272">
        <v>103.61477499999999</v>
      </c>
      <c r="D272">
        <v>105.27368</v>
      </c>
      <c r="E272">
        <v>85.356133999999997</v>
      </c>
      <c r="F272">
        <v>62.041240000000002</v>
      </c>
      <c r="G272">
        <v>50.029471999999998</v>
      </c>
      <c r="H272">
        <v>50.827491000000002</v>
      </c>
      <c r="I272"/>
      <c r="N272"/>
      <c r="O272"/>
      <c r="P272" s="1">
        <f t="shared" si="35"/>
        <v>104.50648475609756</v>
      </c>
      <c r="Q272" s="1">
        <f t="shared" si="36"/>
        <v>106.08464735772358</v>
      </c>
      <c r="R272" s="1">
        <f t="shared" si="37"/>
        <v>108.14755072907107</v>
      </c>
      <c r="S272" s="1">
        <f t="shared" si="38"/>
        <v>88.430281301145669</v>
      </c>
    </row>
    <row r="273" spans="1:19" x14ac:dyDescent="0.3">
      <c r="A273">
        <v>5606.6</v>
      </c>
      <c r="B273">
        <v>102.07023</v>
      </c>
      <c r="C273">
        <v>103.61477499999999</v>
      </c>
      <c r="D273">
        <v>105.27368</v>
      </c>
      <c r="E273">
        <v>85.356133999999997</v>
      </c>
      <c r="F273">
        <v>62.041240000000002</v>
      </c>
      <c r="G273">
        <v>50.029471999999998</v>
      </c>
      <c r="H273">
        <v>50.827491000000002</v>
      </c>
      <c r="I273"/>
      <c r="N273"/>
      <c r="O273"/>
      <c r="P273" s="1">
        <f t="shared" si="35"/>
        <v>104.50648475609756</v>
      </c>
      <c r="Q273" s="1">
        <f t="shared" si="36"/>
        <v>106.08464735772358</v>
      </c>
      <c r="R273" s="1">
        <f t="shared" si="37"/>
        <v>108.14755072907107</v>
      </c>
      <c r="S273" s="1">
        <f t="shared" si="38"/>
        <v>88.430281301145669</v>
      </c>
    </row>
    <row r="274" spans="1:19" x14ac:dyDescent="0.3">
      <c r="A274">
        <v>5606.8</v>
      </c>
      <c r="B274">
        <v>102.065974</v>
      </c>
      <c r="C274">
        <v>103.59569</v>
      </c>
      <c r="D274">
        <v>105.279642</v>
      </c>
      <c r="E274">
        <v>85.422369000000003</v>
      </c>
      <c r="F274">
        <v>62.061439</v>
      </c>
      <c r="G274">
        <v>50.021510999999997</v>
      </c>
      <c r="H274">
        <v>50.822305999999998</v>
      </c>
      <c r="I274"/>
      <c r="N274"/>
      <c r="O274"/>
      <c r="P274" s="1">
        <f t="shared" si="35"/>
        <v>104.51186077235774</v>
      </c>
      <c r="Q274" s="1">
        <f t="shared" si="36"/>
        <v>106.07382215447156</v>
      </c>
      <c r="R274" s="1">
        <f t="shared" si="37"/>
        <v>108.14900275313552</v>
      </c>
      <c r="S274" s="1">
        <f t="shared" si="38"/>
        <v>88.500789689034363</v>
      </c>
    </row>
    <row r="275" spans="1:19" x14ac:dyDescent="0.3">
      <c r="A275">
        <v>6617</v>
      </c>
      <c r="B275">
        <v>108.67277</v>
      </c>
      <c r="C275">
        <v>110.58768499999999</v>
      </c>
      <c r="D275">
        <v>112.666588</v>
      </c>
      <c r="E275">
        <v>88.019401000000002</v>
      </c>
      <c r="F275">
        <v>64.908462</v>
      </c>
      <c r="G275">
        <v>49.982892999999997</v>
      </c>
      <c r="H275">
        <v>50.997357000000001</v>
      </c>
      <c r="I275" t="s">
        <v>56</v>
      </c>
      <c r="N275"/>
      <c r="O275"/>
      <c r="P275" s="1">
        <f t="shared" si="35"/>
        <v>104.51186077235774</v>
      </c>
      <c r="Q275" s="1">
        <f t="shared" si="36"/>
        <v>106.07382215447156</v>
      </c>
      <c r="R275" s="1">
        <f t="shared" si="37"/>
        <v>108.14900275313552</v>
      </c>
      <c r="S275" s="1">
        <f t="shared" si="38"/>
        <v>88.500789689034363</v>
      </c>
    </row>
    <row r="276" spans="1:19" x14ac:dyDescent="0.3">
      <c r="A276">
        <v>6617.2</v>
      </c>
      <c r="B276">
        <v>108.653522</v>
      </c>
      <c r="C276">
        <v>110.58828099999999</v>
      </c>
      <c r="D276">
        <v>112.680853</v>
      </c>
      <c r="E276">
        <v>88.082392999999996</v>
      </c>
      <c r="F276">
        <v>64.479487000000006</v>
      </c>
      <c r="G276">
        <v>49.982892999999997</v>
      </c>
      <c r="H276">
        <v>50.997357000000001</v>
      </c>
      <c r="I276"/>
      <c r="N276"/>
      <c r="O276"/>
      <c r="P276" s="1">
        <f t="shared" si="35"/>
        <v>104.51950813008131</v>
      </c>
      <c r="Q276" s="1">
        <f t="shared" si="36"/>
        <v>106.09168699186992</v>
      </c>
      <c r="R276" s="1">
        <f t="shared" si="37"/>
        <v>108.12635464464157</v>
      </c>
      <c r="S276" s="1">
        <f t="shared" si="38"/>
        <v>88.631845335515536</v>
      </c>
    </row>
    <row r="277" spans="1:19" x14ac:dyDescent="0.3">
      <c r="A277">
        <v>6617.4</v>
      </c>
      <c r="B277">
        <v>108.653522</v>
      </c>
      <c r="C277">
        <v>110.58828099999999</v>
      </c>
      <c r="D277">
        <v>112.680853</v>
      </c>
      <c r="E277">
        <v>88.082392999999996</v>
      </c>
      <c r="F277">
        <v>64.479487000000006</v>
      </c>
      <c r="G277">
        <v>49.972096000000001</v>
      </c>
      <c r="H277">
        <v>51.009663000000003</v>
      </c>
      <c r="I277"/>
      <c r="N277"/>
      <c r="O277"/>
      <c r="P277" s="1">
        <f t="shared" si="35"/>
        <v>104.51950813008131</v>
      </c>
      <c r="Q277" s="1">
        <f t="shared" si="36"/>
        <v>106.09168699186992</v>
      </c>
      <c r="R277" s="1">
        <f t="shared" si="37"/>
        <v>108.12635464464157</v>
      </c>
      <c r="S277" s="1">
        <f t="shared" si="38"/>
        <v>88.631845335515536</v>
      </c>
    </row>
    <row r="278" spans="1:19" x14ac:dyDescent="0.3">
      <c r="A278">
        <v>6617.6</v>
      </c>
      <c r="B278">
        <v>108.69637299999999</v>
      </c>
      <c r="C278">
        <v>110.579331</v>
      </c>
      <c r="D278">
        <v>112.658952</v>
      </c>
      <c r="E278">
        <v>88.046225000000007</v>
      </c>
      <c r="F278">
        <v>64.502808000000002</v>
      </c>
      <c r="G278">
        <v>49.972096000000001</v>
      </c>
      <c r="H278">
        <v>51.009663000000003</v>
      </c>
      <c r="I278"/>
      <c r="N278"/>
      <c r="O278"/>
      <c r="P278" s="1">
        <f t="shared" si="35"/>
        <v>104.5244105691057</v>
      </c>
      <c r="Q278" s="1">
        <f t="shared" si="36"/>
        <v>106.09150711382115</v>
      </c>
      <c r="R278" s="1">
        <f t="shared" si="37"/>
        <v>108.15394004282655</v>
      </c>
      <c r="S278" s="1">
        <f t="shared" si="38"/>
        <v>88.5527281096563</v>
      </c>
    </row>
    <row r="279" spans="1:19" x14ac:dyDescent="0.3">
      <c r="A279">
        <v>6617.8</v>
      </c>
      <c r="B279">
        <v>108.69637299999999</v>
      </c>
      <c r="C279">
        <v>110.579331</v>
      </c>
      <c r="D279">
        <v>112.658952</v>
      </c>
      <c r="E279">
        <v>88.046225000000007</v>
      </c>
      <c r="F279">
        <v>64.502808000000002</v>
      </c>
      <c r="G279">
        <v>49.996749000000001</v>
      </c>
      <c r="H279">
        <v>50.999656000000002</v>
      </c>
      <c r="I279"/>
      <c r="N279"/>
      <c r="O279"/>
      <c r="P279" s="1">
        <f t="shared" si="35"/>
        <v>104.5244105691057</v>
      </c>
      <c r="Q279" s="1">
        <f t="shared" si="36"/>
        <v>106.09150711382115</v>
      </c>
      <c r="R279" s="1">
        <f t="shared" si="37"/>
        <v>108.15394004282655</v>
      </c>
      <c r="S279" s="1">
        <f t="shared" si="38"/>
        <v>88.5527281096563</v>
      </c>
    </row>
    <row r="280" spans="1:19" x14ac:dyDescent="0.3">
      <c r="A280">
        <v>6618</v>
      </c>
      <c r="B280">
        <v>108.652153</v>
      </c>
      <c r="C280">
        <v>110.589654</v>
      </c>
      <c r="D280">
        <v>112.685866</v>
      </c>
      <c r="E280">
        <v>88.130208999999994</v>
      </c>
      <c r="F280">
        <v>64.671103000000002</v>
      </c>
      <c r="G280">
        <v>49.996749000000001</v>
      </c>
      <c r="H280">
        <v>50.999656000000002</v>
      </c>
      <c r="I280" t="s">
        <v>56</v>
      </c>
      <c r="N280"/>
      <c r="O280"/>
      <c r="P280" s="1">
        <f t="shared" si="35"/>
        <v>104.53777845528457</v>
      </c>
      <c r="Q280" s="1">
        <f t="shared" si="36"/>
        <v>106.09611382113822</v>
      </c>
      <c r="R280" s="1">
        <f t="shared" si="37"/>
        <v>108.13702253492403</v>
      </c>
      <c r="S280" s="1">
        <f t="shared" si="38"/>
        <v>88.32484349427169</v>
      </c>
    </row>
    <row r="281" spans="1:19" x14ac:dyDescent="0.3">
      <c r="A281">
        <v>6618.2</v>
      </c>
      <c r="B281">
        <v>108.652153</v>
      </c>
      <c r="C281">
        <v>110.589654</v>
      </c>
      <c r="D281">
        <v>112.685866</v>
      </c>
      <c r="E281">
        <v>88.130208999999994</v>
      </c>
      <c r="F281">
        <v>64.671103000000002</v>
      </c>
      <c r="G281">
        <v>49.999603</v>
      </c>
      <c r="H281">
        <v>50.991422</v>
      </c>
      <c r="I281"/>
      <c r="N281"/>
      <c r="O281"/>
      <c r="P281" s="1">
        <f t="shared" si="35"/>
        <v>104.53777845528457</v>
      </c>
      <c r="Q281" s="1">
        <f t="shared" si="36"/>
        <v>106.09611382113822</v>
      </c>
      <c r="R281" s="1">
        <f t="shared" si="37"/>
        <v>108.13702253492403</v>
      </c>
      <c r="S281" s="1">
        <f t="shared" si="38"/>
        <v>88.32484349427169</v>
      </c>
    </row>
    <row r="282" spans="1:19" x14ac:dyDescent="0.3">
      <c r="A282">
        <v>6618.4</v>
      </c>
      <c r="B282">
        <v>108.67781100000001</v>
      </c>
      <c r="C282">
        <v>110.631187</v>
      </c>
      <c r="D282">
        <v>112.67322</v>
      </c>
      <c r="E282">
        <v>88.123362999999998</v>
      </c>
      <c r="F282">
        <v>64.842231999999996</v>
      </c>
      <c r="G282">
        <v>49.999603</v>
      </c>
      <c r="H282">
        <v>50.991422</v>
      </c>
      <c r="I282"/>
      <c r="N282"/>
      <c r="O282"/>
      <c r="P282" s="1">
        <f t="shared" si="35"/>
        <v>104.54362804878049</v>
      </c>
      <c r="Q282" s="1">
        <f t="shared" si="36"/>
        <v>106.08321646341464</v>
      </c>
      <c r="R282" s="1">
        <f t="shared" si="37"/>
        <v>108.15584072601203</v>
      </c>
      <c r="S282" s="1">
        <f t="shared" si="38"/>
        <v>88.277651391162024</v>
      </c>
    </row>
    <row r="283" spans="1:19" x14ac:dyDescent="0.3">
      <c r="A283">
        <v>6618.6</v>
      </c>
      <c r="B283">
        <v>108.67781100000001</v>
      </c>
      <c r="C283">
        <v>110.631187</v>
      </c>
      <c r="D283">
        <v>112.67322</v>
      </c>
      <c r="E283">
        <v>88.123362999999998</v>
      </c>
      <c r="F283">
        <v>64.842231999999996</v>
      </c>
      <c r="G283">
        <v>49.976381000000003</v>
      </c>
      <c r="H283">
        <v>50.98854</v>
      </c>
      <c r="I283"/>
      <c r="N283"/>
      <c r="O283"/>
      <c r="P283" s="1">
        <f t="shared" si="35"/>
        <v>104.54362804878049</v>
      </c>
      <c r="Q283" s="1">
        <f t="shared" si="36"/>
        <v>106.08321646341464</v>
      </c>
      <c r="R283" s="1">
        <f t="shared" si="37"/>
        <v>108.15584072601203</v>
      </c>
      <c r="S283" s="1">
        <f t="shared" si="38"/>
        <v>88.277651391162024</v>
      </c>
    </row>
    <row r="284" spans="1:19" x14ac:dyDescent="0.3">
      <c r="A284">
        <v>6618.8</v>
      </c>
      <c r="B284">
        <v>108.663239</v>
      </c>
      <c r="C284">
        <v>110.59826</v>
      </c>
      <c r="D284">
        <v>112.66618</v>
      </c>
      <c r="E284">
        <v>88.127202999999994</v>
      </c>
      <c r="F284">
        <v>64.431021000000001</v>
      </c>
      <c r="G284">
        <v>49.976381000000003</v>
      </c>
      <c r="H284">
        <v>50.98854</v>
      </c>
      <c r="I284"/>
      <c r="N284"/>
      <c r="O284"/>
      <c r="P284" s="1">
        <f t="shared" si="35"/>
        <v>104.53468800813009</v>
      </c>
      <c r="Q284" s="1">
        <f t="shared" si="36"/>
        <v>106.10320630081301</v>
      </c>
      <c r="R284" s="1">
        <f t="shared" si="37"/>
        <v>108.15382583868666</v>
      </c>
      <c r="S284" s="1">
        <f t="shared" si="38"/>
        <v>88.273816489361693</v>
      </c>
    </row>
    <row r="285" spans="1:19" x14ac:dyDescent="0.3">
      <c r="A285">
        <v>6619</v>
      </c>
      <c r="B285">
        <v>108.663239</v>
      </c>
      <c r="C285">
        <v>110.59826</v>
      </c>
      <c r="D285">
        <v>112.66618</v>
      </c>
      <c r="E285">
        <v>88.127202999999994</v>
      </c>
      <c r="F285">
        <v>64.431021000000001</v>
      </c>
      <c r="G285">
        <v>49.984012</v>
      </c>
      <c r="H285">
        <v>51.007252000000001</v>
      </c>
      <c r="I285" t="s">
        <v>56</v>
      </c>
      <c r="N285"/>
      <c r="O285"/>
      <c r="P285" s="1">
        <f t="shared" si="35"/>
        <v>104.53468800813009</v>
      </c>
      <c r="Q285" s="1">
        <f t="shared" si="36"/>
        <v>106.10320630081301</v>
      </c>
      <c r="R285" s="1">
        <f t="shared" si="37"/>
        <v>108.15382583868666</v>
      </c>
      <c r="S285" s="1">
        <f t="shared" si="38"/>
        <v>88.273816489361693</v>
      </c>
    </row>
    <row r="286" spans="1:19" x14ac:dyDescent="0.3">
      <c r="A286">
        <v>6619.2</v>
      </c>
      <c r="B286">
        <v>108.685996</v>
      </c>
      <c r="C286">
        <v>110.597295</v>
      </c>
      <c r="D286">
        <v>112.674334</v>
      </c>
      <c r="E286">
        <v>88.161501999999999</v>
      </c>
      <c r="F286">
        <v>64.045717999999994</v>
      </c>
      <c r="G286">
        <v>49.984012</v>
      </c>
      <c r="H286">
        <v>51.007252000000001</v>
      </c>
      <c r="I286"/>
      <c r="N286"/>
      <c r="O286"/>
      <c r="P286" s="1">
        <f t="shared" si="35"/>
        <v>104.5406524390244</v>
      </c>
      <c r="Q286" s="1">
        <f t="shared" si="36"/>
        <v>106.08949898373983</v>
      </c>
      <c r="R286" s="1">
        <f t="shared" si="37"/>
        <v>108.16489140409911</v>
      </c>
      <c r="S286" s="1">
        <f t="shared" si="38"/>
        <v>88.354774959083471</v>
      </c>
    </row>
    <row r="287" spans="1:19" x14ac:dyDescent="0.3">
      <c r="A287">
        <v>6619.4</v>
      </c>
      <c r="B287">
        <v>108.685996</v>
      </c>
      <c r="C287">
        <v>110.597295</v>
      </c>
      <c r="D287">
        <v>112.674334</v>
      </c>
      <c r="E287">
        <v>88.161501999999999</v>
      </c>
      <c r="F287">
        <v>64.045717999999994</v>
      </c>
      <c r="G287">
        <v>49.998711999999998</v>
      </c>
      <c r="H287">
        <v>51.013627999999997</v>
      </c>
      <c r="I287"/>
      <c r="N287"/>
      <c r="O287"/>
      <c r="P287" s="1">
        <f t="shared" si="35"/>
        <v>104.5406524390244</v>
      </c>
      <c r="Q287" s="1">
        <f t="shared" si="36"/>
        <v>106.08949898373983</v>
      </c>
      <c r="R287" s="1">
        <f t="shared" si="37"/>
        <v>108.16489140409911</v>
      </c>
      <c r="S287" s="1">
        <f t="shared" si="38"/>
        <v>88.354774959083471</v>
      </c>
    </row>
    <row r="288" spans="1:19" x14ac:dyDescent="0.3">
      <c r="A288">
        <v>6619.6</v>
      </c>
      <c r="B288">
        <v>108.677468</v>
      </c>
      <c r="C288">
        <v>110.615512</v>
      </c>
      <c r="D288">
        <v>112.686094</v>
      </c>
      <c r="E288">
        <v>88.127964000000006</v>
      </c>
      <c r="F288">
        <v>64.222998000000004</v>
      </c>
      <c r="G288">
        <v>49.998711999999998</v>
      </c>
      <c r="H288">
        <v>51.013627999999997</v>
      </c>
      <c r="I288"/>
      <c r="N288"/>
      <c r="O288"/>
      <c r="P288" s="1">
        <f t="shared" si="35"/>
        <v>104.52100914634147</v>
      </c>
      <c r="Q288" s="1">
        <f t="shared" si="36"/>
        <v>106.08299898373984</v>
      </c>
      <c r="R288" s="1">
        <f t="shared" si="37"/>
        <v>108.16187111247069</v>
      </c>
      <c r="S288" s="1">
        <f t="shared" si="38"/>
        <v>88.319655278232403</v>
      </c>
    </row>
    <row r="289" spans="1:19" x14ac:dyDescent="0.3">
      <c r="A289">
        <v>6619.8</v>
      </c>
      <c r="B289">
        <v>108.677468</v>
      </c>
      <c r="C289">
        <v>110.615512</v>
      </c>
      <c r="D289">
        <v>112.686094</v>
      </c>
      <c r="E289">
        <v>88.127964000000006</v>
      </c>
      <c r="F289">
        <v>64.222998000000004</v>
      </c>
      <c r="G289">
        <v>49.974898000000003</v>
      </c>
      <c r="H289">
        <v>51.030707999999997</v>
      </c>
      <c r="I289"/>
      <c r="N289"/>
      <c r="O289"/>
      <c r="P289" s="1">
        <f t="shared" si="35"/>
        <v>104.52100914634147</v>
      </c>
      <c r="Q289" s="1">
        <f t="shared" si="36"/>
        <v>106.08299898373984</v>
      </c>
      <c r="R289" s="1">
        <f t="shared" si="37"/>
        <v>108.16187111247069</v>
      </c>
      <c r="S289" s="1">
        <f t="shared" si="38"/>
        <v>88.319655278232403</v>
      </c>
    </row>
    <row r="290" spans="1:19" x14ac:dyDescent="0.3">
      <c r="A290">
        <v>6620</v>
      </c>
      <c r="B290">
        <v>108.701733</v>
      </c>
      <c r="C290">
        <v>110.61972</v>
      </c>
      <c r="D290">
        <v>112.676385</v>
      </c>
      <c r="E290">
        <v>88.078440000000001</v>
      </c>
      <c r="F290">
        <v>64.110078000000001</v>
      </c>
      <c r="G290">
        <v>49.974898000000003</v>
      </c>
      <c r="H290">
        <v>51.030707999999997</v>
      </c>
      <c r="I290" t="s">
        <v>56</v>
      </c>
      <c r="N290"/>
      <c r="O290"/>
      <c r="P290" s="1">
        <f t="shared" si="35"/>
        <v>104.52919715447155</v>
      </c>
      <c r="Q290" s="1">
        <f t="shared" si="36"/>
        <v>106.09885670731707</v>
      </c>
      <c r="R290" s="1">
        <f t="shared" si="37"/>
        <v>108.1716936881819</v>
      </c>
      <c r="S290" s="1">
        <f t="shared" si="38"/>
        <v>88.256888297872337</v>
      </c>
    </row>
    <row r="291" spans="1:19" x14ac:dyDescent="0.3">
      <c r="A291">
        <v>6620.2</v>
      </c>
      <c r="B291">
        <v>108.701733</v>
      </c>
      <c r="C291">
        <v>110.61972</v>
      </c>
      <c r="D291">
        <v>112.676385</v>
      </c>
      <c r="E291">
        <v>88.078440000000001</v>
      </c>
      <c r="F291">
        <v>64.110078000000001</v>
      </c>
      <c r="G291">
        <v>49.986944000000001</v>
      </c>
      <c r="H291">
        <v>51.029812</v>
      </c>
      <c r="I291"/>
      <c r="N291"/>
      <c r="O291"/>
      <c r="P291" s="1">
        <f t="shared" si="35"/>
        <v>104.52919715447155</v>
      </c>
      <c r="Q291" s="1">
        <f t="shared" si="36"/>
        <v>106.09885670731707</v>
      </c>
      <c r="R291" s="1">
        <f t="shared" si="37"/>
        <v>108.1716936881819</v>
      </c>
      <c r="S291" s="1">
        <f t="shared" si="38"/>
        <v>88.256888297872337</v>
      </c>
    </row>
    <row r="292" spans="1:19" x14ac:dyDescent="0.3">
      <c r="A292">
        <v>6620.4</v>
      </c>
      <c r="B292">
        <v>108.67206</v>
      </c>
      <c r="C292">
        <v>110.625417</v>
      </c>
      <c r="D292">
        <v>112.667474</v>
      </c>
      <c r="E292">
        <v>88.064498</v>
      </c>
      <c r="F292">
        <v>64.286507</v>
      </c>
      <c r="G292">
        <v>49.986944000000001</v>
      </c>
      <c r="H292">
        <v>51.029812</v>
      </c>
      <c r="I292"/>
      <c r="N292"/>
      <c r="O292"/>
      <c r="P292" s="1">
        <f t="shared" si="35"/>
        <v>104.52487195121951</v>
      </c>
      <c r="Q292" s="1">
        <f t="shared" si="36"/>
        <v>106.07946138211383</v>
      </c>
      <c r="R292" s="1">
        <f t="shared" si="37"/>
        <v>108.17777301927194</v>
      </c>
      <c r="S292" s="1">
        <f t="shared" si="38"/>
        <v>88.324640957446803</v>
      </c>
    </row>
    <row r="293" spans="1:19" x14ac:dyDescent="0.3">
      <c r="A293">
        <v>6620.6</v>
      </c>
      <c r="B293">
        <v>108.67206</v>
      </c>
      <c r="C293">
        <v>110.625417</v>
      </c>
      <c r="D293">
        <v>112.667474</v>
      </c>
      <c r="E293">
        <v>88.064498</v>
      </c>
      <c r="F293">
        <v>64.286507</v>
      </c>
      <c r="G293">
        <v>49.993706000000003</v>
      </c>
      <c r="H293">
        <v>51.031489000000001</v>
      </c>
      <c r="I293"/>
      <c r="N293"/>
      <c r="O293"/>
      <c r="P293" s="1">
        <f t="shared" si="35"/>
        <v>111.23909552845529</v>
      </c>
      <c r="Q293" s="1">
        <f t="shared" si="36"/>
        <v>113.18514735772358</v>
      </c>
      <c r="R293" s="1">
        <f t="shared" si="37"/>
        <v>115.71009279086367</v>
      </c>
      <c r="S293" s="1">
        <f t="shared" si="38"/>
        <v>90.981179418985263</v>
      </c>
    </row>
    <row r="294" spans="1:19" x14ac:dyDescent="0.3">
      <c r="A294">
        <v>6620.8</v>
      </c>
      <c r="B294">
        <v>108.712036</v>
      </c>
      <c r="C294">
        <v>110.623879</v>
      </c>
      <c r="D294">
        <v>112.69442600000001</v>
      </c>
      <c r="E294">
        <v>88.016745</v>
      </c>
      <c r="F294">
        <v>64.194647000000003</v>
      </c>
      <c r="G294">
        <v>49.993706000000003</v>
      </c>
      <c r="H294">
        <v>51.031489000000001</v>
      </c>
      <c r="I294"/>
      <c r="N294"/>
      <c r="O294"/>
      <c r="P294" s="1">
        <f t="shared" si="35"/>
        <v>111.21953455284553</v>
      </c>
      <c r="Q294" s="1">
        <f t="shared" si="36"/>
        <v>113.18575304878048</v>
      </c>
      <c r="R294" s="1">
        <f t="shared" si="37"/>
        <v>115.72463852350361</v>
      </c>
      <c r="S294" s="1">
        <f t="shared" si="38"/>
        <v>91.045614770867431</v>
      </c>
    </row>
    <row r="295" spans="1:19" x14ac:dyDescent="0.3">
      <c r="A295">
        <v>6621</v>
      </c>
      <c r="B295">
        <v>108.712036</v>
      </c>
      <c r="C295">
        <v>110.623879</v>
      </c>
      <c r="D295">
        <v>112.69442600000001</v>
      </c>
      <c r="E295">
        <v>88.016745</v>
      </c>
      <c r="F295">
        <v>64.194647000000003</v>
      </c>
      <c r="G295">
        <v>49.995362999999998</v>
      </c>
      <c r="H295">
        <v>51.016053999999997</v>
      </c>
      <c r="I295" t="s">
        <v>56</v>
      </c>
      <c r="N295"/>
      <c r="O295"/>
      <c r="P295" s="1">
        <f t="shared" si="35"/>
        <v>111.21953455284553</v>
      </c>
      <c r="Q295" s="1">
        <f t="shared" si="36"/>
        <v>113.18575304878048</v>
      </c>
      <c r="R295" s="1">
        <f t="shared" si="37"/>
        <v>115.72463852350361</v>
      </c>
      <c r="S295" s="1">
        <f t="shared" si="38"/>
        <v>91.045614770867431</v>
      </c>
    </row>
    <row r="296" spans="1:19" x14ac:dyDescent="0.3">
      <c r="A296">
        <v>6621.2</v>
      </c>
      <c r="B296">
        <v>108.67272</v>
      </c>
      <c r="C296">
        <v>110.605485</v>
      </c>
      <c r="D296">
        <v>112.675653</v>
      </c>
      <c r="E296">
        <v>87.987700000000004</v>
      </c>
      <c r="F296">
        <v>64.539257000000006</v>
      </c>
      <c r="G296">
        <v>49.995362999999998</v>
      </c>
      <c r="H296">
        <v>51.016053999999997</v>
      </c>
      <c r="I296"/>
      <c r="N296"/>
      <c r="O296"/>
      <c r="P296" s="1">
        <f t="shared" si="35"/>
        <v>111.26308231707317</v>
      </c>
      <c r="Q296" s="1">
        <f t="shared" si="36"/>
        <v>113.17665752032521</v>
      </c>
      <c r="R296" s="1">
        <f t="shared" si="37"/>
        <v>115.70230651575405</v>
      </c>
      <c r="S296" s="1">
        <f t="shared" si="38"/>
        <v>91.008618044189859</v>
      </c>
    </row>
    <row r="297" spans="1:19" x14ac:dyDescent="0.3">
      <c r="A297">
        <v>6621.4</v>
      </c>
      <c r="B297">
        <v>108.67272</v>
      </c>
      <c r="C297">
        <v>110.605485</v>
      </c>
      <c r="D297">
        <v>112.675653</v>
      </c>
      <c r="E297">
        <v>87.987700000000004</v>
      </c>
      <c r="F297">
        <v>64.539257000000006</v>
      </c>
      <c r="G297">
        <v>49.99221</v>
      </c>
      <c r="H297">
        <v>51.002279999999999</v>
      </c>
      <c r="I297"/>
      <c r="N297"/>
      <c r="O297"/>
      <c r="P297" s="1">
        <f t="shared" si="35"/>
        <v>111.26308231707317</v>
      </c>
      <c r="Q297" s="1">
        <f t="shared" si="36"/>
        <v>113.17665752032521</v>
      </c>
      <c r="R297" s="1">
        <f t="shared" si="37"/>
        <v>115.70230651575405</v>
      </c>
      <c r="S297" s="1">
        <f t="shared" si="38"/>
        <v>91.008618044189859</v>
      </c>
    </row>
    <row r="298" spans="1:19" x14ac:dyDescent="0.3">
      <c r="A298">
        <v>6621.6</v>
      </c>
      <c r="B298">
        <v>108.644999</v>
      </c>
      <c r="C298">
        <v>110.61794399999999</v>
      </c>
      <c r="D298">
        <v>112.665729</v>
      </c>
      <c r="E298">
        <v>88.046616</v>
      </c>
      <c r="F298">
        <v>65.091179999999994</v>
      </c>
      <c r="G298">
        <v>49.99221</v>
      </c>
      <c r="H298">
        <v>51.002279999999999</v>
      </c>
      <c r="I298"/>
      <c r="N298"/>
      <c r="O298"/>
      <c r="P298" s="1">
        <f t="shared" si="35"/>
        <v>111.21814329268292</v>
      </c>
      <c r="Q298" s="1">
        <f t="shared" si="36"/>
        <v>113.18714837398375</v>
      </c>
      <c r="R298" s="1">
        <f t="shared" si="37"/>
        <v>115.72975017844396</v>
      </c>
      <c r="S298" s="1">
        <f t="shared" si="38"/>
        <v>91.09452639116202</v>
      </c>
    </row>
    <row r="299" spans="1:19" x14ac:dyDescent="0.3">
      <c r="A299">
        <v>6621.8</v>
      </c>
      <c r="B299">
        <v>108.644999</v>
      </c>
      <c r="C299">
        <v>110.61794399999999</v>
      </c>
      <c r="D299">
        <v>112.665729</v>
      </c>
      <c r="E299">
        <v>88.046616</v>
      </c>
      <c r="F299">
        <v>65.091179999999994</v>
      </c>
      <c r="G299">
        <v>49.997639999999997</v>
      </c>
      <c r="H299">
        <v>50.987613000000003</v>
      </c>
      <c r="I299"/>
      <c r="N299"/>
      <c r="O299"/>
      <c r="P299" s="1">
        <f t="shared" si="35"/>
        <v>111.21814329268292</v>
      </c>
      <c r="Q299" s="1">
        <f t="shared" si="36"/>
        <v>113.18714837398375</v>
      </c>
      <c r="R299" s="1">
        <f t="shared" si="37"/>
        <v>115.72975017844396</v>
      </c>
      <c r="S299" s="1">
        <f t="shared" si="38"/>
        <v>91.09452639116202</v>
      </c>
    </row>
    <row r="300" spans="1:19" x14ac:dyDescent="0.3">
      <c r="A300">
        <v>6622</v>
      </c>
      <c r="B300">
        <v>108.658147</v>
      </c>
      <c r="C300">
        <v>110.61626200000001</v>
      </c>
      <c r="D300">
        <v>112.670207</v>
      </c>
      <c r="E300">
        <v>88.059556999999998</v>
      </c>
      <c r="F300">
        <v>65.07911</v>
      </c>
      <c r="G300">
        <v>49.997639999999997</v>
      </c>
      <c r="H300">
        <v>50.987613000000003</v>
      </c>
      <c r="I300" t="s">
        <v>56</v>
      </c>
      <c r="N300"/>
      <c r="O300"/>
      <c r="P300" s="1">
        <f t="shared" ref="P300:P363" si="39">(B282+Q$36)/P$36</f>
        <v>111.24421849593497</v>
      </c>
      <c r="Q300" s="1">
        <f t="shared" ref="Q300:Q363" si="40">(C282+Q$36)/P$36</f>
        <v>113.22935670731708</v>
      </c>
      <c r="R300" s="1">
        <f t="shared" ref="R300:R363" si="41">(D282+Q$38)/P$38</f>
        <v>115.71685530743346</v>
      </c>
      <c r="S300" s="1">
        <f t="shared" ref="S300:S363" si="42">(E282+Q$39)/P$39</f>
        <v>91.087523527004905</v>
      </c>
    </row>
    <row r="301" spans="1:19" x14ac:dyDescent="0.3">
      <c r="A301">
        <v>6622.2</v>
      </c>
      <c r="B301">
        <v>108.658147</v>
      </c>
      <c r="C301">
        <v>110.61626200000001</v>
      </c>
      <c r="D301">
        <v>112.670207</v>
      </c>
      <c r="E301">
        <v>88.059556999999998</v>
      </c>
      <c r="F301">
        <v>65.07911</v>
      </c>
      <c r="G301">
        <v>49.984577999999999</v>
      </c>
      <c r="H301">
        <v>51.007587000000001</v>
      </c>
      <c r="I301"/>
      <c r="N301"/>
      <c r="O301"/>
      <c r="P301" s="1">
        <f t="shared" si="39"/>
        <v>111.24421849593497</v>
      </c>
      <c r="Q301" s="1">
        <f t="shared" si="40"/>
        <v>113.22935670731708</v>
      </c>
      <c r="R301" s="1">
        <f t="shared" si="41"/>
        <v>115.71685530743346</v>
      </c>
      <c r="S301" s="1">
        <f t="shared" si="42"/>
        <v>91.087523527004905</v>
      </c>
    </row>
    <row r="302" spans="1:19" x14ac:dyDescent="0.3">
      <c r="A302">
        <v>6622.4</v>
      </c>
      <c r="B302">
        <v>108.66104900000001</v>
      </c>
      <c r="C302">
        <v>110.60887700000001</v>
      </c>
      <c r="D302">
        <v>112.681766</v>
      </c>
      <c r="E302">
        <v>88.023353999999998</v>
      </c>
      <c r="F302">
        <v>64.804694999999995</v>
      </c>
      <c r="G302">
        <v>49.984577999999999</v>
      </c>
      <c r="H302">
        <v>51.007587000000001</v>
      </c>
      <c r="I302"/>
      <c r="N302"/>
      <c r="O302"/>
      <c r="P302" s="1">
        <f t="shared" si="39"/>
        <v>111.22940955284554</v>
      </c>
      <c r="Q302" s="1">
        <f t="shared" si="40"/>
        <v>113.1958943089431</v>
      </c>
      <c r="R302" s="1">
        <f t="shared" si="41"/>
        <v>115.70967676149688</v>
      </c>
      <c r="S302" s="1">
        <f t="shared" si="42"/>
        <v>91.091451513911608</v>
      </c>
    </row>
    <row r="303" spans="1:19" x14ac:dyDescent="0.3">
      <c r="A303">
        <v>6622.6</v>
      </c>
      <c r="B303">
        <v>108.66104900000001</v>
      </c>
      <c r="C303">
        <v>110.60887700000001</v>
      </c>
      <c r="D303">
        <v>112.681766</v>
      </c>
      <c r="E303">
        <v>88.023353999999998</v>
      </c>
      <c r="F303">
        <v>64.804694999999995</v>
      </c>
      <c r="G303">
        <v>49.996794999999999</v>
      </c>
      <c r="H303">
        <v>51.021642999999997</v>
      </c>
      <c r="I303"/>
      <c r="N303"/>
      <c r="O303"/>
      <c r="P303" s="1">
        <f t="shared" si="39"/>
        <v>111.22940955284554</v>
      </c>
      <c r="Q303" s="1">
        <f t="shared" si="40"/>
        <v>113.1958943089431</v>
      </c>
      <c r="R303" s="1">
        <f t="shared" si="41"/>
        <v>115.70967676149688</v>
      </c>
      <c r="S303" s="1">
        <f t="shared" si="42"/>
        <v>91.091451513911608</v>
      </c>
    </row>
    <row r="304" spans="1:19" x14ac:dyDescent="0.3">
      <c r="A304">
        <v>6622.8</v>
      </c>
      <c r="B304">
        <v>108.69869199999999</v>
      </c>
      <c r="C304">
        <v>110.60820200000001</v>
      </c>
      <c r="D304">
        <v>112.68565099999999</v>
      </c>
      <c r="E304">
        <v>87.946815999999998</v>
      </c>
      <c r="F304">
        <v>65.346294999999998</v>
      </c>
      <c r="G304">
        <v>49.996794999999999</v>
      </c>
      <c r="H304">
        <v>51.021642999999997</v>
      </c>
      <c r="I304"/>
      <c r="N304"/>
      <c r="O304"/>
      <c r="P304" s="1">
        <f t="shared" si="39"/>
        <v>111.25253658536586</v>
      </c>
      <c r="Q304" s="1">
        <f t="shared" si="40"/>
        <v>113.19491361788619</v>
      </c>
      <c r="R304" s="1">
        <f t="shared" si="41"/>
        <v>115.71799123075354</v>
      </c>
      <c r="S304" s="1">
        <f t="shared" si="42"/>
        <v>91.126536415711939</v>
      </c>
    </row>
    <row r="305" spans="1:19" x14ac:dyDescent="0.3">
      <c r="A305">
        <v>6623</v>
      </c>
      <c r="B305">
        <v>108.69869199999999</v>
      </c>
      <c r="C305">
        <v>110.60820200000001</v>
      </c>
      <c r="D305">
        <v>112.68565099999999</v>
      </c>
      <c r="E305">
        <v>87.946815999999998</v>
      </c>
      <c r="F305">
        <v>65.346294999999998</v>
      </c>
      <c r="G305">
        <v>49.979934999999998</v>
      </c>
      <c r="H305">
        <v>51.027427000000003</v>
      </c>
      <c r="I305" t="s">
        <v>56</v>
      </c>
      <c r="N305"/>
      <c r="O305"/>
      <c r="P305" s="1">
        <f t="shared" si="39"/>
        <v>111.25253658536586</v>
      </c>
      <c r="Q305" s="1">
        <f t="shared" si="40"/>
        <v>113.19491361788619</v>
      </c>
      <c r="R305" s="1">
        <f t="shared" si="41"/>
        <v>115.71799123075354</v>
      </c>
      <c r="S305" s="1">
        <f t="shared" si="42"/>
        <v>91.126536415711939</v>
      </c>
    </row>
    <row r="306" spans="1:19" x14ac:dyDescent="0.3">
      <c r="A306">
        <v>6623.2</v>
      </c>
      <c r="B306">
        <v>108.69149899999999</v>
      </c>
      <c r="C306">
        <v>110.611969</v>
      </c>
      <c r="D306">
        <v>112.693731</v>
      </c>
      <c r="E306">
        <v>87.932552999999999</v>
      </c>
      <c r="F306">
        <v>65.354365000000001</v>
      </c>
      <c r="G306">
        <v>49.979934999999998</v>
      </c>
      <c r="H306">
        <v>51.027427000000003</v>
      </c>
      <c r="I306"/>
      <c r="N306"/>
      <c r="O306"/>
      <c r="P306" s="1">
        <f t="shared" si="39"/>
        <v>111.2438699186992</v>
      </c>
      <c r="Q306" s="1">
        <f t="shared" si="40"/>
        <v>113.2134268292683</v>
      </c>
      <c r="R306" s="1">
        <f t="shared" si="41"/>
        <v>115.72998266544305</v>
      </c>
      <c r="S306" s="1">
        <f t="shared" si="42"/>
        <v>91.092229950900162</v>
      </c>
    </row>
    <row r="307" spans="1:19" x14ac:dyDescent="0.3">
      <c r="A307">
        <v>6623.4</v>
      </c>
      <c r="B307">
        <v>108.69149899999999</v>
      </c>
      <c r="C307">
        <v>110.611969</v>
      </c>
      <c r="D307">
        <v>112.693731</v>
      </c>
      <c r="E307">
        <v>87.932552999999999</v>
      </c>
      <c r="F307">
        <v>65.354365000000001</v>
      </c>
      <c r="G307">
        <v>49.996803999999997</v>
      </c>
      <c r="H307">
        <v>51.009641999999999</v>
      </c>
      <c r="I307"/>
      <c r="N307"/>
      <c r="O307"/>
      <c r="P307" s="1">
        <f t="shared" si="39"/>
        <v>111.2438699186992</v>
      </c>
      <c r="Q307" s="1">
        <f t="shared" si="40"/>
        <v>113.2134268292683</v>
      </c>
      <c r="R307" s="1">
        <f t="shared" si="41"/>
        <v>115.72998266544305</v>
      </c>
      <c r="S307" s="1">
        <f t="shared" si="42"/>
        <v>91.092229950900162</v>
      </c>
    </row>
    <row r="308" spans="1:19" x14ac:dyDescent="0.3">
      <c r="A308">
        <v>6623.6</v>
      </c>
      <c r="B308">
        <v>108.67026300000001</v>
      </c>
      <c r="C308">
        <v>110.599357</v>
      </c>
      <c r="D308">
        <v>112.65360099999999</v>
      </c>
      <c r="E308">
        <v>87.915243000000004</v>
      </c>
      <c r="F308">
        <v>64.585167999999996</v>
      </c>
      <c r="G308">
        <v>49.996803999999997</v>
      </c>
      <c r="H308">
        <v>51.009641999999999</v>
      </c>
      <c r="I308"/>
      <c r="N308"/>
      <c r="O308"/>
      <c r="P308" s="1">
        <f t="shared" si="39"/>
        <v>111.26852947154472</v>
      </c>
      <c r="Q308" s="1">
        <f t="shared" si="40"/>
        <v>113.21770325203252</v>
      </c>
      <c r="R308" s="1">
        <f t="shared" si="41"/>
        <v>115.72008259406546</v>
      </c>
      <c r="S308" s="1">
        <f t="shared" si="42"/>
        <v>91.041571194762682</v>
      </c>
    </row>
    <row r="309" spans="1:19" x14ac:dyDescent="0.3">
      <c r="A309">
        <v>6623.8</v>
      </c>
      <c r="B309">
        <v>108.67026300000001</v>
      </c>
      <c r="C309">
        <v>110.599357</v>
      </c>
      <c r="D309">
        <v>112.65360099999999</v>
      </c>
      <c r="E309">
        <v>87.915243000000004</v>
      </c>
      <c r="F309">
        <v>64.585167999999996</v>
      </c>
      <c r="G309">
        <v>49.969830999999999</v>
      </c>
      <c r="H309">
        <v>51.008091999999998</v>
      </c>
      <c r="I309"/>
      <c r="N309"/>
      <c r="O309"/>
      <c r="P309" s="1">
        <f t="shared" si="39"/>
        <v>111.26852947154472</v>
      </c>
      <c r="Q309" s="1">
        <f t="shared" si="40"/>
        <v>113.21770325203252</v>
      </c>
      <c r="R309" s="1">
        <f t="shared" si="41"/>
        <v>115.72008259406546</v>
      </c>
      <c r="S309" s="1">
        <f t="shared" si="42"/>
        <v>91.041571194762682</v>
      </c>
    </row>
    <row r="310" spans="1:19" x14ac:dyDescent="0.3">
      <c r="A310">
        <v>6624</v>
      </c>
      <c r="B310">
        <v>108.66324400000001</v>
      </c>
      <c r="C310">
        <v>110.59734899999999</v>
      </c>
      <c r="D310">
        <v>112.657753</v>
      </c>
      <c r="E310">
        <v>87.954577</v>
      </c>
      <c r="F310">
        <v>64.366893000000005</v>
      </c>
      <c r="G310">
        <v>49.969830999999999</v>
      </c>
      <c r="H310">
        <v>51.008091999999998</v>
      </c>
      <c r="I310" t="s">
        <v>56</v>
      </c>
      <c r="N310"/>
      <c r="O310"/>
      <c r="P310" s="1">
        <f t="shared" si="39"/>
        <v>111.23837398373985</v>
      </c>
      <c r="Q310" s="1">
        <f t="shared" si="40"/>
        <v>113.22349288617886</v>
      </c>
      <c r="R310" s="1">
        <f t="shared" si="41"/>
        <v>115.71099622718467</v>
      </c>
      <c r="S310" s="1">
        <f t="shared" si="42"/>
        <v>91.027309738134207</v>
      </c>
    </row>
    <row r="311" spans="1:19" x14ac:dyDescent="0.3">
      <c r="A311">
        <v>6624.2</v>
      </c>
      <c r="B311">
        <v>108.66324400000001</v>
      </c>
      <c r="C311">
        <v>110.59734899999999</v>
      </c>
      <c r="D311">
        <v>112.657753</v>
      </c>
      <c r="E311">
        <v>87.954577</v>
      </c>
      <c r="F311">
        <v>64.366893000000005</v>
      </c>
      <c r="G311">
        <v>49.977600000000002</v>
      </c>
      <c r="H311">
        <v>51.006849000000003</v>
      </c>
      <c r="I311"/>
      <c r="N311"/>
      <c r="O311"/>
      <c r="P311" s="1">
        <f t="shared" si="39"/>
        <v>111.23837398373985</v>
      </c>
      <c r="Q311" s="1">
        <f t="shared" si="40"/>
        <v>113.22349288617886</v>
      </c>
      <c r="R311" s="1">
        <f t="shared" si="41"/>
        <v>115.71099622718467</v>
      </c>
      <c r="S311" s="1">
        <f t="shared" si="42"/>
        <v>91.027309738134207</v>
      </c>
    </row>
    <row r="312" spans="1:19" x14ac:dyDescent="0.3">
      <c r="A312">
        <v>6624.4</v>
      </c>
      <c r="B312">
        <v>108.653271</v>
      </c>
      <c r="C312">
        <v>110.603132</v>
      </c>
      <c r="D312">
        <v>112.667158</v>
      </c>
      <c r="E312">
        <v>87.970352000000005</v>
      </c>
      <c r="F312">
        <v>63.862977999999998</v>
      </c>
      <c r="G312">
        <v>49.977600000000002</v>
      </c>
      <c r="H312">
        <v>51.006849000000003</v>
      </c>
      <c r="I312"/>
      <c r="N312"/>
      <c r="O312"/>
      <c r="P312" s="1">
        <f t="shared" si="39"/>
        <v>111.279</v>
      </c>
      <c r="Q312" s="1">
        <f t="shared" si="40"/>
        <v>113.22192987804878</v>
      </c>
      <c r="R312" s="1">
        <f t="shared" si="41"/>
        <v>115.73847863770776</v>
      </c>
      <c r="S312" s="1">
        <f t="shared" si="42"/>
        <v>90.978462561374798</v>
      </c>
    </row>
    <row r="313" spans="1:19" x14ac:dyDescent="0.3">
      <c r="A313">
        <v>6624.6</v>
      </c>
      <c r="B313">
        <v>108.653271</v>
      </c>
      <c r="C313">
        <v>110.603132</v>
      </c>
      <c r="D313">
        <v>112.667158</v>
      </c>
      <c r="E313">
        <v>87.970352000000005</v>
      </c>
      <c r="F313">
        <v>63.862977999999998</v>
      </c>
      <c r="G313">
        <v>49.996935999999998</v>
      </c>
      <c r="H313">
        <v>51.011391000000003</v>
      </c>
      <c r="I313"/>
      <c r="N313"/>
      <c r="O313"/>
      <c r="P313" s="1">
        <f t="shared" si="39"/>
        <v>111.279</v>
      </c>
      <c r="Q313" s="1">
        <f t="shared" si="40"/>
        <v>113.22192987804878</v>
      </c>
      <c r="R313" s="1">
        <f t="shared" si="41"/>
        <v>115.73847863770776</v>
      </c>
      <c r="S313" s="1">
        <f t="shared" si="42"/>
        <v>90.978462561374798</v>
      </c>
    </row>
    <row r="314" spans="1:19" x14ac:dyDescent="0.3">
      <c r="A314">
        <v>6624.8</v>
      </c>
      <c r="B314">
        <v>108.65267900000001</v>
      </c>
      <c r="C314">
        <v>110.590182</v>
      </c>
      <c r="D314">
        <v>112.662921</v>
      </c>
      <c r="E314">
        <v>87.992217999999994</v>
      </c>
      <c r="F314">
        <v>63.888413999999997</v>
      </c>
      <c r="G314">
        <v>49.996935999999998</v>
      </c>
      <c r="H314">
        <v>51.011391000000003</v>
      </c>
      <c r="I314"/>
      <c r="N314"/>
      <c r="O314"/>
      <c r="P314" s="1">
        <f t="shared" si="39"/>
        <v>111.23904471544716</v>
      </c>
      <c r="Q314" s="1">
        <f t="shared" si="40"/>
        <v>113.2032367886179</v>
      </c>
      <c r="R314" s="1">
        <f t="shared" si="41"/>
        <v>115.71933618843683</v>
      </c>
      <c r="S314" s="1">
        <f t="shared" si="42"/>
        <v>90.94875204582651</v>
      </c>
    </row>
    <row r="315" spans="1:19" x14ac:dyDescent="0.3">
      <c r="A315">
        <v>6625</v>
      </c>
      <c r="B315">
        <v>108.65267900000001</v>
      </c>
      <c r="C315">
        <v>110.590182</v>
      </c>
      <c r="D315">
        <v>112.662921</v>
      </c>
      <c r="E315">
        <v>87.992217999999994</v>
      </c>
      <c r="F315">
        <v>63.888413999999997</v>
      </c>
      <c r="G315">
        <v>49.996898999999999</v>
      </c>
      <c r="H315">
        <v>50.977404</v>
      </c>
      <c r="I315" t="s">
        <v>56</v>
      </c>
      <c r="N315"/>
      <c r="O315"/>
      <c r="P315" s="1">
        <f t="shared" si="39"/>
        <v>111.23904471544716</v>
      </c>
      <c r="Q315" s="1">
        <f t="shared" si="40"/>
        <v>113.2032367886179</v>
      </c>
      <c r="R315" s="1">
        <f t="shared" si="41"/>
        <v>115.71933618843683</v>
      </c>
      <c r="S315" s="1">
        <f t="shared" si="42"/>
        <v>90.94875204582651</v>
      </c>
    </row>
    <row r="316" spans="1:19" x14ac:dyDescent="0.3">
      <c r="A316">
        <v>6625.2</v>
      </c>
      <c r="B316">
        <v>108.640362</v>
      </c>
      <c r="C316">
        <v>110.58377299999999</v>
      </c>
      <c r="D316">
        <v>112.670895</v>
      </c>
      <c r="E316">
        <v>88.080214999999995</v>
      </c>
      <c r="F316">
        <v>64.127869000000004</v>
      </c>
      <c r="G316">
        <v>49.996898999999999</v>
      </c>
      <c r="H316">
        <v>50.977404</v>
      </c>
      <c r="I316"/>
      <c r="N316"/>
      <c r="O316"/>
      <c r="P316" s="1">
        <f t="shared" si="39"/>
        <v>111.21087296747967</v>
      </c>
      <c r="Q316" s="1">
        <f t="shared" si="40"/>
        <v>113.21589837398373</v>
      </c>
      <c r="R316" s="1">
        <f t="shared" si="41"/>
        <v>115.70921688589782</v>
      </c>
      <c r="S316" s="1">
        <f t="shared" si="42"/>
        <v>91.009018003273326</v>
      </c>
    </row>
    <row r="317" spans="1:19" x14ac:dyDescent="0.3">
      <c r="A317">
        <v>6625.4</v>
      </c>
      <c r="B317">
        <v>108.640362</v>
      </c>
      <c r="C317">
        <v>110.58377299999999</v>
      </c>
      <c r="D317">
        <v>112.670895</v>
      </c>
      <c r="E317">
        <v>88.080214999999995</v>
      </c>
      <c r="F317">
        <v>64.127869000000004</v>
      </c>
      <c r="G317">
        <v>49.996384999999997</v>
      </c>
      <c r="H317">
        <v>51.000909</v>
      </c>
      <c r="I317"/>
      <c r="N317"/>
      <c r="O317"/>
      <c r="P317" s="1">
        <f t="shared" si="39"/>
        <v>111.21087296747967</v>
      </c>
      <c r="Q317" s="1">
        <f t="shared" si="40"/>
        <v>113.21589837398373</v>
      </c>
      <c r="R317" s="1">
        <f t="shared" si="41"/>
        <v>115.70921688589782</v>
      </c>
      <c r="S317" s="1">
        <f t="shared" si="42"/>
        <v>91.009018003273326</v>
      </c>
    </row>
    <row r="318" spans="1:19" x14ac:dyDescent="0.3">
      <c r="A318">
        <v>6625.6</v>
      </c>
      <c r="B318">
        <v>108.657202</v>
      </c>
      <c r="C318">
        <v>110.590372</v>
      </c>
      <c r="D318">
        <v>112.680885</v>
      </c>
      <c r="E318">
        <v>88.096566999999993</v>
      </c>
      <c r="F318">
        <v>63.693064999999997</v>
      </c>
      <c r="G318">
        <v>49.996384999999997</v>
      </c>
      <c r="H318">
        <v>51.000909</v>
      </c>
      <c r="I318"/>
      <c r="N318"/>
      <c r="O318"/>
      <c r="P318" s="1">
        <f t="shared" si="39"/>
        <v>111.22423475609757</v>
      </c>
      <c r="Q318" s="1">
        <f t="shared" si="40"/>
        <v>113.21418902439025</v>
      </c>
      <c r="R318" s="1">
        <f t="shared" si="41"/>
        <v>115.71378301213419</v>
      </c>
      <c r="S318" s="1">
        <f t="shared" si="42"/>
        <v>91.022255523731587</v>
      </c>
    </row>
    <row r="319" spans="1:19" x14ac:dyDescent="0.3">
      <c r="A319">
        <v>6625.8</v>
      </c>
      <c r="B319">
        <v>108.657202</v>
      </c>
      <c r="C319">
        <v>110.590372</v>
      </c>
      <c r="D319">
        <v>112.680885</v>
      </c>
      <c r="E319">
        <v>88.096566999999993</v>
      </c>
      <c r="F319">
        <v>63.693064999999997</v>
      </c>
      <c r="G319">
        <v>49.979551000000001</v>
      </c>
      <c r="H319">
        <v>51.011108</v>
      </c>
      <c r="I319"/>
      <c r="N319"/>
      <c r="O319"/>
      <c r="P319" s="1">
        <f t="shared" si="39"/>
        <v>111.22423475609757</v>
      </c>
      <c r="Q319" s="1">
        <f t="shared" si="40"/>
        <v>113.21418902439025</v>
      </c>
      <c r="R319" s="1">
        <f t="shared" si="41"/>
        <v>115.71378301213419</v>
      </c>
      <c r="S319" s="1">
        <f t="shared" si="42"/>
        <v>91.022255523731587</v>
      </c>
    </row>
    <row r="320" spans="1:19" x14ac:dyDescent="0.3">
      <c r="A320">
        <v>6626</v>
      </c>
      <c r="B320">
        <v>108.683454</v>
      </c>
      <c r="C320">
        <v>110.59680299999999</v>
      </c>
      <c r="D320">
        <v>112.66427400000001</v>
      </c>
      <c r="E320">
        <v>88.097263999999996</v>
      </c>
      <c r="F320">
        <v>63.035006000000003</v>
      </c>
      <c r="G320">
        <v>49.979551000000001</v>
      </c>
      <c r="H320">
        <v>51.011108</v>
      </c>
      <c r="I320" t="s">
        <v>56</v>
      </c>
      <c r="N320"/>
      <c r="O320"/>
      <c r="P320" s="1">
        <f t="shared" si="39"/>
        <v>111.22718394308944</v>
      </c>
      <c r="Q320" s="1">
        <f t="shared" si="40"/>
        <v>113.20668394308944</v>
      </c>
      <c r="R320" s="1">
        <f t="shared" si="41"/>
        <v>115.72556949117975</v>
      </c>
      <c r="S320" s="1">
        <f t="shared" si="42"/>
        <v>90.985222995090012</v>
      </c>
    </row>
    <row r="321" spans="1:19" x14ac:dyDescent="0.3">
      <c r="A321">
        <v>6626.2</v>
      </c>
      <c r="B321">
        <v>108.683454</v>
      </c>
      <c r="C321">
        <v>110.59680299999999</v>
      </c>
      <c r="D321">
        <v>112.66427400000001</v>
      </c>
      <c r="E321">
        <v>88.097263999999996</v>
      </c>
      <c r="F321">
        <v>63.035006000000003</v>
      </c>
      <c r="G321">
        <v>49.981695000000002</v>
      </c>
      <c r="H321">
        <v>51.026876999999999</v>
      </c>
      <c r="I321"/>
      <c r="N321"/>
      <c r="O321"/>
      <c r="P321" s="1">
        <f t="shared" si="39"/>
        <v>111.22718394308944</v>
      </c>
      <c r="Q321" s="1">
        <f t="shared" si="40"/>
        <v>113.20668394308944</v>
      </c>
      <c r="R321" s="1">
        <f t="shared" si="41"/>
        <v>115.72556949117975</v>
      </c>
      <c r="S321" s="1">
        <f t="shared" si="42"/>
        <v>90.985222995090012</v>
      </c>
    </row>
    <row r="322" spans="1:19" x14ac:dyDescent="0.3">
      <c r="A322">
        <v>6626.4</v>
      </c>
      <c r="B322">
        <v>108.657454</v>
      </c>
      <c r="C322">
        <v>110.591083</v>
      </c>
      <c r="D322">
        <v>112.672477</v>
      </c>
      <c r="E322">
        <v>88.045181999999997</v>
      </c>
      <c r="F322">
        <v>63.094410000000003</v>
      </c>
      <c r="G322">
        <v>49.981695000000002</v>
      </c>
      <c r="H322">
        <v>51.026876999999999</v>
      </c>
      <c r="I322"/>
      <c r="N322"/>
      <c r="O322"/>
      <c r="P322" s="1">
        <f t="shared" si="39"/>
        <v>111.26543902439025</v>
      </c>
      <c r="Q322" s="1">
        <f t="shared" si="40"/>
        <v>113.20599796747969</v>
      </c>
      <c r="R322" s="1">
        <f t="shared" si="41"/>
        <v>115.72953094728254</v>
      </c>
      <c r="S322" s="1">
        <f t="shared" si="42"/>
        <v>90.906931260229129</v>
      </c>
    </row>
    <row r="323" spans="1:19" x14ac:dyDescent="0.3">
      <c r="A323">
        <v>6626.6</v>
      </c>
      <c r="B323">
        <v>108.657454</v>
      </c>
      <c r="C323">
        <v>110.591083</v>
      </c>
      <c r="D323">
        <v>112.672477</v>
      </c>
      <c r="E323">
        <v>88.045181999999997</v>
      </c>
      <c r="F323">
        <v>63.094410000000003</v>
      </c>
      <c r="G323">
        <v>49.988306999999999</v>
      </c>
      <c r="H323">
        <v>51.012698</v>
      </c>
      <c r="I323"/>
      <c r="N323"/>
      <c r="O323"/>
      <c r="P323" s="1">
        <f t="shared" si="39"/>
        <v>111.26543902439025</v>
      </c>
      <c r="Q323" s="1">
        <f t="shared" si="40"/>
        <v>113.20599796747969</v>
      </c>
      <c r="R323" s="1">
        <f t="shared" si="41"/>
        <v>115.72953094728254</v>
      </c>
      <c r="S323" s="1">
        <f t="shared" si="42"/>
        <v>90.906931260229129</v>
      </c>
    </row>
    <row r="324" spans="1:19" x14ac:dyDescent="0.3">
      <c r="A324">
        <v>6626.8</v>
      </c>
      <c r="B324">
        <v>108.64814200000001</v>
      </c>
      <c r="C324">
        <v>110.60302</v>
      </c>
      <c r="D324">
        <v>112.655197</v>
      </c>
      <c r="E324">
        <v>88.044995999999998</v>
      </c>
      <c r="F324">
        <v>63.352618</v>
      </c>
      <c r="G324">
        <v>49.988306999999999</v>
      </c>
      <c r="H324">
        <v>51.012698</v>
      </c>
      <c r="I324"/>
      <c r="N324"/>
      <c r="O324"/>
      <c r="P324" s="1">
        <f t="shared" si="39"/>
        <v>111.25812906504065</v>
      </c>
      <c r="Q324" s="1">
        <f t="shared" si="40"/>
        <v>113.20982621951221</v>
      </c>
      <c r="R324" s="1">
        <f t="shared" si="41"/>
        <v>115.73776996023248</v>
      </c>
      <c r="S324" s="1">
        <f t="shared" si="42"/>
        <v>90.892341448445165</v>
      </c>
    </row>
    <row r="325" spans="1:19" x14ac:dyDescent="0.3">
      <c r="A325">
        <v>7658</v>
      </c>
      <c r="B325">
        <v>115.724082</v>
      </c>
      <c r="C325">
        <v>118.07250000000001</v>
      </c>
      <c r="D325">
        <v>120.604867</v>
      </c>
      <c r="E325">
        <v>90.586622000000006</v>
      </c>
      <c r="F325">
        <v>65.634220999999997</v>
      </c>
      <c r="G325">
        <v>50.043731000000001</v>
      </c>
      <c r="H325">
        <v>51.32649</v>
      </c>
      <c r="I325" t="s">
        <v>56</v>
      </c>
      <c r="N325"/>
      <c r="O325"/>
      <c r="P325" s="1">
        <f t="shared" si="39"/>
        <v>111.25812906504065</v>
      </c>
      <c r="Q325" s="1">
        <f t="shared" si="40"/>
        <v>113.20982621951221</v>
      </c>
      <c r="R325" s="1">
        <f t="shared" si="41"/>
        <v>115.73776996023248</v>
      </c>
      <c r="S325" s="1">
        <f t="shared" si="42"/>
        <v>90.892341448445165</v>
      </c>
    </row>
    <row r="326" spans="1:19" x14ac:dyDescent="0.3">
      <c r="A326">
        <v>7658.2</v>
      </c>
      <c r="B326">
        <v>115.724082</v>
      </c>
      <c r="C326">
        <v>118.07250000000001</v>
      </c>
      <c r="D326">
        <v>120.604867</v>
      </c>
      <c r="E326">
        <v>90.586622000000006</v>
      </c>
      <c r="F326">
        <v>65.634220999999997</v>
      </c>
      <c r="G326">
        <v>50.054375</v>
      </c>
      <c r="H326">
        <v>51.329735999999997</v>
      </c>
      <c r="I326"/>
      <c r="N326"/>
      <c r="O326"/>
      <c r="P326" s="1">
        <f t="shared" si="39"/>
        <v>111.23654776422765</v>
      </c>
      <c r="Q326" s="1">
        <f t="shared" si="40"/>
        <v>113.19700914634147</v>
      </c>
      <c r="R326" s="1">
        <f t="shared" si="41"/>
        <v>115.69685020903435</v>
      </c>
      <c r="S326" s="1">
        <f t="shared" si="42"/>
        <v>90.87463481996727</v>
      </c>
    </row>
    <row r="327" spans="1:19" x14ac:dyDescent="0.3">
      <c r="A327">
        <v>7658.4</v>
      </c>
      <c r="B327">
        <v>115.696172</v>
      </c>
      <c r="C327">
        <v>118.066322</v>
      </c>
      <c r="D327">
        <v>120.620234</v>
      </c>
      <c r="E327">
        <v>90.634731000000002</v>
      </c>
      <c r="F327">
        <v>65.693579999999997</v>
      </c>
      <c r="G327">
        <v>50.054375</v>
      </c>
      <c r="H327">
        <v>51.329735999999997</v>
      </c>
      <c r="I327"/>
      <c r="N327"/>
      <c r="O327"/>
      <c r="P327" s="1">
        <f t="shared" si="39"/>
        <v>111.23654776422765</v>
      </c>
      <c r="Q327" s="1">
        <f t="shared" si="40"/>
        <v>113.19700914634147</v>
      </c>
      <c r="R327" s="1">
        <f t="shared" si="41"/>
        <v>115.69685020903435</v>
      </c>
      <c r="S327" s="1">
        <f t="shared" si="42"/>
        <v>90.87463481996727</v>
      </c>
    </row>
    <row r="328" spans="1:19" x14ac:dyDescent="0.3">
      <c r="A328">
        <v>7658.6</v>
      </c>
      <c r="B328">
        <v>115.696172</v>
      </c>
      <c r="C328">
        <v>118.066322</v>
      </c>
      <c r="D328">
        <v>120.620234</v>
      </c>
      <c r="E328">
        <v>90.634731000000002</v>
      </c>
      <c r="F328">
        <v>65.693579999999997</v>
      </c>
      <c r="G328">
        <v>50.027504999999998</v>
      </c>
      <c r="H328">
        <v>51.326441000000003</v>
      </c>
      <c r="I328"/>
      <c r="N328"/>
      <c r="O328"/>
      <c r="P328" s="1">
        <f t="shared" si="39"/>
        <v>111.22941463414635</v>
      </c>
      <c r="Q328" s="1">
        <f t="shared" si="40"/>
        <v>113.19496849593496</v>
      </c>
      <c r="R328" s="1">
        <f t="shared" si="41"/>
        <v>115.70108391964922</v>
      </c>
      <c r="S328" s="1">
        <f t="shared" si="42"/>
        <v>90.914870090016365</v>
      </c>
    </row>
    <row r="329" spans="1:19" x14ac:dyDescent="0.3">
      <c r="A329">
        <v>7658.8</v>
      </c>
      <c r="B329">
        <v>115.716525</v>
      </c>
      <c r="C329">
        <v>118.06307700000001</v>
      </c>
      <c r="D329">
        <v>120.612651</v>
      </c>
      <c r="E329">
        <v>90.724129000000005</v>
      </c>
      <c r="F329">
        <v>65.991372999999996</v>
      </c>
      <c r="G329">
        <v>50.027504999999998</v>
      </c>
      <c r="H329">
        <v>51.326441000000003</v>
      </c>
      <c r="I329"/>
      <c r="N329"/>
      <c r="O329"/>
      <c r="P329" s="1">
        <f t="shared" si="39"/>
        <v>111.22941463414635</v>
      </c>
      <c r="Q329" s="1">
        <f t="shared" si="40"/>
        <v>113.19496849593496</v>
      </c>
      <c r="R329" s="1">
        <f t="shared" si="41"/>
        <v>115.70108391964922</v>
      </c>
      <c r="S329" s="1">
        <f t="shared" si="42"/>
        <v>90.914870090016365</v>
      </c>
    </row>
    <row r="330" spans="1:19" x14ac:dyDescent="0.3">
      <c r="A330">
        <v>7659</v>
      </c>
      <c r="B330">
        <v>115.716525</v>
      </c>
      <c r="C330">
        <v>118.06307700000001</v>
      </c>
      <c r="D330">
        <v>120.612651</v>
      </c>
      <c r="E330">
        <v>90.724129000000005</v>
      </c>
      <c r="F330">
        <v>65.991372999999996</v>
      </c>
      <c r="G330">
        <v>50.040782</v>
      </c>
      <c r="H330">
        <v>51.33278</v>
      </c>
      <c r="I330" t="s">
        <v>56</v>
      </c>
      <c r="N330"/>
      <c r="O330"/>
      <c r="P330" s="1">
        <f t="shared" si="39"/>
        <v>111.21927947154472</v>
      </c>
      <c r="Q330" s="1">
        <f t="shared" si="40"/>
        <v>113.20084552845529</v>
      </c>
      <c r="R330" s="1">
        <f t="shared" si="41"/>
        <v>115.71067400836137</v>
      </c>
      <c r="S330" s="1">
        <f t="shared" si="42"/>
        <v>90.931006546644852</v>
      </c>
    </row>
    <row r="331" spans="1:19" x14ac:dyDescent="0.3">
      <c r="A331">
        <v>7659.2</v>
      </c>
      <c r="B331">
        <v>115.698114</v>
      </c>
      <c r="C331">
        <v>118.057699</v>
      </c>
      <c r="D331">
        <v>120.62103</v>
      </c>
      <c r="E331">
        <v>90.757968000000005</v>
      </c>
      <c r="F331">
        <v>65.891537999999997</v>
      </c>
      <c r="G331">
        <v>50.040782</v>
      </c>
      <c r="H331">
        <v>51.33278</v>
      </c>
      <c r="I331"/>
      <c r="N331"/>
      <c r="O331"/>
      <c r="P331" s="1">
        <f t="shared" si="39"/>
        <v>111.21927947154472</v>
      </c>
      <c r="Q331" s="1">
        <f t="shared" si="40"/>
        <v>113.20084552845529</v>
      </c>
      <c r="R331" s="1">
        <f t="shared" si="41"/>
        <v>115.71067400836137</v>
      </c>
      <c r="S331" s="1">
        <f t="shared" si="42"/>
        <v>90.931006546644852</v>
      </c>
    </row>
    <row r="332" spans="1:19" x14ac:dyDescent="0.3">
      <c r="A332">
        <v>7659.4</v>
      </c>
      <c r="B332">
        <v>115.698114</v>
      </c>
      <c r="C332">
        <v>118.057699</v>
      </c>
      <c r="D332">
        <v>120.62103</v>
      </c>
      <c r="E332">
        <v>90.757968000000005</v>
      </c>
      <c r="F332">
        <v>65.891537999999997</v>
      </c>
      <c r="G332">
        <v>50.050293000000003</v>
      </c>
      <c r="H332">
        <v>51.334201</v>
      </c>
      <c r="I332"/>
      <c r="N332"/>
      <c r="O332"/>
      <c r="P332" s="1">
        <f t="shared" si="39"/>
        <v>111.21867784552846</v>
      </c>
      <c r="Q332" s="1">
        <f t="shared" si="40"/>
        <v>113.1876849593496</v>
      </c>
      <c r="R332" s="1">
        <f t="shared" si="41"/>
        <v>115.70635362496175</v>
      </c>
      <c r="S332" s="1">
        <f t="shared" si="42"/>
        <v>90.953373567921432</v>
      </c>
    </row>
    <row r="333" spans="1:19" x14ac:dyDescent="0.3">
      <c r="A333">
        <v>7659.6</v>
      </c>
      <c r="B333">
        <v>115.70114599999999</v>
      </c>
      <c r="C333">
        <v>118.08142700000001</v>
      </c>
      <c r="D333">
        <v>120.623375</v>
      </c>
      <c r="E333">
        <v>90.654664999999994</v>
      </c>
      <c r="F333">
        <v>66.297319000000002</v>
      </c>
      <c r="G333">
        <v>50.050293000000003</v>
      </c>
      <c r="H333">
        <v>51.334201</v>
      </c>
      <c r="I333"/>
      <c r="N333"/>
      <c r="O333"/>
      <c r="P333" s="1">
        <f t="shared" si="39"/>
        <v>111.21867784552846</v>
      </c>
      <c r="Q333" s="1">
        <f t="shared" si="40"/>
        <v>113.1876849593496</v>
      </c>
      <c r="R333" s="1">
        <f t="shared" si="41"/>
        <v>115.70635362496175</v>
      </c>
      <c r="S333" s="1">
        <f t="shared" si="42"/>
        <v>90.953373567921432</v>
      </c>
    </row>
    <row r="334" spans="1:19" x14ac:dyDescent="0.3">
      <c r="A334">
        <v>7659.8</v>
      </c>
      <c r="B334">
        <v>115.70114599999999</v>
      </c>
      <c r="C334">
        <v>118.08142700000001</v>
      </c>
      <c r="D334">
        <v>120.623375</v>
      </c>
      <c r="E334">
        <v>90.654664999999994</v>
      </c>
      <c r="F334">
        <v>66.297319000000002</v>
      </c>
      <c r="G334">
        <v>50.023308999999998</v>
      </c>
      <c r="H334">
        <v>51.325943000000002</v>
      </c>
      <c r="I334"/>
      <c r="N334"/>
      <c r="O334"/>
      <c r="P334" s="1">
        <f t="shared" si="39"/>
        <v>111.20616056910569</v>
      </c>
      <c r="Q334" s="1">
        <f t="shared" si="40"/>
        <v>113.18117174796748</v>
      </c>
      <c r="R334" s="1">
        <f t="shared" si="41"/>
        <v>115.71448455185072</v>
      </c>
      <c r="S334" s="1">
        <f t="shared" si="42"/>
        <v>91.043386865793778</v>
      </c>
    </row>
    <row r="335" spans="1:19" x14ac:dyDescent="0.3">
      <c r="A335">
        <v>7660</v>
      </c>
      <c r="B335">
        <v>115.677367</v>
      </c>
      <c r="C335">
        <v>118.074568</v>
      </c>
      <c r="D335">
        <v>120.595251</v>
      </c>
      <c r="E335">
        <v>90.66234</v>
      </c>
      <c r="F335">
        <v>66.186922999999993</v>
      </c>
      <c r="G335">
        <v>50.023308999999998</v>
      </c>
      <c r="H335">
        <v>51.325943000000002</v>
      </c>
      <c r="I335" t="s">
        <v>56</v>
      </c>
      <c r="N335"/>
      <c r="O335"/>
      <c r="P335" s="1">
        <f t="shared" si="39"/>
        <v>111.20616056910569</v>
      </c>
      <c r="Q335" s="1">
        <f t="shared" si="40"/>
        <v>113.18117174796748</v>
      </c>
      <c r="R335" s="1">
        <f t="shared" si="41"/>
        <v>115.71448455185072</v>
      </c>
      <c r="S335" s="1">
        <f t="shared" si="42"/>
        <v>91.043386865793778</v>
      </c>
    </row>
    <row r="336" spans="1:19" x14ac:dyDescent="0.3">
      <c r="A336">
        <v>7660.2</v>
      </c>
      <c r="B336">
        <v>115.677367</v>
      </c>
      <c r="C336">
        <v>118.074568</v>
      </c>
      <c r="D336">
        <v>120.595251</v>
      </c>
      <c r="E336">
        <v>90.66234</v>
      </c>
      <c r="F336">
        <v>66.186922999999993</v>
      </c>
      <c r="G336">
        <v>50.037135999999997</v>
      </c>
      <c r="H336">
        <v>51.317360999999998</v>
      </c>
      <c r="I336"/>
      <c r="N336"/>
      <c r="O336"/>
      <c r="P336" s="1">
        <f t="shared" si="39"/>
        <v>111.2232743902439</v>
      </c>
      <c r="Q336" s="1">
        <f t="shared" si="40"/>
        <v>113.18787804878049</v>
      </c>
      <c r="R336" s="1">
        <f t="shared" si="41"/>
        <v>115.72467115325787</v>
      </c>
      <c r="S336" s="1">
        <f t="shared" si="42"/>
        <v>91.060113543371514</v>
      </c>
    </row>
    <row r="337" spans="1:19" x14ac:dyDescent="0.3">
      <c r="A337">
        <v>7660.4</v>
      </c>
      <c r="B337">
        <v>115.69338500000001</v>
      </c>
      <c r="C337">
        <v>118.06467499999999</v>
      </c>
      <c r="D337">
        <v>120.61378499999999</v>
      </c>
      <c r="E337">
        <v>90.744341000000006</v>
      </c>
      <c r="F337">
        <v>65.943681999999995</v>
      </c>
      <c r="G337">
        <v>50.037135999999997</v>
      </c>
      <c r="H337">
        <v>51.317360999999998</v>
      </c>
      <c r="I337"/>
      <c r="N337"/>
      <c r="O337"/>
      <c r="P337" s="1">
        <f t="shared" si="39"/>
        <v>111.2232743902439</v>
      </c>
      <c r="Q337" s="1">
        <f t="shared" si="40"/>
        <v>113.18787804878049</v>
      </c>
      <c r="R337" s="1">
        <f t="shared" si="41"/>
        <v>115.72467115325787</v>
      </c>
      <c r="S337" s="1">
        <f t="shared" si="42"/>
        <v>91.060113543371514</v>
      </c>
    </row>
    <row r="338" spans="1:19" x14ac:dyDescent="0.3">
      <c r="A338">
        <v>7660.6</v>
      </c>
      <c r="B338">
        <v>115.69338500000001</v>
      </c>
      <c r="C338">
        <v>118.06467499999999</v>
      </c>
      <c r="D338">
        <v>120.61378499999999</v>
      </c>
      <c r="E338">
        <v>90.744341000000006</v>
      </c>
      <c r="F338">
        <v>65.943681999999995</v>
      </c>
      <c r="G338">
        <v>50.031421000000002</v>
      </c>
      <c r="H338">
        <v>51.293638999999999</v>
      </c>
      <c r="I338"/>
      <c r="N338"/>
      <c r="O338"/>
      <c r="P338" s="1">
        <f t="shared" si="39"/>
        <v>111.24995325203253</v>
      </c>
      <c r="Q338" s="1">
        <f t="shared" si="40"/>
        <v>113.19441361788618</v>
      </c>
      <c r="R338" s="1">
        <f t="shared" si="41"/>
        <v>115.70773325175895</v>
      </c>
      <c r="S338" s="1">
        <f t="shared" si="42"/>
        <v>91.060826513911607</v>
      </c>
    </row>
    <row r="339" spans="1:19" x14ac:dyDescent="0.3">
      <c r="A339">
        <v>7660.8</v>
      </c>
      <c r="B339">
        <v>115.701948</v>
      </c>
      <c r="C339">
        <v>118.079474</v>
      </c>
      <c r="D339">
        <v>120.619598</v>
      </c>
      <c r="E339">
        <v>90.746002000000004</v>
      </c>
      <c r="F339">
        <v>64.946665999999993</v>
      </c>
      <c r="G339">
        <v>50.031421000000002</v>
      </c>
      <c r="H339">
        <v>51.293638999999999</v>
      </c>
      <c r="I339"/>
      <c r="N339"/>
      <c r="O339"/>
      <c r="P339" s="1">
        <f t="shared" si="39"/>
        <v>111.24995325203253</v>
      </c>
      <c r="Q339" s="1">
        <f t="shared" si="40"/>
        <v>113.19441361788618</v>
      </c>
      <c r="R339" s="1">
        <f t="shared" si="41"/>
        <v>115.70773325175895</v>
      </c>
      <c r="S339" s="1">
        <f t="shared" si="42"/>
        <v>91.060826513911607</v>
      </c>
    </row>
    <row r="340" spans="1:19" x14ac:dyDescent="0.3">
      <c r="A340">
        <v>7661</v>
      </c>
      <c r="B340">
        <v>115.701948</v>
      </c>
      <c r="C340">
        <v>118.079474</v>
      </c>
      <c r="D340">
        <v>120.619598</v>
      </c>
      <c r="E340">
        <v>90.746002000000004</v>
      </c>
      <c r="F340">
        <v>64.946665999999993</v>
      </c>
      <c r="G340">
        <v>50.047218999999998</v>
      </c>
      <c r="H340">
        <v>51.297186000000004</v>
      </c>
      <c r="I340" t="s">
        <v>56</v>
      </c>
      <c r="N340"/>
      <c r="O340"/>
      <c r="P340" s="1">
        <f t="shared" si="39"/>
        <v>111.22353048780488</v>
      </c>
      <c r="Q340" s="1">
        <f t="shared" si="40"/>
        <v>113.18860060975609</v>
      </c>
      <c r="R340" s="1">
        <f t="shared" si="41"/>
        <v>115.7160976853268</v>
      </c>
      <c r="S340" s="1">
        <f t="shared" si="42"/>
        <v>91.007551145662845</v>
      </c>
    </row>
    <row r="341" spans="1:19" x14ac:dyDescent="0.3">
      <c r="A341">
        <v>7661.2</v>
      </c>
      <c r="B341">
        <v>115.688664</v>
      </c>
      <c r="C341">
        <v>118.062924</v>
      </c>
      <c r="D341">
        <v>120.60013600000001</v>
      </c>
      <c r="E341">
        <v>90.720609999999994</v>
      </c>
      <c r="F341">
        <v>64.404354999999995</v>
      </c>
      <c r="G341">
        <v>50.047218999999998</v>
      </c>
      <c r="H341">
        <v>51.297186000000004</v>
      </c>
      <c r="I341"/>
      <c r="N341"/>
      <c r="O341"/>
      <c r="P341" s="1">
        <f t="shared" si="39"/>
        <v>111.22353048780488</v>
      </c>
      <c r="Q341" s="1">
        <f t="shared" si="40"/>
        <v>113.18860060975609</v>
      </c>
      <c r="R341" s="1">
        <f t="shared" si="41"/>
        <v>115.7160976853268</v>
      </c>
      <c r="S341" s="1">
        <f t="shared" si="42"/>
        <v>91.007551145662845</v>
      </c>
    </row>
    <row r="342" spans="1:19" x14ac:dyDescent="0.3">
      <c r="A342">
        <v>7661.4</v>
      </c>
      <c r="B342">
        <v>115.688664</v>
      </c>
      <c r="C342">
        <v>118.062924</v>
      </c>
      <c r="D342">
        <v>120.60013600000001</v>
      </c>
      <c r="E342">
        <v>90.720609999999994</v>
      </c>
      <c r="F342">
        <v>64.404354999999995</v>
      </c>
      <c r="G342">
        <v>50.033859</v>
      </c>
      <c r="H342">
        <v>51.298153999999997</v>
      </c>
      <c r="I342"/>
      <c r="N342"/>
      <c r="O342"/>
      <c r="P342" s="1">
        <f t="shared" si="39"/>
        <v>111.21406707317074</v>
      </c>
      <c r="Q342" s="1">
        <f t="shared" si="40"/>
        <v>113.20073170731708</v>
      </c>
      <c r="R342" s="1">
        <f t="shared" si="41"/>
        <v>115.69847761802794</v>
      </c>
      <c r="S342" s="1">
        <f t="shared" si="42"/>
        <v>91.007360883797048</v>
      </c>
    </row>
    <row r="343" spans="1:19" x14ac:dyDescent="0.3">
      <c r="A343">
        <v>7661.6</v>
      </c>
      <c r="B343">
        <v>115.70193500000001</v>
      </c>
      <c r="C343">
        <v>118.059466</v>
      </c>
      <c r="D343">
        <v>120.62737</v>
      </c>
      <c r="E343">
        <v>90.754751999999996</v>
      </c>
      <c r="F343">
        <v>65.217411999999996</v>
      </c>
      <c r="G343">
        <v>50.033859</v>
      </c>
      <c r="H343">
        <v>51.298153999999997</v>
      </c>
      <c r="I343"/>
      <c r="N343"/>
      <c r="O343"/>
      <c r="P343" s="1">
        <f t="shared" si="39"/>
        <v>118.40506300813009</v>
      </c>
      <c r="Q343" s="1">
        <f t="shared" si="40"/>
        <v>120.79166666666667</v>
      </c>
      <c r="R343" s="1">
        <f t="shared" si="41"/>
        <v>123.80459569695115</v>
      </c>
      <c r="S343" s="1">
        <f t="shared" si="42"/>
        <v>93.607223813420632</v>
      </c>
    </row>
    <row r="344" spans="1:19" x14ac:dyDescent="0.3">
      <c r="A344">
        <v>7661.8</v>
      </c>
      <c r="B344">
        <v>115.70193500000001</v>
      </c>
      <c r="C344">
        <v>118.059466</v>
      </c>
      <c r="D344">
        <v>120.62737</v>
      </c>
      <c r="E344">
        <v>90.754751999999996</v>
      </c>
      <c r="F344">
        <v>65.217411999999996</v>
      </c>
      <c r="G344">
        <v>50.036034999999998</v>
      </c>
      <c r="H344">
        <v>51.304946000000001</v>
      </c>
      <c r="I344"/>
      <c r="N344"/>
      <c r="O344"/>
      <c r="P344" s="1">
        <f t="shared" si="39"/>
        <v>118.40506300813009</v>
      </c>
      <c r="Q344" s="1">
        <f t="shared" si="40"/>
        <v>120.79166666666667</v>
      </c>
      <c r="R344" s="1">
        <f t="shared" si="41"/>
        <v>123.80459569695115</v>
      </c>
      <c r="S344" s="1">
        <f t="shared" si="42"/>
        <v>93.607223813420632</v>
      </c>
    </row>
    <row r="345" spans="1:19" x14ac:dyDescent="0.3">
      <c r="A345">
        <v>7662</v>
      </c>
      <c r="B345">
        <v>115.699836</v>
      </c>
      <c r="C345">
        <v>118.05483099999999</v>
      </c>
      <c r="D345">
        <v>120.619776</v>
      </c>
      <c r="E345">
        <v>90.760332000000005</v>
      </c>
      <c r="F345">
        <v>65.737176000000005</v>
      </c>
      <c r="G345">
        <v>50.036034999999998</v>
      </c>
      <c r="H345">
        <v>51.304946000000001</v>
      </c>
      <c r="I345" t="s">
        <v>56</v>
      </c>
      <c r="N345"/>
      <c r="O345"/>
      <c r="P345" s="1">
        <f t="shared" si="39"/>
        <v>118.37669918699189</v>
      </c>
      <c r="Q345" s="1">
        <f t="shared" si="40"/>
        <v>120.78538821138211</v>
      </c>
      <c r="R345" s="1">
        <f t="shared" si="41"/>
        <v>123.82026511675333</v>
      </c>
      <c r="S345" s="1">
        <f t="shared" si="42"/>
        <v>93.656435147299504</v>
      </c>
    </row>
    <row r="346" spans="1:19" x14ac:dyDescent="0.3">
      <c r="A346">
        <v>7662.2</v>
      </c>
      <c r="B346">
        <v>115.699836</v>
      </c>
      <c r="C346">
        <v>118.05483099999999</v>
      </c>
      <c r="D346">
        <v>120.619776</v>
      </c>
      <c r="E346">
        <v>90.760332000000005</v>
      </c>
      <c r="F346">
        <v>65.737176000000005</v>
      </c>
      <c r="G346">
        <v>50.034516000000004</v>
      </c>
      <c r="H346">
        <v>51.305737999999998</v>
      </c>
      <c r="I346"/>
      <c r="N346"/>
      <c r="O346"/>
      <c r="P346" s="1">
        <f t="shared" si="39"/>
        <v>118.37669918699189</v>
      </c>
      <c r="Q346" s="1">
        <f t="shared" si="40"/>
        <v>120.78538821138211</v>
      </c>
      <c r="R346" s="1">
        <f t="shared" si="41"/>
        <v>123.82026511675333</v>
      </c>
      <c r="S346" s="1">
        <f t="shared" si="42"/>
        <v>93.656435147299504</v>
      </c>
    </row>
    <row r="347" spans="1:19" x14ac:dyDescent="0.3">
      <c r="A347">
        <v>7662.4</v>
      </c>
      <c r="B347">
        <v>115.71193599999999</v>
      </c>
      <c r="C347">
        <v>118.075019</v>
      </c>
      <c r="D347">
        <v>120.640345</v>
      </c>
      <c r="E347">
        <v>90.796920999999998</v>
      </c>
      <c r="F347">
        <v>65.730041999999997</v>
      </c>
      <c r="G347">
        <v>50.034516000000004</v>
      </c>
      <c r="H347">
        <v>51.305737999999998</v>
      </c>
      <c r="I347"/>
      <c r="N347"/>
      <c r="O347"/>
      <c r="P347" s="1">
        <f t="shared" si="39"/>
        <v>118.39738313008131</v>
      </c>
      <c r="Q347" s="1">
        <f t="shared" si="40"/>
        <v>120.78209044715449</v>
      </c>
      <c r="R347" s="1">
        <f t="shared" si="41"/>
        <v>123.81253288467421</v>
      </c>
      <c r="S347" s="1">
        <f t="shared" si="42"/>
        <v>93.747881546644848</v>
      </c>
    </row>
    <row r="348" spans="1:19" x14ac:dyDescent="0.3">
      <c r="A348">
        <v>7662.6</v>
      </c>
      <c r="B348">
        <v>115.71193599999999</v>
      </c>
      <c r="C348">
        <v>118.075019</v>
      </c>
      <c r="D348">
        <v>120.640345</v>
      </c>
      <c r="E348">
        <v>90.796920999999998</v>
      </c>
      <c r="F348">
        <v>65.730041999999997</v>
      </c>
      <c r="G348">
        <v>50.038432</v>
      </c>
      <c r="H348">
        <v>51.303877</v>
      </c>
      <c r="I348"/>
      <c r="N348"/>
      <c r="O348"/>
      <c r="P348" s="1">
        <f t="shared" si="39"/>
        <v>118.39738313008131</v>
      </c>
      <c r="Q348" s="1">
        <f t="shared" si="40"/>
        <v>120.78209044715449</v>
      </c>
      <c r="R348" s="1">
        <f t="shared" si="41"/>
        <v>123.81253288467421</v>
      </c>
      <c r="S348" s="1">
        <f t="shared" si="42"/>
        <v>93.747881546644848</v>
      </c>
    </row>
    <row r="349" spans="1:19" x14ac:dyDescent="0.3">
      <c r="A349">
        <v>7662.8</v>
      </c>
      <c r="B349">
        <v>115.719491</v>
      </c>
      <c r="C349">
        <v>118.051804</v>
      </c>
      <c r="D349">
        <v>120.608519</v>
      </c>
      <c r="E349">
        <v>90.793548999999999</v>
      </c>
      <c r="F349">
        <v>66.056376999999998</v>
      </c>
      <c r="G349">
        <v>50.038432</v>
      </c>
      <c r="H349">
        <v>51.303877</v>
      </c>
      <c r="I349"/>
      <c r="N349"/>
      <c r="O349"/>
      <c r="P349" s="1">
        <f t="shared" si="39"/>
        <v>118.37867276422766</v>
      </c>
      <c r="Q349" s="1">
        <f t="shared" si="40"/>
        <v>120.77662500000001</v>
      </c>
      <c r="R349" s="1">
        <f t="shared" si="41"/>
        <v>123.82107678189048</v>
      </c>
      <c r="S349" s="1">
        <f t="shared" si="42"/>
        <v>93.782495908346974</v>
      </c>
    </row>
    <row r="350" spans="1:19" x14ac:dyDescent="0.3">
      <c r="A350">
        <v>7663</v>
      </c>
      <c r="B350">
        <v>115.719491</v>
      </c>
      <c r="C350">
        <v>118.051804</v>
      </c>
      <c r="D350">
        <v>120.608519</v>
      </c>
      <c r="E350">
        <v>90.793548999999999</v>
      </c>
      <c r="F350">
        <v>66.056376999999998</v>
      </c>
      <c r="G350">
        <v>50.045403999999998</v>
      </c>
      <c r="H350">
        <v>51.340860999999997</v>
      </c>
      <c r="I350" t="s">
        <v>56</v>
      </c>
      <c r="N350"/>
      <c r="O350"/>
      <c r="P350" s="1">
        <f t="shared" si="39"/>
        <v>118.37867276422766</v>
      </c>
      <c r="Q350" s="1">
        <f t="shared" si="40"/>
        <v>120.77662500000001</v>
      </c>
      <c r="R350" s="1">
        <f t="shared" si="41"/>
        <v>123.82107678189048</v>
      </c>
      <c r="S350" s="1">
        <f t="shared" si="42"/>
        <v>93.782495908346974</v>
      </c>
    </row>
    <row r="351" spans="1:19" x14ac:dyDescent="0.3">
      <c r="A351">
        <v>7663.2</v>
      </c>
      <c r="B351">
        <v>115.718667</v>
      </c>
      <c r="C351">
        <v>118.070742</v>
      </c>
      <c r="D351">
        <v>120.635627</v>
      </c>
      <c r="E351">
        <v>90.769372000000004</v>
      </c>
      <c r="F351">
        <v>66.301957000000002</v>
      </c>
      <c r="G351">
        <v>50.045403999999998</v>
      </c>
      <c r="H351">
        <v>51.340860999999997</v>
      </c>
      <c r="I351"/>
      <c r="N351"/>
      <c r="O351"/>
      <c r="P351" s="1">
        <f t="shared" si="39"/>
        <v>118.38175406504065</v>
      </c>
      <c r="Q351" s="1">
        <f t="shared" si="40"/>
        <v>120.80073882113822</v>
      </c>
      <c r="R351" s="1">
        <f t="shared" si="41"/>
        <v>123.82346793106963</v>
      </c>
      <c r="S351" s="1">
        <f t="shared" si="42"/>
        <v>93.676825900163664</v>
      </c>
    </row>
    <row r="352" spans="1:19" x14ac:dyDescent="0.3">
      <c r="A352">
        <v>7663.4</v>
      </c>
      <c r="B352">
        <v>115.718667</v>
      </c>
      <c r="C352">
        <v>118.070742</v>
      </c>
      <c r="D352">
        <v>120.635627</v>
      </c>
      <c r="E352">
        <v>90.769372000000004</v>
      </c>
      <c r="F352">
        <v>66.301957000000002</v>
      </c>
      <c r="G352">
        <v>50.026812</v>
      </c>
      <c r="H352">
        <v>51.327134000000001</v>
      </c>
      <c r="I352"/>
      <c r="N352"/>
      <c r="O352"/>
      <c r="P352" s="1">
        <f t="shared" si="39"/>
        <v>118.38175406504065</v>
      </c>
      <c r="Q352" s="1">
        <f t="shared" si="40"/>
        <v>120.80073882113822</v>
      </c>
      <c r="R352" s="1">
        <f t="shared" si="41"/>
        <v>123.82346793106963</v>
      </c>
      <c r="S352" s="1">
        <f t="shared" si="42"/>
        <v>93.676825900163664</v>
      </c>
    </row>
    <row r="353" spans="1:19" x14ac:dyDescent="0.3">
      <c r="A353">
        <v>7663.6</v>
      </c>
      <c r="B353">
        <v>115.705867</v>
      </c>
      <c r="C353">
        <v>118.057896</v>
      </c>
      <c r="D353">
        <v>120.624432</v>
      </c>
      <c r="E353">
        <v>90.737263999999996</v>
      </c>
      <c r="F353">
        <v>66.739790999999997</v>
      </c>
      <c r="G353">
        <v>50.026812</v>
      </c>
      <c r="H353">
        <v>51.327134000000001</v>
      </c>
      <c r="I353"/>
      <c r="N353"/>
      <c r="O353"/>
      <c r="P353" s="1">
        <f t="shared" si="39"/>
        <v>118.35758841463415</v>
      </c>
      <c r="Q353" s="1">
        <f t="shared" si="40"/>
        <v>120.79376829268293</v>
      </c>
      <c r="R353" s="1">
        <f t="shared" si="41"/>
        <v>123.79479045579689</v>
      </c>
      <c r="S353" s="1">
        <f t="shared" si="42"/>
        <v>93.684676759410806</v>
      </c>
    </row>
    <row r="354" spans="1:19" x14ac:dyDescent="0.3">
      <c r="A354">
        <v>7663.8</v>
      </c>
      <c r="B354">
        <v>115.705867</v>
      </c>
      <c r="C354">
        <v>118.057896</v>
      </c>
      <c r="D354">
        <v>120.624432</v>
      </c>
      <c r="E354">
        <v>90.737263999999996</v>
      </c>
      <c r="F354">
        <v>66.739790999999997</v>
      </c>
      <c r="G354">
        <v>50.027800999999997</v>
      </c>
      <c r="H354">
        <v>51.320963999999996</v>
      </c>
      <c r="I354"/>
      <c r="N354"/>
      <c r="O354"/>
      <c r="P354" s="1">
        <f t="shared" si="39"/>
        <v>118.35758841463415</v>
      </c>
      <c r="Q354" s="1">
        <f t="shared" si="40"/>
        <v>120.79376829268293</v>
      </c>
      <c r="R354" s="1">
        <f t="shared" si="41"/>
        <v>123.79479045579689</v>
      </c>
      <c r="S354" s="1">
        <f t="shared" si="42"/>
        <v>93.684676759410806</v>
      </c>
    </row>
    <row r="355" spans="1:19" x14ac:dyDescent="0.3">
      <c r="A355">
        <v>7664</v>
      </c>
      <c r="B355">
        <v>115.696212</v>
      </c>
      <c r="C355">
        <v>118.077395</v>
      </c>
      <c r="D355">
        <v>120.623479</v>
      </c>
      <c r="E355">
        <v>90.693862999999993</v>
      </c>
      <c r="F355">
        <v>66.727806000000001</v>
      </c>
      <c r="G355">
        <v>50.027800999999997</v>
      </c>
      <c r="H355">
        <v>51.320963999999996</v>
      </c>
      <c r="I355" t="s">
        <v>56</v>
      </c>
      <c r="N355"/>
      <c r="O355"/>
      <c r="P355" s="1">
        <f t="shared" si="39"/>
        <v>118.37386686991871</v>
      </c>
      <c r="Q355" s="1">
        <f t="shared" si="40"/>
        <v>120.78371443089431</v>
      </c>
      <c r="R355" s="1">
        <f t="shared" si="41"/>
        <v>123.81368920159069</v>
      </c>
      <c r="S355" s="1">
        <f t="shared" si="42"/>
        <v>93.768556669394442</v>
      </c>
    </row>
    <row r="356" spans="1:19" x14ac:dyDescent="0.3">
      <c r="A356">
        <v>7664.2</v>
      </c>
      <c r="B356">
        <v>115.696212</v>
      </c>
      <c r="C356">
        <v>118.077395</v>
      </c>
      <c r="D356">
        <v>120.623479</v>
      </c>
      <c r="E356">
        <v>90.693862999999993</v>
      </c>
      <c r="F356">
        <v>66.727806000000001</v>
      </c>
      <c r="G356">
        <v>50.031461999999998</v>
      </c>
      <c r="H356">
        <v>51.323929999999997</v>
      </c>
      <c r="I356"/>
      <c r="N356"/>
      <c r="O356"/>
      <c r="P356" s="1">
        <f t="shared" si="39"/>
        <v>118.37386686991871</v>
      </c>
      <c r="Q356" s="1">
        <f t="shared" si="40"/>
        <v>120.78371443089431</v>
      </c>
      <c r="R356" s="1">
        <f t="shared" si="41"/>
        <v>123.81368920159069</v>
      </c>
      <c r="S356" s="1">
        <f t="shared" si="42"/>
        <v>93.768556669394442</v>
      </c>
    </row>
    <row r="357" spans="1:19" x14ac:dyDescent="0.3">
      <c r="A357">
        <v>7664.4</v>
      </c>
      <c r="B357">
        <v>115.711606</v>
      </c>
      <c r="C357">
        <v>118.065495</v>
      </c>
      <c r="D357">
        <v>120.62238600000001</v>
      </c>
      <c r="E357">
        <v>90.566742000000005</v>
      </c>
      <c r="F357">
        <v>66.108573000000007</v>
      </c>
      <c r="G357">
        <v>50.031461999999998</v>
      </c>
      <c r="H357">
        <v>51.323929999999997</v>
      </c>
      <c r="I357"/>
      <c r="N357"/>
      <c r="O357"/>
      <c r="P357" s="1">
        <f t="shared" si="39"/>
        <v>118.38256910569106</v>
      </c>
      <c r="Q357" s="1">
        <f t="shared" si="40"/>
        <v>120.79875406504065</v>
      </c>
      <c r="R357" s="1">
        <f t="shared" si="41"/>
        <v>123.81961660038748</v>
      </c>
      <c r="S357" s="1">
        <f t="shared" si="42"/>
        <v>93.77025572831424</v>
      </c>
    </row>
    <row r="358" spans="1:19" x14ac:dyDescent="0.3">
      <c r="A358">
        <v>7664.6</v>
      </c>
      <c r="B358">
        <v>115.711606</v>
      </c>
      <c r="C358">
        <v>118.065495</v>
      </c>
      <c r="D358">
        <v>120.62238600000001</v>
      </c>
      <c r="E358">
        <v>90.566742000000005</v>
      </c>
      <c r="F358">
        <v>66.108573000000007</v>
      </c>
      <c r="G358">
        <v>50.021648999999996</v>
      </c>
      <c r="H358">
        <v>51.347375999999997</v>
      </c>
      <c r="I358"/>
      <c r="N358"/>
      <c r="O358"/>
      <c r="P358" s="1">
        <f t="shared" si="39"/>
        <v>118.38256910569106</v>
      </c>
      <c r="Q358" s="1">
        <f t="shared" si="40"/>
        <v>120.79875406504065</v>
      </c>
      <c r="R358" s="1">
        <f t="shared" si="41"/>
        <v>123.81961660038748</v>
      </c>
      <c r="S358" s="1">
        <f t="shared" si="42"/>
        <v>93.77025572831424</v>
      </c>
    </row>
    <row r="359" spans="1:19" x14ac:dyDescent="0.3">
      <c r="A359">
        <v>7664.8</v>
      </c>
      <c r="B359">
        <v>115.71341099999999</v>
      </c>
      <c r="C359">
        <v>118.065467</v>
      </c>
      <c r="D359">
        <v>120.622816</v>
      </c>
      <c r="E359">
        <v>90.663329000000004</v>
      </c>
      <c r="F359">
        <v>64.854343</v>
      </c>
      <c r="G359">
        <v>50.021648999999996</v>
      </c>
      <c r="H359">
        <v>51.347375999999997</v>
      </c>
      <c r="I359"/>
      <c r="N359"/>
      <c r="O359"/>
      <c r="P359" s="1">
        <f t="shared" si="39"/>
        <v>118.36906910569107</v>
      </c>
      <c r="Q359" s="1">
        <f t="shared" si="40"/>
        <v>120.7819349593496</v>
      </c>
      <c r="R359" s="1">
        <f t="shared" si="41"/>
        <v>123.7997715917202</v>
      </c>
      <c r="S359" s="1">
        <f t="shared" si="42"/>
        <v>93.744281914893605</v>
      </c>
    </row>
    <row r="360" spans="1:19" x14ac:dyDescent="0.3">
      <c r="A360">
        <v>7665</v>
      </c>
      <c r="B360">
        <v>115.71341099999999</v>
      </c>
      <c r="C360">
        <v>118.065467</v>
      </c>
      <c r="D360">
        <v>120.622816</v>
      </c>
      <c r="E360">
        <v>90.663329000000004</v>
      </c>
      <c r="F360">
        <v>64.854343</v>
      </c>
      <c r="G360">
        <v>50.028832000000001</v>
      </c>
      <c r="H360">
        <v>51.349471999999999</v>
      </c>
      <c r="I360" t="s">
        <v>56</v>
      </c>
      <c r="N360"/>
      <c r="O360"/>
      <c r="P360" s="1">
        <f t="shared" si="39"/>
        <v>118.36906910569107</v>
      </c>
      <c r="Q360" s="1">
        <f t="shared" si="40"/>
        <v>120.7819349593496</v>
      </c>
      <c r="R360" s="1">
        <f t="shared" si="41"/>
        <v>123.7997715917202</v>
      </c>
      <c r="S360" s="1">
        <f t="shared" si="42"/>
        <v>93.744281914893605</v>
      </c>
    </row>
    <row r="361" spans="1:19" x14ac:dyDescent="0.3">
      <c r="A361">
        <v>7665.2</v>
      </c>
      <c r="B361">
        <v>115.717612</v>
      </c>
      <c r="C361">
        <v>118.07198200000001</v>
      </c>
      <c r="D361">
        <v>120.617171</v>
      </c>
      <c r="E361">
        <v>90.704524000000006</v>
      </c>
      <c r="F361">
        <v>64.845761999999993</v>
      </c>
      <c r="G361">
        <v>50.028832000000001</v>
      </c>
      <c r="H361">
        <v>51.349471999999999</v>
      </c>
      <c r="I361"/>
      <c r="N361"/>
      <c r="O361"/>
      <c r="P361" s="1">
        <f t="shared" si="39"/>
        <v>118.38255589430895</v>
      </c>
      <c r="Q361" s="1">
        <f t="shared" si="40"/>
        <v>120.77842073170733</v>
      </c>
      <c r="R361" s="1">
        <f t="shared" si="41"/>
        <v>123.82754155195268</v>
      </c>
      <c r="S361" s="1">
        <f t="shared" si="42"/>
        <v>93.779206219312599</v>
      </c>
    </row>
    <row r="362" spans="1:19" x14ac:dyDescent="0.3">
      <c r="A362">
        <v>7665.4</v>
      </c>
      <c r="B362">
        <v>115.717612</v>
      </c>
      <c r="C362">
        <v>118.07198200000001</v>
      </c>
      <c r="D362">
        <v>120.617171</v>
      </c>
      <c r="E362">
        <v>90.704524000000006</v>
      </c>
      <c r="F362">
        <v>64.845761999999993</v>
      </c>
      <c r="G362">
        <v>50.03819</v>
      </c>
      <c r="H362">
        <v>51.353050000000003</v>
      </c>
      <c r="I362"/>
      <c r="N362"/>
      <c r="O362"/>
      <c r="P362" s="1">
        <f t="shared" si="39"/>
        <v>118.38255589430895</v>
      </c>
      <c r="Q362" s="1">
        <f t="shared" si="40"/>
        <v>120.77842073170733</v>
      </c>
      <c r="R362" s="1">
        <f t="shared" si="41"/>
        <v>123.82754155195268</v>
      </c>
      <c r="S362" s="1">
        <f t="shared" si="42"/>
        <v>93.779206219312599</v>
      </c>
    </row>
    <row r="363" spans="1:19" x14ac:dyDescent="0.3">
      <c r="A363">
        <v>7665.6</v>
      </c>
      <c r="B363">
        <v>115.703056</v>
      </c>
      <c r="C363">
        <v>118.07759900000001</v>
      </c>
      <c r="D363">
        <v>120.63535899999999</v>
      </c>
      <c r="E363">
        <v>90.686423000000005</v>
      </c>
      <c r="F363">
        <v>64.933153000000004</v>
      </c>
      <c r="G363">
        <v>50.03819</v>
      </c>
      <c r="H363">
        <v>51.353050000000003</v>
      </c>
      <c r="I363"/>
      <c r="N363"/>
      <c r="O363"/>
      <c r="P363" s="1">
        <f t="shared" si="39"/>
        <v>118.38042276422765</v>
      </c>
      <c r="Q363" s="1">
        <f t="shared" si="40"/>
        <v>120.77371036585366</v>
      </c>
      <c r="R363" s="1">
        <f t="shared" si="41"/>
        <v>123.81979810339553</v>
      </c>
      <c r="S363" s="1">
        <f t="shared" si="42"/>
        <v>93.784914075286423</v>
      </c>
    </row>
    <row r="364" spans="1:19" x14ac:dyDescent="0.3">
      <c r="A364">
        <v>7665.8</v>
      </c>
      <c r="B364">
        <v>115.703056</v>
      </c>
      <c r="C364">
        <v>118.07759900000001</v>
      </c>
      <c r="D364">
        <v>120.63535899999999</v>
      </c>
      <c r="E364">
        <v>90.686423000000005</v>
      </c>
      <c r="F364">
        <v>64.933153000000004</v>
      </c>
      <c r="G364">
        <v>50.029538000000002</v>
      </c>
      <c r="H364">
        <v>51.370728</v>
      </c>
      <c r="I364"/>
      <c r="N364"/>
      <c r="O364"/>
      <c r="P364" s="1">
        <f t="shared" ref="P364:P427" si="43">(B346+Q$36)/P$36</f>
        <v>118.38042276422765</v>
      </c>
      <c r="Q364" s="1">
        <f t="shared" ref="Q364:Q427" si="44">(C346+Q$36)/P$36</f>
        <v>120.77371036585366</v>
      </c>
      <c r="R364" s="1">
        <f t="shared" ref="R364:R427" si="45">(D346+Q$38)/P$38</f>
        <v>123.81979810339553</v>
      </c>
      <c r="S364" s="1">
        <f t="shared" ref="S364:S427" si="46">(E346+Q$39)/P$39</f>
        <v>93.784914075286423</v>
      </c>
    </row>
    <row r="365" spans="1:19" x14ac:dyDescent="0.3">
      <c r="A365">
        <v>7666</v>
      </c>
      <c r="B365">
        <v>115.717547</v>
      </c>
      <c r="C365">
        <v>118.064103</v>
      </c>
      <c r="D365">
        <v>120.647558</v>
      </c>
      <c r="E365">
        <v>90.716594000000001</v>
      </c>
      <c r="F365">
        <v>65.436981000000003</v>
      </c>
      <c r="G365">
        <v>50.029538000000002</v>
      </c>
      <c r="H365">
        <v>51.370728</v>
      </c>
      <c r="I365" t="s">
        <v>56</v>
      </c>
      <c r="N365"/>
      <c r="O365"/>
      <c r="P365" s="1">
        <f t="shared" si="43"/>
        <v>118.39271951219513</v>
      </c>
      <c r="Q365" s="1">
        <f t="shared" si="44"/>
        <v>120.79422662601627</v>
      </c>
      <c r="R365" s="1">
        <f t="shared" si="45"/>
        <v>123.84077189762414</v>
      </c>
      <c r="S365" s="1">
        <f t="shared" si="46"/>
        <v>93.822341448445172</v>
      </c>
    </row>
    <row r="366" spans="1:19" x14ac:dyDescent="0.3">
      <c r="A366">
        <v>7666.2</v>
      </c>
      <c r="B366">
        <v>115.717547</v>
      </c>
      <c r="C366">
        <v>118.064103</v>
      </c>
      <c r="D366">
        <v>120.647558</v>
      </c>
      <c r="E366">
        <v>90.716594000000001</v>
      </c>
      <c r="F366">
        <v>65.436981000000003</v>
      </c>
      <c r="G366">
        <v>50.025519000000003</v>
      </c>
      <c r="H366">
        <v>51.343390999999997</v>
      </c>
      <c r="I366"/>
      <c r="N366"/>
      <c r="O366"/>
      <c r="P366" s="1">
        <f t="shared" si="43"/>
        <v>118.39271951219513</v>
      </c>
      <c r="Q366" s="1">
        <f t="shared" si="44"/>
        <v>120.79422662601627</v>
      </c>
      <c r="R366" s="1">
        <f t="shared" si="45"/>
        <v>123.84077189762414</v>
      </c>
      <c r="S366" s="1">
        <f t="shared" si="46"/>
        <v>93.822341448445172</v>
      </c>
    </row>
    <row r="367" spans="1:19" x14ac:dyDescent="0.3">
      <c r="A367">
        <v>7666.4</v>
      </c>
      <c r="B367">
        <v>115.703782</v>
      </c>
      <c r="C367">
        <v>118.064077</v>
      </c>
      <c r="D367">
        <v>120.61044200000001</v>
      </c>
      <c r="E367">
        <v>90.798806999999996</v>
      </c>
      <c r="F367">
        <v>65.943399999999997</v>
      </c>
      <c r="G367">
        <v>50.025519000000003</v>
      </c>
      <c r="H367">
        <v>51.343390999999997</v>
      </c>
      <c r="I367"/>
      <c r="N367"/>
      <c r="O367"/>
      <c r="P367" s="1">
        <f t="shared" si="43"/>
        <v>118.40039735772359</v>
      </c>
      <c r="Q367" s="1">
        <f t="shared" si="44"/>
        <v>120.77063414634148</v>
      </c>
      <c r="R367" s="1">
        <f t="shared" si="45"/>
        <v>123.80831956765576</v>
      </c>
      <c r="S367" s="1">
        <f t="shared" si="46"/>
        <v>93.818892184942712</v>
      </c>
    </row>
    <row r="368" spans="1:19" x14ac:dyDescent="0.3">
      <c r="A368">
        <v>7666.6</v>
      </c>
      <c r="B368">
        <v>115.703782</v>
      </c>
      <c r="C368">
        <v>118.064077</v>
      </c>
      <c r="D368">
        <v>120.61044200000001</v>
      </c>
      <c r="E368">
        <v>90.798806999999996</v>
      </c>
      <c r="F368">
        <v>65.943399999999997</v>
      </c>
      <c r="G368">
        <v>50.026622000000003</v>
      </c>
      <c r="H368">
        <v>51.347726000000002</v>
      </c>
      <c r="I368"/>
      <c r="N368"/>
      <c r="O368"/>
      <c r="P368" s="1">
        <f t="shared" si="43"/>
        <v>118.40039735772359</v>
      </c>
      <c r="Q368" s="1">
        <f t="shared" si="44"/>
        <v>120.77063414634148</v>
      </c>
      <c r="R368" s="1">
        <f t="shared" si="45"/>
        <v>123.80831956765576</v>
      </c>
      <c r="S368" s="1">
        <f t="shared" si="46"/>
        <v>93.818892184942712</v>
      </c>
    </row>
    <row r="369" spans="1:19" x14ac:dyDescent="0.3">
      <c r="A369">
        <v>7666.8</v>
      </c>
      <c r="B369">
        <v>115.711861</v>
      </c>
      <c r="C369">
        <v>118.076093</v>
      </c>
      <c r="D369">
        <v>120.61806199999999</v>
      </c>
      <c r="E369">
        <v>90.830551999999997</v>
      </c>
      <c r="F369">
        <v>66.258982000000003</v>
      </c>
      <c r="G369">
        <v>50.026622000000003</v>
      </c>
      <c r="H369">
        <v>51.347726000000002</v>
      </c>
      <c r="I369"/>
      <c r="N369"/>
      <c r="O369"/>
      <c r="P369" s="1">
        <f t="shared" si="43"/>
        <v>118.3995599593496</v>
      </c>
      <c r="Q369" s="1">
        <f t="shared" si="44"/>
        <v>120.78988008130081</v>
      </c>
      <c r="R369" s="1">
        <f t="shared" si="45"/>
        <v>123.83596104823086</v>
      </c>
      <c r="S369" s="1">
        <f t="shared" si="46"/>
        <v>93.794161211129293</v>
      </c>
    </row>
    <row r="370" spans="1:19" x14ac:dyDescent="0.3">
      <c r="A370">
        <v>7667</v>
      </c>
      <c r="B370">
        <v>115.711861</v>
      </c>
      <c r="C370">
        <v>118.076093</v>
      </c>
      <c r="D370">
        <v>120.61806199999999</v>
      </c>
      <c r="E370">
        <v>90.830551999999997</v>
      </c>
      <c r="F370">
        <v>66.258982000000003</v>
      </c>
      <c r="G370">
        <v>50.024259000000001</v>
      </c>
      <c r="H370">
        <v>51.342824999999998</v>
      </c>
      <c r="I370" t="s">
        <v>56</v>
      </c>
      <c r="N370"/>
      <c r="O370"/>
      <c r="P370" s="1">
        <f t="shared" si="43"/>
        <v>118.3995599593496</v>
      </c>
      <c r="Q370" s="1">
        <f t="shared" si="44"/>
        <v>120.78988008130081</v>
      </c>
      <c r="R370" s="1">
        <f t="shared" si="45"/>
        <v>123.83596104823086</v>
      </c>
      <c r="S370" s="1">
        <f t="shared" si="46"/>
        <v>93.794161211129293</v>
      </c>
    </row>
    <row r="371" spans="1:19" x14ac:dyDescent="0.3">
      <c r="A371">
        <v>7667.2</v>
      </c>
      <c r="B371">
        <v>115.715182</v>
      </c>
      <c r="C371">
        <v>118.07620900000001</v>
      </c>
      <c r="D371">
        <v>120.60764500000001</v>
      </c>
      <c r="E371">
        <v>90.840777000000003</v>
      </c>
      <c r="F371">
        <v>65.727909999999994</v>
      </c>
      <c r="G371">
        <v>50.024259000000001</v>
      </c>
      <c r="H371">
        <v>51.342824999999998</v>
      </c>
      <c r="I371"/>
      <c r="N371"/>
      <c r="O371"/>
      <c r="P371" s="1">
        <f t="shared" si="43"/>
        <v>118.3865518292683</v>
      </c>
      <c r="Q371" s="1">
        <f t="shared" si="44"/>
        <v>120.77682520325203</v>
      </c>
      <c r="R371" s="1">
        <f t="shared" si="45"/>
        <v>123.82454573263995</v>
      </c>
      <c r="S371" s="1">
        <f t="shared" si="46"/>
        <v>93.761317512274957</v>
      </c>
    </row>
    <row r="372" spans="1:19" x14ac:dyDescent="0.3">
      <c r="A372">
        <v>7667.4</v>
      </c>
      <c r="B372">
        <v>115.715182</v>
      </c>
      <c r="C372">
        <v>118.07620900000001</v>
      </c>
      <c r="D372">
        <v>120.60764500000001</v>
      </c>
      <c r="E372">
        <v>90.840777000000003</v>
      </c>
      <c r="F372">
        <v>65.727909999999994</v>
      </c>
      <c r="G372">
        <v>50.039752999999997</v>
      </c>
      <c r="H372">
        <v>51.328057999999999</v>
      </c>
      <c r="I372"/>
      <c r="N372"/>
      <c r="O372"/>
      <c r="P372" s="1">
        <f t="shared" si="43"/>
        <v>118.3865518292683</v>
      </c>
      <c r="Q372" s="1">
        <f t="shared" si="44"/>
        <v>120.77682520325203</v>
      </c>
      <c r="R372" s="1">
        <f t="shared" si="45"/>
        <v>123.82454573263995</v>
      </c>
      <c r="S372" s="1">
        <f t="shared" si="46"/>
        <v>93.761317512274957</v>
      </c>
    </row>
    <row r="373" spans="1:19" x14ac:dyDescent="0.3">
      <c r="A373">
        <v>7667.6</v>
      </c>
      <c r="B373">
        <v>115.73151799999999</v>
      </c>
      <c r="C373">
        <v>118.088927</v>
      </c>
      <c r="D373">
        <v>120.618712</v>
      </c>
      <c r="E373">
        <v>90.852986999999999</v>
      </c>
      <c r="F373">
        <v>64.952501999999996</v>
      </c>
      <c r="G373">
        <v>50.039752999999997</v>
      </c>
      <c r="H373">
        <v>51.328057999999999</v>
      </c>
      <c r="I373"/>
      <c r="N373"/>
      <c r="O373"/>
      <c r="P373" s="1">
        <f t="shared" si="43"/>
        <v>118.37673983739838</v>
      </c>
      <c r="Q373" s="1">
        <f t="shared" si="44"/>
        <v>120.7966412601626</v>
      </c>
      <c r="R373" s="1">
        <f t="shared" si="45"/>
        <v>123.82357397777098</v>
      </c>
      <c r="S373" s="1">
        <f t="shared" si="46"/>
        <v>93.716922054009814</v>
      </c>
    </row>
    <row r="374" spans="1:19" x14ac:dyDescent="0.3">
      <c r="A374">
        <v>7667.8</v>
      </c>
      <c r="B374">
        <v>115.73151799999999</v>
      </c>
      <c r="C374">
        <v>118.088927</v>
      </c>
      <c r="D374">
        <v>120.618712</v>
      </c>
      <c r="E374">
        <v>90.852986999999999</v>
      </c>
      <c r="F374">
        <v>64.952501999999996</v>
      </c>
      <c r="G374">
        <v>50.036079000000001</v>
      </c>
      <c r="H374">
        <v>51.322769999999998</v>
      </c>
      <c r="I374"/>
      <c r="N374"/>
      <c r="O374"/>
      <c r="P374" s="1">
        <f t="shared" si="43"/>
        <v>118.37673983739838</v>
      </c>
      <c r="Q374" s="1">
        <f t="shared" si="44"/>
        <v>120.7966412601626</v>
      </c>
      <c r="R374" s="1">
        <f t="shared" si="45"/>
        <v>123.82357397777098</v>
      </c>
      <c r="S374" s="1">
        <f t="shared" si="46"/>
        <v>93.716922054009814</v>
      </c>
    </row>
    <row r="375" spans="1:19" x14ac:dyDescent="0.3">
      <c r="A375">
        <v>8214</v>
      </c>
      <c r="B375">
        <v>122.375894</v>
      </c>
      <c r="C375">
        <v>125.230571</v>
      </c>
      <c r="D375">
        <v>128.277445</v>
      </c>
      <c r="E375">
        <v>92.521580999999998</v>
      </c>
      <c r="F375">
        <v>68.387395999999995</v>
      </c>
      <c r="G375">
        <v>49.992420000000003</v>
      </c>
      <c r="H375">
        <v>51.554834</v>
      </c>
      <c r="I375" t="s">
        <v>56</v>
      </c>
      <c r="N375"/>
      <c r="O375"/>
      <c r="P375" s="1">
        <f t="shared" si="43"/>
        <v>118.39238414634147</v>
      </c>
      <c r="Q375" s="1">
        <f t="shared" si="44"/>
        <v>120.78454776422764</v>
      </c>
      <c r="R375" s="1">
        <f t="shared" si="45"/>
        <v>123.82245946772714</v>
      </c>
      <c r="S375" s="1">
        <f t="shared" si="46"/>
        <v>93.586888297872349</v>
      </c>
    </row>
    <row r="376" spans="1:19" x14ac:dyDescent="0.3">
      <c r="A376">
        <v>8214.2000000000007</v>
      </c>
      <c r="B376">
        <v>122.375894</v>
      </c>
      <c r="C376">
        <v>125.230571</v>
      </c>
      <c r="D376">
        <v>128.277445</v>
      </c>
      <c r="E376">
        <v>92.521580999999998</v>
      </c>
      <c r="F376">
        <v>68.387395999999995</v>
      </c>
      <c r="G376">
        <v>49.992420000000003</v>
      </c>
      <c r="H376">
        <v>51.554834</v>
      </c>
      <c r="I376"/>
      <c r="N376"/>
      <c r="O376"/>
      <c r="P376" s="1">
        <f t="shared" si="43"/>
        <v>118.39238414634147</v>
      </c>
      <c r="Q376" s="1">
        <f t="shared" si="44"/>
        <v>120.78454776422764</v>
      </c>
      <c r="R376" s="1">
        <f t="shared" si="45"/>
        <v>123.82245946772714</v>
      </c>
      <c r="S376" s="1">
        <f t="shared" si="46"/>
        <v>93.586888297872349</v>
      </c>
    </row>
    <row r="377" spans="1:19" x14ac:dyDescent="0.3">
      <c r="A377">
        <v>8214.4</v>
      </c>
      <c r="B377">
        <v>122.346772</v>
      </c>
      <c r="C377">
        <v>125.215875</v>
      </c>
      <c r="D377">
        <v>128.29085900000001</v>
      </c>
      <c r="E377">
        <v>92.570446000000004</v>
      </c>
      <c r="F377">
        <v>68.480569000000003</v>
      </c>
      <c r="G377">
        <v>49.987094999999997</v>
      </c>
      <c r="H377">
        <v>51.570292000000002</v>
      </c>
      <c r="I377"/>
      <c r="N377"/>
      <c r="O377"/>
      <c r="P377" s="1">
        <f t="shared" si="43"/>
        <v>118.39421849593496</v>
      </c>
      <c r="Q377" s="1">
        <f t="shared" si="44"/>
        <v>120.78451930894309</v>
      </c>
      <c r="R377" s="1">
        <f t="shared" si="45"/>
        <v>123.82289793004996</v>
      </c>
      <c r="S377" s="1">
        <f t="shared" si="46"/>
        <v>93.685688420621929</v>
      </c>
    </row>
    <row r="378" spans="1:19" x14ac:dyDescent="0.3">
      <c r="A378">
        <v>8214.6</v>
      </c>
      <c r="B378">
        <v>122.346772</v>
      </c>
      <c r="C378">
        <v>125.215875</v>
      </c>
      <c r="D378">
        <v>128.29085900000001</v>
      </c>
      <c r="E378">
        <v>92.570446000000004</v>
      </c>
      <c r="F378">
        <v>68.480569000000003</v>
      </c>
      <c r="G378">
        <v>49.987094999999997</v>
      </c>
      <c r="H378">
        <v>51.570292000000002</v>
      </c>
      <c r="I378"/>
      <c r="N378"/>
      <c r="O378"/>
      <c r="P378" s="1">
        <f t="shared" si="43"/>
        <v>118.39421849593496</v>
      </c>
      <c r="Q378" s="1">
        <f t="shared" si="44"/>
        <v>120.78451930894309</v>
      </c>
      <c r="R378" s="1">
        <f t="shared" si="45"/>
        <v>123.82289793004996</v>
      </c>
      <c r="S378" s="1">
        <f t="shared" si="46"/>
        <v>93.685688420621929</v>
      </c>
    </row>
    <row r="379" spans="1:19" x14ac:dyDescent="0.3">
      <c r="A379">
        <v>8214.7999999999993</v>
      </c>
      <c r="B379">
        <v>122.381558</v>
      </c>
      <c r="C379">
        <v>125.20048300000001</v>
      </c>
      <c r="D379">
        <v>128.27943099999999</v>
      </c>
      <c r="E379">
        <v>92.539711999999994</v>
      </c>
      <c r="F379">
        <v>67.942154000000002</v>
      </c>
      <c r="G379">
        <v>49.977912000000003</v>
      </c>
      <c r="H379">
        <v>51.561812000000003</v>
      </c>
      <c r="I379"/>
      <c r="N379"/>
      <c r="O379"/>
      <c r="P379" s="1">
        <f t="shared" si="43"/>
        <v>118.39848780487806</v>
      </c>
      <c r="Q379" s="1">
        <f t="shared" si="44"/>
        <v>120.79114024390245</v>
      </c>
      <c r="R379" s="1">
        <f t="shared" si="45"/>
        <v>123.81714183746303</v>
      </c>
      <c r="S379" s="1">
        <f t="shared" si="46"/>
        <v>93.727827332242228</v>
      </c>
    </row>
    <row r="380" spans="1:19" x14ac:dyDescent="0.3">
      <c r="A380">
        <v>8215</v>
      </c>
      <c r="B380">
        <v>122.381558</v>
      </c>
      <c r="C380">
        <v>125.20048300000001</v>
      </c>
      <c r="D380">
        <v>128.27943099999999</v>
      </c>
      <c r="E380">
        <v>92.539711999999994</v>
      </c>
      <c r="F380">
        <v>67.942154000000002</v>
      </c>
      <c r="G380">
        <v>49.977912000000003</v>
      </c>
      <c r="H380">
        <v>51.561812000000003</v>
      </c>
      <c r="I380" t="s">
        <v>56</v>
      </c>
      <c r="N380"/>
      <c r="O380"/>
      <c r="P380" s="1">
        <f t="shared" si="43"/>
        <v>118.39848780487806</v>
      </c>
      <c r="Q380" s="1">
        <f t="shared" si="44"/>
        <v>120.79114024390245</v>
      </c>
      <c r="R380" s="1">
        <f t="shared" si="45"/>
        <v>123.81714183746303</v>
      </c>
      <c r="S380" s="1">
        <f t="shared" si="46"/>
        <v>93.727827332242228</v>
      </c>
    </row>
    <row r="381" spans="1:19" x14ac:dyDescent="0.3">
      <c r="A381">
        <v>8215.2000000000007</v>
      </c>
      <c r="B381">
        <v>122.397228</v>
      </c>
      <c r="C381">
        <v>125.202597</v>
      </c>
      <c r="D381">
        <v>128.283377</v>
      </c>
      <c r="E381">
        <v>92.568078</v>
      </c>
      <c r="F381">
        <v>67.623334</v>
      </c>
      <c r="G381">
        <v>49.973967000000002</v>
      </c>
      <c r="H381">
        <v>51.579110999999997</v>
      </c>
      <c r="I381"/>
      <c r="N381"/>
      <c r="O381"/>
      <c r="P381" s="1">
        <f t="shared" si="43"/>
        <v>118.38369512195123</v>
      </c>
      <c r="Q381" s="1">
        <f t="shared" si="44"/>
        <v>120.79684857723578</v>
      </c>
      <c r="R381" s="1">
        <f t="shared" si="45"/>
        <v>123.83568777403895</v>
      </c>
      <c r="S381" s="1">
        <f t="shared" si="46"/>
        <v>93.709311579378067</v>
      </c>
    </row>
    <row r="382" spans="1:19" x14ac:dyDescent="0.3">
      <c r="A382">
        <v>8215.4</v>
      </c>
      <c r="B382">
        <v>122.397228</v>
      </c>
      <c r="C382">
        <v>125.202597</v>
      </c>
      <c r="D382">
        <v>128.283377</v>
      </c>
      <c r="E382">
        <v>92.568078</v>
      </c>
      <c r="F382">
        <v>67.623334</v>
      </c>
      <c r="G382">
        <v>49.973967000000002</v>
      </c>
      <c r="H382">
        <v>51.579110999999997</v>
      </c>
      <c r="I382"/>
      <c r="N382"/>
      <c r="O382"/>
      <c r="P382" s="1">
        <f t="shared" si="43"/>
        <v>118.38369512195123</v>
      </c>
      <c r="Q382" s="1">
        <f t="shared" si="44"/>
        <v>120.79684857723578</v>
      </c>
      <c r="R382" s="1">
        <f t="shared" si="45"/>
        <v>123.83568777403895</v>
      </c>
      <c r="S382" s="1">
        <f t="shared" si="46"/>
        <v>93.709311579378067</v>
      </c>
    </row>
    <row r="383" spans="1:19" x14ac:dyDescent="0.3">
      <c r="A383">
        <v>8215.6</v>
      </c>
      <c r="B383">
        <v>122.36771</v>
      </c>
      <c r="C383">
        <v>125.21796999999999</v>
      </c>
      <c r="D383">
        <v>128.27937700000001</v>
      </c>
      <c r="E383">
        <v>92.557422000000003</v>
      </c>
      <c r="F383">
        <v>66.750136999999995</v>
      </c>
      <c r="G383">
        <v>49.996085000000001</v>
      </c>
      <c r="H383">
        <v>51.570962000000002</v>
      </c>
      <c r="I383"/>
      <c r="N383"/>
      <c r="O383"/>
      <c r="P383" s="1">
        <f t="shared" si="43"/>
        <v>118.39842174796748</v>
      </c>
      <c r="Q383" s="1">
        <f t="shared" si="44"/>
        <v>120.78313313008131</v>
      </c>
      <c r="R383" s="1">
        <f t="shared" si="45"/>
        <v>123.84812684816967</v>
      </c>
      <c r="S383" s="1">
        <f t="shared" si="46"/>
        <v>93.740173895253676</v>
      </c>
    </row>
    <row r="384" spans="1:19" x14ac:dyDescent="0.3">
      <c r="A384">
        <v>8215.7999999999993</v>
      </c>
      <c r="B384">
        <v>122.36771</v>
      </c>
      <c r="C384">
        <v>125.21796999999999</v>
      </c>
      <c r="D384">
        <v>128.27937700000001</v>
      </c>
      <c r="E384">
        <v>92.557422000000003</v>
      </c>
      <c r="F384">
        <v>66.750136999999995</v>
      </c>
      <c r="G384">
        <v>49.996085000000001</v>
      </c>
      <c r="H384">
        <v>51.570962000000002</v>
      </c>
      <c r="I384"/>
      <c r="N384"/>
      <c r="O384"/>
      <c r="P384" s="1">
        <f t="shared" si="43"/>
        <v>118.39842174796748</v>
      </c>
      <c r="Q384" s="1">
        <f t="shared" si="44"/>
        <v>120.78313313008131</v>
      </c>
      <c r="R384" s="1">
        <f t="shared" si="45"/>
        <v>123.84812684816967</v>
      </c>
      <c r="S384" s="1">
        <f t="shared" si="46"/>
        <v>93.740173895253676</v>
      </c>
    </row>
    <row r="385" spans="1:19" x14ac:dyDescent="0.3">
      <c r="A385">
        <v>8216</v>
      </c>
      <c r="B385">
        <v>122.370267</v>
      </c>
      <c r="C385">
        <v>125.22515300000001</v>
      </c>
      <c r="D385">
        <v>128.26123699999999</v>
      </c>
      <c r="E385">
        <v>92.580158999999995</v>
      </c>
      <c r="F385">
        <v>67.085556999999994</v>
      </c>
      <c r="G385">
        <v>49.981298000000002</v>
      </c>
      <c r="H385">
        <v>51.582740000000001</v>
      </c>
      <c r="I385" t="s">
        <v>56</v>
      </c>
      <c r="N385"/>
      <c r="O385"/>
      <c r="P385" s="1">
        <f t="shared" si="43"/>
        <v>118.38443292682928</v>
      </c>
      <c r="Q385" s="1">
        <f t="shared" si="44"/>
        <v>120.78310670731707</v>
      </c>
      <c r="R385" s="1">
        <f t="shared" si="45"/>
        <v>123.81028041195064</v>
      </c>
      <c r="S385" s="1">
        <f t="shared" si="46"/>
        <v>93.82427066284778</v>
      </c>
    </row>
    <row r="386" spans="1:19" x14ac:dyDescent="0.3">
      <c r="A386">
        <v>8216.2000000000007</v>
      </c>
      <c r="B386">
        <v>122.370267</v>
      </c>
      <c r="C386">
        <v>125.22515300000001</v>
      </c>
      <c r="D386">
        <v>128.26123699999999</v>
      </c>
      <c r="E386">
        <v>92.580158999999995</v>
      </c>
      <c r="F386">
        <v>67.085556999999994</v>
      </c>
      <c r="G386">
        <v>49.981298000000002</v>
      </c>
      <c r="H386">
        <v>51.582740000000001</v>
      </c>
      <c r="I386"/>
      <c r="N386"/>
      <c r="O386"/>
      <c r="P386" s="1">
        <f t="shared" si="43"/>
        <v>118.38443292682928</v>
      </c>
      <c r="Q386" s="1">
        <f t="shared" si="44"/>
        <v>120.78310670731707</v>
      </c>
      <c r="R386" s="1">
        <f t="shared" si="45"/>
        <v>123.81028041195064</v>
      </c>
      <c r="S386" s="1">
        <f t="shared" si="46"/>
        <v>93.82427066284778</v>
      </c>
    </row>
    <row r="387" spans="1:19" x14ac:dyDescent="0.3">
      <c r="A387">
        <v>8216.4</v>
      </c>
      <c r="B387">
        <v>122.37349</v>
      </c>
      <c r="C387">
        <v>125.209924</v>
      </c>
      <c r="D387">
        <v>128.294588</v>
      </c>
      <c r="E387">
        <v>92.746556999999996</v>
      </c>
      <c r="F387">
        <v>67.704368000000002</v>
      </c>
      <c r="G387">
        <v>49.980116000000002</v>
      </c>
      <c r="H387">
        <v>51.568862000000003</v>
      </c>
      <c r="I387"/>
      <c r="N387"/>
      <c r="O387"/>
      <c r="P387" s="1">
        <f t="shared" si="43"/>
        <v>118.39264329268293</v>
      </c>
      <c r="Q387" s="1">
        <f t="shared" si="44"/>
        <v>120.79531808943091</v>
      </c>
      <c r="R387" s="1">
        <f t="shared" si="45"/>
        <v>123.81805037218312</v>
      </c>
      <c r="S387" s="1">
        <f t="shared" si="46"/>
        <v>93.856743044189841</v>
      </c>
    </row>
    <row r="388" spans="1:19" x14ac:dyDescent="0.3">
      <c r="A388">
        <v>8216.6</v>
      </c>
      <c r="B388">
        <v>122.37349</v>
      </c>
      <c r="C388">
        <v>125.209924</v>
      </c>
      <c r="D388">
        <v>128.294588</v>
      </c>
      <c r="E388">
        <v>92.746556999999996</v>
      </c>
      <c r="F388">
        <v>67.704368000000002</v>
      </c>
      <c r="G388">
        <v>49.980116000000002</v>
      </c>
      <c r="H388">
        <v>51.568862000000003</v>
      </c>
      <c r="I388"/>
      <c r="N388"/>
      <c r="O388"/>
      <c r="P388" s="1">
        <f t="shared" si="43"/>
        <v>118.39264329268293</v>
      </c>
      <c r="Q388" s="1">
        <f t="shared" si="44"/>
        <v>120.79531808943091</v>
      </c>
      <c r="R388" s="1">
        <f t="shared" si="45"/>
        <v>123.81805037218312</v>
      </c>
      <c r="S388" s="1">
        <f t="shared" si="46"/>
        <v>93.856743044189841</v>
      </c>
    </row>
    <row r="389" spans="1:19" x14ac:dyDescent="0.3">
      <c r="A389">
        <v>8216.7999999999993</v>
      </c>
      <c r="B389">
        <v>122.38650199999999</v>
      </c>
      <c r="C389">
        <v>125.21306199999999</v>
      </c>
      <c r="D389">
        <v>128.28253699999999</v>
      </c>
      <c r="E389">
        <v>92.646179000000004</v>
      </c>
      <c r="F389">
        <v>67.942428000000007</v>
      </c>
      <c r="G389">
        <v>49.973765</v>
      </c>
      <c r="H389">
        <v>51.591838000000003</v>
      </c>
      <c r="I389"/>
      <c r="N389"/>
      <c r="O389"/>
      <c r="P389" s="1">
        <f t="shared" si="43"/>
        <v>118.39601829268292</v>
      </c>
      <c r="Q389" s="1">
        <f t="shared" si="44"/>
        <v>120.79543597560976</v>
      </c>
      <c r="R389" s="1">
        <f t="shared" si="45"/>
        <v>123.80742836749261</v>
      </c>
      <c r="S389" s="1">
        <f t="shared" si="46"/>
        <v>93.867202332242229</v>
      </c>
    </row>
    <row r="390" spans="1:19" x14ac:dyDescent="0.3">
      <c r="A390">
        <v>8217</v>
      </c>
      <c r="B390">
        <v>122.38650199999999</v>
      </c>
      <c r="C390">
        <v>125.21306199999999</v>
      </c>
      <c r="D390">
        <v>128.28253699999999</v>
      </c>
      <c r="E390">
        <v>92.646179000000004</v>
      </c>
      <c r="F390">
        <v>67.942428000000007</v>
      </c>
      <c r="G390">
        <v>49.973765</v>
      </c>
      <c r="H390">
        <v>51.591838000000003</v>
      </c>
      <c r="I390" t="s">
        <v>56</v>
      </c>
      <c r="N390"/>
      <c r="O390"/>
      <c r="P390" s="1">
        <f t="shared" si="43"/>
        <v>118.39601829268292</v>
      </c>
      <c r="Q390" s="1">
        <f t="shared" si="44"/>
        <v>120.79543597560976</v>
      </c>
      <c r="R390" s="1">
        <f t="shared" si="45"/>
        <v>123.80742836749261</v>
      </c>
      <c r="S390" s="1">
        <f t="shared" si="46"/>
        <v>93.867202332242229</v>
      </c>
    </row>
    <row r="391" spans="1:19" x14ac:dyDescent="0.3">
      <c r="A391">
        <v>8217.2000000000007</v>
      </c>
      <c r="B391">
        <v>122.361621</v>
      </c>
      <c r="C391">
        <v>125.238861</v>
      </c>
      <c r="D391">
        <v>128.29467399999999</v>
      </c>
      <c r="E391">
        <v>92.581147000000001</v>
      </c>
      <c r="F391">
        <v>67.865575000000007</v>
      </c>
      <c r="G391">
        <v>49.961773999999998</v>
      </c>
      <c r="H391">
        <v>51.582628999999997</v>
      </c>
      <c r="I391"/>
      <c r="N391"/>
      <c r="O391"/>
      <c r="P391" s="1">
        <f t="shared" si="43"/>
        <v>118.41261991869919</v>
      </c>
      <c r="Q391" s="1">
        <f t="shared" si="44"/>
        <v>120.80836077235773</v>
      </c>
      <c r="R391" s="1">
        <f t="shared" si="45"/>
        <v>123.81871316406648</v>
      </c>
      <c r="S391" s="1">
        <f t="shared" si="46"/>
        <v>93.879692103109647</v>
      </c>
    </row>
    <row r="392" spans="1:19" x14ac:dyDescent="0.3">
      <c r="A392">
        <v>8217.4</v>
      </c>
      <c r="B392">
        <v>122.361621</v>
      </c>
      <c r="C392">
        <v>125.238861</v>
      </c>
      <c r="D392">
        <v>128.29467399999999</v>
      </c>
      <c r="E392">
        <v>92.581147000000001</v>
      </c>
      <c r="F392">
        <v>67.865575000000007</v>
      </c>
      <c r="G392">
        <v>49.961773999999998</v>
      </c>
      <c r="H392">
        <v>51.582628999999997</v>
      </c>
      <c r="I392"/>
      <c r="N392"/>
      <c r="O392"/>
      <c r="P392" s="1">
        <f t="shared" si="43"/>
        <v>118.41261991869919</v>
      </c>
      <c r="Q392" s="1">
        <f t="shared" si="44"/>
        <v>120.80836077235773</v>
      </c>
      <c r="R392" s="1">
        <f t="shared" si="45"/>
        <v>123.81871316406648</v>
      </c>
      <c r="S392" s="1">
        <f t="shared" si="46"/>
        <v>93.879692103109647</v>
      </c>
    </row>
    <row r="393" spans="1:19" x14ac:dyDescent="0.3">
      <c r="A393">
        <v>8217.6</v>
      </c>
      <c r="B393">
        <v>122.38275899999999</v>
      </c>
      <c r="C393">
        <v>125.22846199999999</v>
      </c>
      <c r="D393">
        <v>128.28017299999999</v>
      </c>
      <c r="E393">
        <v>92.525597000000005</v>
      </c>
      <c r="F393">
        <v>68.142060999999998</v>
      </c>
      <c r="G393">
        <v>49.988840000000003</v>
      </c>
      <c r="H393">
        <v>51.559798999999998</v>
      </c>
      <c r="I393"/>
      <c r="N393"/>
      <c r="O393"/>
      <c r="P393" s="1">
        <f t="shared" si="43"/>
        <v>125.16503455284554</v>
      </c>
      <c r="Q393" s="1">
        <f t="shared" si="44"/>
        <v>128.06612906504066</v>
      </c>
      <c r="R393" s="1">
        <f t="shared" si="45"/>
        <v>131.62816865504232</v>
      </c>
      <c r="S393" s="1">
        <f t="shared" si="46"/>
        <v>95.586519026186579</v>
      </c>
    </row>
    <row r="394" spans="1:19" x14ac:dyDescent="0.3">
      <c r="A394">
        <v>8217.7999999999993</v>
      </c>
      <c r="B394">
        <v>122.38275899999999</v>
      </c>
      <c r="C394">
        <v>125.22846199999999</v>
      </c>
      <c r="D394">
        <v>128.28017299999999</v>
      </c>
      <c r="E394">
        <v>92.525597000000005</v>
      </c>
      <c r="F394">
        <v>68.142060999999998</v>
      </c>
      <c r="G394">
        <v>49.988840000000003</v>
      </c>
      <c r="H394">
        <v>51.559798999999998</v>
      </c>
      <c r="I394"/>
      <c r="N394"/>
      <c r="O394"/>
      <c r="P394" s="1">
        <f t="shared" si="43"/>
        <v>125.16503455284554</v>
      </c>
      <c r="Q394" s="1">
        <f t="shared" si="44"/>
        <v>128.06612906504066</v>
      </c>
      <c r="R394" s="1">
        <f t="shared" si="45"/>
        <v>131.62816865504232</v>
      </c>
      <c r="S394" s="1">
        <f t="shared" si="46"/>
        <v>95.586519026186579</v>
      </c>
    </row>
    <row r="395" spans="1:19" x14ac:dyDescent="0.3">
      <c r="A395">
        <v>8218</v>
      </c>
      <c r="B395">
        <v>122.383503</v>
      </c>
      <c r="C395">
        <v>125.24674899999999</v>
      </c>
      <c r="D395">
        <v>128.27815699999999</v>
      </c>
      <c r="E395">
        <v>92.534193999999999</v>
      </c>
      <c r="F395">
        <v>68.186734999999999</v>
      </c>
      <c r="G395">
        <v>49.971425000000004</v>
      </c>
      <c r="H395">
        <v>51.602659000000003</v>
      </c>
      <c r="I395" t="s">
        <v>56</v>
      </c>
      <c r="N395"/>
      <c r="O395"/>
      <c r="P395" s="1">
        <f t="shared" si="43"/>
        <v>125.13543902439025</v>
      </c>
      <c r="Q395" s="1">
        <f t="shared" si="44"/>
        <v>128.05119410569105</v>
      </c>
      <c r="R395" s="1">
        <f t="shared" si="45"/>
        <v>131.64184664015502</v>
      </c>
      <c r="S395" s="1">
        <f t="shared" si="46"/>
        <v>95.636503682487728</v>
      </c>
    </row>
    <row r="396" spans="1:19" x14ac:dyDescent="0.3">
      <c r="A396">
        <v>8218.2000000000007</v>
      </c>
      <c r="B396">
        <v>122.383503</v>
      </c>
      <c r="C396">
        <v>125.24674899999999</v>
      </c>
      <c r="D396">
        <v>128.27815699999999</v>
      </c>
      <c r="E396">
        <v>92.534193999999999</v>
      </c>
      <c r="F396">
        <v>68.186734999999999</v>
      </c>
      <c r="G396">
        <v>49.971425000000004</v>
      </c>
      <c r="H396">
        <v>51.602659000000003</v>
      </c>
      <c r="I396"/>
      <c r="N396"/>
      <c r="O396"/>
      <c r="P396" s="1">
        <f t="shared" si="43"/>
        <v>125.13543902439025</v>
      </c>
      <c r="Q396" s="1">
        <f t="shared" si="44"/>
        <v>128.05119410569105</v>
      </c>
      <c r="R396" s="1">
        <f t="shared" si="45"/>
        <v>131.64184664015502</v>
      </c>
      <c r="S396" s="1">
        <f t="shared" si="46"/>
        <v>95.636503682487728</v>
      </c>
    </row>
    <row r="397" spans="1:19" x14ac:dyDescent="0.3">
      <c r="A397">
        <v>8218.4</v>
      </c>
      <c r="B397">
        <v>122.375862</v>
      </c>
      <c r="C397">
        <v>125.236771</v>
      </c>
      <c r="D397">
        <v>128.292361</v>
      </c>
      <c r="E397">
        <v>92.596874</v>
      </c>
      <c r="F397">
        <v>68.560501000000002</v>
      </c>
      <c r="G397">
        <v>49.977882999999999</v>
      </c>
      <c r="H397">
        <v>51.576096999999997</v>
      </c>
      <c r="I397"/>
      <c r="N397"/>
      <c r="O397"/>
      <c r="P397" s="1">
        <f t="shared" si="43"/>
        <v>125.1707906504065</v>
      </c>
      <c r="Q397" s="1">
        <f t="shared" si="44"/>
        <v>128.03555182926831</v>
      </c>
      <c r="R397" s="1">
        <f t="shared" si="45"/>
        <v>131.63019373916589</v>
      </c>
      <c r="S397" s="1">
        <f t="shared" si="46"/>
        <v>95.605065466448437</v>
      </c>
    </row>
    <row r="398" spans="1:19" x14ac:dyDescent="0.3">
      <c r="A398">
        <v>8218.6</v>
      </c>
      <c r="B398">
        <v>122.375862</v>
      </c>
      <c r="C398">
        <v>125.236771</v>
      </c>
      <c r="D398">
        <v>128.292361</v>
      </c>
      <c r="E398">
        <v>92.596874</v>
      </c>
      <c r="F398">
        <v>68.560501000000002</v>
      </c>
      <c r="G398">
        <v>49.977882999999999</v>
      </c>
      <c r="H398">
        <v>51.576096999999997</v>
      </c>
      <c r="I398"/>
      <c r="N398"/>
      <c r="O398"/>
      <c r="P398" s="1">
        <f t="shared" si="43"/>
        <v>125.1707906504065</v>
      </c>
      <c r="Q398" s="1">
        <f t="shared" si="44"/>
        <v>128.03555182926831</v>
      </c>
      <c r="R398" s="1">
        <f t="shared" si="45"/>
        <v>131.63019373916589</v>
      </c>
      <c r="S398" s="1">
        <f t="shared" si="46"/>
        <v>95.605065466448437</v>
      </c>
    </row>
    <row r="399" spans="1:19" x14ac:dyDescent="0.3">
      <c r="A399">
        <v>8218.7999999999993</v>
      </c>
      <c r="B399">
        <v>122.35189</v>
      </c>
      <c r="C399">
        <v>125.23786200000001</v>
      </c>
      <c r="D399">
        <v>128.265162</v>
      </c>
      <c r="E399">
        <v>92.583770999999999</v>
      </c>
      <c r="F399">
        <v>68.855124000000004</v>
      </c>
      <c r="G399">
        <v>49.980415999999998</v>
      </c>
      <c r="H399">
        <v>51.586244999999998</v>
      </c>
      <c r="I399"/>
      <c r="N399"/>
      <c r="O399"/>
      <c r="P399" s="1">
        <f t="shared" si="43"/>
        <v>125.18671544715447</v>
      </c>
      <c r="Q399" s="1">
        <f t="shared" si="44"/>
        <v>128.03770020325203</v>
      </c>
      <c r="R399" s="1">
        <f t="shared" si="45"/>
        <v>131.63421739573775</v>
      </c>
      <c r="S399" s="1">
        <f t="shared" si="46"/>
        <v>95.634081423895253</v>
      </c>
    </row>
    <row r="400" spans="1:19" x14ac:dyDescent="0.3">
      <c r="A400">
        <v>8219</v>
      </c>
      <c r="B400">
        <v>122.35189</v>
      </c>
      <c r="C400">
        <v>125.23786200000001</v>
      </c>
      <c r="D400">
        <v>128.265162</v>
      </c>
      <c r="E400">
        <v>92.583770999999999</v>
      </c>
      <c r="F400">
        <v>68.855124000000004</v>
      </c>
      <c r="G400">
        <v>49.980415999999998</v>
      </c>
      <c r="H400">
        <v>51.586244999999998</v>
      </c>
      <c r="I400" t="s">
        <v>56</v>
      </c>
      <c r="N400"/>
      <c r="O400"/>
      <c r="P400" s="1">
        <f t="shared" si="43"/>
        <v>125.18671544715447</v>
      </c>
      <c r="Q400" s="1">
        <f t="shared" si="44"/>
        <v>128.03770020325203</v>
      </c>
      <c r="R400" s="1">
        <f t="shared" si="45"/>
        <v>131.63421739573775</v>
      </c>
      <c r="S400" s="1">
        <f t="shared" si="46"/>
        <v>95.634081423895253</v>
      </c>
    </row>
    <row r="401" spans="1:19" x14ac:dyDescent="0.3">
      <c r="A401">
        <v>8219.2000000000007</v>
      </c>
      <c r="B401">
        <v>122.398932</v>
      </c>
      <c r="C401">
        <v>125.246544</v>
      </c>
      <c r="D401">
        <v>128.29014100000001</v>
      </c>
      <c r="E401">
        <v>92.455298999999997</v>
      </c>
      <c r="F401">
        <v>68.988236999999998</v>
      </c>
      <c r="G401">
        <v>49.949706999999997</v>
      </c>
      <c r="H401">
        <v>51.593893000000001</v>
      </c>
      <c r="I401"/>
      <c r="N401"/>
      <c r="O401"/>
      <c r="P401" s="1">
        <f t="shared" si="43"/>
        <v>125.15671747967481</v>
      </c>
      <c r="Q401" s="1">
        <f t="shared" si="44"/>
        <v>128.05332317073172</v>
      </c>
      <c r="R401" s="1">
        <f t="shared" si="45"/>
        <v>131.6301386764556</v>
      </c>
      <c r="S401" s="1">
        <f t="shared" si="46"/>
        <v>95.623181260229131</v>
      </c>
    </row>
    <row r="402" spans="1:19" x14ac:dyDescent="0.3">
      <c r="A402">
        <v>8219.4</v>
      </c>
      <c r="B402">
        <v>122.398932</v>
      </c>
      <c r="C402">
        <v>125.246544</v>
      </c>
      <c r="D402">
        <v>128.29014100000001</v>
      </c>
      <c r="E402">
        <v>92.455298999999997</v>
      </c>
      <c r="F402">
        <v>68.988236999999998</v>
      </c>
      <c r="G402">
        <v>49.949706999999997</v>
      </c>
      <c r="H402">
        <v>51.593893000000001</v>
      </c>
      <c r="I402"/>
      <c r="N402"/>
      <c r="O402"/>
      <c r="P402" s="1">
        <f t="shared" si="43"/>
        <v>125.15671747967481</v>
      </c>
      <c r="Q402" s="1">
        <f t="shared" si="44"/>
        <v>128.05332317073172</v>
      </c>
      <c r="R402" s="1">
        <f t="shared" si="45"/>
        <v>131.6301386764556</v>
      </c>
      <c r="S402" s="1">
        <f t="shared" si="46"/>
        <v>95.623181260229131</v>
      </c>
    </row>
    <row r="403" spans="1:19" x14ac:dyDescent="0.3">
      <c r="A403">
        <v>8219.6</v>
      </c>
      <c r="B403">
        <v>122.38252900000001</v>
      </c>
      <c r="C403">
        <v>125.249927</v>
      </c>
      <c r="D403">
        <v>128.27212299999999</v>
      </c>
      <c r="E403">
        <v>92.512781000000004</v>
      </c>
      <c r="F403">
        <v>68.567616999999998</v>
      </c>
      <c r="G403">
        <v>49.963346000000001</v>
      </c>
      <c r="H403">
        <v>51.589972000000003</v>
      </c>
      <c r="I403"/>
      <c r="N403"/>
      <c r="O403"/>
      <c r="P403" s="1">
        <f t="shared" si="43"/>
        <v>125.15931605691057</v>
      </c>
      <c r="Q403" s="1">
        <f t="shared" si="44"/>
        <v>128.06062296747967</v>
      </c>
      <c r="R403" s="1">
        <f t="shared" si="45"/>
        <v>131.61164168451106</v>
      </c>
      <c r="S403" s="1">
        <f t="shared" si="46"/>
        <v>95.646439238952524</v>
      </c>
    </row>
    <row r="404" spans="1:19" x14ac:dyDescent="0.3">
      <c r="A404">
        <v>8219.7999999999993</v>
      </c>
      <c r="B404">
        <v>122.38252900000001</v>
      </c>
      <c r="C404">
        <v>125.249927</v>
      </c>
      <c r="D404">
        <v>128.27212299999999</v>
      </c>
      <c r="E404">
        <v>92.512781000000004</v>
      </c>
      <c r="F404">
        <v>68.567616999999998</v>
      </c>
      <c r="G404">
        <v>49.963346000000001</v>
      </c>
      <c r="H404">
        <v>51.589972000000003</v>
      </c>
      <c r="I404"/>
      <c r="N404"/>
      <c r="O404"/>
      <c r="P404" s="1">
        <f t="shared" si="43"/>
        <v>125.15931605691057</v>
      </c>
      <c r="Q404" s="1">
        <f t="shared" si="44"/>
        <v>128.06062296747967</v>
      </c>
      <c r="R404" s="1">
        <f t="shared" si="45"/>
        <v>131.61164168451106</v>
      </c>
      <c r="S404" s="1">
        <f t="shared" si="46"/>
        <v>95.646439238952524</v>
      </c>
    </row>
    <row r="405" spans="1:19" x14ac:dyDescent="0.3">
      <c r="A405">
        <v>8220</v>
      </c>
      <c r="B405">
        <v>122.37278499999999</v>
      </c>
      <c r="C405">
        <v>125.22421900000001</v>
      </c>
      <c r="D405">
        <v>128.28583399999999</v>
      </c>
      <c r="E405">
        <v>92.664243999999997</v>
      </c>
      <c r="F405">
        <v>67.888070999999997</v>
      </c>
      <c r="G405">
        <v>49.958593</v>
      </c>
      <c r="H405">
        <v>51.577375000000004</v>
      </c>
      <c r="I405" t="s">
        <v>56</v>
      </c>
      <c r="N405"/>
      <c r="O405"/>
      <c r="P405" s="1">
        <f t="shared" si="43"/>
        <v>125.16259146341464</v>
      </c>
      <c r="Q405" s="1">
        <f t="shared" si="44"/>
        <v>128.04514634146341</v>
      </c>
      <c r="R405" s="1">
        <f t="shared" si="45"/>
        <v>131.64564902620577</v>
      </c>
      <c r="S405" s="1">
        <f t="shared" si="46"/>
        <v>95.816649959083463</v>
      </c>
    </row>
    <row r="406" spans="1:19" x14ac:dyDescent="0.3">
      <c r="A406">
        <v>8220.2000000000007</v>
      </c>
      <c r="B406">
        <v>122.37278499999999</v>
      </c>
      <c r="C406">
        <v>125.22421900000001</v>
      </c>
      <c r="D406">
        <v>128.28583399999999</v>
      </c>
      <c r="E406">
        <v>92.664243999999997</v>
      </c>
      <c r="F406">
        <v>67.888070999999997</v>
      </c>
      <c r="G406">
        <v>49.958593</v>
      </c>
      <c r="H406">
        <v>51.577375000000004</v>
      </c>
      <c r="I406"/>
      <c r="N406"/>
      <c r="O406"/>
      <c r="P406" s="1">
        <f t="shared" si="43"/>
        <v>125.16259146341464</v>
      </c>
      <c r="Q406" s="1">
        <f t="shared" si="44"/>
        <v>128.04514634146341</v>
      </c>
      <c r="R406" s="1">
        <f t="shared" si="45"/>
        <v>131.64564902620577</v>
      </c>
      <c r="S406" s="1">
        <f t="shared" si="46"/>
        <v>95.816649959083463</v>
      </c>
    </row>
    <row r="407" spans="1:19" x14ac:dyDescent="0.3">
      <c r="A407">
        <v>8220.4</v>
      </c>
      <c r="B407">
        <v>122.376625</v>
      </c>
      <c r="C407">
        <v>125.23661300000001</v>
      </c>
      <c r="D407">
        <v>128.28553500000001</v>
      </c>
      <c r="E407">
        <v>92.635170000000002</v>
      </c>
      <c r="F407">
        <v>67.857014000000007</v>
      </c>
      <c r="G407">
        <v>49.970374</v>
      </c>
      <c r="H407">
        <v>51.576445</v>
      </c>
      <c r="I407"/>
      <c r="N407"/>
      <c r="O407"/>
      <c r="P407" s="1">
        <f t="shared" si="43"/>
        <v>125.17581504065041</v>
      </c>
      <c r="Q407" s="1">
        <f t="shared" si="44"/>
        <v>128.04833536585366</v>
      </c>
      <c r="R407" s="1">
        <f t="shared" si="45"/>
        <v>131.63336086468848</v>
      </c>
      <c r="S407" s="1">
        <f t="shared" si="46"/>
        <v>95.713971972176765</v>
      </c>
    </row>
    <row r="408" spans="1:19" x14ac:dyDescent="0.3">
      <c r="A408">
        <v>8220.6</v>
      </c>
      <c r="B408">
        <v>122.376625</v>
      </c>
      <c r="C408">
        <v>125.23661300000001</v>
      </c>
      <c r="D408">
        <v>128.28553500000001</v>
      </c>
      <c r="E408">
        <v>92.635170000000002</v>
      </c>
      <c r="F408">
        <v>67.857014000000007</v>
      </c>
      <c r="G408">
        <v>49.970374</v>
      </c>
      <c r="H408">
        <v>51.576445</v>
      </c>
      <c r="I408"/>
      <c r="N408"/>
      <c r="O408"/>
      <c r="P408" s="1">
        <f t="shared" si="43"/>
        <v>125.17581504065041</v>
      </c>
      <c r="Q408" s="1">
        <f t="shared" si="44"/>
        <v>128.04833536585366</v>
      </c>
      <c r="R408" s="1">
        <f t="shared" si="45"/>
        <v>131.63336086468848</v>
      </c>
      <c r="S408" s="1">
        <f t="shared" si="46"/>
        <v>95.713971972176765</v>
      </c>
    </row>
    <row r="409" spans="1:19" x14ac:dyDescent="0.3">
      <c r="A409">
        <v>8220.7999999999993</v>
      </c>
      <c r="B409">
        <v>122.368954</v>
      </c>
      <c r="C409">
        <v>125.233529</v>
      </c>
      <c r="D409">
        <v>128.29189099999999</v>
      </c>
      <c r="E409">
        <v>92.581124000000003</v>
      </c>
      <c r="F409">
        <v>67.931944999999999</v>
      </c>
      <c r="G409">
        <v>49.992606000000002</v>
      </c>
      <c r="H409">
        <v>51.599114999999998</v>
      </c>
      <c r="I409"/>
      <c r="N409"/>
      <c r="O409"/>
      <c r="P409" s="1">
        <f t="shared" si="43"/>
        <v>125.15052947154471</v>
      </c>
      <c r="Q409" s="1">
        <f t="shared" si="44"/>
        <v>128.07455386178862</v>
      </c>
      <c r="R409" s="1">
        <f t="shared" si="45"/>
        <v>131.64573671867032</v>
      </c>
      <c r="S409" s="1">
        <f t="shared" si="46"/>
        <v>95.647449877250409</v>
      </c>
    </row>
    <row r="410" spans="1:19" x14ac:dyDescent="0.3">
      <c r="A410">
        <v>8221</v>
      </c>
      <c r="B410">
        <v>122.368954</v>
      </c>
      <c r="C410">
        <v>125.233529</v>
      </c>
      <c r="D410">
        <v>128.29189099999999</v>
      </c>
      <c r="E410">
        <v>92.581124000000003</v>
      </c>
      <c r="F410">
        <v>67.931944999999999</v>
      </c>
      <c r="G410">
        <v>49.992606000000002</v>
      </c>
      <c r="H410">
        <v>51.599114999999998</v>
      </c>
      <c r="I410" t="s">
        <v>56</v>
      </c>
      <c r="N410"/>
      <c r="O410"/>
      <c r="P410" s="1">
        <f t="shared" si="43"/>
        <v>125.15052947154471</v>
      </c>
      <c r="Q410" s="1">
        <f t="shared" si="44"/>
        <v>128.07455386178862</v>
      </c>
      <c r="R410" s="1">
        <f t="shared" si="45"/>
        <v>131.64573671867032</v>
      </c>
      <c r="S410" s="1">
        <f t="shared" si="46"/>
        <v>95.647449877250409</v>
      </c>
    </row>
    <row r="411" spans="1:19" x14ac:dyDescent="0.3">
      <c r="A411">
        <v>8221.2000000000007</v>
      </c>
      <c r="B411">
        <v>122.40205</v>
      </c>
      <c r="C411">
        <v>125.243212</v>
      </c>
      <c r="D411">
        <v>128.27440200000001</v>
      </c>
      <c r="E411">
        <v>92.580888000000002</v>
      </c>
      <c r="F411">
        <v>67.441992999999997</v>
      </c>
      <c r="G411">
        <v>49.969498000000002</v>
      </c>
      <c r="H411">
        <v>51.594270999999999</v>
      </c>
      <c r="I411"/>
      <c r="N411"/>
      <c r="O411"/>
      <c r="P411" s="1">
        <f t="shared" si="43"/>
        <v>125.17201117886179</v>
      </c>
      <c r="Q411" s="1">
        <f t="shared" si="44"/>
        <v>128.06398577235771</v>
      </c>
      <c r="R411" s="1">
        <f t="shared" si="45"/>
        <v>131.63095034159275</v>
      </c>
      <c r="S411" s="1">
        <f t="shared" si="46"/>
        <v>95.590627045826523</v>
      </c>
    </row>
    <row r="412" spans="1:19" x14ac:dyDescent="0.3">
      <c r="A412">
        <v>8221.4</v>
      </c>
      <c r="B412">
        <v>122.40205</v>
      </c>
      <c r="C412">
        <v>125.243212</v>
      </c>
      <c r="D412">
        <v>128.27440200000001</v>
      </c>
      <c r="E412">
        <v>92.580888000000002</v>
      </c>
      <c r="F412">
        <v>67.441992999999997</v>
      </c>
      <c r="G412">
        <v>49.969498000000002</v>
      </c>
      <c r="H412">
        <v>51.594270999999999</v>
      </c>
      <c r="I412"/>
      <c r="N412"/>
      <c r="O412"/>
      <c r="P412" s="1">
        <f t="shared" si="43"/>
        <v>125.17201117886179</v>
      </c>
      <c r="Q412" s="1">
        <f t="shared" si="44"/>
        <v>128.06398577235771</v>
      </c>
      <c r="R412" s="1">
        <f t="shared" si="45"/>
        <v>131.63095034159275</v>
      </c>
      <c r="S412" s="1">
        <f t="shared" si="46"/>
        <v>95.590627045826523</v>
      </c>
    </row>
    <row r="413" spans="1:19" x14ac:dyDescent="0.3">
      <c r="A413">
        <v>8221.6</v>
      </c>
      <c r="B413">
        <v>122.365908</v>
      </c>
      <c r="C413">
        <v>125.251935</v>
      </c>
      <c r="D413">
        <v>128.30287200000001</v>
      </c>
      <c r="E413">
        <v>92.611870999999994</v>
      </c>
      <c r="F413">
        <v>65.913776999999996</v>
      </c>
      <c r="G413">
        <v>49.962848000000001</v>
      </c>
      <c r="H413">
        <v>51.592244999999998</v>
      </c>
      <c r="I413"/>
      <c r="N413"/>
      <c r="O413"/>
      <c r="P413" s="1">
        <f t="shared" si="43"/>
        <v>125.17276727642277</v>
      </c>
      <c r="Q413" s="1">
        <f t="shared" si="44"/>
        <v>128.08257012195122</v>
      </c>
      <c r="R413" s="1">
        <f t="shared" si="45"/>
        <v>131.62889466707455</v>
      </c>
      <c r="S413" s="1">
        <f t="shared" si="46"/>
        <v>95.599421031096554</v>
      </c>
    </row>
    <row r="414" spans="1:19" x14ac:dyDescent="0.3">
      <c r="A414">
        <v>8221.7999999999993</v>
      </c>
      <c r="B414">
        <v>122.365908</v>
      </c>
      <c r="C414">
        <v>125.251935</v>
      </c>
      <c r="D414">
        <v>128.30287200000001</v>
      </c>
      <c r="E414">
        <v>92.611870999999994</v>
      </c>
      <c r="F414">
        <v>65.913776999999996</v>
      </c>
      <c r="G414">
        <v>49.962848000000001</v>
      </c>
      <c r="H414">
        <v>51.592244999999998</v>
      </c>
      <c r="I414"/>
      <c r="N414"/>
      <c r="O414"/>
      <c r="P414" s="1">
        <f t="shared" si="43"/>
        <v>125.17276727642277</v>
      </c>
      <c r="Q414" s="1">
        <f t="shared" si="44"/>
        <v>128.08257012195122</v>
      </c>
      <c r="R414" s="1">
        <f t="shared" si="45"/>
        <v>131.62889466707455</v>
      </c>
      <c r="S414" s="1">
        <f t="shared" si="46"/>
        <v>95.599421031096554</v>
      </c>
    </row>
    <row r="415" spans="1:19" x14ac:dyDescent="0.3">
      <c r="A415">
        <v>8222</v>
      </c>
      <c r="B415">
        <v>122.384618</v>
      </c>
      <c r="C415">
        <v>125.25133099999999</v>
      </c>
      <c r="D415">
        <v>128.28916100000001</v>
      </c>
      <c r="E415">
        <v>92.552148000000003</v>
      </c>
      <c r="F415">
        <v>65.514194000000003</v>
      </c>
      <c r="G415">
        <v>49.965429</v>
      </c>
      <c r="H415">
        <v>51.571044000000001</v>
      </c>
      <c r="I415" t="s">
        <v>56</v>
      </c>
      <c r="N415"/>
      <c r="O415"/>
      <c r="P415" s="1">
        <f t="shared" si="43"/>
        <v>125.16500203252033</v>
      </c>
      <c r="Q415" s="1">
        <f t="shared" si="44"/>
        <v>128.07242987804878</v>
      </c>
      <c r="R415" s="1">
        <f t="shared" si="45"/>
        <v>131.64337819924543</v>
      </c>
      <c r="S415" s="1">
        <f t="shared" si="46"/>
        <v>95.66353723404255</v>
      </c>
    </row>
    <row r="416" spans="1:19" x14ac:dyDescent="0.3">
      <c r="A416">
        <v>8222.2000000000007</v>
      </c>
      <c r="B416">
        <v>122.384618</v>
      </c>
      <c r="C416">
        <v>125.25133099999999</v>
      </c>
      <c r="D416">
        <v>128.28916100000001</v>
      </c>
      <c r="E416">
        <v>92.552148000000003</v>
      </c>
      <c r="F416">
        <v>65.514194000000003</v>
      </c>
      <c r="G416">
        <v>49.965429</v>
      </c>
      <c r="H416">
        <v>51.571044000000001</v>
      </c>
      <c r="I416"/>
      <c r="N416"/>
      <c r="O416"/>
      <c r="P416" s="1">
        <f t="shared" si="43"/>
        <v>125.16500203252033</v>
      </c>
      <c r="Q416" s="1">
        <f t="shared" si="44"/>
        <v>128.07242987804878</v>
      </c>
      <c r="R416" s="1">
        <f t="shared" si="45"/>
        <v>131.64337819924543</v>
      </c>
      <c r="S416" s="1">
        <f t="shared" si="46"/>
        <v>95.66353723404255</v>
      </c>
    </row>
    <row r="417" spans="1:19" x14ac:dyDescent="0.3">
      <c r="A417">
        <v>8222.4</v>
      </c>
      <c r="B417">
        <v>122.387708</v>
      </c>
      <c r="C417">
        <v>125.255818</v>
      </c>
      <c r="D417">
        <v>128.31134</v>
      </c>
      <c r="E417">
        <v>92.570008999999999</v>
      </c>
      <c r="F417">
        <v>66.474694</v>
      </c>
      <c r="G417">
        <v>49.973824</v>
      </c>
      <c r="H417">
        <v>51.555880999999999</v>
      </c>
      <c r="I417"/>
      <c r="N417"/>
      <c r="O417"/>
      <c r="P417" s="1">
        <f t="shared" si="43"/>
        <v>125.14064024390244</v>
      </c>
      <c r="Q417" s="1">
        <f t="shared" si="44"/>
        <v>128.07353861788619</v>
      </c>
      <c r="R417" s="1">
        <f t="shared" si="45"/>
        <v>131.61564392780667</v>
      </c>
      <c r="S417" s="1">
        <f t="shared" si="46"/>
        <v>95.650134001636658</v>
      </c>
    </row>
    <row r="418" spans="1:19" x14ac:dyDescent="0.3">
      <c r="A418">
        <v>8222.6</v>
      </c>
      <c r="B418">
        <v>122.387708</v>
      </c>
      <c r="C418">
        <v>125.255818</v>
      </c>
      <c r="D418">
        <v>128.31134</v>
      </c>
      <c r="E418">
        <v>92.570008999999999</v>
      </c>
      <c r="F418">
        <v>66.474694</v>
      </c>
      <c r="G418">
        <v>49.973824</v>
      </c>
      <c r="H418">
        <v>51.555880999999999</v>
      </c>
      <c r="I418"/>
      <c r="N418"/>
      <c r="O418"/>
      <c r="P418" s="1">
        <f t="shared" si="43"/>
        <v>125.14064024390244</v>
      </c>
      <c r="Q418" s="1">
        <f t="shared" si="44"/>
        <v>128.07353861788619</v>
      </c>
      <c r="R418" s="1">
        <f t="shared" si="45"/>
        <v>131.61564392780667</v>
      </c>
      <c r="S418" s="1">
        <f t="shared" si="46"/>
        <v>95.650134001636658</v>
      </c>
    </row>
    <row r="419" spans="1:19" x14ac:dyDescent="0.3">
      <c r="A419">
        <v>8222.7999999999993</v>
      </c>
      <c r="B419">
        <v>122.399141</v>
      </c>
      <c r="C419">
        <v>125.263372</v>
      </c>
      <c r="D419">
        <v>128.28736000000001</v>
      </c>
      <c r="E419">
        <v>92.583663999999999</v>
      </c>
      <c r="F419">
        <v>67.419286999999997</v>
      </c>
      <c r="G419">
        <v>49.996343000000003</v>
      </c>
      <c r="H419">
        <v>51.571219999999997</v>
      </c>
      <c r="I419"/>
      <c r="N419"/>
      <c r="O419"/>
      <c r="P419" s="1">
        <f t="shared" si="43"/>
        <v>125.18844715447155</v>
      </c>
      <c r="Q419" s="1">
        <f t="shared" si="44"/>
        <v>128.0823617886179</v>
      </c>
      <c r="R419" s="1">
        <f t="shared" si="45"/>
        <v>131.64111451004385</v>
      </c>
      <c r="S419" s="1">
        <f t="shared" si="46"/>
        <v>95.518718289689033</v>
      </c>
    </row>
    <row r="420" spans="1:19" x14ac:dyDescent="0.3">
      <c r="A420">
        <v>8223</v>
      </c>
      <c r="B420">
        <v>122.399141</v>
      </c>
      <c r="C420">
        <v>125.263372</v>
      </c>
      <c r="D420">
        <v>128.28736000000001</v>
      </c>
      <c r="E420">
        <v>92.583663999999999</v>
      </c>
      <c r="F420">
        <v>67.419286999999997</v>
      </c>
      <c r="G420">
        <v>49.996343000000003</v>
      </c>
      <c r="H420">
        <v>51.571219999999997</v>
      </c>
      <c r="I420" t="s">
        <v>56</v>
      </c>
      <c r="N420"/>
      <c r="O420"/>
      <c r="P420" s="1">
        <f t="shared" si="43"/>
        <v>125.18844715447155</v>
      </c>
      <c r="Q420" s="1">
        <f t="shared" si="44"/>
        <v>128.0823617886179</v>
      </c>
      <c r="R420" s="1">
        <f t="shared" si="45"/>
        <v>131.64111451004385</v>
      </c>
      <c r="S420" s="1">
        <f t="shared" si="46"/>
        <v>95.518718289689033</v>
      </c>
    </row>
    <row r="421" spans="1:19" x14ac:dyDescent="0.3">
      <c r="A421">
        <v>8223.2000000000007</v>
      </c>
      <c r="B421">
        <v>122.405069</v>
      </c>
      <c r="C421">
        <v>125.25709000000001</v>
      </c>
      <c r="D421">
        <v>128.309619</v>
      </c>
      <c r="E421">
        <v>92.584514999999996</v>
      </c>
      <c r="F421">
        <v>67.924751999999998</v>
      </c>
      <c r="G421">
        <v>49.951932999999997</v>
      </c>
      <c r="H421">
        <v>51.561948999999998</v>
      </c>
      <c r="I421"/>
      <c r="N421"/>
      <c r="O421"/>
      <c r="P421" s="1">
        <f t="shared" si="43"/>
        <v>125.1717774390244</v>
      </c>
      <c r="Q421" s="1">
        <f t="shared" si="44"/>
        <v>128.08579979674798</v>
      </c>
      <c r="R421" s="1">
        <f t="shared" si="45"/>
        <v>131.62274191903742</v>
      </c>
      <c r="S421" s="1">
        <f t="shared" si="46"/>
        <v>95.577517389525369</v>
      </c>
    </row>
    <row r="422" spans="1:19" x14ac:dyDescent="0.3">
      <c r="A422">
        <v>8223.4</v>
      </c>
      <c r="B422">
        <v>122.405069</v>
      </c>
      <c r="C422">
        <v>125.25709000000001</v>
      </c>
      <c r="D422">
        <v>128.309619</v>
      </c>
      <c r="E422">
        <v>92.584514999999996</v>
      </c>
      <c r="F422">
        <v>67.924751999999998</v>
      </c>
      <c r="G422">
        <v>49.951932999999997</v>
      </c>
      <c r="H422">
        <v>51.561948999999998</v>
      </c>
      <c r="I422"/>
      <c r="N422"/>
      <c r="O422"/>
      <c r="P422" s="1">
        <f t="shared" si="43"/>
        <v>125.1717774390244</v>
      </c>
      <c r="Q422" s="1">
        <f t="shared" si="44"/>
        <v>128.08579979674798</v>
      </c>
      <c r="R422" s="1">
        <f t="shared" si="45"/>
        <v>131.62274191903742</v>
      </c>
      <c r="S422" s="1">
        <f t="shared" si="46"/>
        <v>95.577517389525369</v>
      </c>
    </row>
    <row r="423" spans="1:19" x14ac:dyDescent="0.3">
      <c r="A423">
        <v>8223.6</v>
      </c>
      <c r="B423">
        <v>122.394837</v>
      </c>
      <c r="C423">
        <v>125.247511</v>
      </c>
      <c r="D423">
        <v>128.282825</v>
      </c>
      <c r="E423">
        <v>92.484795000000005</v>
      </c>
      <c r="F423">
        <v>67.432015000000007</v>
      </c>
      <c r="G423">
        <v>49.967965</v>
      </c>
      <c r="H423">
        <v>51.568728999999998</v>
      </c>
      <c r="I423"/>
      <c r="N423"/>
      <c r="O423"/>
      <c r="P423" s="1">
        <f t="shared" si="43"/>
        <v>125.16187499999999</v>
      </c>
      <c r="Q423" s="1">
        <f t="shared" si="44"/>
        <v>128.05967378048783</v>
      </c>
      <c r="R423" s="1">
        <f t="shared" si="45"/>
        <v>131.63672274905679</v>
      </c>
      <c r="S423" s="1">
        <f t="shared" si="46"/>
        <v>95.732450900163656</v>
      </c>
    </row>
    <row r="424" spans="1:19" x14ac:dyDescent="0.3">
      <c r="A424">
        <v>8223.7999999999993</v>
      </c>
      <c r="B424">
        <v>122.394837</v>
      </c>
      <c r="C424">
        <v>125.247511</v>
      </c>
      <c r="D424">
        <v>128.282825</v>
      </c>
      <c r="E424">
        <v>92.484795000000005</v>
      </c>
      <c r="F424">
        <v>67.432015000000007</v>
      </c>
      <c r="G424">
        <v>49.967965</v>
      </c>
      <c r="H424">
        <v>51.568728999999998</v>
      </c>
      <c r="I424"/>
      <c r="N424"/>
      <c r="O424"/>
      <c r="P424" s="1">
        <f t="shared" si="43"/>
        <v>125.16187499999999</v>
      </c>
      <c r="Q424" s="1">
        <f t="shared" si="44"/>
        <v>128.05967378048783</v>
      </c>
      <c r="R424" s="1">
        <f t="shared" si="45"/>
        <v>131.63672274905679</v>
      </c>
      <c r="S424" s="1">
        <f t="shared" si="46"/>
        <v>95.732450900163656</v>
      </c>
    </row>
    <row r="425" spans="1:19" x14ac:dyDescent="0.3">
      <c r="A425">
        <v>8728</v>
      </c>
      <c r="B425">
        <v>129.24057099999999</v>
      </c>
      <c r="C425">
        <v>132.64148900000001</v>
      </c>
      <c r="D425">
        <v>136.20065</v>
      </c>
      <c r="E425">
        <v>94.065577000000005</v>
      </c>
      <c r="F425">
        <v>68.738630000000001</v>
      </c>
      <c r="G425">
        <v>50.019799999999996</v>
      </c>
      <c r="H425">
        <v>51.921523999999998</v>
      </c>
      <c r="I425" t="s">
        <v>56</v>
      </c>
      <c r="N425"/>
      <c r="O425"/>
      <c r="P425" s="1">
        <f t="shared" si="43"/>
        <v>125.1657774390244</v>
      </c>
      <c r="Q425" s="1">
        <f t="shared" si="44"/>
        <v>128.07226930894311</v>
      </c>
      <c r="R425" s="1">
        <f t="shared" si="45"/>
        <v>131.63641786479047</v>
      </c>
      <c r="S425" s="1">
        <f t="shared" si="46"/>
        <v>95.702710720130938</v>
      </c>
    </row>
    <row r="426" spans="1:19" x14ac:dyDescent="0.3">
      <c r="A426">
        <v>8728.2000000000007</v>
      </c>
      <c r="B426">
        <v>129.24057099999999</v>
      </c>
      <c r="C426">
        <v>132.64148900000001</v>
      </c>
      <c r="D426">
        <v>136.20065</v>
      </c>
      <c r="E426">
        <v>94.065577000000005</v>
      </c>
      <c r="F426">
        <v>68.738630000000001</v>
      </c>
      <c r="G426">
        <v>50.006402999999999</v>
      </c>
      <c r="H426">
        <v>51.920147</v>
      </c>
      <c r="I426"/>
      <c r="N426"/>
      <c r="O426"/>
      <c r="P426" s="1">
        <f t="shared" si="43"/>
        <v>125.1657774390244</v>
      </c>
      <c r="Q426" s="1">
        <f t="shared" si="44"/>
        <v>128.07226930894311</v>
      </c>
      <c r="R426" s="1">
        <f t="shared" si="45"/>
        <v>131.63641786479047</v>
      </c>
      <c r="S426" s="1">
        <f t="shared" si="46"/>
        <v>95.702710720130938</v>
      </c>
    </row>
    <row r="427" spans="1:19" x14ac:dyDescent="0.3">
      <c r="A427">
        <v>8728.4</v>
      </c>
      <c r="B427">
        <v>129.26127199999999</v>
      </c>
      <c r="C427">
        <v>132.62449599999999</v>
      </c>
      <c r="D427">
        <v>136.21974900000001</v>
      </c>
      <c r="E427">
        <v>94.136376999999996</v>
      </c>
      <c r="F427">
        <v>68.569451999999998</v>
      </c>
      <c r="G427">
        <v>50.006402999999999</v>
      </c>
      <c r="H427">
        <v>51.920147</v>
      </c>
      <c r="I427"/>
      <c r="N427"/>
      <c r="O427"/>
      <c r="P427" s="1">
        <f t="shared" si="43"/>
        <v>125.15798170731708</v>
      </c>
      <c r="Q427" s="1">
        <f t="shared" si="44"/>
        <v>128.06913516260164</v>
      </c>
      <c r="R427" s="1">
        <f t="shared" si="45"/>
        <v>131.64289894972978</v>
      </c>
      <c r="S427" s="1">
        <f t="shared" si="46"/>
        <v>95.647426350245496</v>
      </c>
    </row>
    <row r="428" spans="1:19" x14ac:dyDescent="0.3">
      <c r="A428">
        <v>8728.6</v>
      </c>
      <c r="B428">
        <v>129.26127199999999</v>
      </c>
      <c r="C428">
        <v>132.62449599999999</v>
      </c>
      <c r="D428">
        <v>136.21974900000001</v>
      </c>
      <c r="E428">
        <v>94.136376999999996</v>
      </c>
      <c r="F428">
        <v>68.569451999999998</v>
      </c>
      <c r="G428">
        <v>50.017671</v>
      </c>
      <c r="H428">
        <v>51.922167999999999</v>
      </c>
      <c r="I428"/>
      <c r="N428"/>
      <c r="O428"/>
      <c r="P428" s="1">
        <f t="shared" ref="P428:P491" si="47">(B410+Q$36)/P$36</f>
        <v>125.15798170731708</v>
      </c>
      <c r="Q428" s="1">
        <f t="shared" ref="Q428:Q491" si="48">(C410+Q$36)/P$36</f>
        <v>128.06913516260164</v>
      </c>
      <c r="R428" s="1">
        <f t="shared" ref="R428:R491" si="49">(D410+Q$38)/P$38</f>
        <v>131.64289894972978</v>
      </c>
      <c r="S428" s="1">
        <f t="shared" ref="S428:S491" si="50">(E410+Q$39)/P$39</f>
        <v>95.647426350245496</v>
      </c>
    </row>
    <row r="429" spans="1:19" x14ac:dyDescent="0.3">
      <c r="A429">
        <v>8728.7999999999993</v>
      </c>
      <c r="B429">
        <v>129.234701</v>
      </c>
      <c r="C429">
        <v>132.608709</v>
      </c>
      <c r="D429">
        <v>136.213718</v>
      </c>
      <c r="E429">
        <v>94.278101000000007</v>
      </c>
      <c r="F429">
        <v>68.279186999999993</v>
      </c>
      <c r="G429">
        <v>50.017671</v>
      </c>
      <c r="H429">
        <v>51.922167999999999</v>
      </c>
      <c r="I429"/>
      <c r="N429"/>
      <c r="O429"/>
      <c r="P429" s="1">
        <f t="shared" si="47"/>
        <v>125.19161585365855</v>
      </c>
      <c r="Q429" s="1">
        <f t="shared" si="48"/>
        <v>128.0789756097561</v>
      </c>
      <c r="R429" s="1">
        <f t="shared" si="49"/>
        <v>131.62506576934845</v>
      </c>
      <c r="S429" s="1">
        <f t="shared" si="50"/>
        <v>95.647184942716862</v>
      </c>
    </row>
    <row r="430" spans="1:19" x14ac:dyDescent="0.3">
      <c r="A430">
        <v>8729</v>
      </c>
      <c r="B430">
        <v>129.234701</v>
      </c>
      <c r="C430">
        <v>132.608709</v>
      </c>
      <c r="D430">
        <v>136.213718</v>
      </c>
      <c r="E430">
        <v>94.278101000000007</v>
      </c>
      <c r="F430">
        <v>68.279186999999993</v>
      </c>
      <c r="G430">
        <v>49.997445999999997</v>
      </c>
      <c r="H430">
        <v>51.918125000000003</v>
      </c>
      <c r="I430" t="s">
        <v>56</v>
      </c>
      <c r="N430"/>
      <c r="O430"/>
      <c r="P430" s="1">
        <f t="shared" si="47"/>
        <v>125.19161585365855</v>
      </c>
      <c r="Q430" s="1">
        <f t="shared" si="48"/>
        <v>128.0789756097561</v>
      </c>
      <c r="R430" s="1">
        <f t="shared" si="49"/>
        <v>131.62506576934845</v>
      </c>
      <c r="S430" s="1">
        <f t="shared" si="50"/>
        <v>95.647184942716862</v>
      </c>
    </row>
    <row r="431" spans="1:19" x14ac:dyDescent="0.3">
      <c r="A431">
        <v>8729.2000000000007</v>
      </c>
      <c r="B431">
        <v>129.251577</v>
      </c>
      <c r="C431">
        <v>132.605954</v>
      </c>
      <c r="D431">
        <v>136.20935499999999</v>
      </c>
      <c r="E431">
        <v>94.253826000000004</v>
      </c>
      <c r="F431">
        <v>68.828935000000001</v>
      </c>
      <c r="G431">
        <v>49.997445999999997</v>
      </c>
      <c r="H431">
        <v>51.918125000000003</v>
      </c>
      <c r="I431"/>
      <c r="N431"/>
      <c r="O431"/>
      <c r="P431" s="1">
        <f t="shared" si="47"/>
        <v>125.1548861788618</v>
      </c>
      <c r="Q431" s="1">
        <f t="shared" si="48"/>
        <v>128.08784044715449</v>
      </c>
      <c r="R431" s="1">
        <f t="shared" si="49"/>
        <v>131.65409605383911</v>
      </c>
      <c r="S431" s="1">
        <f t="shared" si="50"/>
        <v>95.678877864157116</v>
      </c>
    </row>
    <row r="432" spans="1:19" x14ac:dyDescent="0.3">
      <c r="A432">
        <v>8729.4</v>
      </c>
      <c r="B432">
        <v>129.251577</v>
      </c>
      <c r="C432">
        <v>132.605954</v>
      </c>
      <c r="D432">
        <v>136.20935499999999</v>
      </c>
      <c r="E432">
        <v>94.253826000000004</v>
      </c>
      <c r="F432">
        <v>68.828935000000001</v>
      </c>
      <c r="G432">
        <v>50.025222999999997</v>
      </c>
      <c r="H432">
        <v>51.910322000000001</v>
      </c>
      <c r="I432"/>
      <c r="N432"/>
      <c r="O432"/>
      <c r="P432" s="1">
        <f t="shared" si="47"/>
        <v>125.1548861788618</v>
      </c>
      <c r="Q432" s="1">
        <f t="shared" si="48"/>
        <v>128.08784044715449</v>
      </c>
      <c r="R432" s="1">
        <f t="shared" si="49"/>
        <v>131.65409605383911</v>
      </c>
      <c r="S432" s="1">
        <f t="shared" si="50"/>
        <v>95.678877864157116</v>
      </c>
    </row>
    <row r="433" spans="1:19" x14ac:dyDescent="0.3">
      <c r="A433">
        <v>8729.6</v>
      </c>
      <c r="B433">
        <v>129.25021799999999</v>
      </c>
      <c r="C433">
        <v>132.61200600000001</v>
      </c>
      <c r="D433">
        <v>136.21284600000001</v>
      </c>
      <c r="E433">
        <v>94.294352000000003</v>
      </c>
      <c r="F433">
        <v>68.448610000000002</v>
      </c>
      <c r="G433">
        <v>50.025222999999997</v>
      </c>
      <c r="H433">
        <v>51.910322000000001</v>
      </c>
      <c r="I433"/>
      <c r="N433"/>
      <c r="O433"/>
      <c r="P433" s="1">
        <f t="shared" si="47"/>
        <v>125.17390040650407</v>
      </c>
      <c r="Q433" s="1">
        <f t="shared" si="48"/>
        <v>128.08722662601625</v>
      </c>
      <c r="R433" s="1">
        <f t="shared" si="49"/>
        <v>131.64011522381975</v>
      </c>
      <c r="S433" s="1">
        <f t="shared" si="50"/>
        <v>95.617786415711947</v>
      </c>
    </row>
    <row r="434" spans="1:19" x14ac:dyDescent="0.3">
      <c r="A434">
        <v>8729.7999999999993</v>
      </c>
      <c r="B434">
        <v>129.25021799999999</v>
      </c>
      <c r="C434">
        <v>132.61200600000001</v>
      </c>
      <c r="D434">
        <v>136.21284600000001</v>
      </c>
      <c r="E434">
        <v>94.294352000000003</v>
      </c>
      <c r="F434">
        <v>68.448610000000002</v>
      </c>
      <c r="G434">
        <v>49.987783999999998</v>
      </c>
      <c r="H434">
        <v>51.905706000000002</v>
      </c>
      <c r="I434"/>
      <c r="N434"/>
      <c r="O434"/>
      <c r="P434" s="1">
        <f t="shared" si="47"/>
        <v>125.17390040650407</v>
      </c>
      <c r="Q434" s="1">
        <f t="shared" si="48"/>
        <v>128.08722662601625</v>
      </c>
      <c r="R434" s="1">
        <f t="shared" si="49"/>
        <v>131.64011522381975</v>
      </c>
      <c r="S434" s="1">
        <f t="shared" si="50"/>
        <v>95.617786415711947</v>
      </c>
    </row>
    <row r="435" spans="1:19" x14ac:dyDescent="0.3">
      <c r="A435">
        <v>8730</v>
      </c>
      <c r="B435">
        <v>129.238552</v>
      </c>
      <c r="C435">
        <v>132.615589</v>
      </c>
      <c r="D435">
        <v>136.20394400000001</v>
      </c>
      <c r="E435">
        <v>94.399985999999998</v>
      </c>
      <c r="F435">
        <v>69.624565000000004</v>
      </c>
      <c r="G435">
        <v>49.987783999999998</v>
      </c>
      <c r="H435">
        <v>51.905706000000002</v>
      </c>
      <c r="I435" t="s">
        <v>56</v>
      </c>
      <c r="N435"/>
      <c r="O435"/>
      <c r="P435" s="1">
        <f t="shared" si="47"/>
        <v>125.17704065040651</v>
      </c>
      <c r="Q435" s="1">
        <f t="shared" si="48"/>
        <v>128.09178658536587</v>
      </c>
      <c r="R435" s="1">
        <f t="shared" si="49"/>
        <v>131.6627307025594</v>
      </c>
      <c r="S435" s="1">
        <f t="shared" si="50"/>
        <v>95.636056669394435</v>
      </c>
    </row>
    <row r="436" spans="1:19" x14ac:dyDescent="0.3">
      <c r="A436">
        <v>8730.2000000000007</v>
      </c>
      <c r="B436">
        <v>129.238552</v>
      </c>
      <c r="C436">
        <v>132.615589</v>
      </c>
      <c r="D436">
        <v>136.20394400000001</v>
      </c>
      <c r="E436">
        <v>94.399985999999998</v>
      </c>
      <c r="F436">
        <v>69.624565000000004</v>
      </c>
      <c r="G436">
        <v>50.011532000000003</v>
      </c>
      <c r="H436">
        <v>51.895955000000001</v>
      </c>
      <c r="I436"/>
      <c r="N436"/>
      <c r="O436"/>
      <c r="P436" s="1">
        <f t="shared" si="47"/>
        <v>125.17704065040651</v>
      </c>
      <c r="Q436" s="1">
        <f t="shared" si="48"/>
        <v>128.09178658536587</v>
      </c>
      <c r="R436" s="1">
        <f t="shared" si="49"/>
        <v>131.6627307025594</v>
      </c>
      <c r="S436" s="1">
        <f t="shared" si="50"/>
        <v>95.636056669394435</v>
      </c>
    </row>
    <row r="437" spans="1:19" x14ac:dyDescent="0.3">
      <c r="A437">
        <v>8730.4</v>
      </c>
      <c r="B437">
        <v>129.24114900000001</v>
      </c>
      <c r="C437">
        <v>132.62839500000001</v>
      </c>
      <c r="D437">
        <v>136.20885200000001</v>
      </c>
      <c r="E437">
        <v>94.502651999999998</v>
      </c>
      <c r="F437">
        <v>68.914165999999994</v>
      </c>
      <c r="G437">
        <v>50.011532000000003</v>
      </c>
      <c r="H437">
        <v>51.895955000000001</v>
      </c>
      <c r="I437"/>
      <c r="N437"/>
      <c r="O437"/>
      <c r="P437" s="1">
        <f t="shared" si="47"/>
        <v>125.18865955284554</v>
      </c>
      <c r="Q437" s="1">
        <f t="shared" si="48"/>
        <v>128.09946341463416</v>
      </c>
      <c r="R437" s="1">
        <f t="shared" si="49"/>
        <v>131.63827878046294</v>
      </c>
      <c r="S437" s="1">
        <f t="shared" si="50"/>
        <v>95.650024549918157</v>
      </c>
    </row>
    <row r="438" spans="1:19" x14ac:dyDescent="0.3">
      <c r="A438">
        <v>8730.6</v>
      </c>
      <c r="B438">
        <v>129.24114900000001</v>
      </c>
      <c r="C438">
        <v>132.62839500000001</v>
      </c>
      <c r="D438">
        <v>136.20885200000001</v>
      </c>
      <c r="E438">
        <v>94.502651999999998</v>
      </c>
      <c r="F438">
        <v>68.914165999999994</v>
      </c>
      <c r="G438">
        <v>50.034533000000003</v>
      </c>
      <c r="H438">
        <v>51.924005999999999</v>
      </c>
      <c r="I438"/>
      <c r="N438"/>
      <c r="O438"/>
      <c r="P438" s="1">
        <f t="shared" si="47"/>
        <v>125.18865955284554</v>
      </c>
      <c r="Q438" s="1">
        <f t="shared" si="48"/>
        <v>128.09946341463416</v>
      </c>
      <c r="R438" s="1">
        <f t="shared" si="49"/>
        <v>131.63827878046294</v>
      </c>
      <c r="S438" s="1">
        <f t="shared" si="50"/>
        <v>95.650024549918157</v>
      </c>
    </row>
    <row r="439" spans="1:19" x14ac:dyDescent="0.3">
      <c r="A439">
        <v>8730.7999999999993</v>
      </c>
      <c r="B439">
        <v>129.258095</v>
      </c>
      <c r="C439">
        <v>132.636371</v>
      </c>
      <c r="D439">
        <v>136.201325</v>
      </c>
      <c r="E439">
        <v>94.379209000000003</v>
      </c>
      <c r="F439">
        <v>68.651562999999996</v>
      </c>
      <c r="G439">
        <v>50.034533000000003</v>
      </c>
      <c r="H439">
        <v>51.924005999999999</v>
      </c>
      <c r="I439"/>
      <c r="N439"/>
      <c r="O439"/>
      <c r="P439" s="1">
        <f t="shared" si="47"/>
        <v>125.19468394308943</v>
      </c>
      <c r="Q439" s="1">
        <f t="shared" si="48"/>
        <v>128.09307926829268</v>
      </c>
      <c r="R439" s="1">
        <f t="shared" si="49"/>
        <v>131.66097583358825</v>
      </c>
      <c r="S439" s="1">
        <f t="shared" si="50"/>
        <v>95.65089504909983</v>
      </c>
    </row>
    <row r="440" spans="1:19" x14ac:dyDescent="0.3">
      <c r="A440">
        <v>8731</v>
      </c>
      <c r="B440">
        <v>129.258095</v>
      </c>
      <c r="C440">
        <v>132.636371</v>
      </c>
      <c r="D440">
        <v>136.201325</v>
      </c>
      <c r="E440">
        <v>94.379209000000003</v>
      </c>
      <c r="F440">
        <v>68.651562999999996</v>
      </c>
      <c r="G440">
        <v>50.028849999999998</v>
      </c>
      <c r="H440">
        <v>51.912790999999999</v>
      </c>
      <c r="I440" t="s">
        <v>56</v>
      </c>
      <c r="N440"/>
      <c r="O440"/>
      <c r="P440" s="1">
        <f t="shared" si="47"/>
        <v>125.19468394308943</v>
      </c>
      <c r="Q440" s="1">
        <f t="shared" si="48"/>
        <v>128.09307926829268</v>
      </c>
      <c r="R440" s="1">
        <f t="shared" si="49"/>
        <v>131.66097583358825</v>
      </c>
      <c r="S440" s="1">
        <f t="shared" si="50"/>
        <v>95.65089504909983</v>
      </c>
    </row>
    <row r="441" spans="1:19" x14ac:dyDescent="0.3">
      <c r="A441">
        <v>8731.2000000000007</v>
      </c>
      <c r="B441">
        <v>129.24637200000001</v>
      </c>
      <c r="C441">
        <v>132.61950100000001</v>
      </c>
      <c r="D441">
        <v>136.17642799999999</v>
      </c>
      <c r="E441">
        <v>94.430785999999998</v>
      </c>
      <c r="F441">
        <v>69.678567000000001</v>
      </c>
      <c r="G441">
        <v>50.028849999999998</v>
      </c>
      <c r="H441">
        <v>51.912790999999999</v>
      </c>
      <c r="I441"/>
      <c r="N441"/>
      <c r="O441"/>
      <c r="P441" s="1">
        <f t="shared" si="47"/>
        <v>125.1842855691057</v>
      </c>
      <c r="Q441" s="1">
        <f t="shared" si="48"/>
        <v>128.08334451219514</v>
      </c>
      <c r="R441" s="1">
        <f t="shared" si="49"/>
        <v>131.63365453247681</v>
      </c>
      <c r="S441" s="1">
        <f t="shared" si="50"/>
        <v>95.54889013911621</v>
      </c>
    </row>
    <row r="442" spans="1:19" x14ac:dyDescent="0.3">
      <c r="A442">
        <v>8731.4</v>
      </c>
      <c r="B442">
        <v>129.24637200000001</v>
      </c>
      <c r="C442">
        <v>132.61950100000001</v>
      </c>
      <c r="D442">
        <v>136.17642799999999</v>
      </c>
      <c r="E442">
        <v>94.430785999999998</v>
      </c>
      <c r="F442">
        <v>69.678567000000001</v>
      </c>
      <c r="G442">
        <v>49.996827000000003</v>
      </c>
      <c r="H442">
        <v>51.934587999999998</v>
      </c>
      <c r="I442"/>
      <c r="N442"/>
      <c r="O442"/>
      <c r="P442" s="1">
        <f t="shared" si="47"/>
        <v>125.1842855691057</v>
      </c>
      <c r="Q442" s="1">
        <f t="shared" si="48"/>
        <v>128.08334451219514</v>
      </c>
      <c r="R442" s="1">
        <f t="shared" si="49"/>
        <v>131.63365453247681</v>
      </c>
      <c r="S442" s="1">
        <f t="shared" si="50"/>
        <v>95.54889013911621</v>
      </c>
    </row>
    <row r="443" spans="1:19" x14ac:dyDescent="0.3">
      <c r="A443">
        <v>8731.6</v>
      </c>
      <c r="B443">
        <v>129.24561199999999</v>
      </c>
      <c r="C443">
        <v>132.62036000000001</v>
      </c>
      <c r="D443">
        <v>136.212625</v>
      </c>
      <c r="E443">
        <v>94.437246000000002</v>
      </c>
      <c r="F443">
        <v>69.119960000000006</v>
      </c>
      <c r="G443">
        <v>49.996827000000003</v>
      </c>
      <c r="H443">
        <v>51.934587999999998</v>
      </c>
      <c r="I443"/>
      <c r="N443"/>
      <c r="O443"/>
      <c r="P443" s="1">
        <f t="shared" si="47"/>
        <v>132.14133231707316</v>
      </c>
      <c r="Q443" s="1">
        <f t="shared" si="48"/>
        <v>135.59754979674796</v>
      </c>
      <c r="R443" s="1">
        <f t="shared" si="49"/>
        <v>139.70730090751505</v>
      </c>
      <c r="S443" s="1">
        <f t="shared" si="50"/>
        <v>97.165893003273325</v>
      </c>
    </row>
    <row r="444" spans="1:19" x14ac:dyDescent="0.3">
      <c r="A444">
        <v>8731.7999999999993</v>
      </c>
      <c r="B444">
        <v>129.24561199999999</v>
      </c>
      <c r="C444">
        <v>132.62036000000001</v>
      </c>
      <c r="D444">
        <v>136.212625</v>
      </c>
      <c r="E444">
        <v>94.437246000000002</v>
      </c>
      <c r="F444">
        <v>69.119960000000006</v>
      </c>
      <c r="G444">
        <v>50.037213999999999</v>
      </c>
      <c r="H444">
        <v>51.933377999999998</v>
      </c>
      <c r="I444"/>
      <c r="N444"/>
      <c r="O444"/>
      <c r="P444" s="1">
        <f t="shared" si="47"/>
        <v>132.14133231707316</v>
      </c>
      <c r="Q444" s="1">
        <f t="shared" si="48"/>
        <v>135.59754979674796</v>
      </c>
      <c r="R444" s="1">
        <f t="shared" si="49"/>
        <v>139.70730090751505</v>
      </c>
      <c r="S444" s="1">
        <f t="shared" si="50"/>
        <v>97.165893003273325</v>
      </c>
    </row>
    <row r="445" spans="1:19" x14ac:dyDescent="0.3">
      <c r="A445">
        <v>8732</v>
      </c>
      <c r="B445">
        <v>129.253953</v>
      </c>
      <c r="C445">
        <v>132.62549000000001</v>
      </c>
      <c r="D445">
        <v>136.20457200000001</v>
      </c>
      <c r="E445">
        <v>94.528411000000006</v>
      </c>
      <c r="F445">
        <v>68.656118000000006</v>
      </c>
      <c r="G445">
        <v>50.037213999999999</v>
      </c>
      <c r="H445">
        <v>51.933377999999998</v>
      </c>
      <c r="I445" t="s">
        <v>56</v>
      </c>
      <c r="N445"/>
      <c r="O445"/>
      <c r="P445" s="1">
        <f t="shared" si="47"/>
        <v>132.16236991869917</v>
      </c>
      <c r="Q445" s="1">
        <f t="shared" si="48"/>
        <v>135.58028048780486</v>
      </c>
      <c r="R445" s="1">
        <f t="shared" si="49"/>
        <v>139.72677577240748</v>
      </c>
      <c r="S445" s="1">
        <f t="shared" si="50"/>
        <v>97.238315261865793</v>
      </c>
    </row>
    <row r="446" spans="1:19" x14ac:dyDescent="0.3">
      <c r="A446">
        <v>8732.2000000000007</v>
      </c>
      <c r="B446">
        <v>129.253953</v>
      </c>
      <c r="C446">
        <v>132.62549000000001</v>
      </c>
      <c r="D446">
        <v>136.20457200000001</v>
      </c>
      <c r="E446">
        <v>94.528411000000006</v>
      </c>
      <c r="F446">
        <v>68.656118000000006</v>
      </c>
      <c r="G446">
        <v>50.037846000000002</v>
      </c>
      <c r="H446">
        <v>51.946241999999998</v>
      </c>
      <c r="I446"/>
      <c r="N446"/>
      <c r="O446"/>
      <c r="P446" s="1">
        <f t="shared" si="47"/>
        <v>132.16236991869917</v>
      </c>
      <c r="Q446" s="1">
        <f t="shared" si="48"/>
        <v>135.58028048780486</v>
      </c>
      <c r="R446" s="1">
        <f t="shared" si="49"/>
        <v>139.72677577240748</v>
      </c>
      <c r="S446" s="1">
        <f t="shared" si="50"/>
        <v>97.238315261865793</v>
      </c>
    </row>
    <row r="447" spans="1:19" x14ac:dyDescent="0.3">
      <c r="A447">
        <v>8732.4</v>
      </c>
      <c r="B447">
        <v>129.26486700000001</v>
      </c>
      <c r="C447">
        <v>132.62439699999999</v>
      </c>
      <c r="D447">
        <v>136.20117200000001</v>
      </c>
      <c r="E447">
        <v>94.505972</v>
      </c>
      <c r="F447">
        <v>69.559999000000005</v>
      </c>
      <c r="G447">
        <v>50.037846000000002</v>
      </c>
      <c r="H447">
        <v>51.946241999999998</v>
      </c>
      <c r="I447"/>
      <c r="N447"/>
      <c r="O447"/>
      <c r="P447" s="1">
        <f t="shared" si="47"/>
        <v>132.1353668699187</v>
      </c>
      <c r="Q447" s="1">
        <f t="shared" si="48"/>
        <v>135.56423678861788</v>
      </c>
      <c r="R447" s="1">
        <f t="shared" si="49"/>
        <v>139.72062608340983</v>
      </c>
      <c r="S447" s="1">
        <f t="shared" si="50"/>
        <v>97.383286620294598</v>
      </c>
    </row>
    <row r="448" spans="1:19" x14ac:dyDescent="0.3">
      <c r="A448">
        <v>8732.6</v>
      </c>
      <c r="B448">
        <v>129.26486700000001</v>
      </c>
      <c r="C448">
        <v>132.62439699999999</v>
      </c>
      <c r="D448">
        <v>136.20117200000001</v>
      </c>
      <c r="E448">
        <v>94.505972</v>
      </c>
      <c r="F448">
        <v>69.559999000000005</v>
      </c>
      <c r="G448">
        <v>50.015093999999998</v>
      </c>
      <c r="H448">
        <v>51.936213000000002</v>
      </c>
      <c r="I448"/>
      <c r="N448"/>
      <c r="O448"/>
      <c r="P448" s="1">
        <f t="shared" si="47"/>
        <v>132.1353668699187</v>
      </c>
      <c r="Q448" s="1">
        <f t="shared" si="48"/>
        <v>135.56423678861788</v>
      </c>
      <c r="R448" s="1">
        <f t="shared" si="49"/>
        <v>139.72062608340983</v>
      </c>
      <c r="S448" s="1">
        <f t="shared" si="50"/>
        <v>97.383286620294598</v>
      </c>
    </row>
    <row r="449" spans="1:19" x14ac:dyDescent="0.3">
      <c r="A449">
        <v>8732.7999999999993</v>
      </c>
      <c r="B449">
        <v>129.252285</v>
      </c>
      <c r="C449">
        <v>132.62682899999999</v>
      </c>
      <c r="D449">
        <v>136.194356</v>
      </c>
      <c r="E449">
        <v>94.287142000000003</v>
      </c>
      <c r="F449">
        <v>69.427336999999994</v>
      </c>
      <c r="G449">
        <v>50.015093999999998</v>
      </c>
      <c r="H449">
        <v>51.936213000000002</v>
      </c>
      <c r="I449"/>
      <c r="N449"/>
      <c r="O449"/>
      <c r="P449" s="1">
        <f t="shared" si="47"/>
        <v>132.15251727642274</v>
      </c>
      <c r="Q449" s="1">
        <f t="shared" si="48"/>
        <v>135.5614369918699</v>
      </c>
      <c r="R449" s="1">
        <f t="shared" si="49"/>
        <v>139.71617722035282</v>
      </c>
      <c r="S449" s="1">
        <f t="shared" si="50"/>
        <v>97.358455400981995</v>
      </c>
    </row>
    <row r="450" spans="1:19" x14ac:dyDescent="0.3">
      <c r="A450">
        <v>8733</v>
      </c>
      <c r="B450">
        <v>129.252285</v>
      </c>
      <c r="C450">
        <v>132.62682899999999</v>
      </c>
      <c r="D450">
        <v>136.194356</v>
      </c>
      <c r="E450">
        <v>94.287142000000003</v>
      </c>
      <c r="F450">
        <v>69.427336999999994</v>
      </c>
      <c r="G450">
        <v>50.028348999999999</v>
      </c>
      <c r="H450">
        <v>51.939064999999999</v>
      </c>
      <c r="I450" t="s">
        <v>56</v>
      </c>
      <c r="N450"/>
      <c r="O450"/>
      <c r="P450" s="1">
        <f t="shared" si="47"/>
        <v>132.15251727642274</v>
      </c>
      <c r="Q450" s="1">
        <f t="shared" si="48"/>
        <v>135.5614369918699</v>
      </c>
      <c r="R450" s="1">
        <f t="shared" si="49"/>
        <v>139.71617722035282</v>
      </c>
      <c r="S450" s="1">
        <f t="shared" si="50"/>
        <v>97.358455400981995</v>
      </c>
    </row>
    <row r="451" spans="1:19" x14ac:dyDescent="0.3">
      <c r="A451">
        <v>8733.2000000000007</v>
      </c>
      <c r="B451">
        <v>129.26511300000001</v>
      </c>
      <c r="C451">
        <v>132.64759000000001</v>
      </c>
      <c r="D451">
        <v>136.199108</v>
      </c>
      <c r="E451">
        <v>94.376149999999996</v>
      </c>
      <c r="F451">
        <v>67.764561999999998</v>
      </c>
      <c r="G451">
        <v>50.028348999999999</v>
      </c>
      <c r="H451">
        <v>51.939064999999999</v>
      </c>
      <c r="I451"/>
      <c r="N451"/>
      <c r="O451"/>
      <c r="P451" s="1">
        <f t="shared" si="47"/>
        <v>132.15113617886178</v>
      </c>
      <c r="Q451" s="1">
        <f t="shared" si="48"/>
        <v>135.56758739837397</v>
      </c>
      <c r="R451" s="1">
        <f t="shared" si="49"/>
        <v>139.71973692260633</v>
      </c>
      <c r="S451" s="1">
        <f t="shared" si="50"/>
        <v>97.399909983633393</v>
      </c>
    </row>
    <row r="452" spans="1:19" x14ac:dyDescent="0.3">
      <c r="A452">
        <v>8733.4</v>
      </c>
      <c r="B452">
        <v>129.26511300000001</v>
      </c>
      <c r="C452">
        <v>132.64759000000001</v>
      </c>
      <c r="D452">
        <v>136.199108</v>
      </c>
      <c r="E452">
        <v>94.376149999999996</v>
      </c>
      <c r="F452">
        <v>67.764561999999998</v>
      </c>
      <c r="G452">
        <v>50.024742000000003</v>
      </c>
      <c r="H452">
        <v>51.916074000000002</v>
      </c>
      <c r="I452"/>
      <c r="N452"/>
      <c r="O452"/>
      <c r="P452" s="1">
        <f t="shared" si="47"/>
        <v>132.15113617886178</v>
      </c>
      <c r="Q452" s="1">
        <f t="shared" si="48"/>
        <v>135.56758739837397</v>
      </c>
      <c r="R452" s="1">
        <f t="shared" si="49"/>
        <v>139.71973692260633</v>
      </c>
      <c r="S452" s="1">
        <f t="shared" si="50"/>
        <v>97.399909983633393</v>
      </c>
    </row>
    <row r="453" spans="1:19" x14ac:dyDescent="0.3">
      <c r="A453">
        <v>8733.6</v>
      </c>
      <c r="B453">
        <v>129.253004</v>
      </c>
      <c r="C453">
        <v>132.63102699999999</v>
      </c>
      <c r="D453">
        <v>136.21725000000001</v>
      </c>
      <c r="E453">
        <v>94.412948999999998</v>
      </c>
      <c r="F453">
        <v>67.826207999999994</v>
      </c>
      <c r="G453">
        <v>50.024742000000003</v>
      </c>
      <c r="H453">
        <v>51.916074000000002</v>
      </c>
      <c r="I453"/>
      <c r="N453"/>
      <c r="O453"/>
      <c r="P453" s="1">
        <f t="shared" si="47"/>
        <v>132.13928048780485</v>
      </c>
      <c r="Q453" s="1">
        <f t="shared" si="48"/>
        <v>135.57122865853657</v>
      </c>
      <c r="R453" s="1">
        <f t="shared" si="49"/>
        <v>139.71065973284391</v>
      </c>
      <c r="S453" s="1">
        <f t="shared" si="50"/>
        <v>97.507964402618654</v>
      </c>
    </row>
    <row r="454" spans="1:19" x14ac:dyDescent="0.3">
      <c r="A454">
        <v>8733.7999999999993</v>
      </c>
      <c r="B454">
        <v>129.253004</v>
      </c>
      <c r="C454">
        <v>132.63102699999999</v>
      </c>
      <c r="D454">
        <v>136.21725000000001</v>
      </c>
      <c r="E454">
        <v>94.412948999999998</v>
      </c>
      <c r="F454">
        <v>67.826207999999994</v>
      </c>
      <c r="G454">
        <v>50.034188</v>
      </c>
      <c r="H454">
        <v>51.921584000000003</v>
      </c>
      <c r="I454"/>
      <c r="N454"/>
      <c r="O454"/>
      <c r="P454" s="1">
        <f t="shared" si="47"/>
        <v>132.13928048780485</v>
      </c>
      <c r="Q454" s="1">
        <f t="shared" si="48"/>
        <v>135.57122865853657</v>
      </c>
      <c r="R454" s="1">
        <f t="shared" si="49"/>
        <v>139.71065973284391</v>
      </c>
      <c r="S454" s="1">
        <f t="shared" si="50"/>
        <v>97.507964402618654</v>
      </c>
    </row>
    <row r="455" spans="1:19" x14ac:dyDescent="0.3">
      <c r="A455">
        <v>8734</v>
      </c>
      <c r="B455">
        <v>129.251891</v>
      </c>
      <c r="C455">
        <v>132.631764</v>
      </c>
      <c r="D455">
        <v>136.20227700000001</v>
      </c>
      <c r="E455">
        <v>94.347284999999999</v>
      </c>
      <c r="F455">
        <v>69.510794000000004</v>
      </c>
      <c r="G455">
        <v>50.034188</v>
      </c>
      <c r="H455">
        <v>51.921584000000003</v>
      </c>
      <c r="I455" t="s">
        <v>56</v>
      </c>
      <c r="N455"/>
      <c r="O455"/>
      <c r="P455" s="1">
        <f t="shared" si="47"/>
        <v>132.14191971544716</v>
      </c>
      <c r="Q455" s="1">
        <f t="shared" si="48"/>
        <v>135.58424288617886</v>
      </c>
      <c r="R455" s="1">
        <f t="shared" si="49"/>
        <v>139.7156643214031</v>
      </c>
      <c r="S455" s="1">
        <f t="shared" si="50"/>
        <v>97.612982815057279</v>
      </c>
    </row>
    <row r="456" spans="1:19" x14ac:dyDescent="0.3">
      <c r="A456">
        <v>8734.2000000000007</v>
      </c>
      <c r="B456">
        <v>129.251891</v>
      </c>
      <c r="C456">
        <v>132.631764</v>
      </c>
      <c r="D456">
        <v>136.20227700000001</v>
      </c>
      <c r="E456">
        <v>94.347284999999999</v>
      </c>
      <c r="F456">
        <v>69.510794000000004</v>
      </c>
      <c r="G456">
        <v>50.023915000000002</v>
      </c>
      <c r="H456">
        <v>51.933943999999997</v>
      </c>
      <c r="I456"/>
      <c r="N456"/>
      <c r="O456"/>
      <c r="P456" s="1">
        <f t="shared" si="47"/>
        <v>132.14191971544716</v>
      </c>
      <c r="Q456" s="1">
        <f t="shared" si="48"/>
        <v>135.58424288617886</v>
      </c>
      <c r="R456" s="1">
        <f t="shared" si="49"/>
        <v>139.7156643214031</v>
      </c>
      <c r="S456" s="1">
        <f t="shared" si="50"/>
        <v>97.612982815057279</v>
      </c>
    </row>
    <row r="457" spans="1:19" x14ac:dyDescent="0.3">
      <c r="A457">
        <v>8734.4</v>
      </c>
      <c r="B457">
        <v>129.258984</v>
      </c>
      <c r="C457">
        <v>132.64004499999999</v>
      </c>
      <c r="D457">
        <v>136.21745999999999</v>
      </c>
      <c r="E457">
        <v>94.303122000000002</v>
      </c>
      <c r="F457">
        <v>68.074580999999995</v>
      </c>
      <c r="G457">
        <v>50.023915000000002</v>
      </c>
      <c r="H457">
        <v>51.933943999999997</v>
      </c>
      <c r="I457"/>
      <c r="N457"/>
      <c r="O457"/>
      <c r="P457" s="1">
        <f t="shared" si="47"/>
        <v>132.15914126016258</v>
      </c>
      <c r="Q457" s="1">
        <f t="shared" si="48"/>
        <v>135.59234857723575</v>
      </c>
      <c r="R457" s="1">
        <f t="shared" si="49"/>
        <v>139.70798919139392</v>
      </c>
      <c r="S457" s="1">
        <f t="shared" si="50"/>
        <v>97.486711333878887</v>
      </c>
    </row>
    <row r="458" spans="1:19" x14ac:dyDescent="0.3">
      <c r="A458">
        <v>8734.6</v>
      </c>
      <c r="B458">
        <v>129.258984</v>
      </c>
      <c r="C458">
        <v>132.64004499999999</v>
      </c>
      <c r="D458">
        <v>136.21745999999999</v>
      </c>
      <c r="E458">
        <v>94.303122000000002</v>
      </c>
      <c r="F458">
        <v>68.074580999999995</v>
      </c>
      <c r="G458">
        <v>50.010618999999998</v>
      </c>
      <c r="H458">
        <v>51.931050999999997</v>
      </c>
      <c r="I458"/>
      <c r="N458"/>
      <c r="O458"/>
      <c r="P458" s="1">
        <f t="shared" si="47"/>
        <v>132.15914126016258</v>
      </c>
      <c r="Q458" s="1">
        <f t="shared" si="48"/>
        <v>135.59234857723575</v>
      </c>
      <c r="R458" s="1">
        <f t="shared" si="49"/>
        <v>139.70798919139392</v>
      </c>
      <c r="S458" s="1">
        <f t="shared" si="50"/>
        <v>97.486711333878887</v>
      </c>
    </row>
    <row r="459" spans="1:19" x14ac:dyDescent="0.3">
      <c r="A459">
        <v>8734.7999999999993</v>
      </c>
      <c r="B459">
        <v>129.260164</v>
      </c>
      <c r="C459">
        <v>132.62894600000001</v>
      </c>
      <c r="D459">
        <v>136.20662999999999</v>
      </c>
      <c r="E459">
        <v>94.395177000000004</v>
      </c>
      <c r="F459">
        <v>67.348427000000001</v>
      </c>
      <c r="G459">
        <v>50.010618999999998</v>
      </c>
      <c r="H459">
        <v>51.931050999999997</v>
      </c>
      <c r="I459"/>
      <c r="N459"/>
      <c r="O459"/>
      <c r="P459" s="1">
        <f t="shared" si="47"/>
        <v>132.14722764227642</v>
      </c>
      <c r="Q459" s="1">
        <f t="shared" si="48"/>
        <v>135.57520426829268</v>
      </c>
      <c r="R459" s="1">
        <f t="shared" si="49"/>
        <v>139.68260222290201</v>
      </c>
      <c r="S459" s="1">
        <f t="shared" si="50"/>
        <v>97.539470130932898</v>
      </c>
    </row>
    <row r="460" spans="1:19" x14ac:dyDescent="0.3">
      <c r="A460">
        <v>8735</v>
      </c>
      <c r="B460">
        <v>129.260164</v>
      </c>
      <c r="C460">
        <v>132.62894600000001</v>
      </c>
      <c r="D460">
        <v>136.20662999999999</v>
      </c>
      <c r="E460">
        <v>94.395177000000004</v>
      </c>
      <c r="F460">
        <v>67.348427000000001</v>
      </c>
      <c r="G460">
        <v>50.037557</v>
      </c>
      <c r="H460">
        <v>51.935797999999998</v>
      </c>
      <c r="I460" t="s">
        <v>56</v>
      </c>
      <c r="N460"/>
      <c r="O460"/>
      <c r="P460" s="1">
        <f t="shared" si="47"/>
        <v>132.14722764227642</v>
      </c>
      <c r="Q460" s="1">
        <f t="shared" si="48"/>
        <v>135.57520426829268</v>
      </c>
      <c r="R460" s="1">
        <f t="shared" si="49"/>
        <v>139.68260222290201</v>
      </c>
      <c r="S460" s="1">
        <f t="shared" si="50"/>
        <v>97.539470130932898</v>
      </c>
    </row>
    <row r="461" spans="1:19" x14ac:dyDescent="0.3">
      <c r="A461">
        <v>8735.2000000000007</v>
      </c>
      <c r="B461">
        <v>129.26061000000001</v>
      </c>
      <c r="C461">
        <v>132.63889699999999</v>
      </c>
      <c r="D461">
        <v>136.21631500000001</v>
      </c>
      <c r="E461">
        <v>94.367035000000001</v>
      </c>
      <c r="F461">
        <v>67.781397999999996</v>
      </c>
      <c r="G461">
        <v>50.037557</v>
      </c>
      <c r="H461">
        <v>51.935797999999998</v>
      </c>
      <c r="I461"/>
      <c r="N461"/>
      <c r="O461"/>
      <c r="P461" s="1">
        <f t="shared" si="47"/>
        <v>132.14645528455284</v>
      </c>
      <c r="Q461" s="1">
        <f t="shared" si="48"/>
        <v>135.57607723577235</v>
      </c>
      <c r="R461" s="1">
        <f t="shared" si="49"/>
        <v>139.71951157336596</v>
      </c>
      <c r="S461" s="1">
        <f t="shared" si="50"/>
        <v>97.546078150572825</v>
      </c>
    </row>
    <row r="462" spans="1:19" x14ac:dyDescent="0.3">
      <c r="A462">
        <v>8735.4</v>
      </c>
      <c r="B462">
        <v>129.26061000000001</v>
      </c>
      <c r="C462">
        <v>132.63889699999999</v>
      </c>
      <c r="D462">
        <v>136.21631500000001</v>
      </c>
      <c r="E462">
        <v>94.367035000000001</v>
      </c>
      <c r="F462">
        <v>67.781397999999996</v>
      </c>
      <c r="G462">
        <v>50.027026999999997</v>
      </c>
      <c r="H462">
        <v>51.925972999999999</v>
      </c>
      <c r="I462"/>
      <c r="N462"/>
      <c r="O462"/>
      <c r="P462" s="1">
        <f t="shared" si="47"/>
        <v>132.14645528455284</v>
      </c>
      <c r="Q462" s="1">
        <f t="shared" si="48"/>
        <v>135.57607723577235</v>
      </c>
      <c r="R462" s="1">
        <f t="shared" si="49"/>
        <v>139.71951157336596</v>
      </c>
      <c r="S462" s="1">
        <f t="shared" si="50"/>
        <v>97.546078150572825</v>
      </c>
    </row>
    <row r="463" spans="1:19" x14ac:dyDescent="0.3">
      <c r="A463">
        <v>8735.6</v>
      </c>
      <c r="B463">
        <v>129.26189400000001</v>
      </c>
      <c r="C463">
        <v>132.62465700000001</v>
      </c>
      <c r="D463">
        <v>136.21136300000001</v>
      </c>
      <c r="E463">
        <v>94.41104</v>
      </c>
      <c r="F463">
        <v>69.156253000000007</v>
      </c>
      <c r="G463">
        <v>50.027026999999997</v>
      </c>
      <c r="H463">
        <v>51.925972999999999</v>
      </c>
      <c r="I463"/>
      <c r="N463"/>
      <c r="O463"/>
      <c r="P463" s="1">
        <f t="shared" si="47"/>
        <v>132.1549319105691</v>
      </c>
      <c r="Q463" s="1">
        <f t="shared" si="48"/>
        <v>135.58129065040652</v>
      </c>
      <c r="R463" s="1">
        <f t="shared" si="49"/>
        <v>139.71130009177122</v>
      </c>
      <c r="S463" s="1">
        <f t="shared" si="50"/>
        <v>97.639332037643214</v>
      </c>
    </row>
    <row r="464" spans="1:19" x14ac:dyDescent="0.3">
      <c r="A464">
        <v>8735.7999999999993</v>
      </c>
      <c r="B464">
        <v>129.26189400000001</v>
      </c>
      <c r="C464">
        <v>132.62465700000001</v>
      </c>
      <c r="D464">
        <v>136.21136300000001</v>
      </c>
      <c r="E464">
        <v>94.41104</v>
      </c>
      <c r="F464">
        <v>69.156253000000007</v>
      </c>
      <c r="G464">
        <v>50.009698</v>
      </c>
      <c r="H464">
        <v>51.932670999999999</v>
      </c>
      <c r="I464"/>
      <c r="N464"/>
      <c r="P464" s="1">
        <f t="shared" si="47"/>
        <v>132.1549319105691</v>
      </c>
      <c r="Q464" s="1">
        <f t="shared" si="48"/>
        <v>135.58129065040652</v>
      </c>
      <c r="R464" s="1">
        <f t="shared" si="49"/>
        <v>139.71130009177122</v>
      </c>
      <c r="S464" s="1">
        <f t="shared" si="50"/>
        <v>97.639332037643214</v>
      </c>
    </row>
    <row r="465" spans="1:19" x14ac:dyDescent="0.3">
      <c r="A465">
        <v>8736</v>
      </c>
      <c r="B465">
        <v>129.25681800000001</v>
      </c>
      <c r="C465">
        <v>132.65919500000001</v>
      </c>
      <c r="D465">
        <v>136.21829600000001</v>
      </c>
      <c r="E465">
        <v>94.401140999999996</v>
      </c>
      <c r="F465">
        <v>68.907927999999998</v>
      </c>
      <c r="G465">
        <v>50.009698</v>
      </c>
      <c r="H465">
        <v>51.932670999999999</v>
      </c>
      <c r="I465" t="s">
        <v>56</v>
      </c>
      <c r="N465"/>
      <c r="O465" s="26"/>
      <c r="P465" s="1">
        <f t="shared" si="47"/>
        <v>132.16602337398373</v>
      </c>
      <c r="Q465" s="1">
        <f t="shared" si="48"/>
        <v>135.58017987804877</v>
      </c>
      <c r="R465" s="1">
        <f t="shared" si="49"/>
        <v>139.70783318038139</v>
      </c>
      <c r="S465" s="1">
        <f t="shared" si="50"/>
        <v>97.616378887070368</v>
      </c>
    </row>
    <row r="466" spans="1:19" x14ac:dyDescent="0.3">
      <c r="A466">
        <v>8736.2000000000007</v>
      </c>
      <c r="B466">
        <v>129.25681800000001</v>
      </c>
      <c r="C466">
        <v>132.65919500000001</v>
      </c>
      <c r="D466">
        <v>136.21829600000001</v>
      </c>
      <c r="E466">
        <v>94.401140999999996</v>
      </c>
      <c r="F466">
        <v>68.907927999999998</v>
      </c>
      <c r="G466">
        <v>50.035094000000001</v>
      </c>
      <c r="H466">
        <v>51.92295</v>
      </c>
      <c r="I466"/>
      <c r="N466"/>
      <c r="O466" s="26"/>
      <c r="P466" s="1">
        <f t="shared" si="47"/>
        <v>132.16602337398373</v>
      </c>
      <c r="Q466" s="1">
        <f t="shared" si="48"/>
        <v>135.58017987804877</v>
      </c>
      <c r="R466" s="1">
        <f t="shared" si="49"/>
        <v>139.70783318038139</v>
      </c>
      <c r="S466" s="1">
        <f t="shared" si="50"/>
        <v>97.616378887070368</v>
      </c>
    </row>
    <row r="467" spans="1:19" x14ac:dyDescent="0.3">
      <c r="A467">
        <v>8736.4</v>
      </c>
      <c r="B467">
        <v>129.247072</v>
      </c>
      <c r="C467">
        <v>132.63573299999999</v>
      </c>
      <c r="D467">
        <v>136.23903300000001</v>
      </c>
      <c r="E467">
        <v>94.378589000000005</v>
      </c>
      <c r="F467">
        <v>69.070944999999995</v>
      </c>
      <c r="G467">
        <v>50.035094000000001</v>
      </c>
      <c r="H467">
        <v>51.92295</v>
      </c>
      <c r="I467"/>
      <c r="N467"/>
      <c r="O467" s="26"/>
      <c r="P467" s="1">
        <f t="shared" si="47"/>
        <v>132.15323678861787</v>
      </c>
      <c r="Q467" s="1">
        <f t="shared" si="48"/>
        <v>135.5826514227642</v>
      </c>
      <c r="R467" s="1">
        <f t="shared" si="49"/>
        <v>139.7008830427246</v>
      </c>
      <c r="S467" s="1">
        <f t="shared" si="50"/>
        <v>97.392534779050735</v>
      </c>
    </row>
    <row r="468" spans="1:19" x14ac:dyDescent="0.3">
      <c r="A468">
        <v>8736.6</v>
      </c>
      <c r="B468">
        <v>129.247072</v>
      </c>
      <c r="C468">
        <v>132.63573299999999</v>
      </c>
      <c r="D468">
        <v>136.23903300000001</v>
      </c>
      <c r="E468">
        <v>94.378589000000005</v>
      </c>
      <c r="F468">
        <v>69.070944999999995</v>
      </c>
      <c r="G468">
        <v>50.008955999999998</v>
      </c>
      <c r="H468">
        <v>51.945317000000003</v>
      </c>
      <c r="I468"/>
      <c r="N468"/>
      <c r="O468" s="26"/>
      <c r="P468" s="1">
        <f t="shared" si="47"/>
        <v>132.15323678861787</v>
      </c>
      <c r="Q468" s="1">
        <f t="shared" si="48"/>
        <v>135.5826514227642</v>
      </c>
      <c r="R468" s="1">
        <f t="shared" si="49"/>
        <v>139.7008830427246</v>
      </c>
      <c r="S468" s="1">
        <f t="shared" si="50"/>
        <v>97.392534779050735</v>
      </c>
    </row>
    <row r="469" spans="1:19" x14ac:dyDescent="0.3">
      <c r="A469">
        <v>8736.7999999999993</v>
      </c>
      <c r="B469">
        <v>129.27338599999999</v>
      </c>
      <c r="C469">
        <v>132.62159399999999</v>
      </c>
      <c r="D469">
        <v>136.187523</v>
      </c>
      <c r="E469">
        <v>94.297809999999998</v>
      </c>
      <c r="F469">
        <v>69.456073000000004</v>
      </c>
      <c r="G469">
        <v>50.008955999999998</v>
      </c>
      <c r="H469">
        <v>51.945317000000003</v>
      </c>
      <c r="I469"/>
      <c r="N469"/>
      <c r="O469"/>
      <c r="P469" s="1">
        <f t="shared" si="47"/>
        <v>132.16627337398376</v>
      </c>
      <c r="Q469" s="1">
        <f t="shared" si="48"/>
        <v>135.60374999999999</v>
      </c>
      <c r="R469" s="1">
        <f t="shared" si="49"/>
        <v>139.70572856123178</v>
      </c>
      <c r="S469" s="1">
        <f t="shared" si="50"/>
        <v>97.48358224222585</v>
      </c>
    </row>
    <row r="470" spans="1:19" x14ac:dyDescent="0.3">
      <c r="A470">
        <v>8737</v>
      </c>
      <c r="B470">
        <v>129.27338599999999</v>
      </c>
      <c r="C470">
        <v>132.62159399999999</v>
      </c>
      <c r="D470">
        <v>136.187523</v>
      </c>
      <c r="E470">
        <v>94.297809999999998</v>
      </c>
      <c r="F470">
        <v>69.456073000000004</v>
      </c>
      <c r="G470">
        <v>50.023716999999998</v>
      </c>
      <c r="H470">
        <v>51.929361</v>
      </c>
      <c r="I470" t="s">
        <v>56</v>
      </c>
      <c r="N470"/>
      <c r="O470"/>
      <c r="P470" s="1">
        <f t="shared" si="47"/>
        <v>132.16627337398376</v>
      </c>
      <c r="Q470" s="1">
        <f t="shared" si="48"/>
        <v>135.60374999999999</v>
      </c>
      <c r="R470" s="1">
        <f t="shared" si="49"/>
        <v>139.70572856123178</v>
      </c>
      <c r="S470" s="1">
        <f t="shared" si="50"/>
        <v>97.48358224222585</v>
      </c>
    </row>
    <row r="471" spans="1:19" x14ac:dyDescent="0.3">
      <c r="A471">
        <v>8737.2000000000007</v>
      </c>
      <c r="B471">
        <v>129.27182500000001</v>
      </c>
      <c r="C471">
        <v>132.62767500000001</v>
      </c>
      <c r="D471">
        <v>136.23007799999999</v>
      </c>
      <c r="E471">
        <v>94.345564999999993</v>
      </c>
      <c r="F471">
        <v>68.995109999999997</v>
      </c>
      <c r="G471">
        <v>50.023716999999998</v>
      </c>
      <c r="H471">
        <v>51.929361</v>
      </c>
      <c r="I471"/>
      <c r="N471"/>
      <c r="O471"/>
      <c r="P471" s="1">
        <f t="shared" si="47"/>
        <v>132.1539674796748</v>
      </c>
      <c r="Q471" s="1">
        <f t="shared" si="48"/>
        <v>135.58691768292681</v>
      </c>
      <c r="R471" s="1">
        <f t="shared" si="49"/>
        <v>139.72422759253595</v>
      </c>
      <c r="S471" s="1">
        <f t="shared" si="50"/>
        <v>97.521224427168576</v>
      </c>
    </row>
    <row r="472" spans="1:19" x14ac:dyDescent="0.3">
      <c r="A472">
        <v>8737.4</v>
      </c>
      <c r="B472">
        <v>129.27182500000001</v>
      </c>
      <c r="C472">
        <v>132.62767500000001</v>
      </c>
      <c r="D472">
        <v>136.23007799999999</v>
      </c>
      <c r="E472">
        <v>94.345564999999993</v>
      </c>
      <c r="F472">
        <v>68.995109999999997</v>
      </c>
      <c r="G472">
        <v>50.037407999999999</v>
      </c>
      <c r="H472">
        <v>51.912567000000003</v>
      </c>
      <c r="I472"/>
      <c r="N472"/>
      <c r="O472"/>
      <c r="P472" s="1">
        <f t="shared" si="47"/>
        <v>132.1539674796748</v>
      </c>
      <c r="Q472" s="1">
        <f t="shared" si="48"/>
        <v>135.58691768292681</v>
      </c>
      <c r="R472" s="1">
        <f t="shared" si="49"/>
        <v>139.72422759253595</v>
      </c>
      <c r="S472" s="1">
        <f t="shared" si="50"/>
        <v>97.521224427168576</v>
      </c>
    </row>
    <row r="473" spans="1:19" x14ac:dyDescent="0.3">
      <c r="A473">
        <v>8737.6</v>
      </c>
      <c r="B473">
        <v>129.26389599999999</v>
      </c>
      <c r="C473">
        <v>132.61530999999999</v>
      </c>
      <c r="D473">
        <v>136.20666800000001</v>
      </c>
      <c r="E473">
        <v>94.437968999999995</v>
      </c>
      <c r="F473">
        <v>68.322199999999995</v>
      </c>
      <c r="G473">
        <v>50.037407999999999</v>
      </c>
      <c r="H473">
        <v>51.912567000000003</v>
      </c>
      <c r="I473"/>
      <c r="N473"/>
      <c r="O473"/>
      <c r="P473" s="1">
        <f t="shared" si="47"/>
        <v>132.1528363821138</v>
      </c>
      <c r="Q473" s="1">
        <f t="shared" si="48"/>
        <v>135.58766666666665</v>
      </c>
      <c r="R473" s="1">
        <f t="shared" si="49"/>
        <v>139.70895992658308</v>
      </c>
      <c r="S473" s="1">
        <f t="shared" si="50"/>
        <v>97.454055851063828</v>
      </c>
    </row>
    <row r="474" spans="1:19" x14ac:dyDescent="0.3">
      <c r="A474">
        <v>8737.7999999999993</v>
      </c>
      <c r="B474">
        <v>129.26389599999999</v>
      </c>
      <c r="C474">
        <v>132.61530999999999</v>
      </c>
      <c r="D474">
        <v>136.20666800000001</v>
      </c>
      <c r="E474">
        <v>94.437968999999995</v>
      </c>
      <c r="F474">
        <v>68.322199999999995</v>
      </c>
      <c r="G474">
        <v>49.997078999999999</v>
      </c>
      <c r="H474">
        <v>51.939225</v>
      </c>
      <c r="I474"/>
      <c r="N474"/>
      <c r="O474"/>
      <c r="P474" s="1">
        <f t="shared" si="47"/>
        <v>132.1528363821138</v>
      </c>
      <c r="Q474" s="1">
        <f t="shared" si="48"/>
        <v>135.58766666666665</v>
      </c>
      <c r="R474" s="1">
        <f t="shared" si="49"/>
        <v>139.70895992658308</v>
      </c>
      <c r="S474" s="1">
        <f t="shared" si="50"/>
        <v>97.454055851063828</v>
      </c>
    </row>
    <row r="475" spans="1:19" x14ac:dyDescent="0.3">
      <c r="A475">
        <v>9164</v>
      </c>
      <c r="B475">
        <v>137.30131700000001</v>
      </c>
      <c r="C475">
        <v>141.25012000000001</v>
      </c>
      <c r="D475">
        <v>145.46672599999999</v>
      </c>
      <c r="E475">
        <v>96.823420999999996</v>
      </c>
      <c r="F475">
        <v>71.369685000000004</v>
      </c>
      <c r="G475">
        <v>50.074018000000002</v>
      </c>
      <c r="H475">
        <v>52.244546999999997</v>
      </c>
      <c r="I475" t="s">
        <v>56</v>
      </c>
      <c r="N475"/>
      <c r="O475"/>
      <c r="P475" s="1">
        <f t="shared" si="47"/>
        <v>132.16004471544716</v>
      </c>
      <c r="Q475" s="1">
        <f t="shared" si="48"/>
        <v>135.59608231707315</v>
      </c>
      <c r="R475" s="1">
        <f t="shared" si="49"/>
        <v>139.72444172529825</v>
      </c>
      <c r="S475" s="1">
        <f t="shared" si="50"/>
        <v>97.408880932896892</v>
      </c>
    </row>
    <row r="476" spans="1:19" x14ac:dyDescent="0.3">
      <c r="A476">
        <v>9164.2000000000007</v>
      </c>
      <c r="B476">
        <v>137.30131700000001</v>
      </c>
      <c r="C476">
        <v>141.25012000000001</v>
      </c>
      <c r="D476">
        <v>145.46672599999999</v>
      </c>
      <c r="E476">
        <v>96.823420999999996</v>
      </c>
      <c r="F476">
        <v>71.369685000000004</v>
      </c>
      <c r="G476">
        <v>50.051960000000001</v>
      </c>
      <c r="H476">
        <v>52.245828000000003</v>
      </c>
      <c r="I476"/>
      <c r="N476"/>
      <c r="O476"/>
      <c r="P476" s="1">
        <f t="shared" si="47"/>
        <v>132.16004471544716</v>
      </c>
      <c r="Q476" s="1">
        <f t="shared" si="48"/>
        <v>135.59608231707315</v>
      </c>
      <c r="R476" s="1">
        <f t="shared" si="49"/>
        <v>139.72444172529825</v>
      </c>
      <c r="S476" s="1">
        <f t="shared" si="50"/>
        <v>97.408880932896892</v>
      </c>
    </row>
    <row r="477" spans="1:19" x14ac:dyDescent="0.3">
      <c r="A477">
        <v>9164.4</v>
      </c>
      <c r="B477">
        <v>137.302526</v>
      </c>
      <c r="C477">
        <v>141.26250899999999</v>
      </c>
      <c r="D477">
        <v>145.46700799999999</v>
      </c>
      <c r="E477">
        <v>96.841038999999995</v>
      </c>
      <c r="F477">
        <v>72.149296000000007</v>
      </c>
      <c r="G477">
        <v>50.051960000000001</v>
      </c>
      <c r="H477">
        <v>52.245828000000003</v>
      </c>
      <c r="I477"/>
      <c r="N477"/>
      <c r="O477"/>
      <c r="P477" s="1">
        <f t="shared" si="47"/>
        <v>132.16124390243903</v>
      </c>
      <c r="Q477" s="1">
        <f t="shared" si="48"/>
        <v>135.58480284552846</v>
      </c>
      <c r="R477" s="1">
        <f t="shared" si="49"/>
        <v>139.71339859284186</v>
      </c>
      <c r="S477" s="1">
        <f t="shared" si="50"/>
        <v>97.503045212765954</v>
      </c>
    </row>
    <row r="478" spans="1:19" x14ac:dyDescent="0.3">
      <c r="A478">
        <v>9164.6</v>
      </c>
      <c r="B478">
        <v>137.302526</v>
      </c>
      <c r="C478">
        <v>141.26250899999999</v>
      </c>
      <c r="D478">
        <v>145.46700799999999</v>
      </c>
      <c r="E478">
        <v>96.841038999999995</v>
      </c>
      <c r="F478">
        <v>72.149296000000007</v>
      </c>
      <c r="G478">
        <v>50.060039000000003</v>
      </c>
      <c r="H478">
        <v>52.248818999999997</v>
      </c>
      <c r="I478"/>
      <c r="N478"/>
      <c r="O478"/>
      <c r="P478" s="1">
        <f t="shared" si="47"/>
        <v>132.16124390243903</v>
      </c>
      <c r="Q478" s="1">
        <f t="shared" si="48"/>
        <v>135.58480284552846</v>
      </c>
      <c r="R478" s="1">
        <f t="shared" si="49"/>
        <v>139.71339859284186</v>
      </c>
      <c r="S478" s="1">
        <f t="shared" si="50"/>
        <v>97.503045212765954</v>
      </c>
    </row>
    <row r="479" spans="1:19" x14ac:dyDescent="0.3">
      <c r="A479">
        <v>9164.7999999999993</v>
      </c>
      <c r="B479">
        <v>137.317465</v>
      </c>
      <c r="C479">
        <v>141.289153</v>
      </c>
      <c r="D479">
        <v>145.45921999999999</v>
      </c>
      <c r="E479">
        <v>96.873575000000002</v>
      </c>
      <c r="F479">
        <v>72.623835999999997</v>
      </c>
      <c r="G479">
        <v>50.060039000000003</v>
      </c>
      <c r="H479">
        <v>52.248818999999997</v>
      </c>
      <c r="I479"/>
      <c r="N479"/>
      <c r="O479"/>
      <c r="P479" s="1">
        <f t="shared" si="47"/>
        <v>132.16169715447154</v>
      </c>
      <c r="Q479" s="1">
        <f t="shared" si="48"/>
        <v>135.59491565040648</v>
      </c>
      <c r="R479" s="1">
        <f t="shared" si="49"/>
        <v>139.72327419190376</v>
      </c>
      <c r="S479" s="1">
        <f t="shared" si="50"/>
        <v>97.47425838788871</v>
      </c>
    </row>
    <row r="480" spans="1:19" x14ac:dyDescent="0.3">
      <c r="A480">
        <v>9165</v>
      </c>
      <c r="B480">
        <v>137.317465</v>
      </c>
      <c r="C480">
        <v>141.289153</v>
      </c>
      <c r="D480">
        <v>145.45921999999999</v>
      </c>
      <c r="E480">
        <v>96.873575000000002</v>
      </c>
      <c r="F480">
        <v>72.623835999999997</v>
      </c>
      <c r="G480">
        <v>50.040674000000003</v>
      </c>
      <c r="H480">
        <v>52.244942999999999</v>
      </c>
      <c r="I480" t="s">
        <v>56</v>
      </c>
      <c r="N480"/>
      <c r="O480"/>
      <c r="P480" s="1">
        <f t="shared" si="47"/>
        <v>132.16169715447154</v>
      </c>
      <c r="Q480" s="1">
        <f t="shared" si="48"/>
        <v>135.59491565040648</v>
      </c>
      <c r="R480" s="1">
        <f t="shared" si="49"/>
        <v>139.72327419190376</v>
      </c>
      <c r="S480" s="1">
        <f t="shared" si="50"/>
        <v>97.47425838788871</v>
      </c>
    </row>
    <row r="481" spans="1:19" x14ac:dyDescent="0.3">
      <c r="A481">
        <v>9165.2000000000007</v>
      </c>
      <c r="B481">
        <v>137.34917899999999</v>
      </c>
      <c r="C481">
        <v>141.269081</v>
      </c>
      <c r="D481">
        <v>145.47402099999999</v>
      </c>
      <c r="E481">
        <v>96.758195999999998</v>
      </c>
      <c r="F481">
        <v>72.265973000000002</v>
      </c>
      <c r="G481">
        <v>50.040674000000003</v>
      </c>
      <c r="H481">
        <v>52.244942999999999</v>
      </c>
      <c r="I481"/>
      <c r="N481"/>
      <c r="O481"/>
      <c r="P481" s="1">
        <f t="shared" si="47"/>
        <v>132.16300203252032</v>
      </c>
      <c r="Q481" s="1">
        <f t="shared" si="48"/>
        <v>135.58044410569107</v>
      </c>
      <c r="R481" s="1">
        <f t="shared" si="49"/>
        <v>139.71822473743245</v>
      </c>
      <c r="S481" s="1">
        <f t="shared" si="50"/>
        <v>97.519271685761041</v>
      </c>
    </row>
    <row r="482" spans="1:19" x14ac:dyDescent="0.3">
      <c r="A482">
        <v>9165.4</v>
      </c>
      <c r="B482">
        <v>137.34917899999999</v>
      </c>
      <c r="C482">
        <v>141.269081</v>
      </c>
      <c r="D482">
        <v>145.47402099999999</v>
      </c>
      <c r="E482">
        <v>96.758195999999998</v>
      </c>
      <c r="F482">
        <v>72.265973000000002</v>
      </c>
      <c r="G482">
        <v>50.061991999999996</v>
      </c>
      <c r="H482">
        <v>52.259076999999998</v>
      </c>
      <c r="I482"/>
      <c r="N482"/>
      <c r="O482"/>
      <c r="P482" s="1">
        <f t="shared" si="47"/>
        <v>132.16300203252032</v>
      </c>
      <c r="Q482" s="1">
        <f t="shared" si="48"/>
        <v>135.58044410569107</v>
      </c>
      <c r="R482" s="1">
        <f t="shared" si="49"/>
        <v>139.71822473743245</v>
      </c>
      <c r="S482" s="1">
        <f t="shared" si="50"/>
        <v>97.519271685761041</v>
      </c>
    </row>
    <row r="483" spans="1:19" x14ac:dyDescent="0.3">
      <c r="A483">
        <v>9165.6</v>
      </c>
      <c r="B483">
        <v>137.31732700000001</v>
      </c>
      <c r="C483">
        <v>141.285988</v>
      </c>
      <c r="D483">
        <v>145.47671700000001</v>
      </c>
      <c r="E483">
        <v>96.753604999999993</v>
      </c>
      <c r="F483">
        <v>71.225392999999997</v>
      </c>
      <c r="G483">
        <v>50.061991999999996</v>
      </c>
      <c r="H483">
        <v>52.259076999999998</v>
      </c>
      <c r="I483"/>
      <c r="N483"/>
      <c r="O483"/>
      <c r="P483" s="1">
        <f t="shared" si="47"/>
        <v>132.15784349593497</v>
      </c>
      <c r="Q483" s="1">
        <f t="shared" si="48"/>
        <v>135.61554369918699</v>
      </c>
      <c r="R483" s="1">
        <f t="shared" si="49"/>
        <v>139.72529417762826</v>
      </c>
      <c r="S483" s="1">
        <f t="shared" si="50"/>
        <v>97.509145867430433</v>
      </c>
    </row>
    <row r="484" spans="1:19" x14ac:dyDescent="0.3">
      <c r="A484">
        <v>9165.7999999999993</v>
      </c>
      <c r="B484">
        <v>137.31732700000001</v>
      </c>
      <c r="C484">
        <v>141.285988</v>
      </c>
      <c r="D484">
        <v>145.47671700000001</v>
      </c>
      <c r="E484">
        <v>96.753604999999993</v>
      </c>
      <c r="F484">
        <v>71.225392999999997</v>
      </c>
      <c r="G484">
        <v>50.049182000000002</v>
      </c>
      <c r="H484">
        <v>52.243285</v>
      </c>
      <c r="I484"/>
      <c r="N484"/>
      <c r="O484"/>
      <c r="P484" s="1">
        <f t="shared" si="47"/>
        <v>132.15784349593497</v>
      </c>
      <c r="Q484" s="1">
        <f t="shared" si="48"/>
        <v>135.61554369918699</v>
      </c>
      <c r="R484" s="1">
        <f t="shared" si="49"/>
        <v>139.72529417762826</v>
      </c>
      <c r="S484" s="1">
        <f t="shared" si="50"/>
        <v>97.509145867430433</v>
      </c>
    </row>
    <row r="485" spans="1:19" x14ac:dyDescent="0.3">
      <c r="A485">
        <v>9166</v>
      </c>
      <c r="B485">
        <v>137.324397</v>
      </c>
      <c r="C485">
        <v>141.29471799999999</v>
      </c>
      <c r="D485">
        <v>145.46198200000001</v>
      </c>
      <c r="E485">
        <v>96.699882000000002</v>
      </c>
      <c r="F485">
        <v>72.273150999999999</v>
      </c>
      <c r="G485">
        <v>50.049182000000002</v>
      </c>
      <c r="H485">
        <v>52.243285</v>
      </c>
      <c r="I485" t="s">
        <v>56</v>
      </c>
      <c r="N485"/>
      <c r="O485"/>
      <c r="P485" s="1">
        <f t="shared" si="47"/>
        <v>132.14793902439024</v>
      </c>
      <c r="Q485" s="1">
        <f t="shared" si="48"/>
        <v>135.591700203252</v>
      </c>
      <c r="R485" s="1">
        <f t="shared" si="49"/>
        <v>139.7464392780667</v>
      </c>
      <c r="S485" s="1">
        <f t="shared" si="50"/>
        <v>97.486077127659584</v>
      </c>
    </row>
    <row r="486" spans="1:19" x14ac:dyDescent="0.3">
      <c r="A486">
        <v>9166.2000000000007</v>
      </c>
      <c r="B486">
        <v>137.324397</v>
      </c>
      <c r="C486">
        <v>141.29471799999999</v>
      </c>
      <c r="D486">
        <v>145.46198200000001</v>
      </c>
      <c r="E486">
        <v>96.699882000000002</v>
      </c>
      <c r="F486">
        <v>72.273150999999999</v>
      </c>
      <c r="G486">
        <v>50.068978000000001</v>
      </c>
      <c r="H486">
        <v>52.256129000000001</v>
      </c>
      <c r="I486"/>
      <c r="N486"/>
      <c r="O486"/>
      <c r="P486" s="1">
        <f t="shared" si="47"/>
        <v>132.14793902439024</v>
      </c>
      <c r="Q486" s="1">
        <f t="shared" si="48"/>
        <v>135.591700203252</v>
      </c>
      <c r="R486" s="1">
        <f t="shared" si="49"/>
        <v>139.7464392780667</v>
      </c>
      <c r="S486" s="1">
        <f t="shared" si="50"/>
        <v>97.486077127659584</v>
      </c>
    </row>
    <row r="487" spans="1:19" x14ac:dyDescent="0.3">
      <c r="A487">
        <v>9166.4</v>
      </c>
      <c r="B487">
        <v>137.335669</v>
      </c>
      <c r="C487">
        <v>141.28275500000001</v>
      </c>
      <c r="D487">
        <v>145.47117399999999</v>
      </c>
      <c r="E487">
        <v>96.630421999999996</v>
      </c>
      <c r="F487">
        <v>72.8048</v>
      </c>
      <c r="G487">
        <v>50.068978000000001</v>
      </c>
      <c r="H487">
        <v>52.256129000000001</v>
      </c>
      <c r="I487"/>
      <c r="N487"/>
      <c r="O487"/>
      <c r="P487" s="1">
        <f t="shared" si="47"/>
        <v>132.17468089430892</v>
      </c>
      <c r="Q487" s="1">
        <f t="shared" si="48"/>
        <v>135.577331300813</v>
      </c>
      <c r="R487" s="1">
        <f t="shared" si="49"/>
        <v>139.69391557051088</v>
      </c>
      <c r="S487" s="1">
        <f t="shared" si="50"/>
        <v>97.403447217675932</v>
      </c>
    </row>
    <row r="488" spans="1:19" x14ac:dyDescent="0.3">
      <c r="A488">
        <v>9166.6</v>
      </c>
      <c r="B488">
        <v>137.335669</v>
      </c>
      <c r="C488">
        <v>141.28275500000001</v>
      </c>
      <c r="D488">
        <v>145.47117399999999</v>
      </c>
      <c r="E488">
        <v>96.630421999999996</v>
      </c>
      <c r="F488">
        <v>72.8048</v>
      </c>
      <c r="G488">
        <v>50.043771</v>
      </c>
      <c r="H488">
        <v>52.275035000000003</v>
      </c>
      <c r="I488"/>
      <c r="N488"/>
      <c r="O488"/>
      <c r="P488" s="1">
        <f t="shared" si="47"/>
        <v>132.17468089430892</v>
      </c>
      <c r="Q488" s="1">
        <f t="shared" si="48"/>
        <v>135.577331300813</v>
      </c>
      <c r="R488" s="1">
        <f t="shared" si="49"/>
        <v>139.69391557051088</v>
      </c>
      <c r="S488" s="1">
        <f t="shared" si="50"/>
        <v>97.403447217675932</v>
      </c>
    </row>
    <row r="489" spans="1:19" x14ac:dyDescent="0.3">
      <c r="A489">
        <v>9166.7999999999993</v>
      </c>
      <c r="B489">
        <v>137.32238899999999</v>
      </c>
      <c r="C489">
        <v>141.27407500000001</v>
      </c>
      <c r="D489">
        <v>145.469021</v>
      </c>
      <c r="E489">
        <v>96.620447999999996</v>
      </c>
      <c r="F489">
        <v>72.982607999999999</v>
      </c>
      <c r="G489">
        <v>50.043771</v>
      </c>
      <c r="H489">
        <v>52.275035000000003</v>
      </c>
      <c r="I489"/>
      <c r="N489"/>
      <c r="O489"/>
      <c r="P489" s="1">
        <f t="shared" si="47"/>
        <v>132.17309451219512</v>
      </c>
      <c r="Q489" s="1">
        <f t="shared" si="48"/>
        <v>135.58351117886178</v>
      </c>
      <c r="R489" s="1">
        <f t="shared" si="49"/>
        <v>139.73730804527378</v>
      </c>
      <c r="S489" s="1">
        <f t="shared" si="50"/>
        <v>97.452296440261861</v>
      </c>
    </row>
    <row r="490" spans="1:19" x14ac:dyDescent="0.3">
      <c r="A490">
        <v>9167</v>
      </c>
      <c r="B490">
        <v>137.32238899999999</v>
      </c>
      <c r="C490">
        <v>141.27407500000001</v>
      </c>
      <c r="D490">
        <v>145.469021</v>
      </c>
      <c r="E490">
        <v>96.620447999999996</v>
      </c>
      <c r="F490">
        <v>72.982607999999999</v>
      </c>
      <c r="G490">
        <v>50.047637999999999</v>
      </c>
      <c r="H490">
        <v>52.247512</v>
      </c>
      <c r="I490" t="s">
        <v>56</v>
      </c>
      <c r="N490"/>
      <c r="O490"/>
      <c r="P490" s="1">
        <f t="shared" si="47"/>
        <v>132.17309451219512</v>
      </c>
      <c r="Q490" s="1">
        <f t="shared" si="48"/>
        <v>135.58351117886178</v>
      </c>
      <c r="R490" s="1">
        <f t="shared" si="49"/>
        <v>139.73730804527378</v>
      </c>
      <c r="S490" s="1">
        <f t="shared" si="50"/>
        <v>97.452296440261861</v>
      </c>
    </row>
    <row r="491" spans="1:19" x14ac:dyDescent="0.3">
      <c r="A491">
        <v>9167.2000000000007</v>
      </c>
      <c r="B491">
        <v>137.329016</v>
      </c>
      <c r="C491">
        <v>141.27048600000001</v>
      </c>
      <c r="D491">
        <v>145.45917900000001</v>
      </c>
      <c r="E491">
        <v>96.644906000000006</v>
      </c>
      <c r="F491">
        <v>73.140975999999995</v>
      </c>
      <c r="G491">
        <v>50.047637999999999</v>
      </c>
      <c r="H491">
        <v>52.247512</v>
      </c>
      <c r="I491"/>
      <c r="N491"/>
      <c r="O491"/>
      <c r="P491" s="1">
        <f t="shared" si="47"/>
        <v>132.16503658536584</v>
      </c>
      <c r="Q491" s="1">
        <f t="shared" si="48"/>
        <v>135.57094512195121</v>
      </c>
      <c r="R491" s="1">
        <f t="shared" si="49"/>
        <v>139.71343734067506</v>
      </c>
      <c r="S491" s="1">
        <f t="shared" si="50"/>
        <v>97.546817716857603</v>
      </c>
    </row>
    <row r="492" spans="1:19" x14ac:dyDescent="0.3">
      <c r="A492">
        <v>9167.4</v>
      </c>
      <c r="B492">
        <v>137.329016</v>
      </c>
      <c r="C492">
        <v>141.27048600000001</v>
      </c>
      <c r="D492">
        <v>145.45917900000001</v>
      </c>
      <c r="E492">
        <v>96.644906000000006</v>
      </c>
      <c r="F492">
        <v>73.140975999999995</v>
      </c>
      <c r="G492">
        <v>50.057741</v>
      </c>
      <c r="H492">
        <v>52.265909000000001</v>
      </c>
      <c r="I492"/>
      <c r="N492"/>
      <c r="O492"/>
      <c r="P492" s="1">
        <f t="shared" ref="P492:P555" si="51">(B474+Q$36)/P$36</f>
        <v>132.16503658536584</v>
      </c>
      <c r="Q492" s="1">
        <f t="shared" ref="Q492:Q555" si="52">(C474+Q$36)/P$36</f>
        <v>135.57094512195121</v>
      </c>
      <c r="R492" s="1">
        <f t="shared" ref="R492:R555" si="53">(D474+Q$38)/P$38</f>
        <v>139.71343734067506</v>
      </c>
      <c r="S492" s="1">
        <f t="shared" ref="S492:S555" si="54">(E474+Q$39)/P$39</f>
        <v>97.546817716857603</v>
      </c>
    </row>
    <row r="493" spans="1:19" x14ac:dyDescent="0.3">
      <c r="A493">
        <v>9167.6</v>
      </c>
      <c r="B493">
        <v>137.316216</v>
      </c>
      <c r="C493">
        <v>141.26578000000001</v>
      </c>
      <c r="D493">
        <v>145.480245</v>
      </c>
      <c r="E493">
        <v>96.717836000000005</v>
      </c>
      <c r="F493">
        <v>73.248346999999995</v>
      </c>
      <c r="G493">
        <v>50.057741</v>
      </c>
      <c r="H493">
        <v>52.265909000000001</v>
      </c>
      <c r="I493"/>
      <c r="N493"/>
      <c r="O493"/>
      <c r="P493" s="1">
        <f t="shared" si="51"/>
        <v>140.33314735772359</v>
      </c>
      <c r="Q493" s="1">
        <f t="shared" si="52"/>
        <v>144.34615853658536</v>
      </c>
      <c r="R493" s="1">
        <f t="shared" si="53"/>
        <v>149.15573162027124</v>
      </c>
      <c r="S493" s="1">
        <f t="shared" si="54"/>
        <v>99.986928191489355</v>
      </c>
    </row>
    <row r="494" spans="1:19" x14ac:dyDescent="0.3">
      <c r="A494">
        <v>9167.7999999999993</v>
      </c>
      <c r="B494">
        <v>137.316216</v>
      </c>
      <c r="C494">
        <v>141.26578000000001</v>
      </c>
      <c r="D494">
        <v>145.480245</v>
      </c>
      <c r="E494">
        <v>96.717836000000005</v>
      </c>
      <c r="F494">
        <v>73.248346999999995</v>
      </c>
      <c r="G494">
        <v>50.074620000000003</v>
      </c>
      <c r="H494">
        <v>52.248148</v>
      </c>
      <c r="I494"/>
      <c r="N494"/>
      <c r="O494"/>
      <c r="P494" s="1">
        <f t="shared" si="51"/>
        <v>140.33314735772359</v>
      </c>
      <c r="Q494" s="1">
        <f t="shared" si="52"/>
        <v>144.34615853658536</v>
      </c>
      <c r="R494" s="1">
        <f t="shared" si="53"/>
        <v>149.15573162027124</v>
      </c>
      <c r="S494" s="1">
        <f t="shared" si="54"/>
        <v>99.986928191489355</v>
      </c>
    </row>
    <row r="495" spans="1:19" x14ac:dyDescent="0.3">
      <c r="A495">
        <v>9168</v>
      </c>
      <c r="B495">
        <v>137.34772799999999</v>
      </c>
      <c r="C495">
        <v>141.301849</v>
      </c>
      <c r="D495">
        <v>145.47419300000001</v>
      </c>
      <c r="E495">
        <v>96.700699999999998</v>
      </c>
      <c r="F495">
        <v>73.393231999999998</v>
      </c>
      <c r="G495">
        <v>50.074620000000003</v>
      </c>
      <c r="H495">
        <v>52.248148</v>
      </c>
      <c r="I495" t="s">
        <v>56</v>
      </c>
      <c r="N495"/>
      <c r="O495"/>
      <c r="P495" s="1">
        <f t="shared" si="51"/>
        <v>140.33437601626017</v>
      </c>
      <c r="Q495" s="1">
        <f t="shared" si="52"/>
        <v>144.35874898373982</v>
      </c>
      <c r="R495" s="1">
        <f t="shared" si="53"/>
        <v>149.15601916998062</v>
      </c>
      <c r="S495" s="1">
        <f t="shared" si="54"/>
        <v>100.0049498772504</v>
      </c>
    </row>
    <row r="496" spans="1:19" x14ac:dyDescent="0.3">
      <c r="A496">
        <v>9168.2000000000007</v>
      </c>
      <c r="B496">
        <v>137.34772799999999</v>
      </c>
      <c r="C496">
        <v>141.301849</v>
      </c>
      <c r="D496">
        <v>145.47419300000001</v>
      </c>
      <c r="E496">
        <v>96.700699999999998</v>
      </c>
      <c r="F496">
        <v>73.393231999999998</v>
      </c>
      <c r="G496">
        <v>50.059973999999997</v>
      </c>
      <c r="H496">
        <v>52.257061</v>
      </c>
      <c r="I496"/>
      <c r="N496"/>
      <c r="O496"/>
      <c r="P496" s="1">
        <f t="shared" si="51"/>
        <v>140.33437601626017</v>
      </c>
      <c r="Q496" s="1">
        <f t="shared" si="52"/>
        <v>144.35874898373982</v>
      </c>
      <c r="R496" s="1">
        <f t="shared" si="53"/>
        <v>149.15601916998062</v>
      </c>
      <c r="S496" s="1">
        <f t="shared" si="54"/>
        <v>100.0049498772504</v>
      </c>
    </row>
    <row r="497" spans="1:19" x14ac:dyDescent="0.3">
      <c r="A497">
        <v>9168.4</v>
      </c>
      <c r="B497">
        <v>137.32558499999999</v>
      </c>
      <c r="C497">
        <v>141.289624</v>
      </c>
      <c r="D497">
        <v>145.46781100000001</v>
      </c>
      <c r="E497">
        <v>96.752167999999998</v>
      </c>
      <c r="F497">
        <v>73.616861</v>
      </c>
      <c r="G497">
        <v>50.059973999999997</v>
      </c>
      <c r="H497">
        <v>52.257061</v>
      </c>
      <c r="I497"/>
      <c r="N497"/>
      <c r="O497"/>
      <c r="P497" s="1">
        <f t="shared" si="51"/>
        <v>140.34955792682925</v>
      </c>
      <c r="Q497" s="1">
        <f t="shared" si="52"/>
        <v>144.38582621951218</v>
      </c>
      <c r="R497" s="1">
        <f t="shared" si="53"/>
        <v>149.14807790353828</v>
      </c>
      <c r="S497" s="1">
        <f t="shared" si="54"/>
        <v>100.03823138297872</v>
      </c>
    </row>
    <row r="498" spans="1:19" x14ac:dyDescent="0.3">
      <c r="A498">
        <v>9168.6</v>
      </c>
      <c r="B498">
        <v>137.32558499999999</v>
      </c>
      <c r="C498">
        <v>141.289624</v>
      </c>
      <c r="D498">
        <v>145.46781100000001</v>
      </c>
      <c r="E498">
        <v>96.752167999999998</v>
      </c>
      <c r="F498">
        <v>73.616861</v>
      </c>
      <c r="G498">
        <v>50.077629000000002</v>
      </c>
      <c r="H498">
        <v>52.255768000000003</v>
      </c>
      <c r="I498"/>
      <c r="N498"/>
      <c r="O498"/>
      <c r="P498" s="1">
        <f t="shared" si="51"/>
        <v>140.34955792682925</v>
      </c>
      <c r="Q498" s="1">
        <f t="shared" si="52"/>
        <v>144.38582621951218</v>
      </c>
      <c r="R498" s="1">
        <f t="shared" si="53"/>
        <v>149.14807790353828</v>
      </c>
      <c r="S498" s="1">
        <f t="shared" si="54"/>
        <v>100.03823138297872</v>
      </c>
    </row>
    <row r="499" spans="1:19" x14ac:dyDescent="0.3">
      <c r="A499">
        <v>9168.7999999999993</v>
      </c>
      <c r="B499">
        <v>137.34232</v>
      </c>
      <c r="C499">
        <v>141.276861</v>
      </c>
      <c r="D499">
        <v>145.46112400000001</v>
      </c>
      <c r="E499">
        <v>96.870243000000002</v>
      </c>
      <c r="F499">
        <v>73.406767000000002</v>
      </c>
      <c r="G499">
        <v>50.077629000000002</v>
      </c>
      <c r="H499">
        <v>52.255768000000003</v>
      </c>
      <c r="I499"/>
      <c r="N499"/>
      <c r="O499"/>
      <c r="P499" s="1">
        <f t="shared" si="51"/>
        <v>140.381787601626</v>
      </c>
      <c r="Q499" s="1">
        <f t="shared" si="52"/>
        <v>144.36542784552844</v>
      </c>
      <c r="R499" s="1">
        <f t="shared" si="53"/>
        <v>149.16317018456206</v>
      </c>
      <c r="S499" s="1">
        <f t="shared" si="54"/>
        <v>99.920208674304419</v>
      </c>
    </row>
    <row r="500" spans="1:19" x14ac:dyDescent="0.3">
      <c r="A500">
        <v>9169</v>
      </c>
      <c r="B500">
        <v>137.34232</v>
      </c>
      <c r="C500">
        <v>141.276861</v>
      </c>
      <c r="D500">
        <v>145.46112400000001</v>
      </c>
      <c r="E500">
        <v>96.870243000000002</v>
      </c>
      <c r="F500">
        <v>73.406767000000002</v>
      </c>
      <c r="G500">
        <v>50.069426999999997</v>
      </c>
      <c r="H500">
        <v>52.272962</v>
      </c>
      <c r="I500" t="s">
        <v>56</v>
      </c>
      <c r="N500"/>
      <c r="O500"/>
      <c r="P500" s="1">
        <f t="shared" si="51"/>
        <v>140.381787601626</v>
      </c>
      <c r="Q500" s="1">
        <f t="shared" si="52"/>
        <v>144.36542784552844</v>
      </c>
      <c r="R500" s="1">
        <f t="shared" si="53"/>
        <v>149.16317018456206</v>
      </c>
      <c r="S500" s="1">
        <f t="shared" si="54"/>
        <v>99.920208674304419</v>
      </c>
    </row>
    <row r="501" spans="1:19" x14ac:dyDescent="0.3">
      <c r="A501">
        <v>9169.2000000000007</v>
      </c>
      <c r="B501">
        <v>137.30982299999999</v>
      </c>
      <c r="C501">
        <v>141.26238699999999</v>
      </c>
      <c r="D501">
        <v>145.47871900000001</v>
      </c>
      <c r="E501">
        <v>96.856914000000003</v>
      </c>
      <c r="F501">
        <v>73.205301000000006</v>
      </c>
      <c r="G501">
        <v>50.069426999999997</v>
      </c>
      <c r="H501">
        <v>52.272962</v>
      </c>
      <c r="I501"/>
      <c r="N501"/>
      <c r="O501"/>
      <c r="P501" s="1">
        <f t="shared" si="51"/>
        <v>140.34941768292683</v>
      </c>
      <c r="Q501" s="1">
        <f t="shared" si="52"/>
        <v>144.38260975609757</v>
      </c>
      <c r="R501" s="1">
        <f t="shared" si="53"/>
        <v>149.16591924135824</v>
      </c>
      <c r="S501" s="1">
        <f t="shared" si="54"/>
        <v>99.915512479541732</v>
      </c>
    </row>
    <row r="502" spans="1:19" x14ac:dyDescent="0.3">
      <c r="A502">
        <v>9169.4</v>
      </c>
      <c r="B502">
        <v>137.30982299999999</v>
      </c>
      <c r="C502">
        <v>141.26238699999999</v>
      </c>
      <c r="D502">
        <v>145.47871900000001</v>
      </c>
      <c r="E502">
        <v>96.856914000000003</v>
      </c>
      <c r="F502">
        <v>73.205301000000006</v>
      </c>
      <c r="G502">
        <v>50.060775999999997</v>
      </c>
      <c r="H502">
        <v>52.254399999999997</v>
      </c>
      <c r="I502"/>
      <c r="N502"/>
      <c r="O502"/>
      <c r="P502" s="1">
        <f t="shared" si="51"/>
        <v>140.34941768292683</v>
      </c>
      <c r="Q502" s="1">
        <f t="shared" si="52"/>
        <v>144.38260975609757</v>
      </c>
      <c r="R502" s="1">
        <f t="shared" si="53"/>
        <v>149.16591924135824</v>
      </c>
      <c r="S502" s="1">
        <f t="shared" si="54"/>
        <v>99.915512479541732</v>
      </c>
    </row>
    <row r="503" spans="1:19" x14ac:dyDescent="0.3">
      <c r="A503">
        <v>9169.6</v>
      </c>
      <c r="B503">
        <v>137.33941300000001</v>
      </c>
      <c r="C503">
        <v>141.26998399999999</v>
      </c>
      <c r="D503">
        <v>145.48443399999999</v>
      </c>
      <c r="E503">
        <v>96.781143999999998</v>
      </c>
      <c r="F503">
        <v>73.379693000000003</v>
      </c>
      <c r="G503">
        <v>50.060775999999997</v>
      </c>
      <c r="H503">
        <v>52.254399999999997</v>
      </c>
      <c r="I503"/>
      <c r="N503"/>
      <c r="O503"/>
      <c r="P503" s="1">
        <f t="shared" si="51"/>
        <v>140.35660264227641</v>
      </c>
      <c r="Q503" s="1">
        <f t="shared" si="52"/>
        <v>144.39148170731704</v>
      </c>
      <c r="R503" s="1">
        <f t="shared" si="53"/>
        <v>149.15089425920263</v>
      </c>
      <c r="S503" s="1">
        <f t="shared" si="54"/>
        <v>99.860558510638299</v>
      </c>
    </row>
    <row r="504" spans="1:19" x14ac:dyDescent="0.3">
      <c r="A504">
        <v>9169.7999999999993</v>
      </c>
      <c r="B504">
        <v>137.33941300000001</v>
      </c>
      <c r="C504">
        <v>141.26998399999999</v>
      </c>
      <c r="D504">
        <v>145.48443399999999</v>
      </c>
      <c r="E504">
        <v>96.781143999999998</v>
      </c>
      <c r="F504">
        <v>73.379693000000003</v>
      </c>
      <c r="G504">
        <v>50.039330999999997</v>
      </c>
      <c r="H504">
        <v>52.236448000000003</v>
      </c>
      <c r="I504"/>
      <c r="N504"/>
      <c r="O504"/>
      <c r="P504" s="1">
        <f t="shared" si="51"/>
        <v>140.35660264227641</v>
      </c>
      <c r="Q504" s="1">
        <f t="shared" si="52"/>
        <v>144.39148170731704</v>
      </c>
      <c r="R504" s="1">
        <f t="shared" si="53"/>
        <v>149.15089425920263</v>
      </c>
      <c r="S504" s="1">
        <f t="shared" si="54"/>
        <v>99.860558510638299</v>
      </c>
    </row>
    <row r="505" spans="1:19" x14ac:dyDescent="0.3">
      <c r="A505">
        <v>9170</v>
      </c>
      <c r="B505">
        <v>137.31160199999999</v>
      </c>
      <c r="C505">
        <v>141.28582599999999</v>
      </c>
      <c r="D505">
        <v>145.467274</v>
      </c>
      <c r="E505">
        <v>96.722814999999997</v>
      </c>
      <c r="F505">
        <v>73.552813</v>
      </c>
      <c r="G505">
        <v>50.039330999999997</v>
      </c>
      <c r="H505">
        <v>52.236448000000003</v>
      </c>
      <c r="I505" t="s">
        <v>56</v>
      </c>
      <c r="N505"/>
      <c r="O505"/>
      <c r="P505" s="1">
        <f t="shared" si="51"/>
        <v>140.36805792682927</v>
      </c>
      <c r="Q505" s="1">
        <f t="shared" si="52"/>
        <v>144.37932418699188</v>
      </c>
      <c r="R505" s="1">
        <f t="shared" si="53"/>
        <v>149.16026715611298</v>
      </c>
      <c r="S505" s="1">
        <f t="shared" si="54"/>
        <v>99.78950695581014</v>
      </c>
    </row>
    <row r="506" spans="1:19" x14ac:dyDescent="0.3">
      <c r="A506">
        <v>9170.2000000000007</v>
      </c>
      <c r="B506">
        <v>137.31160199999999</v>
      </c>
      <c r="C506">
        <v>141.28582599999999</v>
      </c>
      <c r="D506">
        <v>145.467274</v>
      </c>
      <c r="E506">
        <v>96.722814999999997</v>
      </c>
      <c r="F506">
        <v>73.552813</v>
      </c>
      <c r="G506">
        <v>50.047345999999997</v>
      </c>
      <c r="H506">
        <v>52.240296999999998</v>
      </c>
      <c r="I506"/>
      <c r="N506"/>
      <c r="O506"/>
      <c r="P506" s="1">
        <f t="shared" si="51"/>
        <v>140.36805792682927</v>
      </c>
      <c r="Q506" s="1">
        <f t="shared" si="52"/>
        <v>144.37932418699188</v>
      </c>
      <c r="R506" s="1">
        <f t="shared" si="53"/>
        <v>149.16026715611298</v>
      </c>
      <c r="S506" s="1">
        <f t="shared" si="54"/>
        <v>99.78950695581014</v>
      </c>
    </row>
    <row r="507" spans="1:19" x14ac:dyDescent="0.3">
      <c r="A507">
        <v>9170.4</v>
      </c>
      <c r="B507">
        <v>137.35341</v>
      </c>
      <c r="C507">
        <v>141.277287</v>
      </c>
      <c r="D507">
        <v>145.47083000000001</v>
      </c>
      <c r="E507">
        <v>96.570626000000004</v>
      </c>
      <c r="F507">
        <v>73.180570000000003</v>
      </c>
      <c r="G507">
        <v>50.047345999999997</v>
      </c>
      <c r="H507">
        <v>52.240296999999998</v>
      </c>
      <c r="I507"/>
      <c r="N507"/>
      <c r="O507"/>
      <c r="P507" s="1">
        <f t="shared" si="51"/>
        <v>140.3545619918699</v>
      </c>
      <c r="Q507" s="1">
        <f t="shared" si="52"/>
        <v>144.37050304878048</v>
      </c>
      <c r="R507" s="1">
        <f t="shared" si="53"/>
        <v>149.15807178545938</v>
      </c>
      <c r="S507" s="1">
        <f t="shared" si="54"/>
        <v>99.779304418985262</v>
      </c>
    </row>
    <row r="508" spans="1:19" x14ac:dyDescent="0.3">
      <c r="A508">
        <v>9170.6</v>
      </c>
      <c r="B508">
        <v>137.35341</v>
      </c>
      <c r="C508">
        <v>141.277287</v>
      </c>
      <c r="D508">
        <v>145.47083000000001</v>
      </c>
      <c r="E508">
        <v>96.570626000000004</v>
      </c>
      <c r="F508">
        <v>73.180570000000003</v>
      </c>
      <c r="G508">
        <v>50.055974999999997</v>
      </c>
      <c r="H508">
        <v>52.243606</v>
      </c>
      <c r="I508"/>
      <c r="N508"/>
      <c r="O508"/>
      <c r="P508" s="1">
        <f t="shared" si="51"/>
        <v>140.3545619918699</v>
      </c>
      <c r="Q508" s="1">
        <f t="shared" si="52"/>
        <v>144.37050304878048</v>
      </c>
      <c r="R508" s="1">
        <f t="shared" si="53"/>
        <v>149.15807178545938</v>
      </c>
      <c r="S508" s="1">
        <f t="shared" si="54"/>
        <v>99.779304418985262</v>
      </c>
    </row>
    <row r="509" spans="1:19" x14ac:dyDescent="0.3">
      <c r="A509">
        <v>9170.7999999999993</v>
      </c>
      <c r="B509">
        <v>137.32815400000001</v>
      </c>
      <c r="C509">
        <v>141.251925</v>
      </c>
      <c r="D509">
        <v>145.48569599999999</v>
      </c>
      <c r="E509">
        <v>96.773809999999997</v>
      </c>
      <c r="F509">
        <v>73.103308999999996</v>
      </c>
      <c r="G509">
        <v>50.055974999999997</v>
      </c>
      <c r="H509">
        <v>52.243606</v>
      </c>
      <c r="I509"/>
      <c r="N509"/>
      <c r="O509"/>
      <c r="P509" s="1">
        <f t="shared" si="51"/>
        <v>140.36129674796746</v>
      </c>
      <c r="Q509" s="1">
        <f t="shared" si="52"/>
        <v>144.36685569105691</v>
      </c>
      <c r="R509" s="1">
        <f t="shared" si="53"/>
        <v>149.14803609666566</v>
      </c>
      <c r="S509" s="1">
        <f t="shared" si="54"/>
        <v>99.804322831423903</v>
      </c>
    </row>
    <row r="510" spans="1:19" x14ac:dyDescent="0.3">
      <c r="A510">
        <v>9171</v>
      </c>
      <c r="B510">
        <v>137.32815400000001</v>
      </c>
      <c r="C510">
        <v>141.251925</v>
      </c>
      <c r="D510">
        <v>145.48569599999999</v>
      </c>
      <c r="E510">
        <v>96.773809999999997</v>
      </c>
      <c r="F510">
        <v>73.103308999999996</v>
      </c>
      <c r="G510">
        <v>50.081443999999998</v>
      </c>
      <c r="H510">
        <v>52.240884999999999</v>
      </c>
      <c r="I510" t="s">
        <v>56</v>
      </c>
      <c r="N510"/>
      <c r="O510"/>
      <c r="P510" s="1">
        <f t="shared" si="51"/>
        <v>140.36129674796746</v>
      </c>
      <c r="Q510" s="1">
        <f t="shared" si="52"/>
        <v>144.36685569105691</v>
      </c>
      <c r="R510" s="1">
        <f t="shared" si="53"/>
        <v>149.14803609666566</v>
      </c>
      <c r="S510" s="1">
        <f t="shared" si="54"/>
        <v>99.804322831423903</v>
      </c>
    </row>
    <row r="511" spans="1:19" x14ac:dyDescent="0.3">
      <c r="A511">
        <v>9171.2000000000007</v>
      </c>
      <c r="B511">
        <v>137.34735599999999</v>
      </c>
      <c r="C511">
        <v>141.294025</v>
      </c>
      <c r="D511">
        <v>145.480549</v>
      </c>
      <c r="E511">
        <v>96.836389999999994</v>
      </c>
      <c r="F511">
        <v>73.521341000000007</v>
      </c>
      <c r="G511">
        <v>50.081443999999998</v>
      </c>
      <c r="H511">
        <v>52.240884999999999</v>
      </c>
      <c r="I511"/>
      <c r="N511"/>
      <c r="O511"/>
      <c r="P511" s="1">
        <f t="shared" si="51"/>
        <v>140.34828861788617</v>
      </c>
      <c r="Q511" s="1">
        <f t="shared" si="52"/>
        <v>144.36207317073172</v>
      </c>
      <c r="R511" s="1">
        <f t="shared" si="53"/>
        <v>149.16951667176508</v>
      </c>
      <c r="S511" s="1">
        <f t="shared" si="54"/>
        <v>99.878923895253692</v>
      </c>
    </row>
    <row r="512" spans="1:19" x14ac:dyDescent="0.3">
      <c r="A512">
        <v>9171.4</v>
      </c>
      <c r="B512">
        <v>137.34735599999999</v>
      </c>
      <c r="C512">
        <v>141.294025</v>
      </c>
      <c r="D512">
        <v>145.480549</v>
      </c>
      <c r="E512">
        <v>96.836389999999994</v>
      </c>
      <c r="F512">
        <v>73.521341000000007</v>
      </c>
      <c r="G512">
        <v>50.058560999999997</v>
      </c>
      <c r="H512">
        <v>52.265343000000001</v>
      </c>
      <c r="I512"/>
      <c r="N512"/>
      <c r="O512"/>
      <c r="P512" s="1">
        <f t="shared" si="51"/>
        <v>140.34828861788617</v>
      </c>
      <c r="Q512" s="1">
        <f t="shared" si="52"/>
        <v>144.36207317073172</v>
      </c>
      <c r="R512" s="1">
        <f t="shared" si="53"/>
        <v>149.16951667176508</v>
      </c>
      <c r="S512" s="1">
        <f t="shared" si="54"/>
        <v>99.878923895253692</v>
      </c>
    </row>
    <row r="513" spans="1:19" x14ac:dyDescent="0.3">
      <c r="A513">
        <v>9171.6</v>
      </c>
      <c r="B513">
        <v>137.32178999999999</v>
      </c>
      <c r="C513">
        <v>141.27999199999999</v>
      </c>
      <c r="D513">
        <v>145.48118299999999</v>
      </c>
      <c r="E513">
        <v>96.916072999999997</v>
      </c>
      <c r="F513">
        <v>73.761157999999995</v>
      </c>
      <c r="G513">
        <v>50.058560999999997</v>
      </c>
      <c r="H513">
        <v>52.265343000000001</v>
      </c>
      <c r="I513"/>
      <c r="N513"/>
      <c r="O513"/>
      <c r="P513" s="1">
        <f t="shared" si="51"/>
        <v>140.38031300813006</v>
      </c>
      <c r="Q513" s="1">
        <f t="shared" si="52"/>
        <v>144.39872865853658</v>
      </c>
      <c r="R513" s="1">
        <f t="shared" si="53"/>
        <v>149.16334556949121</v>
      </c>
      <c r="S513" s="1">
        <f t="shared" si="54"/>
        <v>99.861395253682488</v>
      </c>
    </row>
    <row r="514" spans="1:19" x14ac:dyDescent="0.3">
      <c r="A514">
        <v>9171.7999999999993</v>
      </c>
      <c r="B514">
        <v>137.32178999999999</v>
      </c>
      <c r="C514">
        <v>141.27999199999999</v>
      </c>
      <c r="D514">
        <v>145.48118299999999</v>
      </c>
      <c r="E514">
        <v>96.916072999999997</v>
      </c>
      <c r="F514">
        <v>73.761157999999995</v>
      </c>
      <c r="G514">
        <v>50.046216000000001</v>
      </c>
      <c r="H514">
        <v>52.270553999999997</v>
      </c>
      <c r="I514"/>
      <c r="N514"/>
      <c r="O514"/>
      <c r="P514" s="1">
        <f t="shared" si="51"/>
        <v>140.38031300813006</v>
      </c>
      <c r="Q514" s="1">
        <f t="shared" si="52"/>
        <v>144.39872865853658</v>
      </c>
      <c r="R514" s="1">
        <f t="shared" si="53"/>
        <v>149.16334556949121</v>
      </c>
      <c r="S514" s="1">
        <f t="shared" si="54"/>
        <v>99.861395253682488</v>
      </c>
    </row>
    <row r="515" spans="1:19" x14ac:dyDescent="0.3">
      <c r="A515">
        <v>9172</v>
      </c>
      <c r="B515">
        <v>137.31187299999999</v>
      </c>
      <c r="C515">
        <v>141.27655200000001</v>
      </c>
      <c r="D515">
        <v>145.472882</v>
      </c>
      <c r="E515">
        <v>96.915672999999998</v>
      </c>
      <c r="F515">
        <v>73.598128000000003</v>
      </c>
      <c r="G515">
        <v>50.046216000000001</v>
      </c>
      <c r="H515">
        <v>52.270553999999997</v>
      </c>
      <c r="I515" t="s">
        <v>56</v>
      </c>
      <c r="N515"/>
      <c r="O515"/>
      <c r="P515" s="1">
        <f t="shared" si="51"/>
        <v>140.35780995934957</v>
      </c>
      <c r="Q515" s="1">
        <f t="shared" si="52"/>
        <v>144.38630487804878</v>
      </c>
      <c r="R515" s="1">
        <f t="shared" si="53"/>
        <v>149.15683797287653</v>
      </c>
      <c r="S515" s="1">
        <f t="shared" si="54"/>
        <v>99.914042553191479</v>
      </c>
    </row>
    <row r="516" spans="1:19" x14ac:dyDescent="0.3">
      <c r="A516">
        <v>9172.2000000000007</v>
      </c>
      <c r="B516">
        <v>137.31187299999999</v>
      </c>
      <c r="C516">
        <v>141.27655200000001</v>
      </c>
      <c r="D516">
        <v>145.472882</v>
      </c>
      <c r="E516">
        <v>96.915672999999998</v>
      </c>
      <c r="F516">
        <v>73.598128000000003</v>
      </c>
      <c r="G516">
        <v>50.046134000000002</v>
      </c>
      <c r="H516">
        <v>52.291702000000001</v>
      </c>
      <c r="I516"/>
      <c r="N516"/>
      <c r="O516"/>
      <c r="P516" s="1">
        <f t="shared" si="51"/>
        <v>140.35780995934957</v>
      </c>
      <c r="Q516" s="1">
        <f t="shared" si="52"/>
        <v>144.38630487804878</v>
      </c>
      <c r="R516" s="1">
        <f t="shared" si="53"/>
        <v>149.15683797287653</v>
      </c>
      <c r="S516" s="1">
        <f t="shared" si="54"/>
        <v>99.914042553191479</v>
      </c>
    </row>
    <row r="517" spans="1:19" x14ac:dyDescent="0.3">
      <c r="A517">
        <v>9172.4</v>
      </c>
      <c r="B517">
        <v>137.33601400000001</v>
      </c>
      <c r="C517">
        <v>141.290085</v>
      </c>
      <c r="D517">
        <v>145.49449000000001</v>
      </c>
      <c r="E517">
        <v>96.725133</v>
      </c>
      <c r="F517">
        <v>73.397462000000004</v>
      </c>
      <c r="G517">
        <v>50.046134000000002</v>
      </c>
      <c r="H517">
        <v>52.291702000000001</v>
      </c>
      <c r="I517"/>
      <c r="N517"/>
      <c r="O517"/>
      <c r="P517" s="1">
        <f t="shared" si="51"/>
        <v>140.37481707317073</v>
      </c>
      <c r="Q517" s="1">
        <f t="shared" si="52"/>
        <v>144.37333434959348</v>
      </c>
      <c r="R517" s="1">
        <f t="shared" si="53"/>
        <v>149.15001937391662</v>
      </c>
      <c r="S517" s="1">
        <f t="shared" si="54"/>
        <v>100.03482303600654</v>
      </c>
    </row>
    <row r="518" spans="1:19" x14ac:dyDescent="0.3">
      <c r="A518">
        <v>9172.6</v>
      </c>
      <c r="B518">
        <v>137.33601400000001</v>
      </c>
      <c r="C518">
        <v>141.290085</v>
      </c>
      <c r="D518">
        <v>145.49449000000001</v>
      </c>
      <c r="E518">
        <v>96.725133</v>
      </c>
      <c r="F518">
        <v>73.397462000000004</v>
      </c>
      <c r="G518">
        <v>50.068497999999998</v>
      </c>
      <c r="H518">
        <v>52.267650000000003</v>
      </c>
      <c r="I518"/>
      <c r="N518"/>
      <c r="O518"/>
      <c r="P518" s="1">
        <f t="shared" si="51"/>
        <v>140.37481707317073</v>
      </c>
      <c r="Q518" s="1">
        <f t="shared" si="52"/>
        <v>144.37333434959348</v>
      </c>
      <c r="R518" s="1">
        <f t="shared" si="53"/>
        <v>149.15001937391662</v>
      </c>
      <c r="S518" s="1">
        <f t="shared" si="54"/>
        <v>100.03482303600654</v>
      </c>
    </row>
    <row r="519" spans="1:19" x14ac:dyDescent="0.3">
      <c r="A519">
        <v>9172.7999999999993</v>
      </c>
      <c r="B519">
        <v>137.36122</v>
      </c>
      <c r="C519">
        <v>141.302592</v>
      </c>
      <c r="D519">
        <v>145.47794999999999</v>
      </c>
      <c r="E519">
        <v>96.787464</v>
      </c>
      <c r="F519">
        <v>73.483152000000004</v>
      </c>
      <c r="G519">
        <v>50.068497999999998</v>
      </c>
      <c r="H519">
        <v>52.267650000000003</v>
      </c>
      <c r="I519"/>
      <c r="N519"/>
      <c r="O519"/>
      <c r="P519" s="1">
        <f t="shared" si="51"/>
        <v>140.34179166666667</v>
      </c>
      <c r="Q519" s="1">
        <f t="shared" si="52"/>
        <v>144.35862499999999</v>
      </c>
      <c r="R519" s="1">
        <f t="shared" si="53"/>
        <v>149.16796064035896</v>
      </c>
      <c r="S519" s="1">
        <f t="shared" si="54"/>
        <v>100.02118862520459</v>
      </c>
    </row>
    <row r="520" spans="1:19" x14ac:dyDescent="0.3">
      <c r="A520">
        <v>9173</v>
      </c>
      <c r="B520">
        <v>137.36122</v>
      </c>
      <c r="C520">
        <v>141.302592</v>
      </c>
      <c r="D520">
        <v>145.47794999999999</v>
      </c>
      <c r="E520">
        <v>96.787464</v>
      </c>
      <c r="F520">
        <v>73.483152000000004</v>
      </c>
      <c r="G520">
        <v>50.062649999999998</v>
      </c>
      <c r="H520">
        <v>52.280042000000002</v>
      </c>
      <c r="I520" t="s">
        <v>56</v>
      </c>
      <c r="N520"/>
      <c r="O520"/>
      <c r="P520" s="1">
        <f t="shared" si="51"/>
        <v>140.34179166666667</v>
      </c>
      <c r="Q520" s="1">
        <f t="shared" si="52"/>
        <v>144.35862499999999</v>
      </c>
      <c r="R520" s="1">
        <f t="shared" si="53"/>
        <v>149.16796064035896</v>
      </c>
      <c r="S520" s="1">
        <f t="shared" si="54"/>
        <v>100.02118862520459</v>
      </c>
    </row>
    <row r="521" spans="1:19" x14ac:dyDescent="0.3">
      <c r="A521">
        <v>9173.2000000000007</v>
      </c>
      <c r="B521">
        <v>137.35579899999999</v>
      </c>
      <c r="C521">
        <v>141.29179300000001</v>
      </c>
      <c r="D521">
        <v>145.48134200000001</v>
      </c>
      <c r="E521">
        <v>96.822518000000002</v>
      </c>
      <c r="F521">
        <v>73.610209999999995</v>
      </c>
      <c r="G521">
        <v>50.062649999999998</v>
      </c>
      <c r="H521">
        <v>52.280042000000002</v>
      </c>
      <c r="I521"/>
      <c r="N521"/>
      <c r="O521"/>
      <c r="P521" s="1">
        <f t="shared" si="51"/>
        <v>140.37186280487805</v>
      </c>
      <c r="Q521" s="1">
        <f t="shared" si="52"/>
        <v>144.36634552845527</v>
      </c>
      <c r="R521" s="1">
        <f t="shared" si="53"/>
        <v>149.17378811053331</v>
      </c>
      <c r="S521" s="1">
        <f t="shared" si="54"/>
        <v>99.943682487725042</v>
      </c>
    </row>
    <row r="522" spans="1:19" x14ac:dyDescent="0.3">
      <c r="A522">
        <v>9173.4</v>
      </c>
      <c r="B522">
        <v>137.35579899999999</v>
      </c>
      <c r="C522">
        <v>141.29179300000001</v>
      </c>
      <c r="D522">
        <v>145.48134200000001</v>
      </c>
      <c r="E522">
        <v>96.822518000000002</v>
      </c>
      <c r="F522">
        <v>73.610209999999995</v>
      </c>
      <c r="G522">
        <v>50.058028</v>
      </c>
      <c r="H522">
        <v>52.258349000000003</v>
      </c>
      <c r="I522"/>
      <c r="N522"/>
      <c r="O522"/>
      <c r="P522" s="1">
        <f t="shared" si="51"/>
        <v>140.37186280487805</v>
      </c>
      <c r="Q522" s="1">
        <f t="shared" si="52"/>
        <v>144.36634552845527</v>
      </c>
      <c r="R522" s="1">
        <f t="shared" si="53"/>
        <v>149.17378811053331</v>
      </c>
      <c r="S522" s="1">
        <f t="shared" si="54"/>
        <v>99.943682487725042</v>
      </c>
    </row>
    <row r="523" spans="1:19" x14ac:dyDescent="0.3">
      <c r="A523">
        <v>9173.6</v>
      </c>
      <c r="B523">
        <v>137.36200700000001</v>
      </c>
      <c r="C523">
        <v>141.30966900000001</v>
      </c>
      <c r="D523">
        <v>145.47757799999999</v>
      </c>
      <c r="E523">
        <v>96.848371999999998</v>
      </c>
      <c r="F523">
        <v>73.637953999999993</v>
      </c>
      <c r="G523">
        <v>50.058028</v>
      </c>
      <c r="H523">
        <v>52.258349000000003</v>
      </c>
      <c r="I523"/>
      <c r="N523"/>
      <c r="O523"/>
      <c r="P523" s="1">
        <f t="shared" si="51"/>
        <v>140.34359959349592</v>
      </c>
      <c r="Q523" s="1">
        <f t="shared" si="52"/>
        <v>144.38244512195121</v>
      </c>
      <c r="R523" s="1">
        <f t="shared" si="53"/>
        <v>149.15629040481289</v>
      </c>
      <c r="S523" s="1">
        <f t="shared" si="54"/>
        <v>99.884016980360059</v>
      </c>
    </row>
    <row r="524" spans="1:19" x14ac:dyDescent="0.3">
      <c r="A524">
        <v>9173.7999999999993</v>
      </c>
      <c r="B524">
        <v>137.36200700000001</v>
      </c>
      <c r="C524">
        <v>141.30966900000001</v>
      </c>
      <c r="D524">
        <v>145.47757799999999</v>
      </c>
      <c r="E524">
        <v>96.848371999999998</v>
      </c>
      <c r="F524">
        <v>73.637953999999993</v>
      </c>
      <c r="G524">
        <v>50.051453000000002</v>
      </c>
      <c r="H524">
        <v>52.267707000000001</v>
      </c>
      <c r="I524"/>
      <c r="N524"/>
      <c r="O524"/>
      <c r="P524" s="1">
        <f t="shared" si="51"/>
        <v>140.34359959349592</v>
      </c>
      <c r="Q524" s="1">
        <f t="shared" si="52"/>
        <v>144.38244512195121</v>
      </c>
      <c r="R524" s="1">
        <f t="shared" si="53"/>
        <v>149.15629040481289</v>
      </c>
      <c r="S524" s="1">
        <f t="shared" si="54"/>
        <v>99.884016980360059</v>
      </c>
    </row>
    <row r="525" spans="1:19" x14ac:dyDescent="0.3">
      <c r="A525">
        <v>9913</v>
      </c>
      <c r="B525">
        <v>146.09559999999999</v>
      </c>
      <c r="C525">
        <v>150.647638</v>
      </c>
      <c r="D525">
        <v>155.45860999999999</v>
      </c>
      <c r="E525">
        <v>99.649946</v>
      </c>
      <c r="F525">
        <v>74.520662999999999</v>
      </c>
      <c r="G525">
        <v>50.077019</v>
      </c>
      <c r="H525">
        <v>52.645113000000002</v>
      </c>
      <c r="I525" t="s">
        <v>56</v>
      </c>
      <c r="N525"/>
      <c r="O525"/>
      <c r="P525" s="1">
        <f t="shared" si="51"/>
        <v>140.38608739837397</v>
      </c>
      <c r="Q525" s="1">
        <f t="shared" si="52"/>
        <v>144.37376727642277</v>
      </c>
      <c r="R525" s="1">
        <f t="shared" si="53"/>
        <v>149.15991638625474</v>
      </c>
      <c r="S525" s="1">
        <f t="shared" si="54"/>
        <v>99.728340834697221</v>
      </c>
    </row>
    <row r="526" spans="1:19" x14ac:dyDescent="0.3">
      <c r="A526">
        <v>9913.2000000000007</v>
      </c>
      <c r="B526">
        <v>146.12517199999999</v>
      </c>
      <c r="C526">
        <v>150.65371999999999</v>
      </c>
      <c r="D526">
        <v>155.44882899999999</v>
      </c>
      <c r="E526">
        <v>99.543486999999999</v>
      </c>
      <c r="F526">
        <v>74.660404</v>
      </c>
      <c r="G526">
        <v>50.077019</v>
      </c>
      <c r="H526">
        <v>52.645113000000002</v>
      </c>
      <c r="I526"/>
      <c r="N526"/>
      <c r="O526"/>
      <c r="P526" s="1">
        <f t="shared" si="51"/>
        <v>140.38608739837397</v>
      </c>
      <c r="Q526" s="1">
        <f t="shared" si="52"/>
        <v>144.37376727642277</v>
      </c>
      <c r="R526" s="1">
        <f t="shared" si="53"/>
        <v>149.15991638625474</v>
      </c>
      <c r="S526" s="1">
        <f t="shared" si="54"/>
        <v>99.728340834697221</v>
      </c>
    </row>
    <row r="527" spans="1:19" x14ac:dyDescent="0.3">
      <c r="A527">
        <v>9913.4</v>
      </c>
      <c r="B527">
        <v>146.12517199999999</v>
      </c>
      <c r="C527">
        <v>150.65371999999999</v>
      </c>
      <c r="D527">
        <v>155.44882899999999</v>
      </c>
      <c r="E527">
        <v>99.543486999999999</v>
      </c>
      <c r="F527">
        <v>74.660404</v>
      </c>
      <c r="G527">
        <v>50.083005</v>
      </c>
      <c r="H527">
        <v>52.629632999999998</v>
      </c>
      <c r="I527"/>
      <c r="N527"/>
      <c r="O527"/>
      <c r="P527" s="1">
        <f t="shared" si="51"/>
        <v>140.36042073170731</v>
      </c>
      <c r="Q527" s="1">
        <f t="shared" si="52"/>
        <v>144.34799288617884</v>
      </c>
      <c r="R527" s="1">
        <f t="shared" si="53"/>
        <v>149.17507494646682</v>
      </c>
      <c r="S527" s="1">
        <f t="shared" si="54"/>
        <v>99.936180441898529</v>
      </c>
    </row>
    <row r="528" spans="1:19" x14ac:dyDescent="0.3">
      <c r="A528">
        <v>9913.6</v>
      </c>
      <c r="B528">
        <v>146.10223400000001</v>
      </c>
      <c r="C528">
        <v>150.662015</v>
      </c>
      <c r="D528">
        <v>155.46315100000001</v>
      </c>
      <c r="E528">
        <v>99.608779999999996</v>
      </c>
      <c r="F528">
        <v>74.723059000000006</v>
      </c>
      <c r="G528">
        <v>50.083005</v>
      </c>
      <c r="H528">
        <v>52.629632999999998</v>
      </c>
      <c r="I528"/>
      <c r="N528"/>
      <c r="O528"/>
      <c r="P528" s="1">
        <f t="shared" si="51"/>
        <v>140.36042073170731</v>
      </c>
      <c r="Q528" s="1">
        <f t="shared" si="52"/>
        <v>144.34799288617884</v>
      </c>
      <c r="R528" s="1">
        <f t="shared" si="53"/>
        <v>149.17507494646682</v>
      </c>
      <c r="S528" s="1">
        <f t="shared" si="54"/>
        <v>99.936180441898529</v>
      </c>
    </row>
    <row r="529" spans="1:19" x14ac:dyDescent="0.3">
      <c r="A529">
        <v>9913.7999999999993</v>
      </c>
      <c r="B529">
        <v>146.10223400000001</v>
      </c>
      <c r="C529">
        <v>150.662015</v>
      </c>
      <c r="D529">
        <v>155.46315100000001</v>
      </c>
      <c r="E529">
        <v>99.608779999999996</v>
      </c>
      <c r="F529">
        <v>74.723059000000006</v>
      </c>
      <c r="G529">
        <v>50.075409999999998</v>
      </c>
      <c r="H529">
        <v>52.649504999999998</v>
      </c>
      <c r="I529"/>
      <c r="N529"/>
      <c r="O529"/>
      <c r="P529" s="1">
        <f t="shared" si="51"/>
        <v>140.37993495934958</v>
      </c>
      <c r="Q529" s="1">
        <f t="shared" si="52"/>
        <v>144.39077743902439</v>
      </c>
      <c r="R529" s="1">
        <f t="shared" si="53"/>
        <v>149.16982665443052</v>
      </c>
      <c r="S529" s="1">
        <f t="shared" si="54"/>
        <v>100.00019435351881</v>
      </c>
    </row>
    <row r="530" spans="1:19" x14ac:dyDescent="0.3">
      <c r="A530">
        <v>9914</v>
      </c>
      <c r="B530">
        <v>146.090317</v>
      </c>
      <c r="C530">
        <v>150.67927299999999</v>
      </c>
      <c r="D530">
        <v>155.457052</v>
      </c>
      <c r="E530">
        <v>99.767537000000004</v>
      </c>
      <c r="F530">
        <v>74.674997000000005</v>
      </c>
      <c r="G530">
        <v>50.075409999999998</v>
      </c>
      <c r="H530">
        <v>52.649504999999998</v>
      </c>
      <c r="I530" t="s">
        <v>56</v>
      </c>
      <c r="N530"/>
      <c r="O530"/>
      <c r="P530" s="1">
        <f t="shared" si="51"/>
        <v>140.37993495934958</v>
      </c>
      <c r="Q530" s="1">
        <f t="shared" si="52"/>
        <v>144.39077743902439</v>
      </c>
      <c r="R530" s="1">
        <f t="shared" si="53"/>
        <v>149.16982665443052</v>
      </c>
      <c r="S530" s="1">
        <f t="shared" si="54"/>
        <v>100.00019435351881</v>
      </c>
    </row>
    <row r="531" spans="1:19" x14ac:dyDescent="0.3">
      <c r="A531">
        <v>9914.2000000000007</v>
      </c>
      <c r="B531">
        <v>146.090317</v>
      </c>
      <c r="C531">
        <v>150.67927299999999</v>
      </c>
      <c r="D531">
        <v>155.457052</v>
      </c>
      <c r="E531">
        <v>99.767537000000004</v>
      </c>
      <c r="F531">
        <v>74.674997000000005</v>
      </c>
      <c r="G531">
        <v>50.083078999999998</v>
      </c>
      <c r="H531">
        <v>52.665928999999998</v>
      </c>
      <c r="I531"/>
      <c r="N531"/>
      <c r="O531"/>
      <c r="P531" s="1">
        <f t="shared" si="51"/>
        <v>140.35395325203251</v>
      </c>
      <c r="Q531" s="1">
        <f t="shared" si="52"/>
        <v>144.37651626016259</v>
      </c>
      <c r="R531" s="1">
        <f t="shared" si="53"/>
        <v>149.17047313143672</v>
      </c>
      <c r="S531" s="1">
        <f t="shared" si="54"/>
        <v>100.08170315057282</v>
      </c>
    </row>
    <row r="532" spans="1:19" x14ac:dyDescent="0.3">
      <c r="A532">
        <v>9914.4</v>
      </c>
      <c r="B532">
        <v>146.107212</v>
      </c>
      <c r="C532">
        <v>150.67169000000001</v>
      </c>
      <c r="D532">
        <v>155.46603500000001</v>
      </c>
      <c r="E532">
        <v>99.749617999999998</v>
      </c>
      <c r="F532">
        <v>74.614827000000005</v>
      </c>
      <c r="G532">
        <v>50.083078999999998</v>
      </c>
      <c r="H532">
        <v>52.665928999999998</v>
      </c>
      <c r="I532"/>
      <c r="N532"/>
      <c r="O532"/>
      <c r="P532" s="1">
        <f t="shared" si="51"/>
        <v>140.35395325203251</v>
      </c>
      <c r="Q532" s="1">
        <f t="shared" si="52"/>
        <v>144.37651626016259</v>
      </c>
      <c r="R532" s="1">
        <f t="shared" si="53"/>
        <v>149.17047313143672</v>
      </c>
      <c r="S532" s="1">
        <f t="shared" si="54"/>
        <v>100.08170315057282</v>
      </c>
    </row>
    <row r="533" spans="1:19" x14ac:dyDescent="0.3">
      <c r="A533">
        <v>9914.6</v>
      </c>
      <c r="B533">
        <v>146.107212</v>
      </c>
      <c r="C533">
        <v>150.67169000000001</v>
      </c>
      <c r="D533">
        <v>155.46603500000001</v>
      </c>
      <c r="E533">
        <v>99.749617999999998</v>
      </c>
      <c r="F533">
        <v>74.614827000000005</v>
      </c>
      <c r="G533">
        <v>50.077097000000002</v>
      </c>
      <c r="H533">
        <v>52.643807000000002</v>
      </c>
      <c r="I533"/>
      <c r="N533"/>
      <c r="O533"/>
      <c r="P533" s="1">
        <f t="shared" si="51"/>
        <v>140.34387499999997</v>
      </c>
      <c r="Q533" s="1">
        <f t="shared" si="52"/>
        <v>144.37302032520324</v>
      </c>
      <c r="R533" s="1">
        <f t="shared" si="53"/>
        <v>149.16200876924646</v>
      </c>
      <c r="S533" s="1">
        <f t="shared" si="54"/>
        <v>100.08129398527005</v>
      </c>
    </row>
    <row r="534" spans="1:19" x14ac:dyDescent="0.3">
      <c r="A534">
        <v>9914.7999999999993</v>
      </c>
      <c r="B534">
        <v>146.126825</v>
      </c>
      <c r="C534">
        <v>150.674317</v>
      </c>
      <c r="D534">
        <v>155.46259599999999</v>
      </c>
      <c r="E534">
        <v>99.689445000000006</v>
      </c>
      <c r="F534">
        <v>74.372742000000002</v>
      </c>
      <c r="G534">
        <v>50.077097000000002</v>
      </c>
      <c r="H534">
        <v>52.643807000000002</v>
      </c>
      <c r="I534"/>
      <c r="N534"/>
      <c r="O534"/>
      <c r="P534" s="1">
        <f t="shared" si="51"/>
        <v>140.34387499999997</v>
      </c>
      <c r="Q534" s="1">
        <f t="shared" si="52"/>
        <v>144.37302032520324</v>
      </c>
      <c r="R534" s="1">
        <f t="shared" si="53"/>
        <v>149.16200876924646</v>
      </c>
      <c r="S534" s="1">
        <f t="shared" si="54"/>
        <v>100.08129398527005</v>
      </c>
    </row>
    <row r="535" spans="1:19" x14ac:dyDescent="0.3">
      <c r="A535">
        <v>9915</v>
      </c>
      <c r="B535">
        <v>146.126825</v>
      </c>
      <c r="C535">
        <v>150.674317</v>
      </c>
      <c r="D535">
        <v>155.46259599999999</v>
      </c>
      <c r="E535">
        <v>99.689445000000006</v>
      </c>
      <c r="F535">
        <v>74.372742000000002</v>
      </c>
      <c r="G535">
        <v>50.074612000000002</v>
      </c>
      <c r="H535">
        <v>52.634866000000002</v>
      </c>
      <c r="I535" t="s">
        <v>56</v>
      </c>
      <c r="N535"/>
      <c r="O535"/>
      <c r="P535" s="1">
        <f t="shared" si="51"/>
        <v>140.36840853658535</v>
      </c>
      <c r="Q535" s="1">
        <f t="shared" si="52"/>
        <v>144.38677337398374</v>
      </c>
      <c r="R535" s="1">
        <f t="shared" si="53"/>
        <v>149.18404201080864</v>
      </c>
      <c r="S535" s="1">
        <f t="shared" si="54"/>
        <v>99.886388093289682</v>
      </c>
    </row>
    <row r="536" spans="1:19" x14ac:dyDescent="0.3">
      <c r="A536">
        <v>9915.2000000000007</v>
      </c>
      <c r="B536">
        <v>146.14291700000001</v>
      </c>
      <c r="C536">
        <v>150.675513</v>
      </c>
      <c r="D536">
        <v>155.45982699999999</v>
      </c>
      <c r="E536">
        <v>99.637816000000001</v>
      </c>
      <c r="F536">
        <v>74.176956000000004</v>
      </c>
      <c r="G536">
        <v>50.074612000000002</v>
      </c>
      <c r="H536">
        <v>52.634866000000002</v>
      </c>
      <c r="I536"/>
      <c r="N536"/>
      <c r="O536"/>
      <c r="P536" s="1">
        <f t="shared" si="51"/>
        <v>140.36840853658535</v>
      </c>
      <c r="Q536" s="1">
        <f t="shared" si="52"/>
        <v>144.38677337398374</v>
      </c>
      <c r="R536" s="1">
        <f t="shared" si="53"/>
        <v>149.18404201080864</v>
      </c>
      <c r="S536" s="1">
        <f t="shared" si="54"/>
        <v>99.886388093289682</v>
      </c>
    </row>
    <row r="537" spans="1:19" x14ac:dyDescent="0.3">
      <c r="A537">
        <v>9915.4</v>
      </c>
      <c r="B537">
        <v>146.14291700000001</v>
      </c>
      <c r="C537">
        <v>150.675513</v>
      </c>
      <c r="D537">
        <v>155.45982699999999</v>
      </c>
      <c r="E537">
        <v>99.637816000000001</v>
      </c>
      <c r="F537">
        <v>74.176956000000004</v>
      </c>
      <c r="G537">
        <v>50.068655999999997</v>
      </c>
      <c r="H537">
        <v>52.649222000000002</v>
      </c>
      <c r="I537"/>
      <c r="N537"/>
      <c r="O537"/>
      <c r="P537" s="1">
        <f t="shared" si="51"/>
        <v>140.39402439024389</v>
      </c>
      <c r="Q537" s="1">
        <f t="shared" si="52"/>
        <v>144.39948373983739</v>
      </c>
      <c r="R537" s="1">
        <f t="shared" si="53"/>
        <v>149.16717650657694</v>
      </c>
      <c r="S537" s="1">
        <f t="shared" si="54"/>
        <v>99.950147299508998</v>
      </c>
    </row>
    <row r="538" spans="1:19" x14ac:dyDescent="0.3">
      <c r="A538">
        <v>9915.6</v>
      </c>
      <c r="B538">
        <v>146.12947800000001</v>
      </c>
      <c r="C538">
        <v>150.68235799999999</v>
      </c>
      <c r="D538">
        <v>155.470608</v>
      </c>
      <c r="E538">
        <v>99.604723000000007</v>
      </c>
      <c r="F538">
        <v>74.312804999999997</v>
      </c>
      <c r="G538">
        <v>50.068655999999997</v>
      </c>
      <c r="H538">
        <v>52.649222000000002</v>
      </c>
      <c r="I538"/>
      <c r="N538"/>
      <c r="O538"/>
      <c r="P538" s="1">
        <f t="shared" si="51"/>
        <v>140.39402439024389</v>
      </c>
      <c r="Q538" s="1">
        <f t="shared" si="52"/>
        <v>144.39948373983739</v>
      </c>
      <c r="R538" s="1">
        <f t="shared" si="53"/>
        <v>149.16717650657694</v>
      </c>
      <c r="S538" s="1">
        <f t="shared" si="54"/>
        <v>99.950147299508998</v>
      </c>
    </row>
    <row r="539" spans="1:19" x14ac:dyDescent="0.3">
      <c r="A539">
        <v>9915.7999999999993</v>
      </c>
      <c r="B539">
        <v>146.12947800000001</v>
      </c>
      <c r="C539">
        <v>150.68235799999999</v>
      </c>
      <c r="D539">
        <v>155.470608</v>
      </c>
      <c r="E539">
        <v>99.604723000000007</v>
      </c>
      <c r="F539">
        <v>74.312804999999997</v>
      </c>
      <c r="G539">
        <v>50.079033000000003</v>
      </c>
      <c r="H539">
        <v>52.631436000000001</v>
      </c>
      <c r="I539"/>
      <c r="N539"/>
      <c r="O539"/>
      <c r="P539" s="1">
        <f t="shared" si="51"/>
        <v>140.38851524390242</v>
      </c>
      <c r="Q539" s="1">
        <f t="shared" si="52"/>
        <v>144.38850914634148</v>
      </c>
      <c r="R539" s="1">
        <f t="shared" si="53"/>
        <v>149.17063526052823</v>
      </c>
      <c r="S539" s="1">
        <f t="shared" si="54"/>
        <v>99.986004500818325</v>
      </c>
    </row>
    <row r="540" spans="1:19" x14ac:dyDescent="0.3">
      <c r="A540">
        <v>9916</v>
      </c>
      <c r="B540">
        <v>146.117266</v>
      </c>
      <c r="C540">
        <v>150.68295499999999</v>
      </c>
      <c r="D540">
        <v>155.462583</v>
      </c>
      <c r="E540">
        <v>99.710183999999998</v>
      </c>
      <c r="F540">
        <v>74.276137000000006</v>
      </c>
      <c r="G540">
        <v>50.079033000000003</v>
      </c>
      <c r="H540">
        <v>52.631436000000001</v>
      </c>
      <c r="I540" t="s">
        <v>56</v>
      </c>
      <c r="N540"/>
      <c r="O540"/>
      <c r="P540" s="1">
        <f t="shared" si="51"/>
        <v>140.38851524390242</v>
      </c>
      <c r="Q540" s="1">
        <f t="shared" si="52"/>
        <v>144.38850914634148</v>
      </c>
      <c r="R540" s="1">
        <f t="shared" si="53"/>
        <v>149.17063526052823</v>
      </c>
      <c r="S540" s="1">
        <f t="shared" si="54"/>
        <v>99.986004500818325</v>
      </c>
    </row>
    <row r="541" spans="1:19" x14ac:dyDescent="0.3">
      <c r="A541">
        <v>9916.2000000000007</v>
      </c>
      <c r="B541">
        <v>146.117266</v>
      </c>
      <c r="C541">
        <v>150.68295499999999</v>
      </c>
      <c r="D541">
        <v>155.462583</v>
      </c>
      <c r="E541">
        <v>99.710183999999998</v>
      </c>
      <c r="F541">
        <v>74.276137000000006</v>
      </c>
      <c r="G541">
        <v>50.079866000000003</v>
      </c>
      <c r="H541">
        <v>52.637112000000002</v>
      </c>
      <c r="I541"/>
      <c r="N541"/>
      <c r="O541"/>
      <c r="P541" s="1">
        <f t="shared" si="51"/>
        <v>140.39482418699185</v>
      </c>
      <c r="Q541" s="1">
        <f t="shared" si="52"/>
        <v>144.40667581300815</v>
      </c>
      <c r="R541" s="1">
        <f t="shared" si="53"/>
        <v>149.16679718568369</v>
      </c>
      <c r="S541" s="1">
        <f t="shared" si="54"/>
        <v>100.01245090016366</v>
      </c>
    </row>
    <row r="542" spans="1:19" x14ac:dyDescent="0.3">
      <c r="A542">
        <v>9916.4</v>
      </c>
      <c r="B542">
        <v>146.118427</v>
      </c>
      <c r="C542">
        <v>150.65115499999999</v>
      </c>
      <c r="D542">
        <v>155.455825</v>
      </c>
      <c r="E542">
        <v>99.739504999999994</v>
      </c>
      <c r="F542">
        <v>73.979133000000004</v>
      </c>
      <c r="G542">
        <v>50.079866000000003</v>
      </c>
      <c r="H542">
        <v>52.637112000000002</v>
      </c>
      <c r="I542"/>
      <c r="N542"/>
      <c r="O542"/>
      <c r="P542" s="1">
        <f t="shared" si="51"/>
        <v>140.39482418699185</v>
      </c>
      <c r="Q542" s="1">
        <f t="shared" si="52"/>
        <v>144.40667581300815</v>
      </c>
      <c r="R542" s="1">
        <f t="shared" si="53"/>
        <v>149.16679718568369</v>
      </c>
      <c r="S542" s="1">
        <f t="shared" si="54"/>
        <v>100.01245090016366</v>
      </c>
    </row>
    <row r="543" spans="1:19" x14ac:dyDescent="0.3">
      <c r="A543">
        <v>9916.6</v>
      </c>
      <c r="B543">
        <v>146.118427</v>
      </c>
      <c r="C543">
        <v>150.65115499999999</v>
      </c>
      <c r="D543">
        <v>155.455825</v>
      </c>
      <c r="E543">
        <v>99.739504999999994</v>
      </c>
      <c r="F543">
        <v>73.979133000000004</v>
      </c>
      <c r="G543">
        <v>50.04824</v>
      </c>
      <c r="H543">
        <v>52.635762999999997</v>
      </c>
      <c r="I543"/>
      <c r="N543"/>
      <c r="O543"/>
      <c r="P543" s="1">
        <f t="shared" si="51"/>
        <v>149.27042682926827</v>
      </c>
      <c r="Q543" s="1">
        <f t="shared" si="52"/>
        <v>153.89648170731707</v>
      </c>
      <c r="R543" s="1">
        <f t="shared" si="53"/>
        <v>159.34425410421127</v>
      </c>
      <c r="S543" s="1">
        <f t="shared" si="54"/>
        <v>102.87821808510638</v>
      </c>
    </row>
    <row r="544" spans="1:19" x14ac:dyDescent="0.3">
      <c r="A544">
        <v>9916.7999999999993</v>
      </c>
      <c r="B544">
        <v>146.11274399999999</v>
      </c>
      <c r="C544">
        <v>150.65737200000001</v>
      </c>
      <c r="D544">
        <v>155.46388200000001</v>
      </c>
      <c r="E544">
        <v>99.535731999999996</v>
      </c>
      <c r="F544">
        <v>73.983479000000003</v>
      </c>
      <c r="G544">
        <v>50.04824</v>
      </c>
      <c r="H544">
        <v>52.635762999999997</v>
      </c>
      <c r="I544"/>
      <c r="N544"/>
      <c r="O544"/>
      <c r="P544" s="1">
        <f t="shared" si="51"/>
        <v>149.30047967479672</v>
      </c>
      <c r="Q544" s="1">
        <f t="shared" si="52"/>
        <v>153.90266260162599</v>
      </c>
      <c r="R544" s="1">
        <f t="shared" si="53"/>
        <v>159.3342806158866</v>
      </c>
      <c r="S544" s="1">
        <f t="shared" si="54"/>
        <v>102.76931976268412</v>
      </c>
    </row>
    <row r="545" spans="1:19" x14ac:dyDescent="0.3">
      <c r="A545">
        <v>9917</v>
      </c>
      <c r="B545">
        <v>146.11274399999999</v>
      </c>
      <c r="C545">
        <v>150.65737200000001</v>
      </c>
      <c r="D545">
        <v>155.46388200000001</v>
      </c>
      <c r="E545">
        <v>99.535731999999996</v>
      </c>
      <c r="F545">
        <v>73.983479000000003</v>
      </c>
      <c r="G545">
        <v>50.073909999999998</v>
      </c>
      <c r="H545">
        <v>52.648468999999999</v>
      </c>
      <c r="I545" t="s">
        <v>56</v>
      </c>
      <c r="N545"/>
      <c r="O545"/>
      <c r="P545" s="1">
        <f t="shared" si="51"/>
        <v>149.30047967479672</v>
      </c>
      <c r="Q545" s="1">
        <f t="shared" si="52"/>
        <v>153.90266260162599</v>
      </c>
      <c r="R545" s="1">
        <f t="shared" si="53"/>
        <v>159.3342806158866</v>
      </c>
      <c r="S545" s="1">
        <f t="shared" si="54"/>
        <v>102.76931976268412</v>
      </c>
    </row>
    <row r="546" spans="1:19" x14ac:dyDescent="0.3">
      <c r="A546">
        <v>9917.2000000000007</v>
      </c>
      <c r="B546">
        <v>146.11382900000001</v>
      </c>
      <c r="C546">
        <v>150.653786</v>
      </c>
      <c r="D546">
        <v>155.47312099999999</v>
      </c>
      <c r="E546">
        <v>99.674599000000001</v>
      </c>
      <c r="F546">
        <v>74.412578999999994</v>
      </c>
      <c r="G546">
        <v>50.073909999999998</v>
      </c>
      <c r="H546">
        <v>52.648468999999999</v>
      </c>
      <c r="I546"/>
      <c r="N546"/>
      <c r="O546"/>
      <c r="P546" s="1">
        <f t="shared" si="51"/>
        <v>149.277168699187</v>
      </c>
      <c r="Q546" s="1">
        <f t="shared" si="52"/>
        <v>153.91109247967478</v>
      </c>
      <c r="R546" s="1">
        <f t="shared" si="53"/>
        <v>159.34888447027635</v>
      </c>
      <c r="S546" s="1">
        <f t="shared" si="54"/>
        <v>102.83610883797053</v>
      </c>
    </row>
    <row r="547" spans="1:19" x14ac:dyDescent="0.3">
      <c r="A547">
        <v>9917.4</v>
      </c>
      <c r="B547">
        <v>146.11382900000001</v>
      </c>
      <c r="C547">
        <v>150.653786</v>
      </c>
      <c r="D547">
        <v>155.47312099999999</v>
      </c>
      <c r="E547">
        <v>99.674599000000001</v>
      </c>
      <c r="F547">
        <v>74.412578999999994</v>
      </c>
      <c r="G547">
        <v>50.066135000000003</v>
      </c>
      <c r="H547">
        <v>52.637939000000003</v>
      </c>
      <c r="I547"/>
      <c r="N547"/>
      <c r="O547"/>
      <c r="P547" s="1">
        <f t="shared" si="51"/>
        <v>149.277168699187</v>
      </c>
      <c r="Q547" s="1">
        <f t="shared" si="52"/>
        <v>153.91109247967478</v>
      </c>
      <c r="R547" s="1">
        <f t="shared" si="53"/>
        <v>159.34888447027635</v>
      </c>
      <c r="S547" s="1">
        <f t="shared" si="54"/>
        <v>102.83610883797053</v>
      </c>
    </row>
    <row r="548" spans="1:19" x14ac:dyDescent="0.3">
      <c r="A548">
        <v>9917.6</v>
      </c>
      <c r="B548">
        <v>146.12705399999999</v>
      </c>
      <c r="C548">
        <v>150.69044500000001</v>
      </c>
      <c r="D548">
        <v>155.46305799999999</v>
      </c>
      <c r="E548">
        <v>99.856592000000006</v>
      </c>
      <c r="F548">
        <v>74.685661999999994</v>
      </c>
      <c r="G548">
        <v>50.066135000000003</v>
      </c>
      <c r="H548">
        <v>52.637939000000003</v>
      </c>
      <c r="I548"/>
      <c r="N548"/>
      <c r="O548"/>
      <c r="P548" s="1">
        <f t="shared" si="51"/>
        <v>149.26505792682926</v>
      </c>
      <c r="Q548" s="1">
        <f t="shared" si="52"/>
        <v>153.92863109756095</v>
      </c>
      <c r="R548" s="1">
        <f t="shared" si="53"/>
        <v>159.34266544305089</v>
      </c>
      <c r="S548" s="1">
        <f t="shared" si="54"/>
        <v>102.99850347790507</v>
      </c>
    </row>
    <row r="549" spans="1:19" x14ac:dyDescent="0.3">
      <c r="A549">
        <v>9917.7999999999993</v>
      </c>
      <c r="B549">
        <v>146.12705399999999</v>
      </c>
      <c r="C549">
        <v>150.69044500000001</v>
      </c>
      <c r="D549">
        <v>155.46305799999999</v>
      </c>
      <c r="E549">
        <v>99.856592000000006</v>
      </c>
      <c r="F549">
        <v>74.685661999999994</v>
      </c>
      <c r="G549">
        <v>50.075125999999997</v>
      </c>
      <c r="H549">
        <v>52.629841999999996</v>
      </c>
      <c r="I549"/>
      <c r="N549"/>
      <c r="O549"/>
      <c r="P549" s="1">
        <f t="shared" si="51"/>
        <v>149.26505792682926</v>
      </c>
      <c r="Q549" s="1">
        <f t="shared" si="52"/>
        <v>153.92863109756095</v>
      </c>
      <c r="R549" s="1">
        <f t="shared" si="53"/>
        <v>159.34266544305089</v>
      </c>
      <c r="S549" s="1">
        <f t="shared" si="54"/>
        <v>102.99850347790507</v>
      </c>
    </row>
    <row r="550" spans="1:19" x14ac:dyDescent="0.3">
      <c r="A550">
        <v>9918</v>
      </c>
      <c r="B550">
        <v>146.12800899999999</v>
      </c>
      <c r="C550">
        <v>150.67012800000001</v>
      </c>
      <c r="D550">
        <v>155.484745</v>
      </c>
      <c r="E550">
        <v>99.814655999999999</v>
      </c>
      <c r="F550">
        <v>74.707009999999997</v>
      </c>
      <c r="G550">
        <v>50.075125999999997</v>
      </c>
      <c r="H550">
        <v>52.629841999999996</v>
      </c>
      <c r="I550" t="s">
        <v>56</v>
      </c>
      <c r="N550"/>
      <c r="O550"/>
      <c r="P550" s="1">
        <f t="shared" si="51"/>
        <v>149.28222764227641</v>
      </c>
      <c r="Q550" s="1">
        <f t="shared" si="52"/>
        <v>153.92092479674798</v>
      </c>
      <c r="R550" s="1">
        <f t="shared" si="53"/>
        <v>159.35182522687879</v>
      </c>
      <c r="S550" s="1">
        <f t="shared" si="54"/>
        <v>102.98017389525367</v>
      </c>
    </row>
    <row r="551" spans="1:19" x14ac:dyDescent="0.3">
      <c r="A551">
        <v>9918.2000000000007</v>
      </c>
      <c r="B551">
        <v>146.12800899999999</v>
      </c>
      <c r="C551">
        <v>150.67012800000001</v>
      </c>
      <c r="D551">
        <v>155.484745</v>
      </c>
      <c r="E551">
        <v>99.814655999999999</v>
      </c>
      <c r="F551">
        <v>74.707009999999997</v>
      </c>
      <c r="G551">
        <v>50.057214000000002</v>
      </c>
      <c r="H551">
        <v>52.649797</v>
      </c>
      <c r="I551"/>
      <c r="N551"/>
      <c r="O551"/>
      <c r="P551" s="1">
        <f t="shared" si="51"/>
        <v>149.28222764227641</v>
      </c>
      <c r="Q551" s="1">
        <f t="shared" si="52"/>
        <v>153.92092479674798</v>
      </c>
      <c r="R551" s="1">
        <f t="shared" si="53"/>
        <v>159.35182522687879</v>
      </c>
      <c r="S551" s="1">
        <f t="shared" si="54"/>
        <v>102.98017389525367</v>
      </c>
    </row>
    <row r="552" spans="1:19" x14ac:dyDescent="0.3">
      <c r="A552">
        <v>9918.4</v>
      </c>
      <c r="B552">
        <v>146.127409</v>
      </c>
      <c r="C552">
        <v>150.68472299999999</v>
      </c>
      <c r="D552">
        <v>155.474827</v>
      </c>
      <c r="E552">
        <v>99.675573999999997</v>
      </c>
      <c r="F552">
        <v>74.443771999999996</v>
      </c>
      <c r="G552">
        <v>50.057214000000002</v>
      </c>
      <c r="H552">
        <v>52.649797</v>
      </c>
      <c r="I552"/>
      <c r="N552"/>
      <c r="O552"/>
      <c r="P552" s="1">
        <f t="shared" si="51"/>
        <v>149.30215955284552</v>
      </c>
      <c r="Q552" s="1">
        <f t="shared" si="52"/>
        <v>153.92359451219511</v>
      </c>
      <c r="R552" s="1">
        <f t="shared" si="53"/>
        <v>159.34831854797594</v>
      </c>
      <c r="S552" s="1">
        <f t="shared" si="54"/>
        <v>102.91862213584288</v>
      </c>
    </row>
    <row r="553" spans="1:19" x14ac:dyDescent="0.3">
      <c r="A553">
        <v>9918.6</v>
      </c>
      <c r="B553">
        <v>146.127409</v>
      </c>
      <c r="C553">
        <v>150.68472299999999</v>
      </c>
      <c r="D553">
        <v>155.474827</v>
      </c>
      <c r="E553">
        <v>99.675573999999997</v>
      </c>
      <c r="F553">
        <v>74.443771999999996</v>
      </c>
      <c r="G553">
        <v>50.075282999999999</v>
      </c>
      <c r="H553">
        <v>52.638074000000003</v>
      </c>
      <c r="I553"/>
      <c r="N553"/>
      <c r="O553"/>
      <c r="P553" s="1">
        <f t="shared" si="51"/>
        <v>149.30215955284552</v>
      </c>
      <c r="Q553" s="1">
        <f t="shared" si="52"/>
        <v>153.92359451219511</v>
      </c>
      <c r="R553" s="1">
        <f t="shared" si="53"/>
        <v>159.34831854797594</v>
      </c>
      <c r="S553" s="1">
        <f t="shared" si="54"/>
        <v>102.91862213584288</v>
      </c>
    </row>
    <row r="554" spans="1:19" x14ac:dyDescent="0.3">
      <c r="A554">
        <v>9918.7999999999993</v>
      </c>
      <c r="B554">
        <v>146.12705800000001</v>
      </c>
      <c r="C554">
        <v>150.681331</v>
      </c>
      <c r="D554">
        <v>155.457471</v>
      </c>
      <c r="E554">
        <v>99.475395000000006</v>
      </c>
      <c r="F554">
        <v>74.291668999999999</v>
      </c>
      <c r="G554">
        <v>50.075282999999999</v>
      </c>
      <c r="H554">
        <v>52.638074000000003</v>
      </c>
      <c r="I554"/>
      <c r="N554"/>
      <c r="O554"/>
      <c r="P554" s="1">
        <f t="shared" si="51"/>
        <v>149.31851321138211</v>
      </c>
      <c r="Q554" s="1">
        <f t="shared" si="52"/>
        <v>153.92480995934957</v>
      </c>
      <c r="R554" s="1">
        <f t="shared" si="53"/>
        <v>159.34549505455286</v>
      </c>
      <c r="S554" s="1">
        <f t="shared" si="54"/>
        <v>102.86581014729951</v>
      </c>
    </row>
    <row r="555" spans="1:19" x14ac:dyDescent="0.3">
      <c r="A555">
        <v>9919</v>
      </c>
      <c r="B555">
        <v>146.12705800000001</v>
      </c>
      <c r="C555">
        <v>150.681331</v>
      </c>
      <c r="D555">
        <v>155.457471</v>
      </c>
      <c r="E555">
        <v>99.475395000000006</v>
      </c>
      <c r="F555">
        <v>74.291668999999999</v>
      </c>
      <c r="G555">
        <v>50.082500000000003</v>
      </c>
      <c r="H555">
        <v>52.656813999999997</v>
      </c>
      <c r="I555" t="s">
        <v>56</v>
      </c>
      <c r="N555"/>
      <c r="O555"/>
      <c r="P555" s="1">
        <f t="shared" si="51"/>
        <v>149.31851321138211</v>
      </c>
      <c r="Q555" s="1">
        <f t="shared" si="52"/>
        <v>153.92480995934957</v>
      </c>
      <c r="R555" s="1">
        <f t="shared" si="53"/>
        <v>159.34549505455286</v>
      </c>
      <c r="S555" s="1">
        <f t="shared" si="54"/>
        <v>102.86581014729951</v>
      </c>
    </row>
    <row r="556" spans="1:19" x14ac:dyDescent="0.3">
      <c r="A556">
        <v>9919.2000000000007</v>
      </c>
      <c r="B556">
        <v>146.12634299999999</v>
      </c>
      <c r="C556">
        <v>150.66237699999999</v>
      </c>
      <c r="D556">
        <v>155.45838599999999</v>
      </c>
      <c r="E556">
        <v>99.706119999999999</v>
      </c>
      <c r="F556">
        <v>74.455951999999996</v>
      </c>
      <c r="G556">
        <v>50.082500000000003</v>
      </c>
      <c r="H556">
        <v>52.656813999999997</v>
      </c>
      <c r="I556"/>
      <c r="N556"/>
      <c r="O556"/>
      <c r="P556" s="1">
        <f t="shared" ref="P556:P619" si="55">(B538+Q$36)/P$36</f>
        <v>149.3048556910569</v>
      </c>
      <c r="Q556" s="1">
        <f t="shared" ref="Q556:Q619" si="56">(C538+Q$36)/P$36</f>
        <v>153.93176626016259</v>
      </c>
      <c r="R556" s="1">
        <f t="shared" ref="R556:R619" si="57">(D538+Q$38)/P$38</f>
        <v>159.35648822269809</v>
      </c>
      <c r="S556" s="1">
        <f t="shared" ref="S556:S619" si="58">(E538+Q$39)/P$39</f>
        <v>102.83195887888708</v>
      </c>
    </row>
    <row r="557" spans="1:19" x14ac:dyDescent="0.3">
      <c r="A557">
        <v>9919.4</v>
      </c>
      <c r="B557">
        <v>146.12634299999999</v>
      </c>
      <c r="C557">
        <v>150.66237699999999</v>
      </c>
      <c r="D557">
        <v>155.45838599999999</v>
      </c>
      <c r="E557">
        <v>99.706119999999999</v>
      </c>
      <c r="F557">
        <v>74.455951999999996</v>
      </c>
      <c r="G557">
        <v>50.058365000000002</v>
      </c>
      <c r="H557">
        <v>52.651408000000004</v>
      </c>
      <c r="I557"/>
      <c r="N557"/>
      <c r="O557"/>
      <c r="P557" s="1">
        <f t="shared" si="55"/>
        <v>149.3048556910569</v>
      </c>
      <c r="Q557" s="1">
        <f t="shared" si="56"/>
        <v>153.93176626016259</v>
      </c>
      <c r="R557" s="1">
        <f t="shared" si="57"/>
        <v>159.35648822269809</v>
      </c>
      <c r="S557" s="1">
        <f t="shared" si="58"/>
        <v>102.83195887888708</v>
      </c>
    </row>
    <row r="558" spans="1:19" x14ac:dyDescent="0.3">
      <c r="A558">
        <v>9919.6</v>
      </c>
      <c r="B558">
        <v>146.12427700000001</v>
      </c>
      <c r="C558">
        <v>150.693736</v>
      </c>
      <c r="D558">
        <v>155.468433</v>
      </c>
      <c r="E558">
        <v>99.849615999999997</v>
      </c>
      <c r="F558">
        <v>74.404884999999993</v>
      </c>
      <c r="G558">
        <v>50.058365000000002</v>
      </c>
      <c r="H558">
        <v>52.651408000000004</v>
      </c>
      <c r="I558"/>
      <c r="N558"/>
      <c r="O558"/>
      <c r="P558" s="1">
        <f t="shared" si="55"/>
        <v>149.2924451219512</v>
      </c>
      <c r="Q558" s="1">
        <f t="shared" si="56"/>
        <v>153.93237296747967</v>
      </c>
      <c r="R558" s="1">
        <f t="shared" si="57"/>
        <v>159.34830529213826</v>
      </c>
      <c r="S558" s="1">
        <f t="shared" si="58"/>
        <v>102.93983633387889</v>
      </c>
    </row>
    <row r="559" spans="1:19" x14ac:dyDescent="0.3">
      <c r="A559">
        <v>9919.7999999999993</v>
      </c>
      <c r="B559">
        <v>146.12427700000001</v>
      </c>
      <c r="C559">
        <v>150.693736</v>
      </c>
      <c r="D559">
        <v>155.468433</v>
      </c>
      <c r="E559">
        <v>99.849615999999997</v>
      </c>
      <c r="F559">
        <v>74.404884999999993</v>
      </c>
      <c r="G559">
        <v>50.078570999999997</v>
      </c>
      <c r="H559">
        <v>52.645740000000004</v>
      </c>
      <c r="I559"/>
      <c r="N559"/>
      <c r="O559"/>
      <c r="P559" s="1">
        <f t="shared" si="55"/>
        <v>149.2924451219512</v>
      </c>
      <c r="Q559" s="1">
        <f t="shared" si="56"/>
        <v>153.93237296747967</v>
      </c>
      <c r="R559" s="1">
        <f t="shared" si="57"/>
        <v>159.34830529213826</v>
      </c>
      <c r="S559" s="1">
        <f t="shared" si="58"/>
        <v>102.93983633387889</v>
      </c>
    </row>
    <row r="560" spans="1:19" x14ac:dyDescent="0.3">
      <c r="A560">
        <v>9920</v>
      </c>
      <c r="B560">
        <v>146.140772</v>
      </c>
      <c r="C560">
        <v>150.67896999999999</v>
      </c>
      <c r="D560">
        <v>155.48423700000001</v>
      </c>
      <c r="E560">
        <v>99.782583000000002</v>
      </c>
      <c r="F560">
        <v>74.255266000000006</v>
      </c>
      <c r="G560">
        <v>50.078570999999997</v>
      </c>
      <c r="H560">
        <v>52.645740000000004</v>
      </c>
      <c r="I560" t="s">
        <v>56</v>
      </c>
      <c r="N560"/>
      <c r="O560"/>
      <c r="P560" s="1">
        <f t="shared" si="55"/>
        <v>149.29362499999999</v>
      </c>
      <c r="Q560" s="1">
        <f t="shared" si="56"/>
        <v>153.90005589430893</v>
      </c>
      <c r="R560" s="1">
        <f t="shared" si="57"/>
        <v>159.34141429591111</v>
      </c>
      <c r="S560" s="1">
        <f t="shared" si="58"/>
        <v>102.96982917348608</v>
      </c>
    </row>
    <row r="561" spans="1:19" x14ac:dyDescent="0.3">
      <c r="A561">
        <v>9920.2000000000007</v>
      </c>
      <c r="B561">
        <v>146.140772</v>
      </c>
      <c r="C561">
        <v>150.67896999999999</v>
      </c>
      <c r="D561">
        <v>155.48423700000001</v>
      </c>
      <c r="E561">
        <v>99.782583000000002</v>
      </c>
      <c r="F561">
        <v>74.255266000000006</v>
      </c>
      <c r="G561">
        <v>50.065655999999997</v>
      </c>
      <c r="H561">
        <v>52.641613</v>
      </c>
      <c r="I561"/>
      <c r="N561"/>
      <c r="O561"/>
      <c r="P561" s="1">
        <f t="shared" si="55"/>
        <v>149.29362499999999</v>
      </c>
      <c r="Q561" s="1">
        <f t="shared" si="56"/>
        <v>153.90005589430893</v>
      </c>
      <c r="R561" s="1">
        <f t="shared" si="57"/>
        <v>159.34141429591111</v>
      </c>
      <c r="S561" s="1">
        <f t="shared" si="58"/>
        <v>102.96982917348608</v>
      </c>
    </row>
    <row r="562" spans="1:19" x14ac:dyDescent="0.3">
      <c r="A562">
        <v>9920.4</v>
      </c>
      <c r="B562">
        <v>146.11473699999999</v>
      </c>
      <c r="C562">
        <v>150.69280699999999</v>
      </c>
      <c r="D562">
        <v>155.469371</v>
      </c>
      <c r="E562">
        <v>99.808340000000001</v>
      </c>
      <c r="F562">
        <v>74.285196999999997</v>
      </c>
      <c r="G562">
        <v>50.065655999999997</v>
      </c>
      <c r="H562">
        <v>52.641613</v>
      </c>
      <c r="I562"/>
      <c r="N562"/>
      <c r="O562"/>
      <c r="P562" s="1">
        <f t="shared" si="55"/>
        <v>149.28784959349591</v>
      </c>
      <c r="Q562" s="1">
        <f t="shared" si="56"/>
        <v>153.90637398373983</v>
      </c>
      <c r="R562" s="1">
        <f t="shared" si="57"/>
        <v>159.34962985622516</v>
      </c>
      <c r="S562" s="1">
        <f t="shared" si="58"/>
        <v>102.76138707037643</v>
      </c>
    </row>
    <row r="563" spans="1:19" x14ac:dyDescent="0.3">
      <c r="A563">
        <v>9920.6</v>
      </c>
      <c r="B563">
        <v>146.11473699999999</v>
      </c>
      <c r="C563">
        <v>150.69280699999999</v>
      </c>
      <c r="D563">
        <v>155.469371</v>
      </c>
      <c r="E563">
        <v>99.808340000000001</v>
      </c>
      <c r="F563">
        <v>74.285196999999997</v>
      </c>
      <c r="G563">
        <v>50.066999000000003</v>
      </c>
      <c r="H563">
        <v>52.625419999999998</v>
      </c>
      <c r="I563"/>
      <c r="N563"/>
      <c r="O563"/>
      <c r="P563" s="1">
        <f t="shared" si="55"/>
        <v>149.28784959349591</v>
      </c>
      <c r="Q563" s="1">
        <f t="shared" si="56"/>
        <v>153.90637398373983</v>
      </c>
      <c r="R563" s="1">
        <f t="shared" si="57"/>
        <v>159.34962985622516</v>
      </c>
      <c r="S563" s="1">
        <f t="shared" si="58"/>
        <v>102.76138707037643</v>
      </c>
    </row>
    <row r="564" spans="1:19" x14ac:dyDescent="0.3">
      <c r="A564">
        <v>9920.7999999999993</v>
      </c>
      <c r="B564">
        <v>146.13155699999999</v>
      </c>
      <c r="C564">
        <v>150.66550799999999</v>
      </c>
      <c r="D564">
        <v>155.47664800000001</v>
      </c>
      <c r="E564">
        <v>99.676885999999996</v>
      </c>
      <c r="F564">
        <v>74.365492000000003</v>
      </c>
      <c r="G564">
        <v>50.066999000000003</v>
      </c>
      <c r="H564">
        <v>52.625419999999998</v>
      </c>
      <c r="I564"/>
      <c r="N564"/>
      <c r="O564"/>
      <c r="P564" s="1">
        <f t="shared" si="55"/>
        <v>149.28895223577237</v>
      </c>
      <c r="Q564" s="1">
        <f t="shared" si="56"/>
        <v>153.90272967479675</v>
      </c>
      <c r="R564" s="1">
        <f t="shared" si="57"/>
        <v>159.35905067808707</v>
      </c>
      <c r="S564" s="1">
        <f t="shared" si="58"/>
        <v>102.90343596563011</v>
      </c>
    </row>
    <row r="565" spans="1:19" x14ac:dyDescent="0.3">
      <c r="A565">
        <v>9921</v>
      </c>
      <c r="B565">
        <v>146.13155699999999</v>
      </c>
      <c r="C565">
        <v>150.66550799999999</v>
      </c>
      <c r="D565">
        <v>155.47664800000001</v>
      </c>
      <c r="E565">
        <v>99.676885999999996</v>
      </c>
      <c r="F565">
        <v>74.365492000000003</v>
      </c>
      <c r="G565">
        <v>50.067290999999997</v>
      </c>
      <c r="H565">
        <v>52.636555000000001</v>
      </c>
      <c r="I565" t="s">
        <v>56</v>
      </c>
      <c r="N565"/>
      <c r="O565"/>
      <c r="P565" s="1">
        <f t="shared" si="55"/>
        <v>149.28895223577237</v>
      </c>
      <c r="Q565" s="1">
        <f t="shared" si="56"/>
        <v>153.90272967479675</v>
      </c>
      <c r="R565" s="1">
        <f t="shared" si="57"/>
        <v>159.35905067808707</v>
      </c>
      <c r="S565" s="1">
        <f t="shared" si="58"/>
        <v>102.90343596563011</v>
      </c>
    </row>
    <row r="566" spans="1:19" x14ac:dyDescent="0.3">
      <c r="A566">
        <v>9921.2000000000007</v>
      </c>
      <c r="B566">
        <v>146.13350500000001</v>
      </c>
      <c r="C566">
        <v>150.69832600000001</v>
      </c>
      <c r="D566">
        <v>155.49746500000001</v>
      </c>
      <c r="E566">
        <v>99.675841000000005</v>
      </c>
      <c r="F566">
        <v>74.193055999999999</v>
      </c>
      <c r="G566">
        <v>50.067290999999997</v>
      </c>
      <c r="H566">
        <v>52.636555000000001</v>
      </c>
      <c r="I566"/>
      <c r="N566"/>
      <c r="O566"/>
      <c r="P566" s="1">
        <f t="shared" si="55"/>
        <v>149.30239227642275</v>
      </c>
      <c r="Q566" s="1">
        <f t="shared" si="56"/>
        <v>153.93998475609757</v>
      </c>
      <c r="R566" s="1">
        <f t="shared" si="57"/>
        <v>159.34878964005301</v>
      </c>
      <c r="S566" s="1">
        <f t="shared" si="58"/>
        <v>103.08959901800328</v>
      </c>
    </row>
    <row r="567" spans="1:19" x14ac:dyDescent="0.3">
      <c r="A567">
        <v>9921.4</v>
      </c>
      <c r="B567">
        <v>146.13350500000001</v>
      </c>
      <c r="C567">
        <v>150.69832600000001</v>
      </c>
      <c r="D567">
        <v>155.49746500000001</v>
      </c>
      <c r="E567">
        <v>99.675841000000005</v>
      </c>
      <c r="F567">
        <v>74.193055999999999</v>
      </c>
      <c r="G567">
        <v>50.073827000000001</v>
      </c>
      <c r="H567">
        <v>52.614702000000001</v>
      </c>
      <c r="I567"/>
      <c r="N567"/>
      <c r="O567"/>
      <c r="P567" s="1">
        <f t="shared" si="55"/>
        <v>149.30239227642275</v>
      </c>
      <c r="Q567" s="1">
        <f t="shared" si="56"/>
        <v>153.93998475609757</v>
      </c>
      <c r="R567" s="1">
        <f t="shared" si="57"/>
        <v>159.34878964005301</v>
      </c>
      <c r="S567" s="1">
        <f t="shared" si="58"/>
        <v>103.08959901800328</v>
      </c>
    </row>
    <row r="568" spans="1:19" x14ac:dyDescent="0.3">
      <c r="A568">
        <v>9921.6</v>
      </c>
      <c r="B568">
        <v>146.135606</v>
      </c>
      <c r="C568">
        <v>150.687343</v>
      </c>
      <c r="D568">
        <v>155.458337</v>
      </c>
      <c r="E568">
        <v>99.637951999999999</v>
      </c>
      <c r="F568">
        <v>74.186190999999994</v>
      </c>
      <c r="G568">
        <v>50.073827000000001</v>
      </c>
      <c r="H568">
        <v>52.614702000000001</v>
      </c>
      <c r="I568"/>
      <c r="N568"/>
      <c r="O568"/>
      <c r="P568" s="1">
        <f t="shared" si="55"/>
        <v>149.30336280487802</v>
      </c>
      <c r="Q568" s="1">
        <f t="shared" si="56"/>
        <v>153.91933739837398</v>
      </c>
      <c r="R568" s="1">
        <f t="shared" si="57"/>
        <v>159.37090343632102</v>
      </c>
      <c r="S568" s="1">
        <f t="shared" si="58"/>
        <v>103.04670212765957</v>
      </c>
    </row>
    <row r="569" spans="1:19" x14ac:dyDescent="0.3">
      <c r="A569">
        <v>9921.7999999999993</v>
      </c>
      <c r="B569">
        <v>146.135606</v>
      </c>
      <c r="C569">
        <v>150.687343</v>
      </c>
      <c r="D569">
        <v>155.458337</v>
      </c>
      <c r="E569">
        <v>99.637951999999999</v>
      </c>
      <c r="F569">
        <v>74.186190999999994</v>
      </c>
      <c r="G569">
        <v>50.069589000000001</v>
      </c>
      <c r="H569">
        <v>52.627082999999999</v>
      </c>
      <c r="I569"/>
      <c r="N569"/>
      <c r="O569"/>
      <c r="P569" s="1">
        <f t="shared" si="55"/>
        <v>149.30336280487802</v>
      </c>
      <c r="Q569" s="1">
        <f t="shared" si="56"/>
        <v>153.91933739837398</v>
      </c>
      <c r="R569" s="1">
        <f t="shared" si="57"/>
        <v>159.37090343632102</v>
      </c>
      <c r="S569" s="1">
        <f t="shared" si="58"/>
        <v>103.04670212765957</v>
      </c>
    </row>
    <row r="570" spans="1:19" x14ac:dyDescent="0.3">
      <c r="A570">
        <v>9922</v>
      </c>
      <c r="B570">
        <v>146.139444</v>
      </c>
      <c r="C570">
        <v>150.69844399999999</v>
      </c>
      <c r="D570">
        <v>155.48989599999999</v>
      </c>
      <c r="E570">
        <v>99.824156000000002</v>
      </c>
      <c r="F570">
        <v>74.322281000000004</v>
      </c>
      <c r="G570">
        <v>50.069589000000001</v>
      </c>
      <c r="H570">
        <v>52.627082999999999</v>
      </c>
      <c r="I570" t="s">
        <v>56</v>
      </c>
      <c r="N570"/>
      <c r="O570"/>
      <c r="P570" s="1">
        <f t="shared" si="55"/>
        <v>149.30275304878049</v>
      </c>
      <c r="Q570" s="1">
        <f t="shared" si="56"/>
        <v>153.93416971544713</v>
      </c>
      <c r="R570" s="1">
        <f t="shared" si="57"/>
        <v>159.36079025186092</v>
      </c>
      <c r="S570" s="1">
        <f t="shared" si="58"/>
        <v>102.90443330605564</v>
      </c>
    </row>
    <row r="571" spans="1:19" x14ac:dyDescent="0.3">
      <c r="A571">
        <v>9922.2000000000007</v>
      </c>
      <c r="B571">
        <v>146.139444</v>
      </c>
      <c r="C571">
        <v>150.69844399999999</v>
      </c>
      <c r="D571">
        <v>155.48989599999999</v>
      </c>
      <c r="E571">
        <v>99.824156000000002</v>
      </c>
      <c r="F571">
        <v>74.322281000000004</v>
      </c>
      <c r="G571">
        <v>50.048026999999998</v>
      </c>
      <c r="H571">
        <v>52.642471</v>
      </c>
      <c r="I571"/>
      <c r="N571"/>
      <c r="O571"/>
      <c r="P571" s="1">
        <f t="shared" si="55"/>
        <v>149.30275304878049</v>
      </c>
      <c r="Q571" s="1">
        <f t="shared" si="56"/>
        <v>153.93416971544713</v>
      </c>
      <c r="R571" s="1">
        <f t="shared" si="57"/>
        <v>159.36079025186092</v>
      </c>
      <c r="S571" s="1">
        <f t="shared" si="58"/>
        <v>102.90443330605564</v>
      </c>
    </row>
    <row r="572" spans="1:19" x14ac:dyDescent="0.3">
      <c r="A572">
        <v>9922.4</v>
      </c>
      <c r="B572">
        <v>146.12741500000001</v>
      </c>
      <c r="C572">
        <v>150.70460199999999</v>
      </c>
      <c r="D572">
        <v>155.479026</v>
      </c>
      <c r="E572">
        <v>99.779567999999998</v>
      </c>
      <c r="F572">
        <v>74.409335999999996</v>
      </c>
      <c r="G572">
        <v>50.048026999999998</v>
      </c>
      <c r="H572">
        <v>52.642471</v>
      </c>
      <c r="I572"/>
      <c r="N572"/>
      <c r="O572"/>
      <c r="P572" s="1">
        <f t="shared" si="55"/>
        <v>149.30239634146341</v>
      </c>
      <c r="Q572" s="1">
        <f t="shared" si="56"/>
        <v>153.9307225609756</v>
      </c>
      <c r="R572" s="1">
        <f t="shared" si="57"/>
        <v>159.34309268889569</v>
      </c>
      <c r="S572" s="1">
        <f t="shared" si="58"/>
        <v>102.69966755319149</v>
      </c>
    </row>
    <row r="573" spans="1:19" x14ac:dyDescent="0.3">
      <c r="A573">
        <v>9922.6</v>
      </c>
      <c r="B573">
        <v>146.12741500000001</v>
      </c>
      <c r="C573">
        <v>150.70460199999999</v>
      </c>
      <c r="D573">
        <v>155.479026</v>
      </c>
      <c r="E573">
        <v>99.779567999999998</v>
      </c>
      <c r="F573">
        <v>74.409335999999996</v>
      </c>
      <c r="G573">
        <v>50.060659000000001</v>
      </c>
      <c r="H573">
        <v>52.654851000000001</v>
      </c>
      <c r="I573"/>
      <c r="N573"/>
      <c r="O573"/>
      <c r="P573" s="1">
        <f t="shared" si="55"/>
        <v>149.30239634146341</v>
      </c>
      <c r="Q573" s="1">
        <f t="shared" si="56"/>
        <v>153.9307225609756</v>
      </c>
      <c r="R573" s="1">
        <f t="shared" si="57"/>
        <v>159.34309268889569</v>
      </c>
      <c r="S573" s="1">
        <f t="shared" si="58"/>
        <v>102.69966755319149</v>
      </c>
    </row>
    <row r="574" spans="1:19" x14ac:dyDescent="0.3">
      <c r="A574">
        <v>9922.7999999999993</v>
      </c>
      <c r="B574">
        <v>146.16057900000001</v>
      </c>
      <c r="C574">
        <v>150.69862499999999</v>
      </c>
      <c r="D574">
        <v>155.49170699999999</v>
      </c>
      <c r="E574">
        <v>99.762297000000004</v>
      </c>
      <c r="F574">
        <v>74.338008000000002</v>
      </c>
      <c r="G574">
        <v>50.060659000000001</v>
      </c>
      <c r="H574">
        <v>52.654851000000001</v>
      </c>
      <c r="I574"/>
      <c r="N574"/>
      <c r="O574"/>
      <c r="P574" s="1">
        <f t="shared" si="55"/>
        <v>149.30166971544713</v>
      </c>
      <c r="Q574" s="1">
        <f t="shared" si="56"/>
        <v>153.91146036585363</v>
      </c>
      <c r="R574" s="1">
        <f t="shared" si="57"/>
        <v>159.34402569593146</v>
      </c>
      <c r="S574" s="1">
        <f t="shared" si="58"/>
        <v>102.93567921440261</v>
      </c>
    </row>
    <row r="575" spans="1:19" x14ac:dyDescent="0.3">
      <c r="A575">
        <v>10598</v>
      </c>
      <c r="B575">
        <v>155.15261899999999</v>
      </c>
      <c r="C575">
        <v>160.29486199999999</v>
      </c>
      <c r="D575">
        <v>165.68088499999999</v>
      </c>
      <c r="E575">
        <v>101.722511</v>
      </c>
      <c r="F575">
        <v>73.295799000000002</v>
      </c>
      <c r="G575">
        <v>50.131051999999997</v>
      </c>
      <c r="H575">
        <v>53.058458999999999</v>
      </c>
      <c r="I575" t="s">
        <v>56</v>
      </c>
      <c r="N575"/>
      <c r="O575"/>
      <c r="P575" s="1">
        <f t="shared" si="55"/>
        <v>149.30166971544713</v>
      </c>
      <c r="Q575" s="1">
        <f t="shared" si="56"/>
        <v>153.91146036585363</v>
      </c>
      <c r="R575" s="1">
        <f t="shared" si="57"/>
        <v>159.34402569593146</v>
      </c>
      <c r="S575" s="1">
        <f t="shared" si="58"/>
        <v>102.93567921440261</v>
      </c>
    </row>
    <row r="576" spans="1:19" x14ac:dyDescent="0.3">
      <c r="A576">
        <v>10598.2</v>
      </c>
      <c r="B576">
        <v>155.15261899999999</v>
      </c>
      <c r="C576">
        <v>160.29486199999999</v>
      </c>
      <c r="D576">
        <v>165.68088499999999</v>
      </c>
      <c r="E576">
        <v>101.722511</v>
      </c>
      <c r="F576">
        <v>73.295799000000002</v>
      </c>
      <c r="G576">
        <v>50.131051999999997</v>
      </c>
      <c r="H576">
        <v>53.058458999999999</v>
      </c>
      <c r="I576"/>
      <c r="N576"/>
      <c r="O576"/>
      <c r="P576" s="1">
        <f t="shared" si="55"/>
        <v>149.29957012195121</v>
      </c>
      <c r="Q576" s="1">
        <f t="shared" si="56"/>
        <v>153.94332926829267</v>
      </c>
      <c r="R576" s="1">
        <f t="shared" si="57"/>
        <v>159.35427041908841</v>
      </c>
      <c r="S576" s="1">
        <f t="shared" si="58"/>
        <v>103.08246317512274</v>
      </c>
    </row>
    <row r="577" spans="1:19" x14ac:dyDescent="0.3">
      <c r="A577">
        <v>10598.4</v>
      </c>
      <c r="B577">
        <v>155.13009199999999</v>
      </c>
      <c r="C577">
        <v>160.27506199999999</v>
      </c>
      <c r="D577">
        <v>165.693871</v>
      </c>
      <c r="E577">
        <v>101.630973</v>
      </c>
      <c r="F577">
        <v>72.889067999999995</v>
      </c>
      <c r="G577">
        <v>50.126708999999998</v>
      </c>
      <c r="H577">
        <v>53.063581999999997</v>
      </c>
      <c r="I577"/>
      <c r="N577"/>
      <c r="O577"/>
      <c r="P577" s="1">
        <f t="shared" si="55"/>
        <v>149.29957012195121</v>
      </c>
      <c r="Q577" s="1">
        <f t="shared" si="56"/>
        <v>153.94332926829267</v>
      </c>
      <c r="R577" s="1">
        <f t="shared" si="57"/>
        <v>159.35427041908841</v>
      </c>
      <c r="S577" s="1">
        <f t="shared" si="58"/>
        <v>103.08246317512274</v>
      </c>
    </row>
    <row r="578" spans="1:19" x14ac:dyDescent="0.3">
      <c r="A578">
        <v>10598.6</v>
      </c>
      <c r="B578">
        <v>155.13009199999999</v>
      </c>
      <c r="C578">
        <v>160.27506199999999</v>
      </c>
      <c r="D578">
        <v>165.693871</v>
      </c>
      <c r="E578">
        <v>101.630973</v>
      </c>
      <c r="F578">
        <v>72.889067999999995</v>
      </c>
      <c r="G578">
        <v>50.126708999999998</v>
      </c>
      <c r="H578">
        <v>53.063581999999997</v>
      </c>
      <c r="I578"/>
      <c r="N578"/>
      <c r="O578"/>
      <c r="P578" s="1">
        <f t="shared" si="55"/>
        <v>149.31633333333332</v>
      </c>
      <c r="Q578" s="1">
        <f t="shared" si="56"/>
        <v>153.92832317073169</v>
      </c>
      <c r="R578" s="1">
        <f t="shared" si="57"/>
        <v>159.37038543897219</v>
      </c>
      <c r="S578" s="1">
        <f t="shared" si="58"/>
        <v>103.01389423076922</v>
      </c>
    </row>
    <row r="579" spans="1:19" x14ac:dyDescent="0.3">
      <c r="A579">
        <v>10598.8</v>
      </c>
      <c r="B579">
        <v>155.15483399999999</v>
      </c>
      <c r="C579">
        <v>160.27269000000001</v>
      </c>
      <c r="D579">
        <v>165.686837</v>
      </c>
      <c r="E579">
        <v>101.818359</v>
      </c>
      <c r="F579">
        <v>71.942571000000001</v>
      </c>
      <c r="G579">
        <v>50.101593999999999</v>
      </c>
      <c r="H579">
        <v>53.092717999999998</v>
      </c>
      <c r="I579"/>
      <c r="N579"/>
      <c r="O579"/>
      <c r="P579" s="1">
        <f t="shared" si="55"/>
        <v>149.31633333333332</v>
      </c>
      <c r="Q579" s="1">
        <f t="shared" si="56"/>
        <v>153.92832317073169</v>
      </c>
      <c r="R579" s="1">
        <f t="shared" si="57"/>
        <v>159.37038543897219</v>
      </c>
      <c r="S579" s="1">
        <f t="shared" si="58"/>
        <v>103.01389423076922</v>
      </c>
    </row>
    <row r="580" spans="1:19" x14ac:dyDescent="0.3">
      <c r="A580">
        <v>10599</v>
      </c>
      <c r="B580">
        <v>155.15483399999999</v>
      </c>
      <c r="C580">
        <v>160.27269000000001</v>
      </c>
      <c r="D580">
        <v>165.686837</v>
      </c>
      <c r="E580">
        <v>101.818359</v>
      </c>
      <c r="F580">
        <v>71.942571000000001</v>
      </c>
      <c r="G580">
        <v>50.101593999999999</v>
      </c>
      <c r="H580">
        <v>53.092717999999998</v>
      </c>
      <c r="I580" t="s">
        <v>56</v>
      </c>
      <c r="N580"/>
      <c r="O580"/>
      <c r="P580" s="1">
        <f t="shared" si="55"/>
        <v>149.28987499999999</v>
      </c>
      <c r="Q580" s="1">
        <f t="shared" si="56"/>
        <v>153.9423851626016</v>
      </c>
      <c r="R580" s="1">
        <f t="shared" si="57"/>
        <v>159.35522687876008</v>
      </c>
      <c r="S580" s="1">
        <f t="shared" si="58"/>
        <v>103.04024140752864</v>
      </c>
    </row>
    <row r="581" spans="1:19" x14ac:dyDescent="0.3">
      <c r="A581">
        <v>10599.2</v>
      </c>
      <c r="B581">
        <v>155.13009500000001</v>
      </c>
      <c r="C581">
        <v>160.29828800000001</v>
      </c>
      <c r="D581">
        <v>165.688502</v>
      </c>
      <c r="E581">
        <v>101.882519</v>
      </c>
      <c r="F581">
        <v>73.787638999999999</v>
      </c>
      <c r="G581">
        <v>50.116947000000003</v>
      </c>
      <c r="H581">
        <v>53.082439000000001</v>
      </c>
      <c r="I581"/>
      <c r="N581"/>
      <c r="O581"/>
      <c r="P581" s="1">
        <f t="shared" si="55"/>
        <v>149.28987499999999</v>
      </c>
      <c r="Q581" s="1">
        <f t="shared" si="56"/>
        <v>153.9423851626016</v>
      </c>
      <c r="R581" s="1">
        <f t="shared" si="57"/>
        <v>159.35522687876008</v>
      </c>
      <c r="S581" s="1">
        <f t="shared" si="58"/>
        <v>103.04024140752864</v>
      </c>
    </row>
    <row r="582" spans="1:19" x14ac:dyDescent="0.3">
      <c r="A582">
        <v>10599.4</v>
      </c>
      <c r="B582">
        <v>155.13009500000001</v>
      </c>
      <c r="C582">
        <v>160.29828800000001</v>
      </c>
      <c r="D582">
        <v>165.688502</v>
      </c>
      <c r="E582">
        <v>101.882519</v>
      </c>
      <c r="F582">
        <v>73.787638999999999</v>
      </c>
      <c r="G582">
        <v>50.116947000000003</v>
      </c>
      <c r="H582">
        <v>53.082439000000001</v>
      </c>
      <c r="I582"/>
      <c r="N582"/>
      <c r="O582"/>
      <c r="P582" s="1">
        <f t="shared" si="55"/>
        <v>149.30696849593494</v>
      </c>
      <c r="Q582" s="1">
        <f t="shared" si="56"/>
        <v>153.91464227642274</v>
      </c>
      <c r="R582" s="1">
        <f t="shared" si="57"/>
        <v>159.36264708881413</v>
      </c>
      <c r="S582" s="1">
        <f t="shared" si="58"/>
        <v>102.90577536824877</v>
      </c>
    </row>
    <row r="583" spans="1:19" x14ac:dyDescent="0.3">
      <c r="A583">
        <v>10599.6</v>
      </c>
      <c r="B583">
        <v>155.141051</v>
      </c>
      <c r="C583">
        <v>160.28043400000001</v>
      </c>
      <c r="D583">
        <v>165.678898</v>
      </c>
      <c r="E583">
        <v>101.847944</v>
      </c>
      <c r="F583">
        <v>73.900488999999993</v>
      </c>
      <c r="G583">
        <v>50.126961999999999</v>
      </c>
      <c r="H583">
        <v>53.071675999999997</v>
      </c>
      <c r="I583"/>
      <c r="N583"/>
      <c r="O583"/>
      <c r="P583" s="1">
        <f t="shared" si="55"/>
        <v>149.30696849593494</v>
      </c>
      <c r="Q583" s="1">
        <f t="shared" si="56"/>
        <v>153.91464227642274</v>
      </c>
      <c r="R583" s="1">
        <f t="shared" si="57"/>
        <v>159.36264708881413</v>
      </c>
      <c r="S583" s="1">
        <f t="shared" si="58"/>
        <v>102.90577536824877</v>
      </c>
    </row>
    <row r="584" spans="1:19" x14ac:dyDescent="0.3">
      <c r="A584">
        <v>10599.8</v>
      </c>
      <c r="B584">
        <v>155.141051</v>
      </c>
      <c r="C584">
        <v>160.28043400000001</v>
      </c>
      <c r="D584">
        <v>165.678898</v>
      </c>
      <c r="E584">
        <v>101.847944</v>
      </c>
      <c r="F584">
        <v>73.900488999999993</v>
      </c>
      <c r="G584">
        <v>50.126961999999999</v>
      </c>
      <c r="H584">
        <v>53.071675999999997</v>
      </c>
      <c r="I584"/>
      <c r="N584"/>
      <c r="O584"/>
      <c r="P584" s="1">
        <f t="shared" si="55"/>
        <v>149.30894817073172</v>
      </c>
      <c r="Q584" s="1">
        <f t="shared" si="56"/>
        <v>153.94799390243904</v>
      </c>
      <c r="R584" s="1">
        <f t="shared" si="57"/>
        <v>159.38387376363823</v>
      </c>
      <c r="S584" s="1">
        <f t="shared" si="58"/>
        <v>102.90470642389526</v>
      </c>
    </row>
    <row r="585" spans="1:19" x14ac:dyDescent="0.3">
      <c r="A585">
        <v>10600</v>
      </c>
      <c r="B585">
        <v>155.125528</v>
      </c>
      <c r="C585">
        <v>160.28127000000001</v>
      </c>
      <c r="D585">
        <v>165.66781700000001</v>
      </c>
      <c r="E585">
        <v>101.978143</v>
      </c>
      <c r="F585">
        <v>72.515743999999998</v>
      </c>
      <c r="G585">
        <v>50.107292999999999</v>
      </c>
      <c r="H585">
        <v>53.053890000000003</v>
      </c>
      <c r="I585" t="s">
        <v>56</v>
      </c>
      <c r="N585"/>
      <c r="O585"/>
      <c r="P585" s="1">
        <f t="shared" si="55"/>
        <v>149.30894817073172</v>
      </c>
      <c r="Q585" s="1">
        <f t="shared" si="56"/>
        <v>153.94799390243904</v>
      </c>
      <c r="R585" s="1">
        <f t="shared" si="57"/>
        <v>159.38387376363823</v>
      </c>
      <c r="S585" s="1">
        <f t="shared" si="58"/>
        <v>102.90470642389526</v>
      </c>
    </row>
    <row r="586" spans="1:19" x14ac:dyDescent="0.3">
      <c r="A586">
        <v>10600.2</v>
      </c>
      <c r="B586">
        <v>155.125528</v>
      </c>
      <c r="C586">
        <v>160.28127000000001</v>
      </c>
      <c r="D586">
        <v>165.66781700000001</v>
      </c>
      <c r="E586">
        <v>101.978143</v>
      </c>
      <c r="F586">
        <v>72.515743999999998</v>
      </c>
      <c r="G586">
        <v>50.107292999999999</v>
      </c>
      <c r="H586">
        <v>53.053890000000003</v>
      </c>
      <c r="I586"/>
      <c r="N586"/>
      <c r="O586"/>
      <c r="P586" s="1">
        <f t="shared" si="55"/>
        <v>149.31108333333333</v>
      </c>
      <c r="Q586" s="1">
        <f t="shared" si="56"/>
        <v>153.93683231707317</v>
      </c>
      <c r="R586" s="1">
        <f t="shared" si="57"/>
        <v>159.34397573162028</v>
      </c>
      <c r="S586" s="1">
        <f t="shared" si="58"/>
        <v>102.86594926350246</v>
      </c>
    </row>
    <row r="587" spans="1:19" x14ac:dyDescent="0.3">
      <c r="A587">
        <v>10600.4</v>
      </c>
      <c r="B587">
        <v>155.14779100000001</v>
      </c>
      <c r="C587">
        <v>160.27946</v>
      </c>
      <c r="D587">
        <v>165.68773899999999</v>
      </c>
      <c r="E587">
        <v>101.84745700000001</v>
      </c>
      <c r="F587">
        <v>73.651742999999996</v>
      </c>
      <c r="G587">
        <v>50.120418000000001</v>
      </c>
      <c r="H587">
        <v>53.046230000000001</v>
      </c>
      <c r="I587"/>
      <c r="N587"/>
      <c r="O587"/>
      <c r="P587" s="1">
        <f t="shared" si="55"/>
        <v>149.31108333333333</v>
      </c>
      <c r="Q587" s="1">
        <f t="shared" si="56"/>
        <v>153.93683231707317</v>
      </c>
      <c r="R587" s="1">
        <f t="shared" si="57"/>
        <v>159.34397573162028</v>
      </c>
      <c r="S587" s="1">
        <f t="shared" si="58"/>
        <v>102.86594926350246</v>
      </c>
    </row>
    <row r="588" spans="1:19" x14ac:dyDescent="0.3">
      <c r="A588">
        <v>10600.6</v>
      </c>
      <c r="B588">
        <v>155.14779100000001</v>
      </c>
      <c r="C588">
        <v>160.27946</v>
      </c>
      <c r="D588">
        <v>165.68773899999999</v>
      </c>
      <c r="E588">
        <v>101.84745700000001</v>
      </c>
      <c r="F588">
        <v>73.651742999999996</v>
      </c>
      <c r="G588">
        <v>50.120418000000001</v>
      </c>
      <c r="H588">
        <v>53.046230000000001</v>
      </c>
      <c r="I588"/>
      <c r="N588"/>
      <c r="O588"/>
      <c r="P588" s="1">
        <f t="shared" si="55"/>
        <v>149.31498373983737</v>
      </c>
      <c r="Q588" s="1">
        <f t="shared" si="56"/>
        <v>153.94811382113821</v>
      </c>
      <c r="R588" s="1">
        <f t="shared" si="57"/>
        <v>159.37615580707657</v>
      </c>
      <c r="S588" s="1">
        <f t="shared" si="58"/>
        <v>103.05641980360065</v>
      </c>
    </row>
    <row r="589" spans="1:19" x14ac:dyDescent="0.3">
      <c r="A589">
        <v>10600.8</v>
      </c>
      <c r="B589">
        <v>155.15812199999999</v>
      </c>
      <c r="C589">
        <v>160.29264499999999</v>
      </c>
      <c r="D589">
        <v>165.68942300000001</v>
      </c>
      <c r="E589">
        <v>101.961995</v>
      </c>
      <c r="F589">
        <v>73.409653000000006</v>
      </c>
      <c r="G589">
        <v>50.122681</v>
      </c>
      <c r="H589">
        <v>53.050103</v>
      </c>
      <c r="I589"/>
      <c r="N589"/>
      <c r="O589"/>
      <c r="P589" s="1">
        <f t="shared" si="55"/>
        <v>149.31498373983737</v>
      </c>
      <c r="Q589" s="1">
        <f t="shared" si="56"/>
        <v>153.94811382113821</v>
      </c>
      <c r="R589" s="1">
        <f t="shared" si="57"/>
        <v>159.37615580707657</v>
      </c>
      <c r="S589" s="1">
        <f t="shared" si="58"/>
        <v>103.05641980360065</v>
      </c>
    </row>
    <row r="590" spans="1:19" x14ac:dyDescent="0.3">
      <c r="A590">
        <v>10601</v>
      </c>
      <c r="B590">
        <v>155.15812199999999</v>
      </c>
      <c r="C590">
        <v>160.29264499999999</v>
      </c>
      <c r="D590">
        <v>165.68942300000001</v>
      </c>
      <c r="E590">
        <v>101.961995</v>
      </c>
      <c r="F590">
        <v>73.409653000000006</v>
      </c>
      <c r="G590">
        <v>50.122681</v>
      </c>
      <c r="H590">
        <v>53.050103</v>
      </c>
      <c r="I590" t="s">
        <v>56</v>
      </c>
      <c r="N590"/>
      <c r="O590"/>
      <c r="P590" s="1">
        <f t="shared" si="55"/>
        <v>149.30275914634146</v>
      </c>
      <c r="Q590" s="1">
        <f t="shared" si="56"/>
        <v>153.95437195121949</v>
      </c>
      <c r="R590" s="1">
        <f t="shared" si="57"/>
        <v>159.36507188742738</v>
      </c>
      <c r="S590" s="1">
        <f t="shared" si="58"/>
        <v>103.01081014729951</v>
      </c>
    </row>
    <row r="591" spans="1:19" x14ac:dyDescent="0.3">
      <c r="A591">
        <v>10601.2</v>
      </c>
      <c r="B591">
        <v>155.140748</v>
      </c>
      <c r="C591">
        <v>160.28740199999999</v>
      </c>
      <c r="D591">
        <v>165.68186600000001</v>
      </c>
      <c r="E591">
        <v>101.844264</v>
      </c>
      <c r="F591">
        <v>72.541746000000003</v>
      </c>
      <c r="G591">
        <v>50.105544999999999</v>
      </c>
      <c r="H591">
        <v>53.054220000000001</v>
      </c>
      <c r="I591"/>
      <c r="N591"/>
      <c r="O591"/>
      <c r="P591" s="1">
        <f t="shared" si="55"/>
        <v>149.30275914634146</v>
      </c>
      <c r="Q591" s="1">
        <f t="shared" si="56"/>
        <v>153.95437195121949</v>
      </c>
      <c r="R591" s="1">
        <f t="shared" si="57"/>
        <v>159.36507188742738</v>
      </c>
      <c r="S591" s="1">
        <f t="shared" si="58"/>
        <v>103.01081014729951</v>
      </c>
    </row>
    <row r="592" spans="1:19" x14ac:dyDescent="0.3">
      <c r="A592">
        <v>10601.4</v>
      </c>
      <c r="B592">
        <v>155.140748</v>
      </c>
      <c r="C592">
        <v>160.28740199999999</v>
      </c>
      <c r="D592">
        <v>165.68186600000001</v>
      </c>
      <c r="E592">
        <v>101.844264</v>
      </c>
      <c r="F592">
        <v>72.541746000000003</v>
      </c>
      <c r="G592">
        <v>50.105544999999999</v>
      </c>
      <c r="H592">
        <v>53.054220000000001</v>
      </c>
      <c r="I592"/>
      <c r="N592"/>
      <c r="O592"/>
      <c r="P592" s="1">
        <f t="shared" si="55"/>
        <v>149.33646239837398</v>
      </c>
      <c r="Q592" s="1">
        <f t="shared" si="56"/>
        <v>153.94829776422762</v>
      </c>
      <c r="R592" s="1">
        <f t="shared" si="57"/>
        <v>159.37800244723158</v>
      </c>
      <c r="S592" s="1">
        <f t="shared" si="58"/>
        <v>102.99314341243863</v>
      </c>
    </row>
    <row r="593" spans="1:19" x14ac:dyDescent="0.3">
      <c r="A593">
        <v>10601.6</v>
      </c>
      <c r="B593">
        <v>155.13537700000001</v>
      </c>
      <c r="C593">
        <v>160.2928</v>
      </c>
      <c r="D593">
        <v>165.686307</v>
      </c>
      <c r="E593">
        <v>101.87362299999999</v>
      </c>
      <c r="F593">
        <v>73.034931</v>
      </c>
      <c r="G593">
        <v>50.123212000000002</v>
      </c>
      <c r="H593">
        <v>53.059398999999999</v>
      </c>
      <c r="I593"/>
      <c r="N593"/>
      <c r="O593"/>
      <c r="P593" s="1">
        <f t="shared" si="55"/>
        <v>158.47471443089429</v>
      </c>
      <c r="Q593" s="1">
        <f t="shared" si="56"/>
        <v>163.70057113821136</v>
      </c>
      <c r="R593" s="1">
        <f t="shared" si="57"/>
        <v>169.76770164168451</v>
      </c>
      <c r="S593" s="1">
        <f t="shared" si="58"/>
        <v>104.998272299509</v>
      </c>
    </row>
    <row r="594" spans="1:19" x14ac:dyDescent="0.3">
      <c r="A594">
        <v>10601.8</v>
      </c>
      <c r="B594">
        <v>155.13537700000001</v>
      </c>
      <c r="C594">
        <v>160.2928</v>
      </c>
      <c r="D594">
        <v>165.686307</v>
      </c>
      <c r="E594">
        <v>101.87362299999999</v>
      </c>
      <c r="F594">
        <v>73.034931</v>
      </c>
      <c r="G594">
        <v>50.123212000000002</v>
      </c>
      <c r="H594">
        <v>53.059398999999999</v>
      </c>
      <c r="I594"/>
      <c r="N594"/>
      <c r="O594"/>
      <c r="P594" s="1">
        <f t="shared" si="55"/>
        <v>158.47471443089429</v>
      </c>
      <c r="Q594" s="1">
        <f t="shared" si="56"/>
        <v>163.70057113821136</v>
      </c>
      <c r="R594" s="1">
        <f t="shared" si="57"/>
        <v>169.76770164168451</v>
      </c>
      <c r="S594" s="1">
        <f t="shared" si="58"/>
        <v>104.998272299509</v>
      </c>
    </row>
    <row r="595" spans="1:19" x14ac:dyDescent="0.3">
      <c r="A595">
        <v>10602</v>
      </c>
      <c r="B595">
        <v>155.15906000000001</v>
      </c>
      <c r="C595">
        <v>160.312118</v>
      </c>
      <c r="D595">
        <v>165.67797999999999</v>
      </c>
      <c r="E595">
        <v>101.75854</v>
      </c>
      <c r="F595">
        <v>73.205883999999998</v>
      </c>
      <c r="G595">
        <v>50.123626999999999</v>
      </c>
      <c r="H595">
        <v>53.038361999999999</v>
      </c>
      <c r="I595" t="s">
        <v>56</v>
      </c>
      <c r="N595"/>
      <c r="O595"/>
      <c r="P595" s="1">
        <f t="shared" si="55"/>
        <v>158.45182113821136</v>
      </c>
      <c r="Q595" s="1">
        <f t="shared" si="56"/>
        <v>163.68044918699186</v>
      </c>
      <c r="R595" s="1">
        <f t="shared" si="57"/>
        <v>169.780943203834</v>
      </c>
      <c r="S595" s="1">
        <f t="shared" si="58"/>
        <v>104.90463686579378</v>
      </c>
    </row>
    <row r="596" spans="1:19" x14ac:dyDescent="0.3">
      <c r="A596">
        <v>10602.2</v>
      </c>
      <c r="B596">
        <v>155.15906000000001</v>
      </c>
      <c r="C596">
        <v>160.312118</v>
      </c>
      <c r="D596">
        <v>165.67797999999999</v>
      </c>
      <c r="E596">
        <v>101.75854</v>
      </c>
      <c r="F596">
        <v>73.205883999999998</v>
      </c>
      <c r="G596">
        <v>50.123626999999999</v>
      </c>
      <c r="H596">
        <v>53.038361999999999</v>
      </c>
      <c r="I596"/>
      <c r="N596"/>
      <c r="O596"/>
      <c r="P596" s="1">
        <f t="shared" si="55"/>
        <v>158.45182113821136</v>
      </c>
      <c r="Q596" s="1">
        <f t="shared" si="56"/>
        <v>163.68044918699186</v>
      </c>
      <c r="R596" s="1">
        <f t="shared" si="57"/>
        <v>169.780943203834</v>
      </c>
      <c r="S596" s="1">
        <f t="shared" si="58"/>
        <v>104.90463686579378</v>
      </c>
    </row>
    <row r="597" spans="1:19" x14ac:dyDescent="0.3">
      <c r="A597">
        <v>10602.4</v>
      </c>
      <c r="B597">
        <v>155.14949300000001</v>
      </c>
      <c r="C597">
        <v>160.286328</v>
      </c>
      <c r="D597">
        <v>165.67332099999999</v>
      </c>
      <c r="E597">
        <v>101.68855600000001</v>
      </c>
      <c r="F597">
        <v>74.093258000000006</v>
      </c>
      <c r="G597">
        <v>50.099406000000002</v>
      </c>
      <c r="H597">
        <v>53.050398999999999</v>
      </c>
      <c r="I597"/>
      <c r="N597"/>
      <c r="O597"/>
      <c r="P597" s="1">
        <f t="shared" si="55"/>
        <v>158.47696544715447</v>
      </c>
      <c r="Q597" s="1">
        <f t="shared" si="56"/>
        <v>163.67803861788619</v>
      </c>
      <c r="R597" s="1">
        <f t="shared" si="57"/>
        <v>169.77377077597635</v>
      </c>
      <c r="S597" s="1">
        <f t="shared" si="58"/>
        <v>105.0963164893617</v>
      </c>
    </row>
    <row r="598" spans="1:19" x14ac:dyDescent="0.3">
      <c r="A598">
        <v>10602.6</v>
      </c>
      <c r="B598">
        <v>155.14949300000001</v>
      </c>
      <c r="C598">
        <v>160.286328</v>
      </c>
      <c r="D598">
        <v>165.67332099999999</v>
      </c>
      <c r="E598">
        <v>101.68855600000001</v>
      </c>
      <c r="F598">
        <v>74.093258000000006</v>
      </c>
      <c r="G598">
        <v>50.099406000000002</v>
      </c>
      <c r="H598">
        <v>53.050398999999999</v>
      </c>
      <c r="I598"/>
      <c r="N598"/>
      <c r="O598"/>
      <c r="P598" s="1">
        <f t="shared" si="55"/>
        <v>158.47696544715447</v>
      </c>
      <c r="Q598" s="1">
        <f t="shared" si="56"/>
        <v>163.67803861788619</v>
      </c>
      <c r="R598" s="1">
        <f t="shared" si="57"/>
        <v>169.77377077597635</v>
      </c>
      <c r="S598" s="1">
        <f t="shared" si="58"/>
        <v>105.0963164893617</v>
      </c>
    </row>
    <row r="599" spans="1:19" x14ac:dyDescent="0.3">
      <c r="A599">
        <v>10602.8</v>
      </c>
      <c r="B599">
        <v>155.15026900000001</v>
      </c>
      <c r="C599">
        <v>160.276318</v>
      </c>
      <c r="D599">
        <v>165.69862599999999</v>
      </c>
      <c r="E599">
        <v>101.82952899999999</v>
      </c>
      <c r="F599">
        <v>73.231990999999994</v>
      </c>
      <c r="G599">
        <v>50.117325999999998</v>
      </c>
      <c r="H599">
        <v>53.024230000000003</v>
      </c>
      <c r="I599"/>
      <c r="N599"/>
      <c r="O599"/>
      <c r="P599" s="1">
        <f t="shared" si="55"/>
        <v>158.45182418699187</v>
      </c>
      <c r="Q599" s="1">
        <f t="shared" si="56"/>
        <v>163.70405284552845</v>
      </c>
      <c r="R599" s="1">
        <f t="shared" si="57"/>
        <v>169.77546854287755</v>
      </c>
      <c r="S599" s="1">
        <f t="shared" si="58"/>
        <v>105.16194660392799</v>
      </c>
    </row>
    <row r="600" spans="1:19" x14ac:dyDescent="0.3">
      <c r="A600">
        <v>10603</v>
      </c>
      <c r="B600">
        <v>155.15026900000001</v>
      </c>
      <c r="C600">
        <v>160.276318</v>
      </c>
      <c r="D600">
        <v>165.69862599999999</v>
      </c>
      <c r="E600">
        <v>101.82952899999999</v>
      </c>
      <c r="F600">
        <v>73.231990999999994</v>
      </c>
      <c r="G600">
        <v>50.117325999999998</v>
      </c>
      <c r="H600">
        <v>53.024230000000003</v>
      </c>
      <c r="I600" t="s">
        <v>56</v>
      </c>
      <c r="N600"/>
      <c r="O600"/>
      <c r="P600" s="1">
        <f t="shared" si="55"/>
        <v>158.45182418699187</v>
      </c>
      <c r="Q600" s="1">
        <f t="shared" si="56"/>
        <v>163.70405284552845</v>
      </c>
      <c r="R600" s="1">
        <f t="shared" si="57"/>
        <v>169.77546854287755</v>
      </c>
      <c r="S600" s="1">
        <f t="shared" si="58"/>
        <v>105.16194660392799</v>
      </c>
    </row>
    <row r="601" spans="1:19" x14ac:dyDescent="0.3">
      <c r="A601">
        <v>10603.2</v>
      </c>
      <c r="B601">
        <v>155.160349</v>
      </c>
      <c r="C601">
        <v>160.296289</v>
      </c>
      <c r="D601">
        <v>165.691417</v>
      </c>
      <c r="E601">
        <v>101.831593</v>
      </c>
      <c r="F601">
        <v>73.340710000000001</v>
      </c>
      <c r="G601">
        <v>50.104520000000001</v>
      </c>
      <c r="H601">
        <v>53.055734999999999</v>
      </c>
      <c r="I601"/>
      <c r="N601"/>
      <c r="O601"/>
      <c r="P601" s="1">
        <f t="shared" si="55"/>
        <v>158.46295833333332</v>
      </c>
      <c r="Q601" s="1">
        <f t="shared" si="56"/>
        <v>163.68590853658537</v>
      </c>
      <c r="R601" s="1">
        <f t="shared" si="57"/>
        <v>169.76567553788112</v>
      </c>
      <c r="S601" s="1">
        <f t="shared" si="58"/>
        <v>105.12657937806874</v>
      </c>
    </row>
    <row r="602" spans="1:19" x14ac:dyDescent="0.3">
      <c r="A602">
        <v>10603.4</v>
      </c>
      <c r="B602">
        <v>155.160349</v>
      </c>
      <c r="C602">
        <v>160.296289</v>
      </c>
      <c r="D602">
        <v>165.691417</v>
      </c>
      <c r="E602">
        <v>101.831593</v>
      </c>
      <c r="F602">
        <v>73.340710000000001</v>
      </c>
      <c r="G602">
        <v>50.104520000000001</v>
      </c>
      <c r="H602">
        <v>53.055734999999999</v>
      </c>
      <c r="I602"/>
      <c r="N602"/>
      <c r="O602"/>
      <c r="P602" s="1">
        <f t="shared" si="55"/>
        <v>158.46295833333332</v>
      </c>
      <c r="Q602" s="1">
        <f t="shared" si="56"/>
        <v>163.68590853658537</v>
      </c>
      <c r="R602" s="1">
        <f t="shared" si="57"/>
        <v>169.76567553788112</v>
      </c>
      <c r="S602" s="1">
        <f t="shared" si="58"/>
        <v>105.12657937806874</v>
      </c>
    </row>
    <row r="603" spans="1:19" x14ac:dyDescent="0.3">
      <c r="A603">
        <v>10603.6</v>
      </c>
      <c r="B603">
        <v>155.131011</v>
      </c>
      <c r="C603">
        <v>160.29428100000001</v>
      </c>
      <c r="D603">
        <v>165.68544600000001</v>
      </c>
      <c r="E603">
        <v>101.882048</v>
      </c>
      <c r="F603">
        <v>73.361469</v>
      </c>
      <c r="G603">
        <v>50.114657999999999</v>
      </c>
      <c r="H603">
        <v>53.041173000000001</v>
      </c>
      <c r="I603"/>
      <c r="N603"/>
      <c r="O603"/>
      <c r="P603" s="1">
        <f t="shared" si="55"/>
        <v>158.44718292682927</v>
      </c>
      <c r="Q603" s="1">
        <f t="shared" si="56"/>
        <v>163.6867581300813</v>
      </c>
      <c r="R603" s="1">
        <f t="shared" si="57"/>
        <v>169.75437646578976</v>
      </c>
      <c r="S603" s="1">
        <f t="shared" si="58"/>
        <v>105.25976166121113</v>
      </c>
    </row>
    <row r="604" spans="1:19" x14ac:dyDescent="0.3">
      <c r="A604">
        <v>10603.8</v>
      </c>
      <c r="B604">
        <v>155.131011</v>
      </c>
      <c r="C604">
        <v>160.29428100000001</v>
      </c>
      <c r="D604">
        <v>165.68544600000001</v>
      </c>
      <c r="E604">
        <v>101.882048</v>
      </c>
      <c r="F604">
        <v>73.361469</v>
      </c>
      <c r="G604">
        <v>50.114657999999999</v>
      </c>
      <c r="H604">
        <v>53.041173000000001</v>
      </c>
      <c r="I604"/>
      <c r="N604"/>
      <c r="O604"/>
      <c r="P604" s="1">
        <f t="shared" si="55"/>
        <v>158.44718292682927</v>
      </c>
      <c r="Q604" s="1">
        <f t="shared" si="56"/>
        <v>163.6867581300813</v>
      </c>
      <c r="R604" s="1">
        <f t="shared" si="57"/>
        <v>169.75437646578976</v>
      </c>
      <c r="S604" s="1">
        <f t="shared" si="58"/>
        <v>105.25976166121113</v>
      </c>
    </row>
    <row r="605" spans="1:19" x14ac:dyDescent="0.3">
      <c r="A605">
        <v>10604</v>
      </c>
      <c r="B605">
        <v>155.15955</v>
      </c>
      <c r="C605">
        <v>160.293375</v>
      </c>
      <c r="D605">
        <v>165.682208</v>
      </c>
      <c r="E605">
        <v>101.903758</v>
      </c>
      <c r="F605">
        <v>73.579432999999995</v>
      </c>
      <c r="G605">
        <v>50.122906999999998</v>
      </c>
      <c r="H605">
        <v>53.053097999999999</v>
      </c>
      <c r="I605" t="s">
        <v>56</v>
      </c>
      <c r="N605"/>
      <c r="O605"/>
      <c r="P605" s="1">
        <f t="shared" si="55"/>
        <v>158.46980792682928</v>
      </c>
      <c r="Q605" s="1">
        <f t="shared" si="56"/>
        <v>163.68491869918699</v>
      </c>
      <c r="R605" s="1">
        <f t="shared" si="57"/>
        <v>169.77469052717447</v>
      </c>
      <c r="S605" s="1">
        <f t="shared" si="58"/>
        <v>105.12608121931261</v>
      </c>
    </row>
    <row r="606" spans="1:19" x14ac:dyDescent="0.3">
      <c r="A606">
        <v>10604.2</v>
      </c>
      <c r="B606">
        <v>155.15955</v>
      </c>
      <c r="C606">
        <v>160.293375</v>
      </c>
      <c r="D606">
        <v>165.682208</v>
      </c>
      <c r="E606">
        <v>101.903758</v>
      </c>
      <c r="F606">
        <v>73.579432999999995</v>
      </c>
      <c r="G606">
        <v>50.122906999999998</v>
      </c>
      <c r="H606">
        <v>53.053097999999999</v>
      </c>
      <c r="I606"/>
      <c r="N606"/>
      <c r="O606"/>
      <c r="P606" s="1">
        <f t="shared" si="55"/>
        <v>158.46980792682928</v>
      </c>
      <c r="Q606" s="1">
        <f t="shared" si="56"/>
        <v>163.68491869918699</v>
      </c>
      <c r="R606" s="1">
        <f t="shared" si="57"/>
        <v>169.77469052717447</v>
      </c>
      <c r="S606" s="1">
        <f t="shared" si="58"/>
        <v>105.12608121931261</v>
      </c>
    </row>
    <row r="607" spans="1:19" x14ac:dyDescent="0.3">
      <c r="A607">
        <v>10604.4</v>
      </c>
      <c r="B607">
        <v>155.172372</v>
      </c>
      <c r="C607">
        <v>160.285605</v>
      </c>
      <c r="D607">
        <v>165.67610500000001</v>
      </c>
      <c r="E607">
        <v>101.813405</v>
      </c>
      <c r="F607">
        <v>72.952477999999999</v>
      </c>
      <c r="G607">
        <v>50.121133</v>
      </c>
      <c r="H607">
        <v>53.069778999999997</v>
      </c>
      <c r="I607"/>
      <c r="N607"/>
      <c r="O607"/>
      <c r="P607" s="1">
        <f t="shared" si="55"/>
        <v>158.48030691056908</v>
      </c>
      <c r="Q607" s="1">
        <f t="shared" si="56"/>
        <v>163.69831808943087</v>
      </c>
      <c r="R607" s="1">
        <f t="shared" si="57"/>
        <v>169.77640766799226</v>
      </c>
      <c r="S607" s="1">
        <f t="shared" si="58"/>
        <v>105.24324365793781</v>
      </c>
    </row>
    <row r="608" spans="1:19" x14ac:dyDescent="0.3">
      <c r="A608">
        <v>10604.6</v>
      </c>
      <c r="B608">
        <v>155.172372</v>
      </c>
      <c r="C608">
        <v>160.285605</v>
      </c>
      <c r="D608">
        <v>165.67610500000001</v>
      </c>
      <c r="E608">
        <v>101.813405</v>
      </c>
      <c r="F608">
        <v>72.952477999999999</v>
      </c>
      <c r="G608">
        <v>50.121133</v>
      </c>
      <c r="H608">
        <v>53.069778999999997</v>
      </c>
      <c r="I608"/>
      <c r="N608"/>
      <c r="O608"/>
      <c r="P608" s="1">
        <f t="shared" si="55"/>
        <v>158.48030691056908</v>
      </c>
      <c r="Q608" s="1">
        <f t="shared" si="56"/>
        <v>163.69831808943087</v>
      </c>
      <c r="R608" s="1">
        <f t="shared" si="57"/>
        <v>169.77640766799226</v>
      </c>
      <c r="S608" s="1">
        <f t="shared" si="58"/>
        <v>105.24324365793781</v>
      </c>
    </row>
    <row r="609" spans="1:19" x14ac:dyDescent="0.3">
      <c r="A609">
        <v>10604.8</v>
      </c>
      <c r="B609">
        <v>155.153761</v>
      </c>
      <c r="C609">
        <v>160.287329</v>
      </c>
      <c r="D609">
        <v>165.69253900000001</v>
      </c>
      <c r="E609">
        <v>101.796322</v>
      </c>
      <c r="F609">
        <v>73.320463000000004</v>
      </c>
      <c r="G609">
        <v>50.106177000000002</v>
      </c>
      <c r="H609">
        <v>53.057850000000002</v>
      </c>
      <c r="I609"/>
      <c r="N609"/>
      <c r="O609"/>
      <c r="P609" s="1">
        <f t="shared" si="55"/>
        <v>158.46265040650405</v>
      </c>
      <c r="Q609" s="1">
        <f t="shared" si="56"/>
        <v>163.69298983739836</v>
      </c>
      <c r="R609" s="1">
        <f t="shared" si="57"/>
        <v>169.76870194758848</v>
      </c>
      <c r="S609" s="1">
        <f t="shared" si="58"/>
        <v>105.12281505728313</v>
      </c>
    </row>
    <row r="610" spans="1:19" x14ac:dyDescent="0.3">
      <c r="A610">
        <v>10605</v>
      </c>
      <c r="B610">
        <v>155.153761</v>
      </c>
      <c r="C610">
        <v>160.287329</v>
      </c>
      <c r="D610">
        <v>165.69253900000001</v>
      </c>
      <c r="E610">
        <v>101.796322</v>
      </c>
      <c r="F610">
        <v>73.320463000000004</v>
      </c>
      <c r="G610">
        <v>50.106177000000002</v>
      </c>
      <c r="H610">
        <v>53.057850000000002</v>
      </c>
      <c r="I610" t="s">
        <v>56</v>
      </c>
      <c r="N610"/>
      <c r="O610"/>
      <c r="P610" s="1">
        <f t="shared" si="55"/>
        <v>158.46265040650405</v>
      </c>
      <c r="Q610" s="1">
        <f t="shared" si="56"/>
        <v>163.69298983739836</v>
      </c>
      <c r="R610" s="1">
        <f t="shared" si="57"/>
        <v>169.76870194758848</v>
      </c>
      <c r="S610" s="1">
        <f t="shared" si="58"/>
        <v>105.12281505728313</v>
      </c>
    </row>
    <row r="611" spans="1:19" x14ac:dyDescent="0.3">
      <c r="A611">
        <v>10605.2</v>
      </c>
      <c r="B611">
        <v>155.13758899999999</v>
      </c>
      <c r="C611">
        <v>160.29314400000001</v>
      </c>
      <c r="D611">
        <v>165.68922000000001</v>
      </c>
      <c r="E611">
        <v>101.79853300000001</v>
      </c>
      <c r="F611">
        <v>73.015383</v>
      </c>
      <c r="G611">
        <v>50.108702000000001</v>
      </c>
      <c r="H611">
        <v>53.081358999999999</v>
      </c>
      <c r="I611"/>
      <c r="N611"/>
      <c r="O611"/>
      <c r="P611" s="1">
        <f t="shared" si="55"/>
        <v>158.45719207317072</v>
      </c>
      <c r="Q611" s="1">
        <f t="shared" si="56"/>
        <v>163.69847560975609</v>
      </c>
      <c r="R611" s="1">
        <f t="shared" si="57"/>
        <v>169.77323034567146</v>
      </c>
      <c r="S611" s="1">
        <f t="shared" si="58"/>
        <v>105.1528467675941</v>
      </c>
    </row>
    <row r="612" spans="1:19" x14ac:dyDescent="0.3">
      <c r="A612">
        <v>10605.4</v>
      </c>
      <c r="B612">
        <v>155.13758899999999</v>
      </c>
      <c r="C612">
        <v>160.29314400000001</v>
      </c>
      <c r="D612">
        <v>165.68922000000001</v>
      </c>
      <c r="E612">
        <v>101.79853300000001</v>
      </c>
      <c r="F612">
        <v>73.015383</v>
      </c>
      <c r="G612">
        <v>50.108702000000001</v>
      </c>
      <c r="H612">
        <v>53.081358999999999</v>
      </c>
      <c r="I612"/>
      <c r="N612"/>
      <c r="O612"/>
      <c r="P612" s="1">
        <f t="shared" si="55"/>
        <v>158.45719207317072</v>
      </c>
      <c r="Q612" s="1">
        <f t="shared" si="56"/>
        <v>163.69847560975609</v>
      </c>
      <c r="R612" s="1">
        <f t="shared" si="57"/>
        <v>169.77323034567146</v>
      </c>
      <c r="S612" s="1">
        <f t="shared" si="58"/>
        <v>105.1528467675941</v>
      </c>
    </row>
    <row r="613" spans="1:19" x14ac:dyDescent="0.3">
      <c r="A613">
        <v>10605.6</v>
      </c>
      <c r="B613">
        <v>155.17414600000001</v>
      </c>
      <c r="C613">
        <v>160.28222500000001</v>
      </c>
      <c r="D613">
        <v>165.67507499999999</v>
      </c>
      <c r="E613">
        <v>101.770635</v>
      </c>
      <c r="F613">
        <v>73.216421999999994</v>
      </c>
      <c r="G613">
        <v>50.137765999999999</v>
      </c>
      <c r="H613">
        <v>53.079692000000001</v>
      </c>
      <c r="I613"/>
      <c r="N613"/>
      <c r="O613"/>
      <c r="P613" s="1">
        <f t="shared" si="55"/>
        <v>158.48126016260161</v>
      </c>
      <c r="Q613" s="1">
        <f t="shared" si="56"/>
        <v>163.71810772357722</v>
      </c>
      <c r="R613" s="1">
        <f t="shared" si="57"/>
        <v>169.76473947180585</v>
      </c>
      <c r="S613" s="1">
        <f t="shared" si="58"/>
        <v>105.03512684124385</v>
      </c>
    </row>
    <row r="614" spans="1:19" x14ac:dyDescent="0.3">
      <c r="A614">
        <v>10605.8</v>
      </c>
      <c r="B614">
        <v>155.17414600000001</v>
      </c>
      <c r="C614">
        <v>160.28222500000001</v>
      </c>
      <c r="D614">
        <v>165.67507499999999</v>
      </c>
      <c r="E614">
        <v>101.770635</v>
      </c>
      <c r="F614">
        <v>73.216421999999994</v>
      </c>
      <c r="G614">
        <v>50.137765999999999</v>
      </c>
      <c r="H614">
        <v>53.079692000000001</v>
      </c>
      <c r="I614"/>
      <c r="N614"/>
      <c r="O614"/>
      <c r="P614" s="1">
        <f t="shared" si="55"/>
        <v>158.48126016260161</v>
      </c>
      <c r="Q614" s="1">
        <f t="shared" si="56"/>
        <v>163.71810772357722</v>
      </c>
      <c r="R614" s="1">
        <f t="shared" si="57"/>
        <v>169.76473947180585</v>
      </c>
      <c r="S614" s="1">
        <f t="shared" si="58"/>
        <v>105.03512684124385</v>
      </c>
    </row>
    <row r="615" spans="1:19" x14ac:dyDescent="0.3">
      <c r="A615">
        <v>10606</v>
      </c>
      <c r="B615">
        <v>155.13991300000001</v>
      </c>
      <c r="C615">
        <v>160.28585899999999</v>
      </c>
      <c r="D615">
        <v>165.70345599999999</v>
      </c>
      <c r="E615">
        <v>101.921137</v>
      </c>
      <c r="F615">
        <v>72.822348000000005</v>
      </c>
      <c r="G615">
        <v>50.118276000000002</v>
      </c>
      <c r="H615">
        <v>53.061391999999998</v>
      </c>
      <c r="I615" t="s">
        <v>56</v>
      </c>
      <c r="N615"/>
      <c r="O615"/>
      <c r="P615" s="1">
        <f t="shared" si="55"/>
        <v>158.47153760162601</v>
      </c>
      <c r="Q615" s="1">
        <f t="shared" si="56"/>
        <v>163.69189837398372</v>
      </c>
      <c r="R615" s="1">
        <f t="shared" si="57"/>
        <v>169.75998878352198</v>
      </c>
      <c r="S615" s="1">
        <f t="shared" si="58"/>
        <v>104.96353927986907</v>
      </c>
    </row>
    <row r="616" spans="1:19" x14ac:dyDescent="0.3">
      <c r="A616">
        <v>10606.2</v>
      </c>
      <c r="B616">
        <v>155.13991300000001</v>
      </c>
      <c r="C616">
        <v>160.28585899999999</v>
      </c>
      <c r="D616">
        <v>165.70345599999999</v>
      </c>
      <c r="E616">
        <v>101.921137</v>
      </c>
      <c r="F616">
        <v>72.822348000000005</v>
      </c>
      <c r="G616">
        <v>50.118276000000002</v>
      </c>
      <c r="H616">
        <v>53.061391999999998</v>
      </c>
      <c r="I616"/>
      <c r="N616"/>
      <c r="O616"/>
      <c r="P616" s="1">
        <f t="shared" si="55"/>
        <v>158.47153760162601</v>
      </c>
      <c r="Q616" s="1">
        <f t="shared" si="56"/>
        <v>163.69189837398372</v>
      </c>
      <c r="R616" s="1">
        <f t="shared" si="57"/>
        <v>169.75998878352198</v>
      </c>
      <c r="S616" s="1">
        <f t="shared" si="58"/>
        <v>104.96353927986907</v>
      </c>
    </row>
    <row r="617" spans="1:19" x14ac:dyDescent="0.3">
      <c r="A617">
        <v>10606.4</v>
      </c>
      <c r="B617">
        <v>155.15502499999999</v>
      </c>
      <c r="C617">
        <v>160.28460999999999</v>
      </c>
      <c r="D617">
        <v>165.690065</v>
      </c>
      <c r="E617">
        <v>101.85264100000001</v>
      </c>
      <c r="F617">
        <v>72.343339</v>
      </c>
      <c r="G617">
        <v>50.108879999999999</v>
      </c>
      <c r="H617">
        <v>53.071157999999997</v>
      </c>
      <c r="I617"/>
      <c r="N617"/>
      <c r="O617"/>
      <c r="P617" s="1">
        <f t="shared" si="55"/>
        <v>158.47232621951218</v>
      </c>
      <c r="Q617" s="1">
        <f t="shared" si="56"/>
        <v>163.68172560975609</v>
      </c>
      <c r="R617" s="1">
        <f t="shared" si="57"/>
        <v>169.78579178138065</v>
      </c>
      <c r="S617" s="1">
        <f t="shared" si="58"/>
        <v>105.10774243044189</v>
      </c>
    </row>
    <row r="618" spans="1:19" x14ac:dyDescent="0.3">
      <c r="A618">
        <v>10606.6</v>
      </c>
      <c r="B618">
        <v>155.15502499999999</v>
      </c>
      <c r="C618">
        <v>160.28460999999999</v>
      </c>
      <c r="D618">
        <v>165.690065</v>
      </c>
      <c r="E618">
        <v>101.85264100000001</v>
      </c>
      <c r="F618">
        <v>72.343339</v>
      </c>
      <c r="G618">
        <v>50.108879999999999</v>
      </c>
      <c r="H618">
        <v>53.071157999999997</v>
      </c>
      <c r="I618"/>
      <c r="N618"/>
      <c r="O618"/>
      <c r="P618" s="1">
        <f t="shared" si="55"/>
        <v>158.47232621951218</v>
      </c>
      <c r="Q618" s="1">
        <f t="shared" si="56"/>
        <v>163.68172560975609</v>
      </c>
      <c r="R618" s="1">
        <f t="shared" si="57"/>
        <v>169.78579178138065</v>
      </c>
      <c r="S618" s="1">
        <f t="shared" si="58"/>
        <v>105.10774243044189</v>
      </c>
    </row>
    <row r="619" spans="1:19" x14ac:dyDescent="0.3">
      <c r="A619">
        <v>10606.8</v>
      </c>
      <c r="B619">
        <v>155.15771000000001</v>
      </c>
      <c r="C619">
        <v>160.27604700000001</v>
      </c>
      <c r="D619">
        <v>165.66004599999999</v>
      </c>
      <c r="E619">
        <v>101.736011</v>
      </c>
      <c r="F619">
        <v>72.781053999999997</v>
      </c>
      <c r="G619">
        <v>50.114578999999999</v>
      </c>
      <c r="H619">
        <v>53.044324000000003</v>
      </c>
      <c r="I619"/>
      <c r="N619"/>
      <c r="O619"/>
      <c r="P619" s="1">
        <f t="shared" si="55"/>
        <v>158.4825701219512</v>
      </c>
      <c r="Q619" s="1">
        <f t="shared" si="56"/>
        <v>163.70202134146342</v>
      </c>
      <c r="R619" s="1">
        <f t="shared" si="57"/>
        <v>169.7784409095544</v>
      </c>
      <c r="S619" s="1">
        <f t="shared" si="58"/>
        <v>105.10985372340426</v>
      </c>
    </row>
    <row r="620" spans="1:19" x14ac:dyDescent="0.3">
      <c r="A620">
        <v>10607</v>
      </c>
      <c r="B620">
        <v>155.15771000000001</v>
      </c>
      <c r="C620">
        <v>160.27604700000001</v>
      </c>
      <c r="D620">
        <v>165.66004599999999</v>
      </c>
      <c r="E620">
        <v>101.736011</v>
      </c>
      <c r="F620">
        <v>72.781053999999997</v>
      </c>
      <c r="G620">
        <v>50.114578999999999</v>
      </c>
      <c r="H620">
        <v>53.044324000000003</v>
      </c>
      <c r="I620" t="s">
        <v>56</v>
      </c>
      <c r="N620"/>
      <c r="O620"/>
      <c r="P620" s="1">
        <f t="shared" ref="P620:P683" si="59">(B602+Q$36)/P$36</f>
        <v>158.4825701219512</v>
      </c>
      <c r="Q620" s="1">
        <f t="shared" ref="Q620:Q683" si="60">(C602+Q$36)/P$36</f>
        <v>163.70202134146342</v>
      </c>
      <c r="R620" s="1">
        <f t="shared" ref="R620:R683" si="61">(D602+Q$38)/P$38</f>
        <v>169.7784409095544</v>
      </c>
      <c r="S620" s="1">
        <f t="shared" ref="S620:S683" si="62">(E602+Q$39)/P$39</f>
        <v>105.10985372340426</v>
      </c>
    </row>
    <row r="621" spans="1:19" x14ac:dyDescent="0.3">
      <c r="A621">
        <v>10607.2</v>
      </c>
      <c r="B621">
        <v>155.144576</v>
      </c>
      <c r="C621">
        <v>160.281158</v>
      </c>
      <c r="D621">
        <v>165.69200000000001</v>
      </c>
      <c r="E621">
        <v>101.77886599999999</v>
      </c>
      <c r="F621">
        <v>72.713622999999998</v>
      </c>
      <c r="G621">
        <v>50.128622999999997</v>
      </c>
      <c r="H621">
        <v>53.03689</v>
      </c>
      <c r="I621"/>
      <c r="N621"/>
      <c r="O621"/>
      <c r="P621" s="1">
        <f t="shared" si="59"/>
        <v>158.45275508130081</v>
      </c>
      <c r="Q621" s="1">
        <f t="shared" si="60"/>
        <v>163.69998069105691</v>
      </c>
      <c r="R621" s="1">
        <f t="shared" si="61"/>
        <v>169.77235240134601</v>
      </c>
      <c r="S621" s="1">
        <f t="shared" si="62"/>
        <v>105.16146481178396</v>
      </c>
    </row>
    <row r="622" spans="1:19" x14ac:dyDescent="0.3">
      <c r="A622">
        <v>10607.4</v>
      </c>
      <c r="B622">
        <v>155.144576</v>
      </c>
      <c r="C622">
        <v>160.281158</v>
      </c>
      <c r="D622">
        <v>165.69200000000001</v>
      </c>
      <c r="E622">
        <v>101.77886599999999</v>
      </c>
      <c r="F622">
        <v>72.713622999999998</v>
      </c>
      <c r="G622">
        <v>50.128622999999997</v>
      </c>
      <c r="H622">
        <v>53.03689</v>
      </c>
      <c r="I622"/>
      <c r="N622"/>
      <c r="O622"/>
      <c r="P622" s="1">
        <f t="shared" si="59"/>
        <v>158.45275508130081</v>
      </c>
      <c r="Q622" s="1">
        <f t="shared" si="60"/>
        <v>163.69998069105691</v>
      </c>
      <c r="R622" s="1">
        <f t="shared" si="61"/>
        <v>169.77235240134601</v>
      </c>
      <c r="S622" s="1">
        <f t="shared" si="62"/>
        <v>105.16146481178396</v>
      </c>
    </row>
    <row r="623" spans="1:19" x14ac:dyDescent="0.3">
      <c r="A623">
        <v>10607.6</v>
      </c>
      <c r="B623">
        <v>155.16367399999999</v>
      </c>
      <c r="C623">
        <v>160.26444100000001</v>
      </c>
      <c r="D623">
        <v>165.66997900000001</v>
      </c>
      <c r="E623">
        <v>101.76841899999999</v>
      </c>
      <c r="F623">
        <v>71.938062000000002</v>
      </c>
      <c r="G623">
        <v>50.131906000000001</v>
      </c>
      <c r="H623">
        <v>53.054468</v>
      </c>
      <c r="I623"/>
      <c r="N623"/>
      <c r="O623"/>
      <c r="P623" s="1">
        <f t="shared" si="59"/>
        <v>158.48175813008129</v>
      </c>
      <c r="Q623" s="1">
        <f t="shared" si="60"/>
        <v>163.69905995934957</v>
      </c>
      <c r="R623" s="1">
        <f t="shared" si="61"/>
        <v>169.7690506780871</v>
      </c>
      <c r="S623" s="1">
        <f t="shared" si="62"/>
        <v>105.18367225859247</v>
      </c>
    </row>
    <row r="624" spans="1:19" x14ac:dyDescent="0.3">
      <c r="A624">
        <v>10607.8</v>
      </c>
      <c r="B624">
        <v>155.16367399999999</v>
      </c>
      <c r="C624">
        <v>160.26444100000001</v>
      </c>
      <c r="D624">
        <v>165.66997900000001</v>
      </c>
      <c r="E624">
        <v>101.76841899999999</v>
      </c>
      <c r="F624">
        <v>71.938062000000002</v>
      </c>
      <c r="G624">
        <v>50.131906000000001</v>
      </c>
      <c r="H624">
        <v>53.054468</v>
      </c>
      <c r="I624"/>
      <c r="N624"/>
      <c r="O624"/>
      <c r="P624" s="1">
        <f t="shared" si="59"/>
        <v>158.48175813008129</v>
      </c>
      <c r="Q624" s="1">
        <f t="shared" si="60"/>
        <v>163.69905995934957</v>
      </c>
      <c r="R624" s="1">
        <f t="shared" si="61"/>
        <v>169.7690506780871</v>
      </c>
      <c r="S624" s="1">
        <f t="shared" si="62"/>
        <v>105.18367225859247</v>
      </c>
    </row>
    <row r="625" spans="1:19" x14ac:dyDescent="0.3">
      <c r="A625">
        <v>11139</v>
      </c>
      <c r="B625">
        <v>163.960216</v>
      </c>
      <c r="C625">
        <v>169.7527</v>
      </c>
      <c r="D625">
        <v>175.79116200000001</v>
      </c>
      <c r="E625">
        <v>104.36958199999999</v>
      </c>
      <c r="F625">
        <v>75.216334000000003</v>
      </c>
      <c r="G625">
        <v>49.924261999999999</v>
      </c>
      <c r="H625">
        <v>53.269314999999999</v>
      </c>
      <c r="I625" t="s">
        <v>56</v>
      </c>
      <c r="N625"/>
      <c r="O625"/>
      <c r="P625" s="1">
        <f t="shared" si="59"/>
        <v>158.49478861788617</v>
      </c>
      <c r="Q625" s="1">
        <f t="shared" si="60"/>
        <v>163.69116361788616</v>
      </c>
      <c r="R625" s="1">
        <f t="shared" si="61"/>
        <v>169.76282757214236</v>
      </c>
      <c r="S625" s="1">
        <f t="shared" si="62"/>
        <v>105.09124897708675</v>
      </c>
    </row>
    <row r="626" spans="1:19" x14ac:dyDescent="0.3">
      <c r="A626">
        <v>11139.2</v>
      </c>
      <c r="B626">
        <v>163.98787200000001</v>
      </c>
      <c r="C626">
        <v>169.760706</v>
      </c>
      <c r="D626">
        <v>175.78462500000001</v>
      </c>
      <c r="E626">
        <v>104.17107799999999</v>
      </c>
      <c r="F626">
        <v>74.658277999999996</v>
      </c>
      <c r="G626">
        <v>49.924261999999999</v>
      </c>
      <c r="H626">
        <v>53.269314999999999</v>
      </c>
      <c r="I626"/>
      <c r="N626"/>
      <c r="O626"/>
      <c r="P626" s="1">
        <f t="shared" si="59"/>
        <v>158.49478861788617</v>
      </c>
      <c r="Q626" s="1">
        <f t="shared" si="60"/>
        <v>163.69116361788616</v>
      </c>
      <c r="R626" s="1">
        <f t="shared" si="61"/>
        <v>169.76282757214236</v>
      </c>
      <c r="S626" s="1">
        <f t="shared" si="62"/>
        <v>105.09124897708675</v>
      </c>
    </row>
    <row r="627" spans="1:19" x14ac:dyDescent="0.3">
      <c r="A627">
        <v>11139.4</v>
      </c>
      <c r="B627">
        <v>163.98787200000001</v>
      </c>
      <c r="C627">
        <v>169.760706</v>
      </c>
      <c r="D627">
        <v>175.78462500000001</v>
      </c>
      <c r="E627">
        <v>104.17107799999999</v>
      </c>
      <c r="F627">
        <v>74.658277999999996</v>
      </c>
      <c r="G627">
        <v>49.919713999999999</v>
      </c>
      <c r="H627">
        <v>53.263392000000003</v>
      </c>
      <c r="I627"/>
      <c r="N627"/>
      <c r="O627"/>
      <c r="P627" s="1">
        <f t="shared" si="59"/>
        <v>158.475875</v>
      </c>
      <c r="Q627" s="1">
        <f t="shared" si="60"/>
        <v>163.69291565040649</v>
      </c>
      <c r="R627" s="1">
        <f t="shared" si="61"/>
        <v>169.77958499031305</v>
      </c>
      <c r="S627" s="1">
        <f t="shared" si="62"/>
        <v>105.07377454991817</v>
      </c>
    </row>
    <row r="628" spans="1:19" x14ac:dyDescent="0.3">
      <c r="A628">
        <v>11139.6</v>
      </c>
      <c r="B628">
        <v>163.97559799999999</v>
      </c>
      <c r="C628">
        <v>169.77330699999999</v>
      </c>
      <c r="D628">
        <v>175.767921</v>
      </c>
      <c r="E628">
        <v>104.182519</v>
      </c>
      <c r="F628">
        <v>74.938552000000001</v>
      </c>
      <c r="G628">
        <v>49.919713999999999</v>
      </c>
      <c r="H628">
        <v>53.263392000000003</v>
      </c>
      <c r="I628"/>
      <c r="N628"/>
      <c r="O628"/>
      <c r="P628" s="1">
        <f t="shared" si="59"/>
        <v>158.475875</v>
      </c>
      <c r="Q628" s="1">
        <f t="shared" si="60"/>
        <v>163.69291565040649</v>
      </c>
      <c r="R628" s="1">
        <f t="shared" si="61"/>
        <v>169.77958499031305</v>
      </c>
      <c r="S628" s="1">
        <f t="shared" si="62"/>
        <v>105.07377454991817</v>
      </c>
    </row>
    <row r="629" spans="1:19" x14ac:dyDescent="0.3">
      <c r="A629">
        <v>11139.8</v>
      </c>
      <c r="B629">
        <v>163.97559799999999</v>
      </c>
      <c r="C629">
        <v>169.77330699999999</v>
      </c>
      <c r="D629">
        <v>175.767921</v>
      </c>
      <c r="E629">
        <v>104.182519</v>
      </c>
      <c r="F629">
        <v>74.938552000000001</v>
      </c>
      <c r="G629">
        <v>49.910983999999999</v>
      </c>
      <c r="H629">
        <v>53.251913000000002</v>
      </c>
      <c r="I629"/>
      <c r="N629"/>
      <c r="O629"/>
      <c r="P629" s="1">
        <f t="shared" si="59"/>
        <v>158.45944004065038</v>
      </c>
      <c r="Q629" s="1">
        <f t="shared" si="60"/>
        <v>163.69882520325203</v>
      </c>
      <c r="R629" s="1">
        <f t="shared" si="61"/>
        <v>169.77620067298869</v>
      </c>
      <c r="S629" s="1">
        <f t="shared" si="62"/>
        <v>105.07603621112931</v>
      </c>
    </row>
    <row r="630" spans="1:19" x14ac:dyDescent="0.3">
      <c r="A630">
        <v>11140</v>
      </c>
      <c r="B630">
        <v>163.975641</v>
      </c>
      <c r="C630">
        <v>169.74020400000001</v>
      </c>
      <c r="D630">
        <v>175.78013000000001</v>
      </c>
      <c r="E630">
        <v>104.220997</v>
      </c>
      <c r="F630">
        <v>74.366096999999996</v>
      </c>
      <c r="G630">
        <v>49.910983999999999</v>
      </c>
      <c r="H630">
        <v>53.251913000000002</v>
      </c>
      <c r="I630" t="s">
        <v>56</v>
      </c>
      <c r="N630"/>
      <c r="O630"/>
      <c r="P630" s="1">
        <f t="shared" si="59"/>
        <v>158.45944004065038</v>
      </c>
      <c r="Q630" s="1">
        <f t="shared" si="60"/>
        <v>163.69882520325203</v>
      </c>
      <c r="R630" s="1">
        <f t="shared" si="61"/>
        <v>169.77620067298869</v>
      </c>
      <c r="S630" s="1">
        <f t="shared" si="62"/>
        <v>105.07603621112931</v>
      </c>
    </row>
    <row r="631" spans="1:19" x14ac:dyDescent="0.3">
      <c r="A631">
        <v>11140.2</v>
      </c>
      <c r="B631">
        <v>163.975641</v>
      </c>
      <c r="C631">
        <v>169.74020400000001</v>
      </c>
      <c r="D631">
        <v>175.78013000000001</v>
      </c>
      <c r="E631">
        <v>104.220997</v>
      </c>
      <c r="F631">
        <v>74.366096999999996</v>
      </c>
      <c r="G631">
        <v>49.915785</v>
      </c>
      <c r="H631">
        <v>53.270541000000001</v>
      </c>
      <c r="I631"/>
      <c r="N631"/>
      <c r="O631"/>
      <c r="P631" s="1">
        <f t="shared" si="59"/>
        <v>158.49659146341463</v>
      </c>
      <c r="Q631" s="1">
        <f t="shared" si="60"/>
        <v>163.6877286585366</v>
      </c>
      <c r="R631" s="1">
        <f t="shared" si="61"/>
        <v>169.7617773019272</v>
      </c>
      <c r="S631" s="1">
        <f t="shared" si="62"/>
        <v>105.04749897708673</v>
      </c>
    </row>
    <row r="632" spans="1:19" x14ac:dyDescent="0.3">
      <c r="A632">
        <v>11140.4</v>
      </c>
      <c r="B632">
        <v>163.985738</v>
      </c>
      <c r="C632">
        <v>169.755977</v>
      </c>
      <c r="D632">
        <v>175.77898300000001</v>
      </c>
      <c r="E632">
        <v>104.302189</v>
      </c>
      <c r="F632">
        <v>73.751417000000004</v>
      </c>
      <c r="G632">
        <v>49.915785</v>
      </c>
      <c r="H632">
        <v>53.270541000000001</v>
      </c>
      <c r="I632"/>
      <c r="N632"/>
      <c r="O632"/>
      <c r="P632" s="1">
        <f t="shared" si="59"/>
        <v>158.49659146341463</v>
      </c>
      <c r="Q632" s="1">
        <f t="shared" si="60"/>
        <v>163.6877286585366</v>
      </c>
      <c r="R632" s="1">
        <f t="shared" si="61"/>
        <v>169.7617773019272</v>
      </c>
      <c r="S632" s="1">
        <f t="shared" si="62"/>
        <v>105.04749897708673</v>
      </c>
    </row>
    <row r="633" spans="1:19" x14ac:dyDescent="0.3">
      <c r="A633">
        <v>11140.6</v>
      </c>
      <c r="B633">
        <v>163.985738</v>
      </c>
      <c r="C633">
        <v>169.755977</v>
      </c>
      <c r="D633">
        <v>175.77898300000001</v>
      </c>
      <c r="E633">
        <v>104.302189</v>
      </c>
      <c r="F633">
        <v>73.751417000000004</v>
      </c>
      <c r="G633">
        <v>49.888364000000003</v>
      </c>
      <c r="H633">
        <v>53.255864000000003</v>
      </c>
      <c r="I633"/>
      <c r="N633"/>
      <c r="O633"/>
      <c r="P633" s="1">
        <f t="shared" si="59"/>
        <v>158.4618018292683</v>
      </c>
      <c r="Q633" s="1">
        <f t="shared" si="60"/>
        <v>163.69142174796747</v>
      </c>
      <c r="R633" s="1">
        <f t="shared" si="61"/>
        <v>169.79071683491384</v>
      </c>
      <c r="S633" s="1">
        <f t="shared" si="62"/>
        <v>105.2014494680851</v>
      </c>
    </row>
    <row r="634" spans="1:19" x14ac:dyDescent="0.3">
      <c r="A634">
        <v>11140.8</v>
      </c>
      <c r="B634">
        <v>163.96723600000001</v>
      </c>
      <c r="C634">
        <v>169.769383</v>
      </c>
      <c r="D634">
        <v>175.778989</v>
      </c>
      <c r="E634">
        <v>104.26127</v>
      </c>
      <c r="F634">
        <v>74.163382999999996</v>
      </c>
      <c r="G634">
        <v>49.888364000000003</v>
      </c>
      <c r="H634">
        <v>53.255864000000003</v>
      </c>
      <c r="I634"/>
      <c r="N634"/>
      <c r="O634"/>
      <c r="P634" s="1">
        <f t="shared" si="59"/>
        <v>158.4618018292683</v>
      </c>
      <c r="Q634" s="1">
        <f t="shared" si="60"/>
        <v>163.69142174796747</v>
      </c>
      <c r="R634" s="1">
        <f t="shared" si="61"/>
        <v>169.79071683491384</v>
      </c>
      <c r="S634" s="1">
        <f t="shared" si="62"/>
        <v>105.2014494680851</v>
      </c>
    </row>
    <row r="635" spans="1:19" x14ac:dyDescent="0.3">
      <c r="A635">
        <v>11141</v>
      </c>
      <c r="B635">
        <v>163.96723600000001</v>
      </c>
      <c r="C635">
        <v>169.769383</v>
      </c>
      <c r="D635">
        <v>175.778989</v>
      </c>
      <c r="E635">
        <v>104.26127</v>
      </c>
      <c r="F635">
        <v>74.163382999999996</v>
      </c>
      <c r="G635">
        <v>49.907207</v>
      </c>
      <c r="H635">
        <v>53.253678999999998</v>
      </c>
      <c r="I635" t="s">
        <v>56</v>
      </c>
      <c r="N635"/>
      <c r="O635"/>
      <c r="P635" s="1">
        <f t="shared" si="59"/>
        <v>158.47715955284551</v>
      </c>
      <c r="Q635" s="1">
        <f t="shared" si="60"/>
        <v>163.69015243902436</v>
      </c>
      <c r="R635" s="1">
        <f t="shared" si="61"/>
        <v>169.77706230243706</v>
      </c>
      <c r="S635" s="1">
        <f t="shared" si="62"/>
        <v>105.13138400163666</v>
      </c>
    </row>
    <row r="636" spans="1:19" x14ac:dyDescent="0.3">
      <c r="A636">
        <v>11141.2</v>
      </c>
      <c r="B636">
        <v>163.982316</v>
      </c>
      <c r="C636">
        <v>169.75207399999999</v>
      </c>
      <c r="D636">
        <v>175.77322599999999</v>
      </c>
      <c r="E636">
        <v>104.228796</v>
      </c>
      <c r="F636">
        <v>74.804045000000002</v>
      </c>
      <c r="G636">
        <v>49.907207</v>
      </c>
      <c r="H636">
        <v>53.253678999999998</v>
      </c>
      <c r="I636"/>
      <c r="N636"/>
      <c r="O636"/>
      <c r="P636" s="1">
        <f t="shared" si="59"/>
        <v>158.47715955284551</v>
      </c>
      <c r="Q636" s="1">
        <f t="shared" si="60"/>
        <v>163.69015243902436</v>
      </c>
      <c r="R636" s="1">
        <f t="shared" si="61"/>
        <v>169.77706230243706</v>
      </c>
      <c r="S636" s="1">
        <f t="shared" si="62"/>
        <v>105.13138400163666</v>
      </c>
    </row>
    <row r="637" spans="1:19" x14ac:dyDescent="0.3">
      <c r="A637">
        <v>11141.4</v>
      </c>
      <c r="B637">
        <v>163.982316</v>
      </c>
      <c r="C637">
        <v>169.75207399999999</v>
      </c>
      <c r="D637">
        <v>175.77322599999999</v>
      </c>
      <c r="E637">
        <v>104.228796</v>
      </c>
      <c r="F637">
        <v>74.804045000000002</v>
      </c>
      <c r="G637">
        <v>49.923543000000002</v>
      </c>
      <c r="H637">
        <v>53.257525999999999</v>
      </c>
      <c r="I637"/>
      <c r="N637"/>
      <c r="O637"/>
      <c r="P637" s="1">
        <f t="shared" si="59"/>
        <v>158.4798882113821</v>
      </c>
      <c r="Q637" s="1">
        <f t="shared" si="60"/>
        <v>163.68145020325204</v>
      </c>
      <c r="R637" s="1">
        <f t="shared" si="61"/>
        <v>169.74645253390435</v>
      </c>
      <c r="S637" s="1">
        <f t="shared" si="62"/>
        <v>105.0120816284779</v>
      </c>
    </row>
    <row r="638" spans="1:19" x14ac:dyDescent="0.3">
      <c r="A638">
        <v>11141.6</v>
      </c>
      <c r="B638">
        <v>163.98549</v>
      </c>
      <c r="C638">
        <v>169.76513299999999</v>
      </c>
      <c r="D638">
        <v>175.789264</v>
      </c>
      <c r="E638">
        <v>104.178049</v>
      </c>
      <c r="F638">
        <v>74.869669999999999</v>
      </c>
      <c r="G638">
        <v>49.923543000000002</v>
      </c>
      <c r="H638">
        <v>53.257525999999999</v>
      </c>
      <c r="I638"/>
      <c r="N638"/>
      <c r="O638"/>
      <c r="P638" s="1">
        <f t="shared" si="59"/>
        <v>158.4798882113821</v>
      </c>
      <c r="Q638" s="1">
        <f t="shared" si="60"/>
        <v>163.68145020325204</v>
      </c>
      <c r="R638" s="1">
        <f t="shared" si="61"/>
        <v>169.74645253390435</v>
      </c>
      <c r="S638" s="1">
        <f t="shared" si="62"/>
        <v>105.0120816284779</v>
      </c>
    </row>
    <row r="639" spans="1:19" x14ac:dyDescent="0.3">
      <c r="A639">
        <v>11141.8</v>
      </c>
      <c r="B639">
        <v>163.98549</v>
      </c>
      <c r="C639">
        <v>169.76513299999999</v>
      </c>
      <c r="D639">
        <v>175.789264</v>
      </c>
      <c r="E639">
        <v>104.178049</v>
      </c>
      <c r="F639">
        <v>74.869669999999999</v>
      </c>
      <c r="G639">
        <v>49.923642999999998</v>
      </c>
      <c r="H639">
        <v>53.260393999999998</v>
      </c>
      <c r="I639"/>
      <c r="N639"/>
      <c r="O639"/>
      <c r="P639" s="1">
        <f t="shared" si="59"/>
        <v>158.4665406504065</v>
      </c>
      <c r="Q639" s="1">
        <f t="shared" si="60"/>
        <v>163.68664430894307</v>
      </c>
      <c r="R639" s="1">
        <f t="shared" si="61"/>
        <v>169.77903538288979</v>
      </c>
      <c r="S639" s="1">
        <f t="shared" si="62"/>
        <v>105.05591857610473</v>
      </c>
    </row>
    <row r="640" spans="1:19" x14ac:dyDescent="0.3">
      <c r="A640">
        <v>11142</v>
      </c>
      <c r="B640">
        <v>163.99172300000001</v>
      </c>
      <c r="C640">
        <v>169.76644999999999</v>
      </c>
      <c r="D640">
        <v>175.810228</v>
      </c>
      <c r="E640">
        <v>104.236065</v>
      </c>
      <c r="F640">
        <v>74.794031000000004</v>
      </c>
      <c r="G640">
        <v>49.923642999999998</v>
      </c>
      <c r="H640">
        <v>53.260393999999998</v>
      </c>
      <c r="I640" t="s">
        <v>56</v>
      </c>
      <c r="N640"/>
      <c r="O640"/>
      <c r="P640" s="1">
        <f t="shared" si="59"/>
        <v>158.4665406504065</v>
      </c>
      <c r="Q640" s="1">
        <f t="shared" si="60"/>
        <v>163.68664430894307</v>
      </c>
      <c r="R640" s="1">
        <f t="shared" si="61"/>
        <v>169.77903538288979</v>
      </c>
      <c r="S640" s="1">
        <f t="shared" si="62"/>
        <v>105.05591857610473</v>
      </c>
    </row>
    <row r="641" spans="1:19" x14ac:dyDescent="0.3">
      <c r="A641">
        <v>11142.2</v>
      </c>
      <c r="B641">
        <v>163.99172300000001</v>
      </c>
      <c r="C641">
        <v>169.76644999999999</v>
      </c>
      <c r="D641">
        <v>175.810228</v>
      </c>
      <c r="E641">
        <v>104.236065</v>
      </c>
      <c r="F641">
        <v>74.794031000000004</v>
      </c>
      <c r="G641">
        <v>49.944705999999996</v>
      </c>
      <c r="H641">
        <v>53.228366999999999</v>
      </c>
      <c r="I641"/>
      <c r="N641"/>
      <c r="O641"/>
      <c r="P641" s="1">
        <f t="shared" si="59"/>
        <v>158.48594918699186</v>
      </c>
      <c r="Q641" s="1">
        <f t="shared" si="60"/>
        <v>163.66965548780487</v>
      </c>
      <c r="R641" s="1">
        <f t="shared" si="61"/>
        <v>169.75658101356177</v>
      </c>
      <c r="S641" s="1">
        <f t="shared" si="62"/>
        <v>105.04523220130932</v>
      </c>
    </row>
    <row r="642" spans="1:19" x14ac:dyDescent="0.3">
      <c r="A642">
        <v>11142.4</v>
      </c>
      <c r="B642">
        <v>163.981405</v>
      </c>
      <c r="C642">
        <v>169.73846599999999</v>
      </c>
      <c r="D642">
        <v>175.78331299999999</v>
      </c>
      <c r="E642">
        <v>104.260249</v>
      </c>
      <c r="F642">
        <v>75.728218999999996</v>
      </c>
      <c r="G642">
        <v>49.944705999999996</v>
      </c>
      <c r="H642">
        <v>53.228366999999999</v>
      </c>
      <c r="I642"/>
      <c r="N642"/>
      <c r="O642"/>
      <c r="P642" s="1">
        <f t="shared" si="59"/>
        <v>158.48594918699186</v>
      </c>
      <c r="Q642" s="1">
        <f t="shared" si="60"/>
        <v>163.66965548780487</v>
      </c>
      <c r="R642" s="1">
        <f t="shared" si="61"/>
        <v>169.75658101356177</v>
      </c>
      <c r="S642" s="1">
        <f t="shared" si="62"/>
        <v>105.04523220130932</v>
      </c>
    </row>
    <row r="643" spans="1:19" x14ac:dyDescent="0.3">
      <c r="A643">
        <v>11142.6</v>
      </c>
      <c r="B643">
        <v>163.981405</v>
      </c>
      <c r="C643">
        <v>169.73846599999999</v>
      </c>
      <c r="D643">
        <v>175.78331299999999</v>
      </c>
      <c r="E643">
        <v>104.260249</v>
      </c>
      <c r="F643">
        <v>75.728218999999996</v>
      </c>
      <c r="G643">
        <v>49.915401000000003</v>
      </c>
      <c r="H643">
        <v>53.245942999999997</v>
      </c>
      <c r="I643"/>
      <c r="N643"/>
      <c r="O643"/>
      <c r="P643" s="1">
        <f t="shared" si="59"/>
        <v>167.42552439024391</v>
      </c>
      <c r="Q643" s="1">
        <f t="shared" si="60"/>
        <v>173.31219512195122</v>
      </c>
      <c r="R643" s="1">
        <f t="shared" si="61"/>
        <v>180.07694707861734</v>
      </c>
      <c r="S643" s="1">
        <f t="shared" si="62"/>
        <v>107.70599631751227</v>
      </c>
    </row>
    <row r="644" spans="1:19" x14ac:dyDescent="0.3">
      <c r="A644">
        <v>11142.8</v>
      </c>
      <c r="B644">
        <v>163.97284300000001</v>
      </c>
      <c r="C644">
        <v>169.74115800000001</v>
      </c>
      <c r="D644">
        <v>175.78599199999999</v>
      </c>
      <c r="E644">
        <v>104.29720500000001</v>
      </c>
      <c r="F644">
        <v>75.659440000000004</v>
      </c>
      <c r="G644">
        <v>49.915401000000003</v>
      </c>
      <c r="H644">
        <v>53.245942999999997</v>
      </c>
      <c r="I644"/>
      <c r="N644"/>
      <c r="O644"/>
      <c r="P644" s="1">
        <f t="shared" si="59"/>
        <v>167.45363008130082</v>
      </c>
      <c r="Q644" s="1">
        <f t="shared" si="60"/>
        <v>173.320331300813</v>
      </c>
      <c r="R644" s="1">
        <f t="shared" si="61"/>
        <v>180.07028143163049</v>
      </c>
      <c r="S644" s="1">
        <f t="shared" si="62"/>
        <v>107.5029439443535</v>
      </c>
    </row>
    <row r="645" spans="1:19" x14ac:dyDescent="0.3">
      <c r="A645">
        <v>11143</v>
      </c>
      <c r="B645">
        <v>163.97284300000001</v>
      </c>
      <c r="C645">
        <v>169.74115800000001</v>
      </c>
      <c r="D645">
        <v>175.78599199999999</v>
      </c>
      <c r="E645">
        <v>104.29720500000001</v>
      </c>
      <c r="F645">
        <v>75.659440000000004</v>
      </c>
      <c r="G645">
        <v>49.90831</v>
      </c>
      <c r="H645">
        <v>53.245555000000003</v>
      </c>
      <c r="I645" t="s">
        <v>56</v>
      </c>
      <c r="N645"/>
      <c r="O645"/>
      <c r="P645" s="1">
        <f t="shared" si="59"/>
        <v>167.45363008130082</v>
      </c>
      <c r="Q645" s="1">
        <f t="shared" si="60"/>
        <v>173.320331300813</v>
      </c>
      <c r="R645" s="1">
        <f t="shared" si="61"/>
        <v>180.07028143163049</v>
      </c>
      <c r="S645" s="1">
        <f t="shared" si="62"/>
        <v>107.5029439443535</v>
      </c>
    </row>
    <row r="646" spans="1:19" x14ac:dyDescent="0.3">
      <c r="A646">
        <v>11143.2</v>
      </c>
      <c r="B646">
        <v>163.98440199999999</v>
      </c>
      <c r="C646">
        <v>169.75322700000001</v>
      </c>
      <c r="D646">
        <v>175.778819</v>
      </c>
      <c r="E646">
        <v>104.299091</v>
      </c>
      <c r="F646">
        <v>75.291799999999995</v>
      </c>
      <c r="G646">
        <v>49.90831</v>
      </c>
      <c r="H646">
        <v>53.245555000000003</v>
      </c>
      <c r="I646"/>
      <c r="N646"/>
      <c r="O646"/>
      <c r="P646" s="1">
        <f t="shared" si="59"/>
        <v>167.44115650406502</v>
      </c>
      <c r="Q646" s="1">
        <f t="shared" si="60"/>
        <v>173.33313719512194</v>
      </c>
      <c r="R646" s="1">
        <f t="shared" si="61"/>
        <v>180.05324869990824</v>
      </c>
      <c r="S646" s="1">
        <f t="shared" si="62"/>
        <v>107.51464709492635</v>
      </c>
    </row>
    <row r="647" spans="1:19" x14ac:dyDescent="0.3">
      <c r="A647">
        <v>11143.4</v>
      </c>
      <c r="B647">
        <v>163.98440199999999</v>
      </c>
      <c r="C647">
        <v>169.75322700000001</v>
      </c>
      <c r="D647">
        <v>175.778819</v>
      </c>
      <c r="E647">
        <v>104.299091</v>
      </c>
      <c r="F647">
        <v>75.291799999999995</v>
      </c>
      <c r="G647">
        <v>49.892257999999998</v>
      </c>
      <c r="H647">
        <v>53.241990999999999</v>
      </c>
      <c r="I647"/>
      <c r="N647"/>
      <c r="O647"/>
      <c r="P647" s="1">
        <f t="shared" si="59"/>
        <v>167.44115650406502</v>
      </c>
      <c r="Q647" s="1">
        <f t="shared" si="60"/>
        <v>173.33313719512194</v>
      </c>
      <c r="R647" s="1">
        <f t="shared" si="61"/>
        <v>180.05324869990824</v>
      </c>
      <c r="S647" s="1">
        <f t="shared" si="62"/>
        <v>107.51464709492635</v>
      </c>
    </row>
    <row r="648" spans="1:19" x14ac:dyDescent="0.3">
      <c r="A648">
        <v>11143.6</v>
      </c>
      <c r="B648">
        <v>163.96463399999999</v>
      </c>
      <c r="C648">
        <v>169.74208899999999</v>
      </c>
      <c r="D648">
        <v>175.793938</v>
      </c>
      <c r="E648">
        <v>104.308728</v>
      </c>
      <c r="F648">
        <v>74.384801999999993</v>
      </c>
      <c r="G648">
        <v>49.892257999999998</v>
      </c>
      <c r="H648">
        <v>53.241990999999999</v>
      </c>
      <c r="I648"/>
      <c r="N648"/>
      <c r="O648"/>
      <c r="P648" s="1">
        <f t="shared" si="59"/>
        <v>167.44120020325201</v>
      </c>
      <c r="Q648" s="1">
        <f t="shared" si="60"/>
        <v>173.29949593495934</v>
      </c>
      <c r="R648" s="1">
        <f t="shared" si="61"/>
        <v>180.06569797083719</v>
      </c>
      <c r="S648" s="1">
        <f t="shared" si="62"/>
        <v>107.55400675122749</v>
      </c>
    </row>
    <row r="649" spans="1:19" x14ac:dyDescent="0.3">
      <c r="A649">
        <v>11143.8</v>
      </c>
      <c r="B649">
        <v>163.96463399999999</v>
      </c>
      <c r="C649">
        <v>169.74208899999999</v>
      </c>
      <c r="D649">
        <v>175.793938</v>
      </c>
      <c r="E649">
        <v>104.308728</v>
      </c>
      <c r="F649">
        <v>74.384801999999993</v>
      </c>
      <c r="G649">
        <v>49.911135999999999</v>
      </c>
      <c r="H649">
        <v>53.270746000000003</v>
      </c>
      <c r="I649"/>
      <c r="N649"/>
      <c r="O649"/>
      <c r="P649" s="1">
        <f t="shared" si="59"/>
        <v>167.44120020325201</v>
      </c>
      <c r="Q649" s="1">
        <f t="shared" si="60"/>
        <v>173.29949593495934</v>
      </c>
      <c r="R649" s="1">
        <f t="shared" si="61"/>
        <v>180.06569797083719</v>
      </c>
      <c r="S649" s="1">
        <f t="shared" si="62"/>
        <v>107.55400675122749</v>
      </c>
    </row>
    <row r="650" spans="1:19" x14ac:dyDescent="0.3">
      <c r="A650">
        <v>11144</v>
      </c>
      <c r="B650">
        <v>163.98062100000001</v>
      </c>
      <c r="C650">
        <v>169.776938</v>
      </c>
      <c r="D650">
        <v>175.76849200000001</v>
      </c>
      <c r="E650">
        <v>104.42975300000001</v>
      </c>
      <c r="F650">
        <v>73.675500999999997</v>
      </c>
      <c r="G650">
        <v>49.911135999999999</v>
      </c>
      <c r="H650">
        <v>53.270746000000003</v>
      </c>
      <c r="I650" t="s">
        <v>56</v>
      </c>
      <c r="N650"/>
      <c r="O650"/>
      <c r="P650" s="1">
        <f t="shared" si="59"/>
        <v>167.45146138211382</v>
      </c>
      <c r="Q650" s="1">
        <f t="shared" si="60"/>
        <v>173.31552540650407</v>
      </c>
      <c r="R650" s="1">
        <f t="shared" si="61"/>
        <v>180.06452839808301</v>
      </c>
      <c r="S650" s="1">
        <f t="shared" si="62"/>
        <v>107.63705912438624</v>
      </c>
    </row>
    <row r="651" spans="1:19" x14ac:dyDescent="0.3">
      <c r="A651">
        <v>11144.2</v>
      </c>
      <c r="B651">
        <v>163.98062100000001</v>
      </c>
      <c r="C651">
        <v>169.776938</v>
      </c>
      <c r="D651">
        <v>175.76849200000001</v>
      </c>
      <c r="E651">
        <v>104.42975300000001</v>
      </c>
      <c r="F651">
        <v>73.675500999999997</v>
      </c>
      <c r="G651">
        <v>49.905673</v>
      </c>
      <c r="H651">
        <v>53.282590999999996</v>
      </c>
      <c r="I651"/>
      <c r="N651"/>
      <c r="O651"/>
      <c r="P651" s="1">
        <f t="shared" si="59"/>
        <v>167.45146138211382</v>
      </c>
      <c r="Q651" s="1">
        <f t="shared" si="60"/>
        <v>173.31552540650407</v>
      </c>
      <c r="R651" s="1">
        <f t="shared" si="61"/>
        <v>180.06452839808301</v>
      </c>
      <c r="S651" s="1">
        <f t="shared" si="62"/>
        <v>107.63705912438624</v>
      </c>
    </row>
    <row r="652" spans="1:19" x14ac:dyDescent="0.3">
      <c r="A652">
        <v>11144.4</v>
      </c>
      <c r="B652">
        <v>163.98490100000001</v>
      </c>
      <c r="C652">
        <v>169.764071</v>
      </c>
      <c r="D652">
        <v>175.78329400000001</v>
      </c>
      <c r="E652">
        <v>104.30839</v>
      </c>
      <c r="F652">
        <v>73.750144000000006</v>
      </c>
      <c r="G652">
        <v>49.905673</v>
      </c>
      <c r="H652">
        <v>53.282590999999996</v>
      </c>
      <c r="I652"/>
      <c r="N652"/>
      <c r="O652"/>
      <c r="P652" s="1">
        <f t="shared" si="59"/>
        <v>167.43265853658536</v>
      </c>
      <c r="Q652" s="1">
        <f t="shared" si="60"/>
        <v>173.32914939024391</v>
      </c>
      <c r="R652" s="1">
        <f t="shared" si="61"/>
        <v>180.06453451616193</v>
      </c>
      <c r="S652" s="1">
        <f t="shared" si="62"/>
        <v>107.59520253682487</v>
      </c>
    </row>
    <row r="653" spans="1:19" x14ac:dyDescent="0.3">
      <c r="A653">
        <v>11144.6</v>
      </c>
      <c r="B653">
        <v>163.98490100000001</v>
      </c>
      <c r="C653">
        <v>169.764071</v>
      </c>
      <c r="D653">
        <v>175.78329400000001</v>
      </c>
      <c r="E653">
        <v>104.30839</v>
      </c>
      <c r="F653">
        <v>73.750144000000006</v>
      </c>
      <c r="G653">
        <v>49.915374999999997</v>
      </c>
      <c r="H653">
        <v>53.298729999999999</v>
      </c>
      <c r="I653"/>
      <c r="N653"/>
      <c r="O653"/>
      <c r="P653" s="1">
        <f t="shared" si="59"/>
        <v>167.43265853658536</v>
      </c>
      <c r="Q653" s="1">
        <f t="shared" si="60"/>
        <v>173.32914939024391</v>
      </c>
      <c r="R653" s="1">
        <f t="shared" si="61"/>
        <v>180.06453451616193</v>
      </c>
      <c r="S653" s="1">
        <f t="shared" si="62"/>
        <v>107.59520253682487</v>
      </c>
    </row>
    <row r="654" spans="1:19" x14ac:dyDescent="0.3">
      <c r="A654">
        <v>11144.8</v>
      </c>
      <c r="B654">
        <v>163.97733400000001</v>
      </c>
      <c r="C654">
        <v>169.745194</v>
      </c>
      <c r="D654">
        <v>175.80498299999999</v>
      </c>
      <c r="E654">
        <v>104.226474</v>
      </c>
      <c r="F654">
        <v>74.854917</v>
      </c>
      <c r="G654">
        <v>49.915374999999997</v>
      </c>
      <c r="H654">
        <v>53.298729999999999</v>
      </c>
      <c r="I654"/>
      <c r="N654"/>
      <c r="O654"/>
      <c r="P654" s="1">
        <f t="shared" si="59"/>
        <v>167.44798373983738</v>
      </c>
      <c r="Q654" s="1">
        <f t="shared" si="60"/>
        <v>173.31155894308941</v>
      </c>
      <c r="R654" s="1">
        <f t="shared" si="61"/>
        <v>180.05865810135617</v>
      </c>
      <c r="S654" s="1">
        <f t="shared" si="62"/>
        <v>107.56198445171849</v>
      </c>
    </row>
    <row r="655" spans="1:19" x14ac:dyDescent="0.3">
      <c r="A655">
        <v>11145</v>
      </c>
      <c r="B655">
        <v>163.97733400000001</v>
      </c>
      <c r="C655">
        <v>169.745194</v>
      </c>
      <c r="D655">
        <v>175.80498299999999</v>
      </c>
      <c r="E655">
        <v>104.226474</v>
      </c>
      <c r="F655">
        <v>74.854917</v>
      </c>
      <c r="G655">
        <v>49.909035000000003</v>
      </c>
      <c r="H655">
        <v>53.282485999999999</v>
      </c>
      <c r="I655" t="s">
        <v>56</v>
      </c>
      <c r="N655"/>
      <c r="O655"/>
      <c r="P655" s="1">
        <f t="shared" si="59"/>
        <v>167.44798373983738</v>
      </c>
      <c r="Q655" s="1">
        <f t="shared" si="60"/>
        <v>173.31155894308941</v>
      </c>
      <c r="R655" s="1">
        <f t="shared" si="61"/>
        <v>180.05865810135617</v>
      </c>
      <c r="S655" s="1">
        <f t="shared" si="62"/>
        <v>107.56198445171849</v>
      </c>
    </row>
    <row r="656" spans="1:19" x14ac:dyDescent="0.3">
      <c r="A656">
        <v>11145.2</v>
      </c>
      <c r="B656">
        <v>163.98574099999999</v>
      </c>
      <c r="C656">
        <v>169.75269</v>
      </c>
      <c r="D656">
        <v>175.78132600000001</v>
      </c>
      <c r="E656">
        <v>104.33769100000001</v>
      </c>
      <c r="F656">
        <v>74.385428000000005</v>
      </c>
      <c r="G656">
        <v>49.909035000000003</v>
      </c>
      <c r="H656">
        <v>53.282485999999999</v>
      </c>
      <c r="I656"/>
      <c r="N656"/>
      <c r="O656"/>
      <c r="P656" s="1">
        <f t="shared" si="59"/>
        <v>167.45120934959348</v>
      </c>
      <c r="Q656" s="1">
        <f t="shared" si="60"/>
        <v>173.32483028455283</v>
      </c>
      <c r="R656" s="1">
        <f t="shared" si="61"/>
        <v>180.07501172631794</v>
      </c>
      <c r="S656" s="1">
        <f t="shared" si="62"/>
        <v>107.51007467266776</v>
      </c>
    </row>
    <row r="657" spans="1:19" x14ac:dyDescent="0.3">
      <c r="A657">
        <v>11145.4</v>
      </c>
      <c r="B657">
        <v>163.98574099999999</v>
      </c>
      <c r="C657">
        <v>169.75269</v>
      </c>
      <c r="D657">
        <v>175.78132600000001</v>
      </c>
      <c r="E657">
        <v>104.33769100000001</v>
      </c>
      <c r="F657">
        <v>74.385428000000005</v>
      </c>
      <c r="G657">
        <v>49.910910000000001</v>
      </c>
      <c r="H657">
        <v>53.262447999999999</v>
      </c>
      <c r="I657"/>
      <c r="N657"/>
      <c r="O657"/>
      <c r="P657" s="1">
        <f t="shared" si="59"/>
        <v>167.45120934959348</v>
      </c>
      <c r="Q657" s="1">
        <f t="shared" si="60"/>
        <v>173.32483028455283</v>
      </c>
      <c r="R657" s="1">
        <f t="shared" si="61"/>
        <v>180.07501172631794</v>
      </c>
      <c r="S657" s="1">
        <f t="shared" si="62"/>
        <v>107.51007467266776</v>
      </c>
    </row>
    <row r="658" spans="1:19" x14ac:dyDescent="0.3">
      <c r="A658">
        <v>11145.6</v>
      </c>
      <c r="B658">
        <v>163.98071999999999</v>
      </c>
      <c r="C658">
        <v>169.7587</v>
      </c>
      <c r="D658">
        <v>175.78684000000001</v>
      </c>
      <c r="E658">
        <v>104.328549</v>
      </c>
      <c r="F658">
        <v>74.592196999999999</v>
      </c>
      <c r="G658">
        <v>49.910910000000001</v>
      </c>
      <c r="H658">
        <v>53.262447999999999</v>
      </c>
      <c r="I658"/>
      <c r="N658"/>
      <c r="O658"/>
      <c r="P658" s="1">
        <f t="shared" si="59"/>
        <v>167.457543699187</v>
      </c>
      <c r="Q658" s="1">
        <f t="shared" si="60"/>
        <v>173.32616869918698</v>
      </c>
      <c r="R658" s="1">
        <f t="shared" si="61"/>
        <v>180.09638829407567</v>
      </c>
      <c r="S658" s="1">
        <f t="shared" si="62"/>
        <v>107.5694200081833</v>
      </c>
    </row>
    <row r="659" spans="1:19" x14ac:dyDescent="0.3">
      <c r="A659">
        <v>11145.8</v>
      </c>
      <c r="B659">
        <v>163.98071999999999</v>
      </c>
      <c r="C659">
        <v>169.7587</v>
      </c>
      <c r="D659">
        <v>175.78684000000001</v>
      </c>
      <c r="E659">
        <v>104.328549</v>
      </c>
      <c r="F659">
        <v>74.592196999999999</v>
      </c>
      <c r="G659">
        <v>49.900692999999997</v>
      </c>
      <c r="H659">
        <v>53.276699000000001</v>
      </c>
      <c r="I659"/>
      <c r="N659"/>
      <c r="O659"/>
      <c r="P659" s="1">
        <f t="shared" si="59"/>
        <v>167.457543699187</v>
      </c>
      <c r="Q659" s="1">
        <f t="shared" si="60"/>
        <v>173.32616869918698</v>
      </c>
      <c r="R659" s="1">
        <f t="shared" si="61"/>
        <v>180.09638829407567</v>
      </c>
      <c r="S659" s="1">
        <f t="shared" si="62"/>
        <v>107.5694200081833</v>
      </c>
    </row>
    <row r="660" spans="1:19" x14ac:dyDescent="0.3">
      <c r="A660">
        <v>11146</v>
      </c>
      <c r="B660">
        <v>163.99082300000001</v>
      </c>
      <c r="C660">
        <v>169.767663</v>
      </c>
      <c r="D660">
        <v>175.77236400000001</v>
      </c>
      <c r="E660">
        <v>104.321342</v>
      </c>
      <c r="F660">
        <v>75.327813000000006</v>
      </c>
      <c r="G660">
        <v>49.900692999999997</v>
      </c>
      <c r="H660">
        <v>53.276699000000001</v>
      </c>
      <c r="I660" t="s">
        <v>56</v>
      </c>
      <c r="N660"/>
      <c r="O660"/>
      <c r="P660" s="1">
        <f t="shared" si="59"/>
        <v>167.44705792682925</v>
      </c>
      <c r="Q660" s="1">
        <f t="shared" si="60"/>
        <v>173.29772967479673</v>
      </c>
      <c r="R660" s="1">
        <f t="shared" si="61"/>
        <v>180.06894361170592</v>
      </c>
      <c r="S660" s="1">
        <f t="shared" si="62"/>
        <v>107.59415814238953</v>
      </c>
    </row>
    <row r="661" spans="1:19" x14ac:dyDescent="0.3">
      <c r="A661">
        <v>11146.2</v>
      </c>
      <c r="B661">
        <v>163.99082300000001</v>
      </c>
      <c r="C661">
        <v>169.767663</v>
      </c>
      <c r="D661">
        <v>175.77236400000001</v>
      </c>
      <c r="E661">
        <v>104.321342</v>
      </c>
      <c r="F661">
        <v>75.327813000000006</v>
      </c>
      <c r="G661">
        <v>49.903156000000003</v>
      </c>
      <c r="H661">
        <v>53.295763000000001</v>
      </c>
      <c r="I661"/>
      <c r="N661"/>
      <c r="O661"/>
      <c r="P661" s="1">
        <f t="shared" si="59"/>
        <v>167.44705792682925</v>
      </c>
      <c r="Q661" s="1">
        <f t="shared" si="60"/>
        <v>173.29772967479673</v>
      </c>
      <c r="R661" s="1">
        <f t="shared" si="61"/>
        <v>180.06894361170592</v>
      </c>
      <c r="S661" s="1">
        <f t="shared" si="62"/>
        <v>107.59415814238953</v>
      </c>
    </row>
    <row r="662" spans="1:19" x14ac:dyDescent="0.3">
      <c r="A662">
        <v>11146.4</v>
      </c>
      <c r="B662">
        <v>164.004853</v>
      </c>
      <c r="C662">
        <v>169.76599100000001</v>
      </c>
      <c r="D662">
        <v>175.79339400000001</v>
      </c>
      <c r="E662">
        <v>104.41311899999999</v>
      </c>
      <c r="F662">
        <v>75.169640999999999</v>
      </c>
      <c r="G662">
        <v>49.903156000000003</v>
      </c>
      <c r="H662">
        <v>53.295763000000001</v>
      </c>
      <c r="I662"/>
      <c r="N662"/>
      <c r="O662"/>
      <c r="P662" s="1">
        <f t="shared" si="59"/>
        <v>167.43835670731707</v>
      </c>
      <c r="Q662" s="1">
        <f t="shared" si="60"/>
        <v>173.30046544715447</v>
      </c>
      <c r="R662" s="1">
        <f t="shared" si="61"/>
        <v>180.07167533394514</v>
      </c>
      <c r="S662" s="1">
        <f t="shared" si="62"/>
        <v>107.63196092471358</v>
      </c>
    </row>
    <row r="663" spans="1:19" x14ac:dyDescent="0.3">
      <c r="A663">
        <v>11146.6</v>
      </c>
      <c r="B663">
        <v>164.004853</v>
      </c>
      <c r="C663">
        <v>169.76599100000001</v>
      </c>
      <c r="D663">
        <v>175.79339400000001</v>
      </c>
      <c r="E663">
        <v>104.41311899999999</v>
      </c>
      <c r="F663">
        <v>75.169640999999999</v>
      </c>
      <c r="G663">
        <v>49.899867999999998</v>
      </c>
      <c r="H663">
        <v>53.285794000000003</v>
      </c>
      <c r="I663"/>
      <c r="N663"/>
      <c r="O663"/>
      <c r="P663" s="1">
        <f t="shared" si="59"/>
        <v>167.43835670731707</v>
      </c>
      <c r="Q663" s="1">
        <f t="shared" si="60"/>
        <v>173.30046544715447</v>
      </c>
      <c r="R663" s="1">
        <f t="shared" si="61"/>
        <v>180.07167533394514</v>
      </c>
      <c r="S663" s="1">
        <f t="shared" si="62"/>
        <v>107.63196092471358</v>
      </c>
    </row>
    <row r="664" spans="1:19" x14ac:dyDescent="0.3">
      <c r="A664">
        <v>11146.8</v>
      </c>
      <c r="B664">
        <v>163.99966900000001</v>
      </c>
      <c r="C664">
        <v>169.76925199999999</v>
      </c>
      <c r="D664">
        <v>175.789387</v>
      </c>
      <c r="E664">
        <v>104.35972599999999</v>
      </c>
      <c r="F664">
        <v>75.151216000000005</v>
      </c>
      <c r="G664">
        <v>49.899867999999998</v>
      </c>
      <c r="H664">
        <v>53.285794000000003</v>
      </c>
      <c r="I664"/>
      <c r="N664"/>
      <c r="O664"/>
      <c r="P664" s="1">
        <f t="shared" si="59"/>
        <v>167.45010365853656</v>
      </c>
      <c r="Q664" s="1">
        <f t="shared" si="60"/>
        <v>173.31273069105691</v>
      </c>
      <c r="R664" s="1">
        <f t="shared" si="61"/>
        <v>180.06436117059243</v>
      </c>
      <c r="S664" s="1">
        <f t="shared" si="62"/>
        <v>107.6338901391162</v>
      </c>
    </row>
    <row r="665" spans="1:19" x14ac:dyDescent="0.3">
      <c r="A665">
        <v>11147</v>
      </c>
      <c r="B665">
        <v>163.99966900000001</v>
      </c>
      <c r="C665">
        <v>169.76925199999999</v>
      </c>
      <c r="D665">
        <v>175.789387</v>
      </c>
      <c r="E665">
        <v>104.35972599999999</v>
      </c>
      <c r="F665">
        <v>75.151216000000005</v>
      </c>
      <c r="G665">
        <v>49.898297999999997</v>
      </c>
      <c r="H665">
        <v>53.280076000000001</v>
      </c>
      <c r="I665" t="s">
        <v>56</v>
      </c>
      <c r="N665"/>
      <c r="O665"/>
      <c r="P665" s="1">
        <f t="shared" si="59"/>
        <v>167.45010365853656</v>
      </c>
      <c r="Q665" s="1">
        <f t="shared" si="60"/>
        <v>173.31273069105691</v>
      </c>
      <c r="R665" s="1">
        <f t="shared" si="61"/>
        <v>180.06436117059243</v>
      </c>
      <c r="S665" s="1">
        <f t="shared" si="62"/>
        <v>107.6338901391162</v>
      </c>
    </row>
    <row r="666" spans="1:19" x14ac:dyDescent="0.3">
      <c r="A666">
        <v>11147.2</v>
      </c>
      <c r="B666">
        <v>164.00588300000001</v>
      </c>
      <c r="C666">
        <v>169.76255800000001</v>
      </c>
      <c r="D666">
        <v>175.78295800000001</v>
      </c>
      <c r="E666">
        <v>104.22734800000001</v>
      </c>
      <c r="F666">
        <v>75.545922000000004</v>
      </c>
      <c r="G666">
        <v>49.898297999999997</v>
      </c>
      <c r="H666">
        <v>53.280076000000001</v>
      </c>
      <c r="I666"/>
      <c r="N666"/>
      <c r="O666"/>
      <c r="P666" s="1">
        <f t="shared" si="59"/>
        <v>167.43001422764226</v>
      </c>
      <c r="Q666" s="1">
        <f t="shared" si="60"/>
        <v>173.30141158536583</v>
      </c>
      <c r="R666" s="1">
        <f t="shared" si="61"/>
        <v>180.07977770979912</v>
      </c>
      <c r="S666" s="1">
        <f t="shared" si="62"/>
        <v>107.64374795417349</v>
      </c>
    </row>
    <row r="667" spans="1:19" x14ac:dyDescent="0.3">
      <c r="A667">
        <v>11147.4</v>
      </c>
      <c r="B667">
        <v>164.00588300000001</v>
      </c>
      <c r="C667">
        <v>169.76255800000001</v>
      </c>
      <c r="D667">
        <v>175.78295800000001</v>
      </c>
      <c r="E667">
        <v>104.22734800000001</v>
      </c>
      <c r="F667">
        <v>75.545922000000004</v>
      </c>
      <c r="G667">
        <v>49.895294</v>
      </c>
      <c r="H667">
        <v>53.276386000000002</v>
      </c>
      <c r="I667"/>
      <c r="N667"/>
      <c r="O667"/>
      <c r="P667" s="1">
        <f t="shared" si="59"/>
        <v>167.43001422764226</v>
      </c>
      <c r="Q667" s="1">
        <f t="shared" si="60"/>
        <v>173.30141158536583</v>
      </c>
      <c r="R667" s="1">
        <f t="shared" si="61"/>
        <v>180.07977770979912</v>
      </c>
      <c r="S667" s="1">
        <f t="shared" si="62"/>
        <v>107.64374795417349</v>
      </c>
    </row>
    <row r="668" spans="1:19" x14ac:dyDescent="0.3">
      <c r="A668">
        <v>11147.6</v>
      </c>
      <c r="B668">
        <v>163.96820500000001</v>
      </c>
      <c r="C668">
        <v>169.786576</v>
      </c>
      <c r="D668">
        <v>175.79820599999999</v>
      </c>
      <c r="E668">
        <v>104.39289599999999</v>
      </c>
      <c r="F668">
        <v>75.410551999999996</v>
      </c>
      <c r="G668">
        <v>49.895294</v>
      </c>
      <c r="H668">
        <v>53.276386000000002</v>
      </c>
      <c r="I668"/>
      <c r="N668"/>
      <c r="O668"/>
      <c r="P668" s="1">
        <f t="shared" si="59"/>
        <v>167.44626117886179</v>
      </c>
      <c r="Q668" s="1">
        <f t="shared" si="60"/>
        <v>173.33682723577235</v>
      </c>
      <c r="R668" s="1">
        <f t="shared" si="61"/>
        <v>180.05383093708576</v>
      </c>
      <c r="S668" s="1">
        <f t="shared" si="62"/>
        <v>107.76754603109657</v>
      </c>
    </row>
    <row r="669" spans="1:19" x14ac:dyDescent="0.3">
      <c r="A669">
        <v>11147.8</v>
      </c>
      <c r="B669">
        <v>163.96820500000001</v>
      </c>
      <c r="C669">
        <v>169.786576</v>
      </c>
      <c r="D669">
        <v>175.79820599999999</v>
      </c>
      <c r="E669">
        <v>104.39289599999999</v>
      </c>
      <c r="F669">
        <v>75.410551999999996</v>
      </c>
      <c r="G669">
        <v>49.897862000000003</v>
      </c>
      <c r="H669">
        <v>53.285406000000002</v>
      </c>
      <c r="I669"/>
      <c r="N669"/>
      <c r="O669"/>
      <c r="P669" s="1">
        <f t="shared" si="59"/>
        <v>167.44626117886179</v>
      </c>
      <c r="Q669" s="1">
        <f t="shared" si="60"/>
        <v>173.33682723577235</v>
      </c>
      <c r="R669" s="1">
        <f t="shared" si="61"/>
        <v>180.05383093708576</v>
      </c>
      <c r="S669" s="1">
        <f t="shared" si="62"/>
        <v>107.76754603109657</v>
      </c>
    </row>
    <row r="670" spans="1:19" x14ac:dyDescent="0.3">
      <c r="A670">
        <v>11148</v>
      </c>
      <c r="B670">
        <v>164.00127699999999</v>
      </c>
      <c r="C670">
        <v>169.75864100000001</v>
      </c>
      <c r="D670">
        <v>175.779528</v>
      </c>
      <c r="E670">
        <v>104.239181</v>
      </c>
      <c r="F670">
        <v>75.689116999999996</v>
      </c>
      <c r="G670">
        <v>49.897862000000003</v>
      </c>
      <c r="H670">
        <v>53.285406000000002</v>
      </c>
      <c r="I670" t="s">
        <v>56</v>
      </c>
      <c r="N670"/>
      <c r="O670"/>
      <c r="P670" s="1">
        <f t="shared" si="59"/>
        <v>167.45061077235772</v>
      </c>
      <c r="Q670" s="1">
        <f t="shared" si="60"/>
        <v>173.32375101626016</v>
      </c>
      <c r="R670" s="1">
        <f t="shared" si="61"/>
        <v>180.06892423778936</v>
      </c>
      <c r="S670" s="1">
        <f t="shared" si="62"/>
        <v>107.64340220949263</v>
      </c>
    </row>
    <row r="671" spans="1:19" x14ac:dyDescent="0.3">
      <c r="A671">
        <v>11148.2</v>
      </c>
      <c r="B671">
        <v>164.00127699999999</v>
      </c>
      <c r="C671">
        <v>169.75864100000001</v>
      </c>
      <c r="D671">
        <v>175.779528</v>
      </c>
      <c r="E671">
        <v>104.239181</v>
      </c>
      <c r="F671">
        <v>75.689116999999996</v>
      </c>
      <c r="G671">
        <v>49.895944</v>
      </c>
      <c r="H671">
        <v>53.290872</v>
      </c>
      <c r="I671"/>
      <c r="N671"/>
      <c r="O671"/>
      <c r="P671" s="1">
        <f t="shared" si="59"/>
        <v>167.45061077235772</v>
      </c>
      <c r="Q671" s="1">
        <f t="shared" si="60"/>
        <v>173.32375101626016</v>
      </c>
      <c r="R671" s="1">
        <f t="shared" si="61"/>
        <v>180.06892423778936</v>
      </c>
      <c r="S671" s="1">
        <f t="shared" si="62"/>
        <v>107.64340220949263</v>
      </c>
    </row>
    <row r="672" spans="1:19" x14ac:dyDescent="0.3">
      <c r="A672">
        <v>11148.4</v>
      </c>
      <c r="B672">
        <v>163.98866200000001</v>
      </c>
      <c r="C672">
        <v>169.77301700000001</v>
      </c>
      <c r="D672">
        <v>175.79173</v>
      </c>
      <c r="E672">
        <v>104.245773</v>
      </c>
      <c r="F672">
        <v>74.911382000000003</v>
      </c>
      <c r="G672">
        <v>49.895944</v>
      </c>
      <c r="H672">
        <v>53.290872</v>
      </c>
      <c r="I672"/>
      <c r="N672"/>
      <c r="O672"/>
      <c r="P672" s="1">
        <f t="shared" si="59"/>
        <v>167.44292073170732</v>
      </c>
      <c r="Q672" s="1">
        <f t="shared" si="60"/>
        <v>173.30456707317072</v>
      </c>
      <c r="R672" s="1">
        <f t="shared" si="61"/>
        <v>180.09104007341696</v>
      </c>
      <c r="S672" s="1">
        <f t="shared" si="62"/>
        <v>107.55960924713584</v>
      </c>
    </row>
    <row r="673" spans="1:19" x14ac:dyDescent="0.3">
      <c r="A673">
        <v>11148.6</v>
      </c>
      <c r="B673">
        <v>163.98866200000001</v>
      </c>
      <c r="C673">
        <v>169.77301700000001</v>
      </c>
      <c r="D673">
        <v>175.79173</v>
      </c>
      <c r="E673">
        <v>104.245773</v>
      </c>
      <c r="F673">
        <v>74.911382000000003</v>
      </c>
      <c r="G673">
        <v>49.907853000000003</v>
      </c>
      <c r="H673">
        <v>53.287995000000002</v>
      </c>
      <c r="I673"/>
      <c r="N673"/>
      <c r="O673"/>
      <c r="P673" s="1">
        <f t="shared" si="59"/>
        <v>167.44292073170732</v>
      </c>
      <c r="Q673" s="1">
        <f t="shared" si="60"/>
        <v>173.30456707317072</v>
      </c>
      <c r="R673" s="1">
        <f t="shared" si="61"/>
        <v>180.09104007341696</v>
      </c>
      <c r="S673" s="1">
        <f t="shared" si="62"/>
        <v>107.55960924713584</v>
      </c>
    </row>
    <row r="674" spans="1:19" x14ac:dyDescent="0.3">
      <c r="A674">
        <v>11148.8</v>
      </c>
      <c r="B674">
        <v>163.98736600000001</v>
      </c>
      <c r="C674">
        <v>169.754085</v>
      </c>
      <c r="D674">
        <v>175.80634499999999</v>
      </c>
      <c r="E674">
        <v>104.39216999999999</v>
      </c>
      <c r="F674">
        <v>75.023781999999997</v>
      </c>
      <c r="G674">
        <v>49.907853000000003</v>
      </c>
      <c r="H674">
        <v>53.287995000000002</v>
      </c>
      <c r="I674"/>
      <c r="N674"/>
      <c r="O674"/>
      <c r="P674" s="1">
        <f t="shared" si="59"/>
        <v>167.4514644308943</v>
      </c>
      <c r="Q674" s="1">
        <f t="shared" si="60"/>
        <v>173.31218495934959</v>
      </c>
      <c r="R674" s="1">
        <f t="shared" si="61"/>
        <v>180.06691750790253</v>
      </c>
      <c r="S674" s="1">
        <f t="shared" si="62"/>
        <v>107.6733745908347</v>
      </c>
    </row>
    <row r="675" spans="1:19" x14ac:dyDescent="0.3">
      <c r="A675">
        <v>11639</v>
      </c>
      <c r="B675">
        <v>174.23043699999999</v>
      </c>
      <c r="C675">
        <v>180.67882900000001</v>
      </c>
      <c r="D675">
        <v>187.411124</v>
      </c>
      <c r="E675">
        <v>106.484002</v>
      </c>
      <c r="F675">
        <v>74.930746999999997</v>
      </c>
      <c r="G675">
        <v>49.945166999999998</v>
      </c>
      <c r="H675">
        <v>53.725537000000003</v>
      </c>
      <c r="I675" t="s">
        <v>56</v>
      </c>
      <c r="N675"/>
      <c r="O675"/>
      <c r="P675" s="1">
        <f t="shared" si="59"/>
        <v>167.4514644308943</v>
      </c>
      <c r="Q675" s="1">
        <f t="shared" si="60"/>
        <v>173.31218495934959</v>
      </c>
      <c r="R675" s="1">
        <f t="shared" si="61"/>
        <v>180.06691750790253</v>
      </c>
      <c r="S675" s="1">
        <f t="shared" si="62"/>
        <v>107.6733745908347</v>
      </c>
    </row>
    <row r="676" spans="1:19" x14ac:dyDescent="0.3">
      <c r="A676">
        <v>11639.2</v>
      </c>
      <c r="B676">
        <v>174.21171000000001</v>
      </c>
      <c r="C676">
        <v>180.66711100000001</v>
      </c>
      <c r="D676">
        <v>187.428022</v>
      </c>
      <c r="E676">
        <v>106.51732699999999</v>
      </c>
      <c r="F676">
        <v>74.793771000000007</v>
      </c>
      <c r="G676">
        <v>49.945166999999998</v>
      </c>
      <c r="H676">
        <v>53.725537000000003</v>
      </c>
      <c r="I676"/>
      <c r="N676"/>
      <c r="O676"/>
      <c r="P676" s="1">
        <f t="shared" si="59"/>
        <v>167.44636178861788</v>
      </c>
      <c r="Q676" s="1">
        <f t="shared" si="60"/>
        <v>173.31829268292682</v>
      </c>
      <c r="R676" s="1">
        <f t="shared" si="61"/>
        <v>180.07254002243297</v>
      </c>
      <c r="S676" s="1">
        <f t="shared" si="62"/>
        <v>107.6640231178396</v>
      </c>
    </row>
    <row r="677" spans="1:19" x14ac:dyDescent="0.3">
      <c r="A677">
        <v>11639.4</v>
      </c>
      <c r="B677">
        <v>174.21171000000001</v>
      </c>
      <c r="C677">
        <v>180.66711100000001</v>
      </c>
      <c r="D677">
        <v>187.428022</v>
      </c>
      <c r="E677">
        <v>106.51732699999999</v>
      </c>
      <c r="F677">
        <v>74.793771000000007</v>
      </c>
      <c r="G677">
        <v>49.904085000000002</v>
      </c>
      <c r="H677">
        <v>53.725594000000001</v>
      </c>
      <c r="I677"/>
      <c r="N677"/>
      <c r="O677"/>
      <c r="P677" s="1">
        <f t="shared" si="59"/>
        <v>167.44636178861788</v>
      </c>
      <c r="Q677" s="1">
        <f t="shared" si="60"/>
        <v>173.31829268292682</v>
      </c>
      <c r="R677" s="1">
        <f t="shared" si="61"/>
        <v>180.07254002243297</v>
      </c>
      <c r="S677" s="1">
        <f t="shared" si="62"/>
        <v>107.6640231178396</v>
      </c>
    </row>
    <row r="678" spans="1:19" x14ac:dyDescent="0.3">
      <c r="A678">
        <v>11639.6</v>
      </c>
      <c r="B678">
        <v>174.216577</v>
      </c>
      <c r="C678">
        <v>180.67081400000001</v>
      </c>
      <c r="D678">
        <v>187.44785100000001</v>
      </c>
      <c r="E678">
        <v>106.559827</v>
      </c>
      <c r="F678">
        <v>75.614520999999996</v>
      </c>
      <c r="G678">
        <v>49.904085000000002</v>
      </c>
      <c r="H678">
        <v>53.725594000000001</v>
      </c>
      <c r="I678"/>
      <c r="N678"/>
      <c r="O678"/>
      <c r="P678" s="1">
        <f t="shared" si="59"/>
        <v>167.45662906504066</v>
      </c>
      <c r="Q678" s="1">
        <f t="shared" si="60"/>
        <v>173.32740142276421</v>
      </c>
      <c r="R678" s="1">
        <f t="shared" si="61"/>
        <v>180.05777913735091</v>
      </c>
      <c r="S678" s="1">
        <f t="shared" si="62"/>
        <v>107.65665098199672</v>
      </c>
    </row>
    <row r="679" spans="1:19" x14ac:dyDescent="0.3">
      <c r="A679">
        <v>11639.8</v>
      </c>
      <c r="B679">
        <v>174.216577</v>
      </c>
      <c r="C679">
        <v>180.67081400000001</v>
      </c>
      <c r="D679">
        <v>187.44785100000001</v>
      </c>
      <c r="E679">
        <v>106.559827</v>
      </c>
      <c r="F679">
        <v>75.614520999999996</v>
      </c>
      <c r="G679">
        <v>49.953082000000002</v>
      </c>
      <c r="H679">
        <v>53.738275000000002</v>
      </c>
      <c r="I679"/>
      <c r="N679"/>
      <c r="O679"/>
      <c r="P679" s="1">
        <f t="shared" si="59"/>
        <v>167.45662906504066</v>
      </c>
      <c r="Q679" s="1">
        <f t="shared" si="60"/>
        <v>173.32740142276421</v>
      </c>
      <c r="R679" s="1">
        <f t="shared" si="61"/>
        <v>180.05777913735091</v>
      </c>
      <c r="S679" s="1">
        <f t="shared" si="62"/>
        <v>107.65665098199672</v>
      </c>
    </row>
    <row r="680" spans="1:19" x14ac:dyDescent="0.3">
      <c r="A680">
        <v>11640</v>
      </c>
      <c r="B680">
        <v>174.21803299999999</v>
      </c>
      <c r="C680">
        <v>180.668037</v>
      </c>
      <c r="D680">
        <v>187.44181499999999</v>
      </c>
      <c r="E680">
        <v>106.500108</v>
      </c>
      <c r="F680">
        <v>76.142675999999994</v>
      </c>
      <c r="G680">
        <v>49.953082000000002</v>
      </c>
      <c r="H680">
        <v>53.738275000000002</v>
      </c>
      <c r="I680" t="s">
        <v>56</v>
      </c>
      <c r="N680"/>
      <c r="O680"/>
      <c r="P680" s="1">
        <f t="shared" si="59"/>
        <v>167.47088719512195</v>
      </c>
      <c r="Q680" s="1">
        <f t="shared" si="60"/>
        <v>173.32570223577235</v>
      </c>
      <c r="R680" s="1">
        <f t="shared" si="61"/>
        <v>180.07922300397678</v>
      </c>
      <c r="S680" s="1">
        <f t="shared" si="62"/>
        <v>107.75053089198035</v>
      </c>
    </row>
    <row r="681" spans="1:19" x14ac:dyDescent="0.3">
      <c r="A681">
        <v>11640.2</v>
      </c>
      <c r="B681">
        <v>174.21803299999999</v>
      </c>
      <c r="C681">
        <v>180.668037</v>
      </c>
      <c r="D681">
        <v>187.44181499999999</v>
      </c>
      <c r="E681">
        <v>106.500108</v>
      </c>
      <c r="F681">
        <v>76.142675999999994</v>
      </c>
      <c r="G681">
        <v>49.955390000000001</v>
      </c>
      <c r="H681">
        <v>53.735505000000003</v>
      </c>
      <c r="I681"/>
      <c r="N681"/>
      <c r="O681"/>
      <c r="P681" s="1">
        <f t="shared" si="59"/>
        <v>167.47088719512195</v>
      </c>
      <c r="Q681" s="1">
        <f t="shared" si="60"/>
        <v>173.32570223577235</v>
      </c>
      <c r="R681" s="1">
        <f t="shared" si="61"/>
        <v>180.07922300397678</v>
      </c>
      <c r="S681" s="1">
        <f t="shared" si="62"/>
        <v>107.75053089198035</v>
      </c>
    </row>
    <row r="682" spans="1:19" x14ac:dyDescent="0.3">
      <c r="A682">
        <v>11640.4</v>
      </c>
      <c r="B682">
        <v>174.211073</v>
      </c>
      <c r="C682">
        <v>180.66788299999999</v>
      </c>
      <c r="D682">
        <v>187.431365</v>
      </c>
      <c r="E682">
        <v>106.534369</v>
      </c>
      <c r="F682">
        <v>76.293074000000004</v>
      </c>
      <c r="G682">
        <v>49.955390000000001</v>
      </c>
      <c r="H682">
        <v>53.735505000000003</v>
      </c>
      <c r="I682"/>
      <c r="N682"/>
      <c r="O682"/>
      <c r="P682" s="1">
        <f t="shared" si="59"/>
        <v>167.46561890243902</v>
      </c>
      <c r="Q682" s="1">
        <f t="shared" si="60"/>
        <v>173.32901626016258</v>
      </c>
      <c r="R682" s="1">
        <f t="shared" si="61"/>
        <v>180.07513714693587</v>
      </c>
      <c r="S682" s="1">
        <f t="shared" si="62"/>
        <v>107.69591448445171</v>
      </c>
    </row>
    <row r="683" spans="1:19" x14ac:dyDescent="0.3">
      <c r="A683">
        <v>11640.6</v>
      </c>
      <c r="B683">
        <v>174.211073</v>
      </c>
      <c r="C683">
        <v>180.66788299999999</v>
      </c>
      <c r="D683">
        <v>187.431365</v>
      </c>
      <c r="E683">
        <v>106.534369</v>
      </c>
      <c r="F683">
        <v>76.293074000000004</v>
      </c>
      <c r="G683">
        <v>49.942298000000001</v>
      </c>
      <c r="H683">
        <v>53.752648999999998</v>
      </c>
      <c r="I683"/>
      <c r="N683"/>
      <c r="O683"/>
      <c r="P683" s="1">
        <f t="shared" si="59"/>
        <v>167.46561890243902</v>
      </c>
      <c r="Q683" s="1">
        <f t="shared" si="60"/>
        <v>173.32901626016258</v>
      </c>
      <c r="R683" s="1">
        <f t="shared" si="61"/>
        <v>180.07513714693587</v>
      </c>
      <c r="S683" s="1">
        <f t="shared" si="62"/>
        <v>107.69591448445171</v>
      </c>
    </row>
    <row r="684" spans="1:19" x14ac:dyDescent="0.3">
      <c r="A684">
        <v>11640.8</v>
      </c>
      <c r="B684">
        <v>174.210465</v>
      </c>
      <c r="C684">
        <v>180.65950699999999</v>
      </c>
      <c r="D684">
        <v>187.441992</v>
      </c>
      <c r="E684">
        <v>106.567515</v>
      </c>
      <c r="F684">
        <v>76.342179999999999</v>
      </c>
      <c r="G684">
        <v>49.942298000000001</v>
      </c>
      <c r="H684">
        <v>53.752648999999998</v>
      </c>
      <c r="I684"/>
      <c r="N684"/>
      <c r="O684"/>
      <c r="P684" s="1">
        <f t="shared" ref="P684:P747" si="63">(B666+Q$36)/P$36</f>
        <v>167.47193394308943</v>
      </c>
      <c r="Q684" s="1">
        <f t="shared" ref="Q684:Q747" si="64">(C666+Q$36)/P$36</f>
        <v>173.32221341463415</v>
      </c>
      <c r="R684" s="1">
        <f t="shared" ref="R684:R747" si="65">(D666+Q$38)/P$38</f>
        <v>180.06858162536966</v>
      </c>
      <c r="S684" s="1">
        <f t="shared" ref="S684:S747" si="66">(E666+Q$39)/P$39</f>
        <v>107.56050327332242</v>
      </c>
    </row>
    <row r="685" spans="1:19" x14ac:dyDescent="0.3">
      <c r="A685">
        <v>11641</v>
      </c>
      <c r="B685">
        <v>174.210465</v>
      </c>
      <c r="C685">
        <v>180.65950699999999</v>
      </c>
      <c r="D685">
        <v>187.441992</v>
      </c>
      <c r="E685">
        <v>106.567515</v>
      </c>
      <c r="F685">
        <v>76.342179999999999</v>
      </c>
      <c r="G685">
        <v>49.928897999999997</v>
      </c>
      <c r="H685">
        <v>53.749887000000001</v>
      </c>
      <c r="I685" t="s">
        <v>56</v>
      </c>
      <c r="N685"/>
      <c r="O685"/>
      <c r="P685" s="1">
        <f t="shared" si="63"/>
        <v>167.47193394308943</v>
      </c>
      <c r="Q685" s="1">
        <f t="shared" si="64"/>
        <v>173.32221341463415</v>
      </c>
      <c r="R685" s="1">
        <f t="shared" si="65"/>
        <v>180.06858162536966</v>
      </c>
      <c r="S685" s="1">
        <f t="shared" si="66"/>
        <v>107.56050327332242</v>
      </c>
    </row>
    <row r="686" spans="1:19" x14ac:dyDescent="0.3">
      <c r="A686">
        <v>11641.2</v>
      </c>
      <c r="B686">
        <v>174.21190899999999</v>
      </c>
      <c r="C686">
        <v>180.66024899999999</v>
      </c>
      <c r="D686">
        <v>187.444368</v>
      </c>
      <c r="E686">
        <v>106.488995</v>
      </c>
      <c r="F686">
        <v>75.716652999999994</v>
      </c>
      <c r="G686">
        <v>49.928897999999997</v>
      </c>
      <c r="H686">
        <v>53.749887000000001</v>
      </c>
      <c r="I686"/>
      <c r="N686"/>
      <c r="O686"/>
      <c r="P686" s="1">
        <f t="shared" si="63"/>
        <v>167.43364329268294</v>
      </c>
      <c r="Q686" s="1">
        <f t="shared" si="64"/>
        <v>173.3466219512195</v>
      </c>
      <c r="R686" s="1">
        <f t="shared" si="65"/>
        <v>180.08412970327316</v>
      </c>
      <c r="S686" s="1">
        <f t="shared" si="66"/>
        <v>107.72984451718493</v>
      </c>
    </row>
    <row r="687" spans="1:19" x14ac:dyDescent="0.3">
      <c r="A687">
        <v>11641.4</v>
      </c>
      <c r="B687">
        <v>174.21190899999999</v>
      </c>
      <c r="C687">
        <v>180.66024899999999</v>
      </c>
      <c r="D687">
        <v>187.444368</v>
      </c>
      <c r="E687">
        <v>106.488995</v>
      </c>
      <c r="F687">
        <v>75.716652999999994</v>
      </c>
      <c r="G687">
        <v>49.930022999999998</v>
      </c>
      <c r="H687">
        <v>53.729104999999997</v>
      </c>
      <c r="I687"/>
      <c r="N687"/>
      <c r="O687"/>
      <c r="P687" s="1">
        <f t="shared" si="63"/>
        <v>167.43364329268294</v>
      </c>
      <c r="Q687" s="1">
        <f t="shared" si="64"/>
        <v>173.3466219512195</v>
      </c>
      <c r="R687" s="1">
        <f t="shared" si="65"/>
        <v>180.08412970327316</v>
      </c>
      <c r="S687" s="1">
        <f t="shared" si="66"/>
        <v>107.72984451718493</v>
      </c>
    </row>
    <row r="688" spans="1:19" x14ac:dyDescent="0.3">
      <c r="A688">
        <v>11641.6</v>
      </c>
      <c r="B688">
        <v>174.217758</v>
      </c>
      <c r="C688">
        <v>180.680001</v>
      </c>
      <c r="D688">
        <v>187.42445799999999</v>
      </c>
      <c r="E688">
        <v>106.564136</v>
      </c>
      <c r="F688">
        <v>75.432557000000003</v>
      </c>
      <c r="G688">
        <v>49.930022999999998</v>
      </c>
      <c r="H688">
        <v>53.729104999999997</v>
      </c>
      <c r="I688"/>
      <c r="N688"/>
      <c r="O688"/>
      <c r="P688" s="1">
        <f t="shared" si="63"/>
        <v>167.46725304878046</v>
      </c>
      <c r="Q688" s="1">
        <f t="shared" si="64"/>
        <v>173.31823272357724</v>
      </c>
      <c r="R688" s="1">
        <f t="shared" si="65"/>
        <v>180.06508412358519</v>
      </c>
      <c r="S688" s="1">
        <f t="shared" si="66"/>
        <v>107.57260740589199</v>
      </c>
    </row>
    <row r="689" spans="1:19" x14ac:dyDescent="0.3">
      <c r="A689">
        <v>11641.8</v>
      </c>
      <c r="B689">
        <v>174.217758</v>
      </c>
      <c r="C689">
        <v>180.680001</v>
      </c>
      <c r="D689">
        <v>187.42445799999999</v>
      </c>
      <c r="E689">
        <v>106.564136</v>
      </c>
      <c r="F689">
        <v>75.432557000000003</v>
      </c>
      <c r="G689">
        <v>49.949075999999998</v>
      </c>
      <c r="H689">
        <v>53.708455999999998</v>
      </c>
      <c r="I689"/>
      <c r="N689"/>
      <c r="O689"/>
      <c r="P689" s="1">
        <f t="shared" si="63"/>
        <v>167.46725304878046</v>
      </c>
      <c r="Q689" s="1">
        <f t="shared" si="64"/>
        <v>173.31823272357724</v>
      </c>
      <c r="R689" s="1">
        <f t="shared" si="65"/>
        <v>180.06508412358519</v>
      </c>
      <c r="S689" s="1">
        <f t="shared" si="66"/>
        <v>107.57260740589199</v>
      </c>
    </row>
    <row r="690" spans="1:19" x14ac:dyDescent="0.3">
      <c r="A690">
        <v>11642</v>
      </c>
      <c r="B690">
        <v>174.244058</v>
      </c>
      <c r="C690">
        <v>180.672718</v>
      </c>
      <c r="D690">
        <v>187.45536100000001</v>
      </c>
      <c r="E690">
        <v>106.65040399999999</v>
      </c>
      <c r="F690">
        <v>76.293228999999997</v>
      </c>
      <c r="G690">
        <v>49.949075999999998</v>
      </c>
      <c r="H690">
        <v>53.708455999999998</v>
      </c>
      <c r="I690" t="s">
        <v>56</v>
      </c>
      <c r="N690"/>
      <c r="O690"/>
      <c r="P690" s="1">
        <f t="shared" si="63"/>
        <v>167.45443292682927</v>
      </c>
      <c r="Q690" s="1">
        <f t="shared" si="64"/>
        <v>173.33284247967481</v>
      </c>
      <c r="R690" s="1">
        <f t="shared" si="65"/>
        <v>180.07752625675539</v>
      </c>
      <c r="S690" s="1">
        <f t="shared" si="66"/>
        <v>107.57935045008183</v>
      </c>
    </row>
    <row r="691" spans="1:19" x14ac:dyDescent="0.3">
      <c r="A691">
        <v>11642.2</v>
      </c>
      <c r="B691">
        <v>174.244058</v>
      </c>
      <c r="C691">
        <v>180.672718</v>
      </c>
      <c r="D691">
        <v>187.45536100000001</v>
      </c>
      <c r="E691">
        <v>106.65040399999999</v>
      </c>
      <c r="F691">
        <v>76.293228999999997</v>
      </c>
      <c r="G691">
        <v>49.943942</v>
      </c>
      <c r="H691">
        <v>53.713479</v>
      </c>
      <c r="I691"/>
      <c r="N691"/>
      <c r="O691"/>
      <c r="P691" s="1">
        <f t="shared" si="63"/>
        <v>167.45443292682927</v>
      </c>
      <c r="Q691" s="1">
        <f t="shared" si="64"/>
        <v>173.33284247967481</v>
      </c>
      <c r="R691" s="1">
        <f t="shared" si="65"/>
        <v>180.07752625675539</v>
      </c>
      <c r="S691" s="1">
        <f t="shared" si="66"/>
        <v>107.57935045008183</v>
      </c>
    </row>
    <row r="692" spans="1:19" x14ac:dyDescent="0.3">
      <c r="A692">
        <v>11642.4</v>
      </c>
      <c r="B692">
        <v>174.206559</v>
      </c>
      <c r="C692">
        <v>180.684304</v>
      </c>
      <c r="D692">
        <v>187.45284000000001</v>
      </c>
      <c r="E692">
        <v>106.639588</v>
      </c>
      <c r="F692">
        <v>75.611408999999995</v>
      </c>
      <c r="G692">
        <v>49.943942</v>
      </c>
      <c r="H692">
        <v>53.713479</v>
      </c>
      <c r="I692"/>
      <c r="N692"/>
      <c r="O692"/>
      <c r="P692" s="1">
        <f t="shared" si="63"/>
        <v>167.45311585365855</v>
      </c>
      <c r="Q692" s="1">
        <f t="shared" si="64"/>
        <v>173.31360264227641</v>
      </c>
      <c r="R692" s="1">
        <f t="shared" si="65"/>
        <v>180.09242887733251</v>
      </c>
      <c r="S692" s="1">
        <f t="shared" si="66"/>
        <v>107.72910188216038</v>
      </c>
    </row>
    <row r="693" spans="1:19" x14ac:dyDescent="0.3">
      <c r="A693">
        <v>11642.6</v>
      </c>
      <c r="B693">
        <v>174.206559</v>
      </c>
      <c r="C693">
        <v>180.684304</v>
      </c>
      <c r="D693">
        <v>187.45284000000001</v>
      </c>
      <c r="E693">
        <v>106.639588</v>
      </c>
      <c r="F693">
        <v>75.611408999999995</v>
      </c>
      <c r="G693">
        <v>49.927233000000001</v>
      </c>
      <c r="H693">
        <v>53.727474999999998</v>
      </c>
      <c r="I693"/>
      <c r="N693"/>
      <c r="O693"/>
      <c r="P693" s="1">
        <f t="shared" si="63"/>
        <v>177.86274085365852</v>
      </c>
      <c r="Q693" s="1">
        <f t="shared" si="64"/>
        <v>184.41598475609757</v>
      </c>
      <c r="R693" s="1">
        <f t="shared" si="65"/>
        <v>191.92558784541654</v>
      </c>
      <c r="S693" s="1">
        <f t="shared" si="66"/>
        <v>109.86886456628478</v>
      </c>
    </row>
    <row r="694" spans="1:19" x14ac:dyDescent="0.3">
      <c r="A694">
        <v>11642.8</v>
      </c>
      <c r="B694">
        <v>174.23397499999999</v>
      </c>
      <c r="C694">
        <v>180.70826700000001</v>
      </c>
      <c r="D694">
        <v>187.441329</v>
      </c>
      <c r="E694">
        <v>106.648149</v>
      </c>
      <c r="F694">
        <v>75.453226999999998</v>
      </c>
      <c r="G694">
        <v>49.927233000000001</v>
      </c>
      <c r="H694">
        <v>53.727474999999998</v>
      </c>
      <c r="I694"/>
      <c r="N694"/>
      <c r="O694"/>
      <c r="P694" s="1">
        <f t="shared" si="63"/>
        <v>177.8437093495935</v>
      </c>
      <c r="Q694" s="1">
        <f t="shared" si="64"/>
        <v>184.40407621951221</v>
      </c>
      <c r="R694" s="1">
        <f t="shared" si="65"/>
        <v>191.94281839502398</v>
      </c>
      <c r="S694" s="1">
        <f t="shared" si="66"/>
        <v>109.90295315057283</v>
      </c>
    </row>
    <row r="695" spans="1:19" x14ac:dyDescent="0.3">
      <c r="A695">
        <v>11643</v>
      </c>
      <c r="B695">
        <v>174.23397499999999</v>
      </c>
      <c r="C695">
        <v>180.70826700000001</v>
      </c>
      <c r="D695">
        <v>187.441329</v>
      </c>
      <c r="E695">
        <v>106.648149</v>
      </c>
      <c r="F695">
        <v>75.453226999999998</v>
      </c>
      <c r="G695">
        <v>49.938048000000002</v>
      </c>
      <c r="H695">
        <v>53.726965999999997</v>
      </c>
      <c r="I695" t="s">
        <v>56</v>
      </c>
      <c r="N695"/>
      <c r="O695"/>
      <c r="P695" s="1">
        <f t="shared" si="63"/>
        <v>177.8437093495935</v>
      </c>
      <c r="Q695" s="1">
        <f t="shared" si="64"/>
        <v>184.40407621951221</v>
      </c>
      <c r="R695" s="1">
        <f t="shared" si="65"/>
        <v>191.94281839502398</v>
      </c>
      <c r="S695" s="1">
        <f t="shared" si="66"/>
        <v>109.90295315057283</v>
      </c>
    </row>
    <row r="696" spans="1:19" x14ac:dyDescent="0.3">
      <c r="A696">
        <v>11643.2</v>
      </c>
      <c r="B696">
        <v>174.21168700000001</v>
      </c>
      <c r="C696">
        <v>180.68850399999999</v>
      </c>
      <c r="D696">
        <v>187.452102</v>
      </c>
      <c r="E696">
        <v>106.557827</v>
      </c>
      <c r="F696">
        <v>74.800436000000005</v>
      </c>
      <c r="G696">
        <v>49.938048000000002</v>
      </c>
      <c r="H696">
        <v>53.726965999999997</v>
      </c>
      <c r="I696"/>
      <c r="N696"/>
      <c r="O696"/>
      <c r="P696" s="1">
        <f t="shared" si="63"/>
        <v>177.84865548780488</v>
      </c>
      <c r="Q696" s="1">
        <f t="shared" si="64"/>
        <v>184.40783943089431</v>
      </c>
      <c r="R696" s="1">
        <f t="shared" si="65"/>
        <v>191.96303762618541</v>
      </c>
      <c r="S696" s="1">
        <f t="shared" si="66"/>
        <v>109.94642696399345</v>
      </c>
    </row>
    <row r="697" spans="1:19" x14ac:dyDescent="0.3">
      <c r="A697">
        <v>11643.4</v>
      </c>
      <c r="B697">
        <v>174.21168700000001</v>
      </c>
      <c r="C697">
        <v>180.68850399999999</v>
      </c>
      <c r="D697">
        <v>187.452102</v>
      </c>
      <c r="E697">
        <v>106.557827</v>
      </c>
      <c r="F697">
        <v>74.800436000000005</v>
      </c>
      <c r="G697">
        <v>49.946463000000001</v>
      </c>
      <c r="H697">
        <v>53.698470999999998</v>
      </c>
      <c r="I697"/>
      <c r="N697"/>
      <c r="O697"/>
      <c r="P697" s="1">
        <f t="shared" si="63"/>
        <v>177.84865548780488</v>
      </c>
      <c r="Q697" s="1">
        <f t="shared" si="64"/>
        <v>184.40783943089431</v>
      </c>
      <c r="R697" s="1">
        <f t="shared" si="65"/>
        <v>191.96303762618541</v>
      </c>
      <c r="S697" s="1">
        <f t="shared" si="66"/>
        <v>109.94642696399345</v>
      </c>
    </row>
    <row r="698" spans="1:19" x14ac:dyDescent="0.3">
      <c r="A698">
        <v>11643.6</v>
      </c>
      <c r="B698">
        <v>174.252723</v>
      </c>
      <c r="C698">
        <v>180.703532</v>
      </c>
      <c r="D698">
        <v>187.45674700000001</v>
      </c>
      <c r="E698">
        <v>106.512063</v>
      </c>
      <c r="F698">
        <v>74.675490999999994</v>
      </c>
      <c r="G698">
        <v>49.946463000000001</v>
      </c>
      <c r="H698">
        <v>53.698470999999998</v>
      </c>
      <c r="I698"/>
      <c r="N698"/>
      <c r="O698"/>
      <c r="P698" s="1">
        <f t="shared" si="63"/>
        <v>177.85013516260162</v>
      </c>
      <c r="Q698" s="1">
        <f t="shared" si="64"/>
        <v>184.40501727642277</v>
      </c>
      <c r="R698" s="1">
        <f t="shared" si="65"/>
        <v>191.95688283878863</v>
      </c>
      <c r="S698" s="1">
        <f t="shared" si="66"/>
        <v>109.8853396072013</v>
      </c>
    </row>
    <row r="699" spans="1:19" x14ac:dyDescent="0.3">
      <c r="A699">
        <v>11643.8</v>
      </c>
      <c r="B699">
        <v>174.252723</v>
      </c>
      <c r="C699">
        <v>180.703532</v>
      </c>
      <c r="D699">
        <v>187.45674700000001</v>
      </c>
      <c r="E699">
        <v>106.512063</v>
      </c>
      <c r="F699">
        <v>74.675490999999994</v>
      </c>
      <c r="G699">
        <v>49.933835000000002</v>
      </c>
      <c r="H699">
        <v>53.690944999999999</v>
      </c>
      <c r="I699"/>
      <c r="N699"/>
      <c r="O699"/>
      <c r="P699" s="1">
        <f t="shared" si="63"/>
        <v>177.85013516260162</v>
      </c>
      <c r="Q699" s="1">
        <f t="shared" si="64"/>
        <v>184.40501727642277</v>
      </c>
      <c r="R699" s="1">
        <f t="shared" si="65"/>
        <v>191.95688283878863</v>
      </c>
      <c r="S699" s="1">
        <f t="shared" si="66"/>
        <v>109.8853396072013</v>
      </c>
    </row>
    <row r="700" spans="1:19" x14ac:dyDescent="0.3">
      <c r="A700">
        <v>11644</v>
      </c>
      <c r="B700">
        <v>174.246028</v>
      </c>
      <c r="C700">
        <v>180.68763899999999</v>
      </c>
      <c r="D700">
        <v>187.453114</v>
      </c>
      <c r="E700">
        <v>106.510586</v>
      </c>
      <c r="F700">
        <v>73.840276000000003</v>
      </c>
      <c r="G700">
        <v>49.933835000000002</v>
      </c>
      <c r="H700">
        <v>53.690944999999999</v>
      </c>
      <c r="I700" t="s">
        <v>56</v>
      </c>
      <c r="N700"/>
      <c r="O700"/>
      <c r="P700" s="1">
        <f t="shared" si="63"/>
        <v>177.84306199186992</v>
      </c>
      <c r="Q700" s="1">
        <f t="shared" si="64"/>
        <v>184.40486077235769</v>
      </c>
      <c r="R700" s="1">
        <f t="shared" si="65"/>
        <v>191.94622718466402</v>
      </c>
      <c r="S700" s="1">
        <f t="shared" si="66"/>
        <v>109.92038563829787</v>
      </c>
    </row>
    <row r="701" spans="1:19" x14ac:dyDescent="0.3">
      <c r="A701">
        <v>11644.2</v>
      </c>
      <c r="B701">
        <v>174.246028</v>
      </c>
      <c r="C701">
        <v>180.68763899999999</v>
      </c>
      <c r="D701">
        <v>187.453114</v>
      </c>
      <c r="E701">
        <v>106.510586</v>
      </c>
      <c r="F701">
        <v>73.840276000000003</v>
      </c>
      <c r="G701">
        <v>49.915503000000001</v>
      </c>
      <c r="H701">
        <v>53.706319999999998</v>
      </c>
      <c r="I701"/>
      <c r="N701"/>
      <c r="O701"/>
      <c r="P701" s="1">
        <f t="shared" si="63"/>
        <v>177.84306199186992</v>
      </c>
      <c r="Q701" s="1">
        <f t="shared" si="64"/>
        <v>184.40486077235769</v>
      </c>
      <c r="R701" s="1">
        <f t="shared" si="65"/>
        <v>191.94622718466402</v>
      </c>
      <c r="S701" s="1">
        <f t="shared" si="66"/>
        <v>109.92038563829787</v>
      </c>
    </row>
    <row r="702" spans="1:19" x14ac:dyDescent="0.3">
      <c r="A702">
        <v>11644.4</v>
      </c>
      <c r="B702">
        <v>174.223781</v>
      </c>
      <c r="C702">
        <v>180.68792300000001</v>
      </c>
      <c r="D702">
        <v>187.464629</v>
      </c>
      <c r="E702">
        <v>106.487769</v>
      </c>
      <c r="F702">
        <v>75.067646999999994</v>
      </c>
      <c r="G702">
        <v>49.915503000000001</v>
      </c>
      <c r="H702">
        <v>53.706319999999998</v>
      </c>
      <c r="I702"/>
      <c r="N702"/>
      <c r="O702"/>
      <c r="P702" s="1">
        <f t="shared" si="63"/>
        <v>177.84244410569104</v>
      </c>
      <c r="Q702" s="1">
        <f t="shared" si="64"/>
        <v>184.39634857723576</v>
      </c>
      <c r="R702" s="1">
        <f t="shared" si="65"/>
        <v>191.95706332211685</v>
      </c>
      <c r="S702" s="1">
        <f t="shared" si="66"/>
        <v>109.95429112111293</v>
      </c>
    </row>
    <row r="703" spans="1:19" x14ac:dyDescent="0.3">
      <c r="A703">
        <v>11644.6</v>
      </c>
      <c r="B703">
        <v>174.223781</v>
      </c>
      <c r="C703">
        <v>180.68792300000001</v>
      </c>
      <c r="D703">
        <v>187.464629</v>
      </c>
      <c r="E703">
        <v>106.487769</v>
      </c>
      <c r="F703">
        <v>75.067646999999994</v>
      </c>
      <c r="G703">
        <v>49.933452000000003</v>
      </c>
      <c r="H703">
        <v>53.673730999999997</v>
      </c>
      <c r="I703"/>
      <c r="N703"/>
      <c r="O703"/>
      <c r="P703" s="1">
        <f t="shared" si="63"/>
        <v>177.84244410569104</v>
      </c>
      <c r="Q703" s="1">
        <f t="shared" si="64"/>
        <v>184.39634857723576</v>
      </c>
      <c r="R703" s="1">
        <f t="shared" si="65"/>
        <v>191.95706332211685</v>
      </c>
      <c r="S703" s="1">
        <f t="shared" si="66"/>
        <v>109.95429112111293</v>
      </c>
    </row>
    <row r="704" spans="1:19" x14ac:dyDescent="0.3">
      <c r="A704">
        <v>11644.8</v>
      </c>
      <c r="B704">
        <v>174.225122</v>
      </c>
      <c r="C704">
        <v>180.689739</v>
      </c>
      <c r="D704">
        <v>187.45262700000001</v>
      </c>
      <c r="E704">
        <v>106.418434</v>
      </c>
      <c r="F704">
        <v>75.610566000000006</v>
      </c>
      <c r="G704">
        <v>49.933452000000003</v>
      </c>
      <c r="H704">
        <v>53.673730999999997</v>
      </c>
      <c r="I704"/>
      <c r="N704"/>
      <c r="O704"/>
      <c r="P704" s="1">
        <f t="shared" si="63"/>
        <v>177.84391158536584</v>
      </c>
      <c r="Q704" s="1">
        <f t="shared" si="64"/>
        <v>184.39710264227639</v>
      </c>
      <c r="R704" s="1">
        <f t="shared" si="65"/>
        <v>191.95948608137044</v>
      </c>
      <c r="S704" s="1">
        <f t="shared" si="66"/>
        <v>109.87397197217676</v>
      </c>
    </row>
    <row r="705" spans="1:19" x14ac:dyDescent="0.3">
      <c r="A705">
        <v>11645</v>
      </c>
      <c r="B705">
        <v>174.225122</v>
      </c>
      <c r="C705">
        <v>180.689739</v>
      </c>
      <c r="D705">
        <v>187.45262700000001</v>
      </c>
      <c r="E705">
        <v>106.418434</v>
      </c>
      <c r="F705">
        <v>75.610566000000006</v>
      </c>
      <c r="G705">
        <v>49.946142000000002</v>
      </c>
      <c r="H705">
        <v>53.665408999999997</v>
      </c>
      <c r="I705" t="s">
        <v>56</v>
      </c>
      <c r="N705"/>
      <c r="O705"/>
      <c r="P705" s="1">
        <f t="shared" si="63"/>
        <v>177.84391158536584</v>
      </c>
      <c r="Q705" s="1">
        <f t="shared" si="64"/>
        <v>184.39710264227639</v>
      </c>
      <c r="R705" s="1">
        <f t="shared" si="65"/>
        <v>191.95948608137044</v>
      </c>
      <c r="S705" s="1">
        <f t="shared" si="66"/>
        <v>109.87397197217676</v>
      </c>
    </row>
    <row r="706" spans="1:19" x14ac:dyDescent="0.3">
      <c r="A706">
        <v>11645.2</v>
      </c>
      <c r="B706">
        <v>174.216443</v>
      </c>
      <c r="C706">
        <v>180.67585800000001</v>
      </c>
      <c r="D706">
        <v>187.46550300000001</v>
      </c>
      <c r="E706">
        <v>106.41753300000001</v>
      </c>
      <c r="F706">
        <v>76.138157000000007</v>
      </c>
      <c r="G706">
        <v>49.946142000000002</v>
      </c>
      <c r="H706">
        <v>53.665408999999997</v>
      </c>
      <c r="I706"/>
      <c r="N706"/>
      <c r="O706"/>
      <c r="P706" s="1">
        <f t="shared" si="63"/>
        <v>177.84985569105692</v>
      </c>
      <c r="Q706" s="1">
        <f t="shared" si="64"/>
        <v>184.41717581300813</v>
      </c>
      <c r="R706" s="1">
        <f t="shared" si="65"/>
        <v>191.93918425614356</v>
      </c>
      <c r="S706" s="1">
        <f t="shared" si="66"/>
        <v>109.95083469721767</v>
      </c>
    </row>
    <row r="707" spans="1:19" x14ac:dyDescent="0.3">
      <c r="A707">
        <v>11645.4</v>
      </c>
      <c r="B707">
        <v>174.216443</v>
      </c>
      <c r="C707">
        <v>180.67585800000001</v>
      </c>
      <c r="D707">
        <v>187.46550300000001</v>
      </c>
      <c r="E707">
        <v>106.41753300000001</v>
      </c>
      <c r="F707">
        <v>76.138157000000007</v>
      </c>
      <c r="G707">
        <v>49.949590000000001</v>
      </c>
      <c r="H707">
        <v>53.666083</v>
      </c>
      <c r="I707"/>
      <c r="N707"/>
      <c r="O707"/>
      <c r="P707" s="1">
        <f t="shared" si="63"/>
        <v>177.84985569105692</v>
      </c>
      <c r="Q707" s="1">
        <f t="shared" si="64"/>
        <v>184.41717581300813</v>
      </c>
      <c r="R707" s="1">
        <f t="shared" si="65"/>
        <v>191.93918425614356</v>
      </c>
      <c r="S707" s="1">
        <f t="shared" si="66"/>
        <v>109.95083469721767</v>
      </c>
    </row>
    <row r="708" spans="1:19" x14ac:dyDescent="0.3">
      <c r="A708">
        <v>11645.6</v>
      </c>
      <c r="B708">
        <v>174.20573099999999</v>
      </c>
      <c r="C708">
        <v>180.689357</v>
      </c>
      <c r="D708">
        <v>187.43867499999999</v>
      </c>
      <c r="E708">
        <v>106.419425</v>
      </c>
      <c r="F708">
        <v>76.067172999999997</v>
      </c>
      <c r="G708">
        <v>49.949590000000001</v>
      </c>
      <c r="H708">
        <v>53.666083</v>
      </c>
      <c r="I708"/>
      <c r="N708"/>
      <c r="O708"/>
      <c r="P708" s="1">
        <f t="shared" si="63"/>
        <v>177.87658333333331</v>
      </c>
      <c r="Q708" s="1">
        <f t="shared" si="64"/>
        <v>184.40977439024391</v>
      </c>
      <c r="R708" s="1">
        <f t="shared" si="65"/>
        <v>191.97069542163763</v>
      </c>
      <c r="S708" s="1">
        <f t="shared" si="66"/>
        <v>110.03907937806873</v>
      </c>
    </row>
    <row r="709" spans="1:19" x14ac:dyDescent="0.3">
      <c r="A709">
        <v>11645.8</v>
      </c>
      <c r="B709">
        <v>174.20573099999999</v>
      </c>
      <c r="C709">
        <v>180.689357</v>
      </c>
      <c r="D709">
        <v>187.43867499999999</v>
      </c>
      <c r="E709">
        <v>106.419425</v>
      </c>
      <c r="F709">
        <v>76.067172999999997</v>
      </c>
      <c r="G709">
        <v>49.929506000000003</v>
      </c>
      <c r="H709">
        <v>53.685473999999999</v>
      </c>
      <c r="I709"/>
      <c r="N709"/>
      <c r="O709"/>
      <c r="P709" s="1">
        <f t="shared" si="63"/>
        <v>177.87658333333331</v>
      </c>
      <c r="Q709" s="1">
        <f t="shared" si="64"/>
        <v>184.40977439024391</v>
      </c>
      <c r="R709" s="1">
        <f t="shared" si="65"/>
        <v>191.97069542163763</v>
      </c>
      <c r="S709" s="1">
        <f t="shared" si="66"/>
        <v>110.03907937806873</v>
      </c>
    </row>
    <row r="710" spans="1:19" x14ac:dyDescent="0.3">
      <c r="A710">
        <v>11646</v>
      </c>
      <c r="B710">
        <v>174.19355300000001</v>
      </c>
      <c r="C710">
        <v>180.67832200000001</v>
      </c>
      <c r="D710">
        <v>187.43916899999999</v>
      </c>
      <c r="E710">
        <v>106.375083</v>
      </c>
      <c r="F710">
        <v>76.326807000000002</v>
      </c>
      <c r="G710">
        <v>49.929506000000003</v>
      </c>
      <c r="H710">
        <v>53.685473999999999</v>
      </c>
      <c r="I710" t="s">
        <v>56</v>
      </c>
      <c r="N710"/>
      <c r="O710"/>
      <c r="P710" s="1">
        <f t="shared" si="63"/>
        <v>177.83847459349593</v>
      </c>
      <c r="Q710" s="1">
        <f t="shared" si="64"/>
        <v>184.4215487804878</v>
      </c>
      <c r="R710" s="1">
        <f t="shared" si="65"/>
        <v>191.96812480881005</v>
      </c>
      <c r="S710" s="1">
        <f t="shared" si="66"/>
        <v>110.0280155482815</v>
      </c>
    </row>
    <row r="711" spans="1:19" x14ac:dyDescent="0.3">
      <c r="A711">
        <v>11646.2</v>
      </c>
      <c r="B711">
        <v>174.19355300000001</v>
      </c>
      <c r="C711">
        <v>180.67832200000001</v>
      </c>
      <c r="D711">
        <v>187.43916899999999</v>
      </c>
      <c r="E711">
        <v>106.375083</v>
      </c>
      <c r="F711">
        <v>76.326807000000002</v>
      </c>
      <c r="G711">
        <v>49.947633000000003</v>
      </c>
      <c r="H711">
        <v>53.666435999999997</v>
      </c>
      <c r="I711"/>
      <c r="N711"/>
      <c r="O711"/>
      <c r="P711" s="1">
        <f t="shared" si="63"/>
        <v>177.83847459349593</v>
      </c>
      <c r="Q711" s="1">
        <f t="shared" si="64"/>
        <v>184.4215487804878</v>
      </c>
      <c r="R711" s="1">
        <f t="shared" si="65"/>
        <v>191.96812480881005</v>
      </c>
      <c r="S711" s="1">
        <f t="shared" si="66"/>
        <v>110.0280155482815</v>
      </c>
    </row>
    <row r="712" spans="1:19" x14ac:dyDescent="0.3">
      <c r="A712">
        <v>11646.4</v>
      </c>
      <c r="B712">
        <v>174.20421999999999</v>
      </c>
      <c r="C712">
        <v>180.665719</v>
      </c>
      <c r="D712">
        <v>187.45238000000001</v>
      </c>
      <c r="E712">
        <v>106.392841</v>
      </c>
      <c r="F712">
        <v>76.129265000000004</v>
      </c>
      <c r="G712">
        <v>49.947633000000003</v>
      </c>
      <c r="H712">
        <v>53.666435999999997</v>
      </c>
      <c r="I712"/>
      <c r="N712"/>
      <c r="O712"/>
      <c r="P712" s="1">
        <f t="shared" si="63"/>
        <v>177.86633638211379</v>
      </c>
      <c r="Q712" s="1">
        <f t="shared" si="64"/>
        <v>184.44590142276422</v>
      </c>
      <c r="R712" s="1">
        <f t="shared" si="65"/>
        <v>191.95638727439584</v>
      </c>
      <c r="S712" s="1">
        <f t="shared" si="66"/>
        <v>110.03677270867431</v>
      </c>
    </row>
    <row r="713" spans="1:19" x14ac:dyDescent="0.3">
      <c r="A713">
        <v>11646.6</v>
      </c>
      <c r="B713">
        <v>174.20421999999999</v>
      </c>
      <c r="C713">
        <v>180.665719</v>
      </c>
      <c r="D713">
        <v>187.45238000000001</v>
      </c>
      <c r="E713">
        <v>106.392841</v>
      </c>
      <c r="F713">
        <v>76.129265000000004</v>
      </c>
      <c r="G713">
        <v>49.927967000000002</v>
      </c>
      <c r="H713">
        <v>53.655577999999998</v>
      </c>
      <c r="I713"/>
      <c r="N713"/>
      <c r="O713"/>
      <c r="P713" s="1">
        <f t="shared" si="63"/>
        <v>177.86633638211379</v>
      </c>
      <c r="Q713" s="1">
        <f t="shared" si="64"/>
        <v>184.44590142276422</v>
      </c>
      <c r="R713" s="1">
        <f t="shared" si="65"/>
        <v>191.95638727439584</v>
      </c>
      <c r="S713" s="1">
        <f t="shared" si="66"/>
        <v>110.03677270867431</v>
      </c>
    </row>
    <row r="714" spans="1:19" x14ac:dyDescent="0.3">
      <c r="A714">
        <v>11646.8</v>
      </c>
      <c r="B714">
        <v>174.21551199999999</v>
      </c>
      <c r="C714">
        <v>180.65374199999999</v>
      </c>
      <c r="D714">
        <v>187.46317099999999</v>
      </c>
      <c r="E714">
        <v>106.507638</v>
      </c>
      <c r="F714">
        <v>76.034360000000007</v>
      </c>
      <c r="G714">
        <v>49.927967000000002</v>
      </c>
      <c r="H714">
        <v>53.655577999999998</v>
      </c>
      <c r="I714"/>
      <c r="N714"/>
      <c r="O714"/>
      <c r="P714" s="1">
        <f t="shared" si="63"/>
        <v>177.84368597560976</v>
      </c>
      <c r="Q714" s="1">
        <f t="shared" si="64"/>
        <v>184.42581707317072</v>
      </c>
      <c r="R714" s="1">
        <f t="shared" si="65"/>
        <v>191.96737228510247</v>
      </c>
      <c r="S714" s="1">
        <f t="shared" si="66"/>
        <v>109.94438113747954</v>
      </c>
    </row>
    <row r="715" spans="1:19" x14ac:dyDescent="0.3">
      <c r="A715">
        <v>11647</v>
      </c>
      <c r="B715">
        <v>174.21551199999999</v>
      </c>
      <c r="C715">
        <v>180.65374199999999</v>
      </c>
      <c r="D715">
        <v>187.46317099999999</v>
      </c>
      <c r="E715">
        <v>106.507638</v>
      </c>
      <c r="F715">
        <v>76.034360000000007</v>
      </c>
      <c r="G715">
        <v>49.953358999999999</v>
      </c>
      <c r="H715">
        <v>53.665461000000001</v>
      </c>
      <c r="I715" t="s">
        <v>56</v>
      </c>
      <c r="N715"/>
      <c r="O715"/>
      <c r="P715" s="1">
        <f t="shared" si="63"/>
        <v>177.84368597560976</v>
      </c>
      <c r="Q715" s="1">
        <f t="shared" si="64"/>
        <v>184.42581707317072</v>
      </c>
      <c r="R715" s="1">
        <f t="shared" si="65"/>
        <v>191.96737228510247</v>
      </c>
      <c r="S715" s="1">
        <f t="shared" si="66"/>
        <v>109.94438113747954</v>
      </c>
    </row>
    <row r="716" spans="1:19" x14ac:dyDescent="0.3">
      <c r="A716">
        <v>11647.2</v>
      </c>
      <c r="B716">
        <v>174.213404</v>
      </c>
      <c r="C716">
        <v>180.66857400000001</v>
      </c>
      <c r="D716">
        <v>187.44258199999999</v>
      </c>
      <c r="E716">
        <v>106.445162</v>
      </c>
      <c r="F716">
        <v>75.932821000000004</v>
      </c>
      <c r="G716">
        <v>49.953358999999999</v>
      </c>
      <c r="H716">
        <v>53.665461000000001</v>
      </c>
      <c r="I716"/>
      <c r="N716"/>
      <c r="O716"/>
      <c r="P716" s="1">
        <f t="shared" si="63"/>
        <v>177.88538922764226</v>
      </c>
      <c r="Q716" s="1">
        <f t="shared" si="64"/>
        <v>184.44108943089429</v>
      </c>
      <c r="R716" s="1">
        <f t="shared" si="65"/>
        <v>191.97210869786889</v>
      </c>
      <c r="S716" s="1">
        <f t="shared" si="66"/>
        <v>109.89756853518821</v>
      </c>
    </row>
    <row r="717" spans="1:19" x14ac:dyDescent="0.3">
      <c r="A717">
        <v>11647.4</v>
      </c>
      <c r="B717">
        <v>174.213404</v>
      </c>
      <c r="C717">
        <v>180.66857400000001</v>
      </c>
      <c r="D717">
        <v>187.44258199999999</v>
      </c>
      <c r="E717">
        <v>106.445162</v>
      </c>
      <c r="F717">
        <v>75.932821000000004</v>
      </c>
      <c r="G717">
        <v>49.930788</v>
      </c>
      <c r="H717">
        <v>53.675224</v>
      </c>
      <c r="I717"/>
      <c r="N717"/>
      <c r="O717"/>
      <c r="P717" s="1">
        <f t="shared" si="63"/>
        <v>177.88538922764226</v>
      </c>
      <c r="Q717" s="1">
        <f t="shared" si="64"/>
        <v>184.44108943089429</v>
      </c>
      <c r="R717" s="1">
        <f t="shared" si="65"/>
        <v>191.97210869786889</v>
      </c>
      <c r="S717" s="1">
        <f t="shared" si="66"/>
        <v>109.89756853518821</v>
      </c>
    </row>
    <row r="718" spans="1:19" x14ac:dyDescent="0.3">
      <c r="A718">
        <v>11647.6</v>
      </c>
      <c r="B718">
        <v>174.19549699999999</v>
      </c>
      <c r="C718">
        <v>180.67650499999999</v>
      </c>
      <c r="D718">
        <v>187.44976600000001</v>
      </c>
      <c r="E718">
        <v>106.422231</v>
      </c>
      <c r="F718">
        <v>75.550735000000003</v>
      </c>
      <c r="G718">
        <v>49.930788</v>
      </c>
      <c r="H718">
        <v>53.675224</v>
      </c>
      <c r="I718"/>
      <c r="N718"/>
      <c r="O718"/>
      <c r="P718" s="1">
        <f t="shared" si="63"/>
        <v>177.87858536585364</v>
      </c>
      <c r="Q718" s="1">
        <f t="shared" si="64"/>
        <v>184.42493800813006</v>
      </c>
      <c r="R718" s="1">
        <f t="shared" si="65"/>
        <v>191.96840420108086</v>
      </c>
      <c r="S718" s="1">
        <f t="shared" si="66"/>
        <v>109.89605769230769</v>
      </c>
    </row>
    <row r="719" spans="1:19" x14ac:dyDescent="0.3">
      <c r="A719">
        <v>11647.8</v>
      </c>
      <c r="B719">
        <v>174.19549699999999</v>
      </c>
      <c r="C719">
        <v>180.67650499999999</v>
      </c>
      <c r="D719">
        <v>187.44976600000001</v>
      </c>
      <c r="E719">
        <v>106.422231</v>
      </c>
      <c r="F719">
        <v>75.550735000000003</v>
      </c>
      <c r="G719">
        <v>49.945889000000001</v>
      </c>
      <c r="H719">
        <v>53.679222000000003</v>
      </c>
      <c r="I719"/>
      <c r="N719"/>
      <c r="O719"/>
      <c r="P719" s="1">
        <f t="shared" si="63"/>
        <v>177.87858536585364</v>
      </c>
      <c r="Q719" s="1">
        <f t="shared" si="64"/>
        <v>184.42493800813006</v>
      </c>
      <c r="R719" s="1">
        <f t="shared" si="65"/>
        <v>191.96840420108086</v>
      </c>
      <c r="S719" s="1">
        <f t="shared" si="66"/>
        <v>109.89605769230769</v>
      </c>
    </row>
    <row r="720" spans="1:19" x14ac:dyDescent="0.3">
      <c r="A720">
        <v>11648</v>
      </c>
      <c r="B720">
        <v>174.21530799999999</v>
      </c>
      <c r="C720">
        <v>180.66271599999999</v>
      </c>
      <c r="D720">
        <v>187.434652</v>
      </c>
      <c r="E720">
        <v>106.42006000000001</v>
      </c>
      <c r="F720">
        <v>74.824648999999994</v>
      </c>
      <c r="G720">
        <v>49.945889000000001</v>
      </c>
      <c r="H720">
        <v>53.679222000000003</v>
      </c>
      <c r="I720" t="s">
        <v>56</v>
      </c>
      <c r="N720"/>
      <c r="O720"/>
      <c r="P720" s="1">
        <f t="shared" si="63"/>
        <v>177.85597662601626</v>
      </c>
      <c r="Q720" s="1">
        <f t="shared" si="64"/>
        <v>184.42522662601627</v>
      </c>
      <c r="R720" s="1">
        <f t="shared" si="65"/>
        <v>191.98014581421435</v>
      </c>
      <c r="S720" s="1">
        <f t="shared" si="66"/>
        <v>109.87271788052372</v>
      </c>
    </row>
    <row r="721" spans="1:19" x14ac:dyDescent="0.3">
      <c r="A721">
        <v>11648.2</v>
      </c>
      <c r="B721">
        <v>174.21530799999999</v>
      </c>
      <c r="C721">
        <v>180.66271599999999</v>
      </c>
      <c r="D721">
        <v>187.434652</v>
      </c>
      <c r="E721">
        <v>106.42006000000001</v>
      </c>
      <c r="F721">
        <v>74.824648999999994</v>
      </c>
      <c r="G721">
        <v>49.920361</v>
      </c>
      <c r="H721">
        <v>53.713932999999997</v>
      </c>
      <c r="I721"/>
      <c r="N721"/>
      <c r="O721"/>
      <c r="P721" s="1">
        <f t="shared" si="63"/>
        <v>177.85597662601626</v>
      </c>
      <c r="Q721" s="1">
        <f t="shared" si="64"/>
        <v>184.42522662601627</v>
      </c>
      <c r="R721" s="1">
        <f t="shared" si="65"/>
        <v>191.98014581421435</v>
      </c>
      <c r="S721" s="1">
        <f t="shared" si="66"/>
        <v>109.87271788052372</v>
      </c>
    </row>
    <row r="722" spans="1:19" x14ac:dyDescent="0.3">
      <c r="A722">
        <v>11648.4</v>
      </c>
      <c r="B722">
        <v>174.179789</v>
      </c>
      <c r="C722">
        <v>180.656046</v>
      </c>
      <c r="D722">
        <v>187.42287200000001</v>
      </c>
      <c r="E722">
        <v>106.46888</v>
      </c>
      <c r="F722">
        <v>75.758435000000006</v>
      </c>
      <c r="G722">
        <v>49.920361</v>
      </c>
      <c r="H722">
        <v>53.713932999999997</v>
      </c>
      <c r="I722"/>
      <c r="N722"/>
      <c r="O722"/>
      <c r="P722" s="1">
        <f t="shared" si="63"/>
        <v>177.85733943089431</v>
      </c>
      <c r="Q722" s="1">
        <f t="shared" si="64"/>
        <v>184.42707215447155</v>
      </c>
      <c r="R722" s="1">
        <f t="shared" si="65"/>
        <v>191.96790761700828</v>
      </c>
      <c r="S722" s="1">
        <f t="shared" si="66"/>
        <v>109.8017941898527</v>
      </c>
    </row>
    <row r="723" spans="1:19" x14ac:dyDescent="0.3">
      <c r="A723">
        <v>11648.6</v>
      </c>
      <c r="B723">
        <v>174.179789</v>
      </c>
      <c r="C723">
        <v>180.656046</v>
      </c>
      <c r="D723">
        <v>187.42287200000001</v>
      </c>
      <c r="E723">
        <v>106.46888</v>
      </c>
      <c r="F723">
        <v>75.758435000000006</v>
      </c>
      <c r="G723">
        <v>49.946871000000002</v>
      </c>
      <c r="H723">
        <v>53.720320999999998</v>
      </c>
      <c r="I723"/>
      <c r="N723"/>
      <c r="O723"/>
      <c r="P723" s="1">
        <f t="shared" si="63"/>
        <v>177.85733943089431</v>
      </c>
      <c r="Q723" s="1">
        <f t="shared" si="64"/>
        <v>184.42707215447155</v>
      </c>
      <c r="R723" s="1">
        <f t="shared" si="65"/>
        <v>191.96790761700828</v>
      </c>
      <c r="S723" s="1">
        <f t="shared" si="66"/>
        <v>109.8017941898527</v>
      </c>
    </row>
    <row r="724" spans="1:19" x14ac:dyDescent="0.3">
      <c r="A724">
        <v>11648.8</v>
      </c>
      <c r="B724">
        <v>174.184337</v>
      </c>
      <c r="C724">
        <v>180.65095700000001</v>
      </c>
      <c r="D724">
        <v>187.442149</v>
      </c>
      <c r="E724">
        <v>106.57129</v>
      </c>
      <c r="F724">
        <v>75.539845</v>
      </c>
      <c r="G724">
        <v>49.946871000000002</v>
      </c>
      <c r="H724">
        <v>53.720320999999998</v>
      </c>
      <c r="I724"/>
      <c r="N724"/>
      <c r="O724"/>
      <c r="P724" s="1">
        <f t="shared" si="63"/>
        <v>177.84851930894308</v>
      </c>
      <c r="Q724" s="1">
        <f t="shared" si="64"/>
        <v>184.41296544715448</v>
      </c>
      <c r="R724" s="1">
        <f t="shared" si="65"/>
        <v>191.98103701437751</v>
      </c>
      <c r="S724" s="1">
        <f t="shared" si="66"/>
        <v>109.80087254500819</v>
      </c>
    </row>
    <row r="725" spans="1:19" x14ac:dyDescent="0.3">
      <c r="A725">
        <v>12657</v>
      </c>
      <c r="B725">
        <v>185.29025200000001</v>
      </c>
      <c r="C725">
        <v>192.38718499999999</v>
      </c>
      <c r="D725">
        <v>199.898516</v>
      </c>
      <c r="E725">
        <v>109.520768</v>
      </c>
      <c r="F725">
        <v>77.989202000000006</v>
      </c>
      <c r="G725">
        <v>50.016638</v>
      </c>
      <c r="H725">
        <v>54.265495000000001</v>
      </c>
      <c r="I725" t="s">
        <v>56</v>
      </c>
      <c r="N725"/>
      <c r="O725"/>
      <c r="P725" s="1">
        <f t="shared" si="63"/>
        <v>177.84851930894308</v>
      </c>
      <c r="Q725" s="1">
        <f t="shared" si="64"/>
        <v>184.41296544715448</v>
      </c>
      <c r="R725" s="1">
        <f t="shared" si="65"/>
        <v>191.98103701437751</v>
      </c>
      <c r="S725" s="1">
        <f t="shared" si="66"/>
        <v>109.80087254500819</v>
      </c>
    </row>
    <row r="726" spans="1:19" x14ac:dyDescent="0.3">
      <c r="A726">
        <v>12657.2</v>
      </c>
      <c r="B726">
        <v>185.28204600000001</v>
      </c>
      <c r="C726">
        <v>192.376375</v>
      </c>
      <c r="D726">
        <v>199.88077000000001</v>
      </c>
      <c r="E726">
        <v>109.49674400000001</v>
      </c>
      <c r="F726">
        <v>78.091560999999999</v>
      </c>
      <c r="G726">
        <v>50.016638</v>
      </c>
      <c r="H726">
        <v>54.265495000000001</v>
      </c>
      <c r="I726"/>
      <c r="N726"/>
      <c r="O726"/>
      <c r="P726" s="1">
        <f t="shared" si="63"/>
        <v>177.83763313008129</v>
      </c>
      <c r="Q726" s="1">
        <f t="shared" si="64"/>
        <v>184.42668394308942</v>
      </c>
      <c r="R726" s="1">
        <f t="shared" si="65"/>
        <v>191.95368104415215</v>
      </c>
      <c r="S726" s="1">
        <f t="shared" si="66"/>
        <v>109.80280789689034</v>
      </c>
    </row>
    <row r="727" spans="1:19" x14ac:dyDescent="0.3">
      <c r="A727">
        <v>12657.4</v>
      </c>
      <c r="B727">
        <v>185.28204600000001</v>
      </c>
      <c r="C727">
        <v>192.376375</v>
      </c>
      <c r="D727">
        <v>199.88077000000001</v>
      </c>
      <c r="E727">
        <v>109.49674400000001</v>
      </c>
      <c r="F727">
        <v>78.091560999999999</v>
      </c>
      <c r="G727">
        <v>50.041083</v>
      </c>
      <c r="H727">
        <v>54.264290000000003</v>
      </c>
      <c r="I727"/>
      <c r="N727"/>
      <c r="O727"/>
      <c r="P727" s="1">
        <f t="shared" si="63"/>
        <v>177.83763313008129</v>
      </c>
      <c r="Q727" s="1">
        <f t="shared" si="64"/>
        <v>184.42668394308942</v>
      </c>
      <c r="R727" s="1">
        <f t="shared" si="65"/>
        <v>191.95368104415215</v>
      </c>
      <c r="S727" s="1">
        <f t="shared" si="66"/>
        <v>109.80280789689034</v>
      </c>
    </row>
    <row r="728" spans="1:19" x14ac:dyDescent="0.3">
      <c r="A728">
        <v>12657.6</v>
      </c>
      <c r="B728">
        <v>185.30900600000001</v>
      </c>
      <c r="C728">
        <v>192.391389</v>
      </c>
      <c r="D728">
        <v>199.90853300000001</v>
      </c>
      <c r="E728">
        <v>109.518924</v>
      </c>
      <c r="F728">
        <v>77.188445999999999</v>
      </c>
      <c r="G728">
        <v>50.041083</v>
      </c>
      <c r="H728">
        <v>54.264290000000003</v>
      </c>
      <c r="I728"/>
      <c r="N728"/>
      <c r="O728"/>
      <c r="P728" s="1">
        <f t="shared" si="63"/>
        <v>177.82525711382115</v>
      </c>
      <c r="Q728" s="1">
        <f t="shared" si="64"/>
        <v>184.41546951219513</v>
      </c>
      <c r="R728" s="1">
        <f t="shared" si="65"/>
        <v>191.95418476598348</v>
      </c>
      <c r="S728" s="1">
        <f t="shared" si="66"/>
        <v>109.75744987725041</v>
      </c>
    </row>
    <row r="729" spans="1:19" x14ac:dyDescent="0.3">
      <c r="A729">
        <v>12657.8</v>
      </c>
      <c r="B729">
        <v>185.30900600000001</v>
      </c>
      <c r="C729">
        <v>192.391389</v>
      </c>
      <c r="D729">
        <v>199.90853300000001</v>
      </c>
      <c r="E729">
        <v>109.518924</v>
      </c>
      <c r="F729">
        <v>77.188445999999999</v>
      </c>
      <c r="G729">
        <v>50.015199000000003</v>
      </c>
      <c r="H729">
        <v>54.270975</v>
      </c>
      <c r="I729"/>
      <c r="N729"/>
      <c r="O729"/>
      <c r="P729" s="1">
        <f t="shared" si="63"/>
        <v>177.82525711382115</v>
      </c>
      <c r="Q729" s="1">
        <f t="shared" si="64"/>
        <v>184.41546951219513</v>
      </c>
      <c r="R729" s="1">
        <f t="shared" si="65"/>
        <v>191.95418476598348</v>
      </c>
      <c r="S729" s="1">
        <f t="shared" si="66"/>
        <v>109.75744987725041</v>
      </c>
    </row>
    <row r="730" spans="1:19" x14ac:dyDescent="0.3">
      <c r="A730">
        <v>12658</v>
      </c>
      <c r="B730">
        <v>185.292653</v>
      </c>
      <c r="C730">
        <v>192.34912199999999</v>
      </c>
      <c r="D730">
        <v>199.88898800000001</v>
      </c>
      <c r="E730">
        <v>109.46050099999999</v>
      </c>
      <c r="F730">
        <v>75.864614000000003</v>
      </c>
      <c r="G730">
        <v>50.015199000000003</v>
      </c>
      <c r="H730">
        <v>54.270975</v>
      </c>
      <c r="I730" t="s">
        <v>56</v>
      </c>
      <c r="N730"/>
      <c r="O730"/>
      <c r="P730" s="1">
        <f t="shared" si="63"/>
        <v>177.83609756097559</v>
      </c>
      <c r="Q730" s="1">
        <f t="shared" si="64"/>
        <v>184.40266158536585</v>
      </c>
      <c r="R730" s="1">
        <f t="shared" si="65"/>
        <v>191.9676557560926</v>
      </c>
      <c r="S730" s="1">
        <f t="shared" si="66"/>
        <v>109.77561477086743</v>
      </c>
    </row>
    <row r="731" spans="1:19" x14ac:dyDescent="0.3">
      <c r="A731">
        <v>12658.2</v>
      </c>
      <c r="B731">
        <v>185.292653</v>
      </c>
      <c r="C731">
        <v>192.34912199999999</v>
      </c>
      <c r="D731">
        <v>199.88898800000001</v>
      </c>
      <c r="E731">
        <v>109.46050099999999</v>
      </c>
      <c r="F731">
        <v>75.864614000000003</v>
      </c>
      <c r="G731">
        <v>50.020161999999999</v>
      </c>
      <c r="H731">
        <v>54.233974000000003</v>
      </c>
      <c r="I731"/>
      <c r="N731"/>
      <c r="O731"/>
      <c r="P731" s="1">
        <f t="shared" si="63"/>
        <v>177.83609756097559</v>
      </c>
      <c r="Q731" s="1">
        <f t="shared" si="64"/>
        <v>184.40266158536585</v>
      </c>
      <c r="R731" s="1">
        <f t="shared" si="65"/>
        <v>191.9676557560926</v>
      </c>
      <c r="S731" s="1">
        <f t="shared" si="66"/>
        <v>109.77561477086743</v>
      </c>
    </row>
    <row r="732" spans="1:19" x14ac:dyDescent="0.3">
      <c r="A732">
        <v>12658.4</v>
      </c>
      <c r="B732">
        <v>185.27532500000001</v>
      </c>
      <c r="C732">
        <v>192.39246299999999</v>
      </c>
      <c r="D732">
        <v>199.889971</v>
      </c>
      <c r="E732">
        <v>109.394789</v>
      </c>
      <c r="F732">
        <v>76.846517000000006</v>
      </c>
      <c r="G732">
        <v>50.020161999999999</v>
      </c>
      <c r="H732">
        <v>54.233974000000003</v>
      </c>
      <c r="I732"/>
      <c r="N732"/>
      <c r="O732"/>
      <c r="P732" s="1">
        <f t="shared" si="63"/>
        <v>177.84757317073169</v>
      </c>
      <c r="Q732" s="1">
        <f t="shared" si="64"/>
        <v>184.39048983739835</v>
      </c>
      <c r="R732" s="1">
        <f t="shared" si="65"/>
        <v>191.978659121036</v>
      </c>
      <c r="S732" s="1">
        <f t="shared" si="66"/>
        <v>109.89304214402618</v>
      </c>
    </row>
    <row r="733" spans="1:19" x14ac:dyDescent="0.3">
      <c r="A733">
        <v>12658.6</v>
      </c>
      <c r="B733">
        <v>185.27532500000001</v>
      </c>
      <c r="C733">
        <v>192.39246299999999</v>
      </c>
      <c r="D733">
        <v>199.889971</v>
      </c>
      <c r="E733">
        <v>109.394789</v>
      </c>
      <c r="F733">
        <v>76.846517000000006</v>
      </c>
      <c r="G733">
        <v>50.048687999999999</v>
      </c>
      <c r="H733">
        <v>54.231077999999997</v>
      </c>
      <c r="I733"/>
      <c r="N733"/>
      <c r="O733"/>
      <c r="P733" s="1">
        <f t="shared" si="63"/>
        <v>177.84757317073169</v>
      </c>
      <c r="Q733" s="1">
        <f t="shared" si="64"/>
        <v>184.39048983739835</v>
      </c>
      <c r="R733" s="1">
        <f t="shared" si="65"/>
        <v>191.978659121036</v>
      </c>
      <c r="S733" s="1">
        <f t="shared" si="66"/>
        <v>109.89304214402618</v>
      </c>
    </row>
    <row r="734" spans="1:19" x14ac:dyDescent="0.3">
      <c r="A734">
        <v>12658.8</v>
      </c>
      <c r="B734">
        <v>185.284572</v>
      </c>
      <c r="C734">
        <v>192.37937600000001</v>
      </c>
      <c r="D734">
        <v>199.90781899999999</v>
      </c>
      <c r="E734">
        <v>109.43501000000001</v>
      </c>
      <c r="F734">
        <v>78.880978999999996</v>
      </c>
      <c r="G734">
        <v>50.048687999999999</v>
      </c>
      <c r="H734">
        <v>54.231077999999997</v>
      </c>
      <c r="I734"/>
      <c r="N734"/>
      <c r="O734"/>
      <c r="P734" s="1">
        <f t="shared" si="63"/>
        <v>177.84543089430892</v>
      </c>
      <c r="Q734" s="1">
        <f t="shared" si="64"/>
        <v>184.40556300813009</v>
      </c>
      <c r="R734" s="1">
        <f t="shared" si="65"/>
        <v>191.95766493321096</v>
      </c>
      <c r="S734" s="1">
        <f t="shared" si="66"/>
        <v>109.8291346153846</v>
      </c>
    </row>
    <row r="735" spans="1:19" x14ac:dyDescent="0.3">
      <c r="A735">
        <v>12659</v>
      </c>
      <c r="B735">
        <v>185.284572</v>
      </c>
      <c r="C735">
        <v>192.37937600000001</v>
      </c>
      <c r="D735">
        <v>199.90781899999999</v>
      </c>
      <c r="E735">
        <v>109.43501000000001</v>
      </c>
      <c r="F735">
        <v>78.880978999999996</v>
      </c>
      <c r="G735">
        <v>50.038004999999998</v>
      </c>
      <c r="H735">
        <v>54.236096000000003</v>
      </c>
      <c r="I735" t="s">
        <v>56</v>
      </c>
      <c r="N735"/>
      <c r="O735"/>
      <c r="P735" s="1">
        <f t="shared" si="63"/>
        <v>177.84543089430892</v>
      </c>
      <c r="Q735" s="1">
        <f t="shared" si="64"/>
        <v>184.40556300813009</v>
      </c>
      <c r="R735" s="1">
        <f t="shared" si="65"/>
        <v>191.95766493321096</v>
      </c>
      <c r="S735" s="1">
        <f t="shared" si="66"/>
        <v>109.8291346153846</v>
      </c>
    </row>
    <row r="736" spans="1:19" x14ac:dyDescent="0.3">
      <c r="A736">
        <v>12659.2</v>
      </c>
      <c r="B736">
        <v>185.30436800000001</v>
      </c>
      <c r="C736">
        <v>192.37591800000001</v>
      </c>
      <c r="D736">
        <v>199.90718799999999</v>
      </c>
      <c r="E736">
        <v>109.373402</v>
      </c>
      <c r="F736">
        <v>79.315595000000002</v>
      </c>
      <c r="G736">
        <v>50.038004999999998</v>
      </c>
      <c r="H736">
        <v>54.236096000000003</v>
      </c>
      <c r="I736"/>
      <c r="N736"/>
      <c r="O736"/>
      <c r="P736" s="1">
        <f t="shared" si="63"/>
        <v>177.82723272357723</v>
      </c>
      <c r="Q736" s="1">
        <f t="shared" si="64"/>
        <v>184.41362296747965</v>
      </c>
      <c r="R736" s="1">
        <f t="shared" si="65"/>
        <v>191.96499031304174</v>
      </c>
      <c r="S736" s="1">
        <f t="shared" si="66"/>
        <v>109.80567819148935</v>
      </c>
    </row>
    <row r="737" spans="1:19" x14ac:dyDescent="0.3">
      <c r="A737">
        <v>12659.4</v>
      </c>
      <c r="B737">
        <v>185.30436800000001</v>
      </c>
      <c r="C737">
        <v>192.37591800000001</v>
      </c>
      <c r="D737">
        <v>199.90718799999999</v>
      </c>
      <c r="E737">
        <v>109.373402</v>
      </c>
      <c r="F737">
        <v>79.315595000000002</v>
      </c>
      <c r="G737">
        <v>50.033993000000002</v>
      </c>
      <c r="H737">
        <v>54.267591000000003</v>
      </c>
      <c r="I737"/>
      <c r="N737"/>
      <c r="O737"/>
      <c r="P737" s="1">
        <f t="shared" si="63"/>
        <v>177.82723272357723</v>
      </c>
      <c r="Q737" s="1">
        <f t="shared" si="64"/>
        <v>184.41362296747965</v>
      </c>
      <c r="R737" s="1">
        <f t="shared" si="65"/>
        <v>191.96499031304174</v>
      </c>
      <c r="S737" s="1">
        <f t="shared" si="66"/>
        <v>109.80567819148935</v>
      </c>
    </row>
    <row r="738" spans="1:19" x14ac:dyDescent="0.3">
      <c r="A738">
        <v>12659.6</v>
      </c>
      <c r="B738">
        <v>185.28512599999999</v>
      </c>
      <c r="C738">
        <v>192.38299000000001</v>
      </c>
      <c r="D738">
        <v>199.90930499999999</v>
      </c>
      <c r="E738">
        <v>109.418992</v>
      </c>
      <c r="F738">
        <v>78.528208000000006</v>
      </c>
      <c r="G738">
        <v>50.033993000000002</v>
      </c>
      <c r="H738">
        <v>54.267591000000003</v>
      </c>
      <c r="I738"/>
      <c r="N738"/>
      <c r="O738"/>
      <c r="P738" s="1">
        <f t="shared" si="63"/>
        <v>177.84736585365852</v>
      </c>
      <c r="Q738" s="1">
        <f t="shared" si="64"/>
        <v>184.39960975609753</v>
      </c>
      <c r="R738" s="1">
        <f t="shared" si="65"/>
        <v>191.94957887223413</v>
      </c>
      <c r="S738" s="1">
        <f t="shared" si="66"/>
        <v>109.80345744680851</v>
      </c>
    </row>
    <row r="739" spans="1:19" x14ac:dyDescent="0.3">
      <c r="A739">
        <v>12659.8</v>
      </c>
      <c r="B739">
        <v>185.28512599999999</v>
      </c>
      <c r="C739">
        <v>192.38299000000001</v>
      </c>
      <c r="D739">
        <v>199.90930499999999</v>
      </c>
      <c r="E739">
        <v>109.418992</v>
      </c>
      <c r="F739">
        <v>78.528208000000006</v>
      </c>
      <c r="G739">
        <v>50.045797</v>
      </c>
      <c r="H739">
        <v>54.282130000000002</v>
      </c>
      <c r="I739"/>
      <c r="N739"/>
      <c r="O739"/>
      <c r="P739" s="1">
        <f t="shared" si="63"/>
        <v>177.84736585365852</v>
      </c>
      <c r="Q739" s="1">
        <f t="shared" si="64"/>
        <v>184.39960975609753</v>
      </c>
      <c r="R739" s="1">
        <f t="shared" si="65"/>
        <v>191.94957887223413</v>
      </c>
      <c r="S739" s="1">
        <f t="shared" si="66"/>
        <v>109.80345744680851</v>
      </c>
    </row>
    <row r="740" spans="1:19" x14ac:dyDescent="0.3">
      <c r="A740">
        <v>12660</v>
      </c>
      <c r="B740">
        <v>185.28412</v>
      </c>
      <c r="C740">
        <v>192.3801</v>
      </c>
      <c r="D740">
        <v>199.8826</v>
      </c>
      <c r="E740">
        <v>109.459744</v>
      </c>
      <c r="F740">
        <v>78.979507999999996</v>
      </c>
      <c r="G740">
        <v>50.045797</v>
      </c>
      <c r="H740">
        <v>54.282130000000002</v>
      </c>
      <c r="I740" t="s">
        <v>56</v>
      </c>
      <c r="N740"/>
      <c r="O740"/>
      <c r="P740" s="1">
        <f t="shared" si="63"/>
        <v>177.81126930894308</v>
      </c>
      <c r="Q740" s="1">
        <f t="shared" si="64"/>
        <v>184.39283130081301</v>
      </c>
      <c r="R740" s="1">
        <f t="shared" si="65"/>
        <v>191.93756704394823</v>
      </c>
      <c r="S740" s="1">
        <f t="shared" si="66"/>
        <v>109.85339607201308</v>
      </c>
    </row>
    <row r="741" spans="1:19" x14ac:dyDescent="0.3">
      <c r="A741">
        <v>12660.2</v>
      </c>
      <c r="B741">
        <v>185.28412</v>
      </c>
      <c r="C741">
        <v>192.3801</v>
      </c>
      <c r="D741">
        <v>199.8826</v>
      </c>
      <c r="E741">
        <v>109.459744</v>
      </c>
      <c r="F741">
        <v>78.979507999999996</v>
      </c>
      <c r="G741">
        <v>50.029947</v>
      </c>
      <c r="H741">
        <v>54.283839999999998</v>
      </c>
      <c r="I741"/>
      <c r="N741"/>
      <c r="O741"/>
      <c r="P741" s="1">
        <f t="shared" si="63"/>
        <v>177.81126930894308</v>
      </c>
      <c r="Q741" s="1">
        <f t="shared" si="64"/>
        <v>184.39283130081301</v>
      </c>
      <c r="R741" s="1">
        <f t="shared" si="65"/>
        <v>191.93756704394823</v>
      </c>
      <c r="S741" s="1">
        <f t="shared" si="66"/>
        <v>109.85339607201308</v>
      </c>
    </row>
    <row r="742" spans="1:19" x14ac:dyDescent="0.3">
      <c r="A742">
        <v>12660.4</v>
      </c>
      <c r="B742">
        <v>185.28423900000001</v>
      </c>
      <c r="C742">
        <v>192.39692500000001</v>
      </c>
      <c r="D742">
        <v>199.911227</v>
      </c>
      <c r="E742">
        <v>109.50339700000001</v>
      </c>
      <c r="F742">
        <v>78.187128999999999</v>
      </c>
      <c r="G742">
        <v>50.029947</v>
      </c>
      <c r="H742">
        <v>54.283839999999998</v>
      </c>
      <c r="I742"/>
      <c r="N742"/>
      <c r="O742"/>
      <c r="P742" s="1">
        <f t="shared" si="63"/>
        <v>177.8158912601626</v>
      </c>
      <c r="Q742" s="1">
        <f t="shared" si="64"/>
        <v>184.38765955284552</v>
      </c>
      <c r="R742" s="1">
        <f t="shared" si="65"/>
        <v>191.9572234118487</v>
      </c>
      <c r="S742" s="1">
        <f t="shared" si="66"/>
        <v>109.95815261865793</v>
      </c>
    </row>
    <row r="743" spans="1:19" x14ac:dyDescent="0.3">
      <c r="A743">
        <v>12660.6</v>
      </c>
      <c r="B743">
        <v>185.28423900000001</v>
      </c>
      <c r="C743">
        <v>192.39692500000001</v>
      </c>
      <c r="D743">
        <v>199.911227</v>
      </c>
      <c r="E743">
        <v>109.50339700000001</v>
      </c>
      <c r="F743">
        <v>78.187128999999999</v>
      </c>
      <c r="G743">
        <v>50.028756000000001</v>
      </c>
      <c r="H743">
        <v>54.270896</v>
      </c>
      <c r="I743"/>
      <c r="N743"/>
      <c r="O743"/>
      <c r="P743" s="1">
        <f t="shared" si="63"/>
        <v>189.10239024390245</v>
      </c>
      <c r="Q743" s="1">
        <f t="shared" si="64"/>
        <v>196.31472052845527</v>
      </c>
      <c r="R743" s="1">
        <f t="shared" si="65"/>
        <v>204.65872947894363</v>
      </c>
      <c r="S743" s="1">
        <f t="shared" si="66"/>
        <v>112.97521276595745</v>
      </c>
    </row>
    <row r="744" spans="1:19" x14ac:dyDescent="0.3">
      <c r="A744">
        <v>12660.8</v>
      </c>
      <c r="B744">
        <v>185.287824</v>
      </c>
      <c r="C744">
        <v>192.41557399999999</v>
      </c>
      <c r="D744">
        <v>199.91689700000001</v>
      </c>
      <c r="E744">
        <v>109.475792</v>
      </c>
      <c r="F744">
        <v>78.775259000000005</v>
      </c>
      <c r="G744">
        <v>50.028756000000001</v>
      </c>
      <c r="H744">
        <v>54.270896</v>
      </c>
      <c r="I744"/>
      <c r="N744"/>
      <c r="O744"/>
      <c r="P744" s="1">
        <f t="shared" si="63"/>
        <v>189.09405081300812</v>
      </c>
      <c r="Q744" s="1">
        <f t="shared" si="64"/>
        <v>196.30373475609755</v>
      </c>
      <c r="R744" s="1">
        <f t="shared" si="65"/>
        <v>204.64063424084839</v>
      </c>
      <c r="S744" s="1">
        <f t="shared" si="66"/>
        <v>112.95063829787235</v>
      </c>
    </row>
    <row r="745" spans="1:19" x14ac:dyDescent="0.3">
      <c r="A745">
        <v>12661</v>
      </c>
      <c r="B745">
        <v>185.287824</v>
      </c>
      <c r="C745">
        <v>192.41557399999999</v>
      </c>
      <c r="D745">
        <v>199.91689700000001</v>
      </c>
      <c r="E745">
        <v>109.475792</v>
      </c>
      <c r="F745">
        <v>78.775259000000005</v>
      </c>
      <c r="G745">
        <v>50.042417</v>
      </c>
      <c r="H745">
        <v>54.277375999999997</v>
      </c>
      <c r="I745" t="s">
        <v>56</v>
      </c>
      <c r="N745"/>
      <c r="O745"/>
      <c r="P745" s="1">
        <f t="shared" si="63"/>
        <v>189.09405081300812</v>
      </c>
      <c r="Q745" s="1">
        <f t="shared" si="64"/>
        <v>196.30373475609755</v>
      </c>
      <c r="R745" s="1">
        <f t="shared" si="65"/>
        <v>204.64063424084839</v>
      </c>
      <c r="S745" s="1">
        <f t="shared" si="66"/>
        <v>112.95063829787235</v>
      </c>
    </row>
    <row r="746" spans="1:19" x14ac:dyDescent="0.3">
      <c r="A746">
        <v>12661.2</v>
      </c>
      <c r="B746">
        <v>185.301501</v>
      </c>
      <c r="C746">
        <v>192.388339</v>
      </c>
      <c r="D746">
        <v>199.92022499999999</v>
      </c>
      <c r="E746">
        <v>109.449544</v>
      </c>
      <c r="F746">
        <v>79.149867</v>
      </c>
      <c r="G746">
        <v>50.042417</v>
      </c>
      <c r="H746">
        <v>54.277375999999997</v>
      </c>
      <c r="I746"/>
      <c r="N746"/>
      <c r="O746"/>
      <c r="P746" s="1">
        <f t="shared" si="63"/>
        <v>189.12144918699187</v>
      </c>
      <c r="Q746" s="1">
        <f t="shared" si="64"/>
        <v>196.31899288617885</v>
      </c>
      <c r="R746" s="1">
        <f t="shared" si="65"/>
        <v>204.66894361170594</v>
      </c>
      <c r="S746" s="1">
        <f t="shared" si="66"/>
        <v>112.97332651391162</v>
      </c>
    </row>
    <row r="747" spans="1:19" x14ac:dyDescent="0.3">
      <c r="A747">
        <v>12661.4</v>
      </c>
      <c r="B747">
        <v>185.301501</v>
      </c>
      <c r="C747">
        <v>192.388339</v>
      </c>
      <c r="D747">
        <v>199.92022499999999</v>
      </c>
      <c r="E747">
        <v>109.449544</v>
      </c>
      <c r="F747">
        <v>79.149867</v>
      </c>
      <c r="G747">
        <v>50.033121000000001</v>
      </c>
      <c r="H747">
        <v>54.265338</v>
      </c>
      <c r="I747"/>
      <c r="N747"/>
      <c r="O747"/>
      <c r="P747" s="1">
        <f t="shared" si="63"/>
        <v>189.12144918699187</v>
      </c>
      <c r="Q747" s="1">
        <f t="shared" si="64"/>
        <v>196.31899288617885</v>
      </c>
      <c r="R747" s="1">
        <f t="shared" si="65"/>
        <v>204.66894361170594</v>
      </c>
      <c r="S747" s="1">
        <f t="shared" si="66"/>
        <v>112.97332651391162</v>
      </c>
    </row>
    <row r="748" spans="1:19" x14ac:dyDescent="0.3">
      <c r="A748">
        <v>12661.6</v>
      </c>
      <c r="B748">
        <v>185.28101799999999</v>
      </c>
      <c r="C748">
        <v>192.376992</v>
      </c>
      <c r="D748">
        <v>199.915032</v>
      </c>
      <c r="E748">
        <v>109.43203200000001</v>
      </c>
      <c r="F748">
        <v>78.874656000000002</v>
      </c>
      <c r="G748">
        <v>50.033121000000001</v>
      </c>
      <c r="H748">
        <v>54.265338</v>
      </c>
      <c r="I748"/>
      <c r="N748"/>
      <c r="O748"/>
      <c r="P748" s="1">
        <f t="shared" ref="P748:P811" si="67">(B730+Q$36)/P$36</f>
        <v>189.10483028455283</v>
      </c>
      <c r="Q748" s="1">
        <f t="shared" ref="Q748:Q811" si="68">(C730+Q$36)/P$36</f>
        <v>196.27603861788617</v>
      </c>
      <c r="R748" s="1">
        <f t="shared" ref="R748:R811" si="69">(D730+Q$38)/P$38</f>
        <v>204.64901396961355</v>
      </c>
      <c r="S748" s="1">
        <f t="shared" ref="S748:S811" si="70">(E730+Q$39)/P$39</f>
        <v>112.91356485270047</v>
      </c>
    </row>
    <row r="749" spans="1:19" x14ac:dyDescent="0.3">
      <c r="A749">
        <v>12661.8</v>
      </c>
      <c r="B749">
        <v>185.28101799999999</v>
      </c>
      <c r="C749">
        <v>192.376992</v>
      </c>
      <c r="D749">
        <v>199.915032</v>
      </c>
      <c r="E749">
        <v>109.43203200000001</v>
      </c>
      <c r="F749">
        <v>78.874656000000002</v>
      </c>
      <c r="G749">
        <v>50.035623000000001</v>
      </c>
      <c r="H749">
        <v>54.266682000000003</v>
      </c>
      <c r="I749"/>
      <c r="N749"/>
      <c r="O749"/>
      <c r="P749" s="1">
        <f t="shared" si="67"/>
        <v>189.10483028455283</v>
      </c>
      <c r="Q749" s="1">
        <f t="shared" si="68"/>
        <v>196.27603861788617</v>
      </c>
      <c r="R749" s="1">
        <f t="shared" si="69"/>
        <v>204.64901396961355</v>
      </c>
      <c r="S749" s="1">
        <f t="shared" si="70"/>
        <v>112.91356485270047</v>
      </c>
    </row>
    <row r="750" spans="1:19" x14ac:dyDescent="0.3">
      <c r="A750">
        <v>12662</v>
      </c>
      <c r="B750">
        <v>185.298967</v>
      </c>
      <c r="C750">
        <v>192.396152</v>
      </c>
      <c r="D750">
        <v>199.9385</v>
      </c>
      <c r="E750">
        <v>109.437573</v>
      </c>
      <c r="F750">
        <v>78.618161999999998</v>
      </c>
      <c r="G750">
        <v>50.035623000000001</v>
      </c>
      <c r="H750">
        <v>54.266682000000003</v>
      </c>
      <c r="I750" t="s">
        <v>56</v>
      </c>
      <c r="N750"/>
      <c r="O750"/>
      <c r="P750" s="1">
        <f t="shared" si="67"/>
        <v>189.08722052845528</v>
      </c>
      <c r="Q750" s="1">
        <f t="shared" si="68"/>
        <v>196.32008434959349</v>
      </c>
      <c r="R750" s="1">
        <f t="shared" si="69"/>
        <v>204.65001631487715</v>
      </c>
      <c r="S750" s="1">
        <f t="shared" si="70"/>
        <v>112.84634717675941</v>
      </c>
    </row>
    <row r="751" spans="1:19" x14ac:dyDescent="0.3">
      <c r="A751">
        <v>12662.2</v>
      </c>
      <c r="B751">
        <v>185.298967</v>
      </c>
      <c r="C751">
        <v>192.396152</v>
      </c>
      <c r="D751">
        <v>199.9385</v>
      </c>
      <c r="E751">
        <v>109.437573</v>
      </c>
      <c r="F751">
        <v>78.618161999999998</v>
      </c>
      <c r="G751">
        <v>50.050989000000001</v>
      </c>
      <c r="H751">
        <v>54.293301</v>
      </c>
      <c r="I751"/>
      <c r="N751"/>
      <c r="O751"/>
      <c r="P751" s="1">
        <f t="shared" si="67"/>
        <v>189.08722052845528</v>
      </c>
      <c r="Q751" s="1">
        <f t="shared" si="68"/>
        <v>196.32008434959349</v>
      </c>
      <c r="R751" s="1">
        <f t="shared" si="69"/>
        <v>204.65001631487715</v>
      </c>
      <c r="S751" s="1">
        <f t="shared" si="70"/>
        <v>112.84634717675941</v>
      </c>
    </row>
    <row r="752" spans="1:19" x14ac:dyDescent="0.3">
      <c r="A752">
        <v>12662.4</v>
      </c>
      <c r="B752">
        <v>185.30057500000001</v>
      </c>
      <c r="C752">
        <v>192.38811699999999</v>
      </c>
      <c r="D752">
        <v>199.909256</v>
      </c>
      <c r="E752">
        <v>109.43413700000001</v>
      </c>
      <c r="F752">
        <v>79.655591999999999</v>
      </c>
      <c r="G752">
        <v>50.050989000000001</v>
      </c>
      <c r="H752">
        <v>54.293301</v>
      </c>
      <c r="I752"/>
      <c r="N752"/>
      <c r="O752"/>
      <c r="P752" s="1">
        <f t="shared" si="67"/>
        <v>189.09661788617885</v>
      </c>
      <c r="Q752" s="1">
        <f t="shared" si="68"/>
        <v>196.30678455284553</v>
      </c>
      <c r="R752" s="1">
        <f t="shared" si="69"/>
        <v>204.66821556031405</v>
      </c>
      <c r="S752" s="1">
        <f t="shared" si="70"/>
        <v>112.88748977086743</v>
      </c>
    </row>
    <row r="753" spans="1:19" x14ac:dyDescent="0.3">
      <c r="A753">
        <v>12662.6</v>
      </c>
      <c r="B753">
        <v>185.30057500000001</v>
      </c>
      <c r="C753">
        <v>192.38811699999999</v>
      </c>
      <c r="D753">
        <v>199.909256</v>
      </c>
      <c r="E753">
        <v>109.43413700000001</v>
      </c>
      <c r="F753">
        <v>79.655591999999999</v>
      </c>
      <c r="G753">
        <v>50.035117</v>
      </c>
      <c r="H753">
        <v>54.280237</v>
      </c>
      <c r="I753"/>
      <c r="N753"/>
      <c r="O753"/>
      <c r="P753" s="1">
        <f t="shared" si="67"/>
        <v>189.09661788617885</v>
      </c>
      <c r="Q753" s="1">
        <f t="shared" si="68"/>
        <v>196.30678455284553</v>
      </c>
      <c r="R753" s="1">
        <f t="shared" si="69"/>
        <v>204.66821556031405</v>
      </c>
      <c r="S753" s="1">
        <f t="shared" si="70"/>
        <v>112.88748977086743</v>
      </c>
    </row>
    <row r="754" spans="1:19" x14ac:dyDescent="0.3">
      <c r="A754">
        <v>12662.8</v>
      </c>
      <c r="B754">
        <v>185.28107199999999</v>
      </c>
      <c r="C754">
        <v>192.40857399999999</v>
      </c>
      <c r="D754">
        <v>199.902466</v>
      </c>
      <c r="E754">
        <v>109.445689</v>
      </c>
      <c r="F754">
        <v>79.487459000000001</v>
      </c>
      <c r="G754">
        <v>50.035117</v>
      </c>
      <c r="H754">
        <v>54.280237</v>
      </c>
      <c r="I754"/>
      <c r="N754"/>
      <c r="O754"/>
      <c r="P754" s="1">
        <f t="shared" si="67"/>
        <v>189.11673577235771</v>
      </c>
      <c r="Q754" s="1">
        <f t="shared" si="68"/>
        <v>196.30327032520324</v>
      </c>
      <c r="R754" s="1">
        <f t="shared" si="69"/>
        <v>204.6675721423473</v>
      </c>
      <c r="S754" s="1">
        <f t="shared" si="70"/>
        <v>112.82447013093289</v>
      </c>
    </row>
    <row r="755" spans="1:19" x14ac:dyDescent="0.3">
      <c r="A755">
        <v>12663</v>
      </c>
      <c r="B755">
        <v>185.28107199999999</v>
      </c>
      <c r="C755">
        <v>192.40857399999999</v>
      </c>
      <c r="D755">
        <v>199.902466</v>
      </c>
      <c r="E755">
        <v>109.445689</v>
      </c>
      <c r="F755">
        <v>79.487459000000001</v>
      </c>
      <c r="G755">
        <v>50.049612000000003</v>
      </c>
      <c r="H755">
        <v>54.264268999999999</v>
      </c>
      <c r="I755" t="s">
        <v>56</v>
      </c>
      <c r="N755"/>
      <c r="O755"/>
      <c r="P755" s="1">
        <f t="shared" si="67"/>
        <v>189.11673577235771</v>
      </c>
      <c r="Q755" s="1">
        <f t="shared" si="68"/>
        <v>196.30327032520324</v>
      </c>
      <c r="R755" s="1">
        <f t="shared" si="69"/>
        <v>204.6675721423473</v>
      </c>
      <c r="S755" s="1">
        <f t="shared" si="70"/>
        <v>112.82447013093289</v>
      </c>
    </row>
    <row r="756" spans="1:19" x14ac:dyDescent="0.3">
      <c r="A756">
        <v>12663.2</v>
      </c>
      <c r="B756">
        <v>185.30336199999999</v>
      </c>
      <c r="C756">
        <v>192.39561499999999</v>
      </c>
      <c r="D756">
        <v>199.89427000000001</v>
      </c>
      <c r="E756">
        <v>109.52345099999999</v>
      </c>
      <c r="F756">
        <v>77.664102</v>
      </c>
      <c r="G756">
        <v>50.049612000000003</v>
      </c>
      <c r="H756">
        <v>54.264268999999999</v>
      </c>
      <c r="I756"/>
      <c r="N756"/>
      <c r="O756"/>
      <c r="P756" s="1">
        <f t="shared" si="67"/>
        <v>189.09718089430893</v>
      </c>
      <c r="Q756" s="1">
        <f t="shared" si="68"/>
        <v>196.31045731707317</v>
      </c>
      <c r="R756" s="1">
        <f t="shared" si="69"/>
        <v>204.66973080452738</v>
      </c>
      <c r="S756" s="1">
        <f t="shared" si="70"/>
        <v>112.87110474631751</v>
      </c>
    </row>
    <row r="757" spans="1:19" x14ac:dyDescent="0.3">
      <c r="A757">
        <v>12663.4</v>
      </c>
      <c r="B757">
        <v>185.30336199999999</v>
      </c>
      <c r="C757">
        <v>192.39561499999999</v>
      </c>
      <c r="D757">
        <v>199.89427000000001</v>
      </c>
      <c r="E757">
        <v>109.52345099999999</v>
      </c>
      <c r="F757">
        <v>77.664102</v>
      </c>
      <c r="G757">
        <v>50.026649999999997</v>
      </c>
      <c r="H757">
        <v>54.247359000000003</v>
      </c>
      <c r="I757"/>
      <c r="N757"/>
      <c r="O757"/>
      <c r="P757" s="1">
        <f t="shared" si="67"/>
        <v>189.09718089430893</v>
      </c>
      <c r="Q757" s="1">
        <f t="shared" si="68"/>
        <v>196.31045731707317</v>
      </c>
      <c r="R757" s="1">
        <f t="shared" si="69"/>
        <v>204.66973080452738</v>
      </c>
      <c r="S757" s="1">
        <f t="shared" si="70"/>
        <v>112.87110474631751</v>
      </c>
    </row>
    <row r="758" spans="1:19" x14ac:dyDescent="0.3">
      <c r="A758">
        <v>12663.6</v>
      </c>
      <c r="B758">
        <v>185.289591</v>
      </c>
      <c r="C758">
        <v>192.397346</v>
      </c>
      <c r="D758">
        <v>199.92192700000001</v>
      </c>
      <c r="E758">
        <v>109.489064</v>
      </c>
      <c r="F758">
        <v>78.309149000000005</v>
      </c>
      <c r="G758">
        <v>50.026649999999997</v>
      </c>
      <c r="H758">
        <v>54.247359000000003</v>
      </c>
      <c r="I758"/>
      <c r="N758"/>
      <c r="O758"/>
      <c r="P758" s="1">
        <f t="shared" si="67"/>
        <v>189.09615853658536</v>
      </c>
      <c r="Q758" s="1">
        <f t="shared" si="68"/>
        <v>196.30752032520326</v>
      </c>
      <c r="R758" s="1">
        <f t="shared" si="69"/>
        <v>204.64250025491995</v>
      </c>
      <c r="S758" s="1">
        <f t="shared" si="70"/>
        <v>112.91279050736497</v>
      </c>
    </row>
    <row r="759" spans="1:19" x14ac:dyDescent="0.3">
      <c r="A759">
        <v>12663.8</v>
      </c>
      <c r="B759">
        <v>185.289591</v>
      </c>
      <c r="C759">
        <v>192.397346</v>
      </c>
      <c r="D759">
        <v>199.92192700000001</v>
      </c>
      <c r="E759">
        <v>109.489064</v>
      </c>
      <c r="F759">
        <v>78.309149000000005</v>
      </c>
      <c r="G759">
        <v>50.009512000000001</v>
      </c>
      <c r="H759">
        <v>54.277979000000002</v>
      </c>
      <c r="I759"/>
      <c r="N759"/>
      <c r="O759"/>
      <c r="P759" s="1">
        <f t="shared" si="67"/>
        <v>189.09615853658536</v>
      </c>
      <c r="Q759" s="1">
        <f t="shared" si="68"/>
        <v>196.30752032520326</v>
      </c>
      <c r="R759" s="1">
        <f t="shared" si="69"/>
        <v>204.64250025491995</v>
      </c>
      <c r="S759" s="1">
        <f t="shared" si="70"/>
        <v>112.91279050736497</v>
      </c>
    </row>
    <row r="760" spans="1:19" x14ac:dyDescent="0.3">
      <c r="A760">
        <v>12664</v>
      </c>
      <c r="B760">
        <v>185.31869699999999</v>
      </c>
      <c r="C760">
        <v>192.421097</v>
      </c>
      <c r="D760">
        <v>199.90275299999999</v>
      </c>
      <c r="E760">
        <v>109.561617</v>
      </c>
      <c r="F760">
        <v>79.133345000000006</v>
      </c>
      <c r="G760">
        <v>50.009512000000001</v>
      </c>
      <c r="H760">
        <v>54.277979000000002</v>
      </c>
      <c r="I760" t="s">
        <v>56</v>
      </c>
      <c r="N760"/>
      <c r="O760"/>
      <c r="P760" s="1">
        <f t="shared" si="67"/>
        <v>189.09627947154473</v>
      </c>
      <c r="Q760" s="1">
        <f t="shared" si="68"/>
        <v>196.32461890243903</v>
      </c>
      <c r="R760" s="1">
        <f t="shared" si="69"/>
        <v>204.67169062914246</v>
      </c>
      <c r="S760" s="1">
        <f t="shared" si="70"/>
        <v>112.95744373977087</v>
      </c>
    </row>
    <row r="761" spans="1:19" x14ac:dyDescent="0.3">
      <c r="A761">
        <v>12664.2</v>
      </c>
      <c r="B761">
        <v>185.31869699999999</v>
      </c>
      <c r="C761">
        <v>192.421097</v>
      </c>
      <c r="D761">
        <v>199.90275299999999</v>
      </c>
      <c r="E761">
        <v>109.561617</v>
      </c>
      <c r="F761">
        <v>79.133345000000006</v>
      </c>
      <c r="G761">
        <v>50.034773000000001</v>
      </c>
      <c r="H761">
        <v>54.290956999999999</v>
      </c>
      <c r="I761"/>
      <c r="N761"/>
      <c r="O761"/>
      <c r="P761" s="1">
        <f t="shared" si="67"/>
        <v>189.09627947154473</v>
      </c>
      <c r="Q761" s="1">
        <f t="shared" si="68"/>
        <v>196.32461890243903</v>
      </c>
      <c r="R761" s="1">
        <f t="shared" si="69"/>
        <v>204.67169062914246</v>
      </c>
      <c r="S761" s="1">
        <f t="shared" si="70"/>
        <v>112.95744373977087</v>
      </c>
    </row>
    <row r="762" spans="1:19" x14ac:dyDescent="0.3">
      <c r="A762">
        <v>12664.4</v>
      </c>
      <c r="B762">
        <v>185.30775299999999</v>
      </c>
      <c r="C762">
        <v>192.40613200000001</v>
      </c>
      <c r="D762">
        <v>199.90845400000001</v>
      </c>
      <c r="E762">
        <v>109.53222700000001</v>
      </c>
      <c r="F762">
        <v>78.809101999999996</v>
      </c>
      <c r="G762">
        <v>50.034773000000001</v>
      </c>
      <c r="H762">
        <v>54.290956999999999</v>
      </c>
      <c r="I762"/>
      <c r="N762"/>
      <c r="O762"/>
      <c r="P762" s="1">
        <f t="shared" si="67"/>
        <v>189.09992276422764</v>
      </c>
      <c r="Q762" s="1">
        <f t="shared" si="68"/>
        <v>196.34357113821136</v>
      </c>
      <c r="R762" s="1">
        <f t="shared" si="69"/>
        <v>204.67747221372491</v>
      </c>
      <c r="S762" s="1">
        <f t="shared" si="70"/>
        <v>112.9292062193126</v>
      </c>
    </row>
    <row r="763" spans="1:19" x14ac:dyDescent="0.3">
      <c r="A763">
        <v>12664.6</v>
      </c>
      <c r="B763">
        <v>185.30775299999999</v>
      </c>
      <c r="C763">
        <v>192.40613200000001</v>
      </c>
      <c r="D763">
        <v>199.90845400000001</v>
      </c>
      <c r="E763">
        <v>109.53222700000001</v>
      </c>
      <c r="F763">
        <v>78.809101999999996</v>
      </c>
      <c r="G763">
        <v>50.026387</v>
      </c>
      <c r="H763">
        <v>54.314400999999997</v>
      </c>
      <c r="I763"/>
      <c r="N763"/>
      <c r="O763"/>
      <c r="P763" s="1">
        <f t="shared" si="67"/>
        <v>189.09992276422764</v>
      </c>
      <c r="Q763" s="1">
        <f t="shared" si="68"/>
        <v>196.34357113821136</v>
      </c>
      <c r="R763" s="1">
        <f t="shared" si="69"/>
        <v>204.67747221372491</v>
      </c>
      <c r="S763" s="1">
        <f t="shared" si="70"/>
        <v>112.9292062193126</v>
      </c>
    </row>
    <row r="764" spans="1:19" x14ac:dyDescent="0.3">
      <c r="A764">
        <v>12664.8</v>
      </c>
      <c r="B764">
        <v>185.31098700000001</v>
      </c>
      <c r="C764">
        <v>192.410549</v>
      </c>
      <c r="D764">
        <v>199.917981</v>
      </c>
      <c r="E764">
        <v>109.534216</v>
      </c>
      <c r="F764">
        <v>79.222907000000006</v>
      </c>
      <c r="G764">
        <v>50.026387</v>
      </c>
      <c r="H764">
        <v>54.314400999999997</v>
      </c>
      <c r="I764"/>
      <c r="N764"/>
      <c r="O764"/>
      <c r="P764" s="1">
        <f t="shared" si="67"/>
        <v>189.11382215447153</v>
      </c>
      <c r="Q764" s="1">
        <f t="shared" si="68"/>
        <v>196.31589329268292</v>
      </c>
      <c r="R764" s="1">
        <f t="shared" si="69"/>
        <v>204.68086570816763</v>
      </c>
      <c r="S764" s="1">
        <f t="shared" si="70"/>
        <v>112.90235679214403</v>
      </c>
    </row>
    <row r="765" spans="1:19" x14ac:dyDescent="0.3">
      <c r="A765">
        <v>12665</v>
      </c>
      <c r="B765">
        <v>185.31098700000001</v>
      </c>
      <c r="C765">
        <v>192.410549</v>
      </c>
      <c r="D765">
        <v>199.917981</v>
      </c>
      <c r="E765">
        <v>109.534216</v>
      </c>
      <c r="F765">
        <v>79.222907000000006</v>
      </c>
      <c r="G765">
        <v>50.045285</v>
      </c>
      <c r="H765">
        <v>54.285538000000003</v>
      </c>
      <c r="I765" t="s">
        <v>56</v>
      </c>
      <c r="N765"/>
      <c r="O765"/>
      <c r="P765" s="1">
        <f t="shared" si="67"/>
        <v>189.11382215447153</v>
      </c>
      <c r="Q765" s="1">
        <f t="shared" si="68"/>
        <v>196.31589329268292</v>
      </c>
      <c r="R765" s="1">
        <f t="shared" si="69"/>
        <v>204.68086570816763</v>
      </c>
      <c r="S765" s="1">
        <f t="shared" si="70"/>
        <v>112.90235679214403</v>
      </c>
    </row>
    <row r="766" spans="1:19" x14ac:dyDescent="0.3">
      <c r="A766">
        <v>12665.2</v>
      </c>
      <c r="B766">
        <v>185.30851899999999</v>
      </c>
      <c r="C766">
        <v>192.41537</v>
      </c>
      <c r="D766">
        <v>199.92393799999999</v>
      </c>
      <c r="E766">
        <v>109.561993</v>
      </c>
      <c r="F766">
        <v>78.071855999999997</v>
      </c>
      <c r="G766">
        <v>50.045285</v>
      </c>
      <c r="H766">
        <v>54.285538000000003</v>
      </c>
      <c r="I766"/>
      <c r="N766"/>
      <c r="O766"/>
      <c r="P766" s="1">
        <f t="shared" si="67"/>
        <v>189.09300609756096</v>
      </c>
      <c r="Q766" s="1">
        <f t="shared" si="68"/>
        <v>196.30436178861788</v>
      </c>
      <c r="R766" s="1">
        <f t="shared" si="69"/>
        <v>204.67557051085959</v>
      </c>
      <c r="S766" s="1">
        <f t="shared" si="70"/>
        <v>112.88444353518823</v>
      </c>
    </row>
    <row r="767" spans="1:19" x14ac:dyDescent="0.3">
      <c r="A767">
        <v>12665.4</v>
      </c>
      <c r="B767">
        <v>185.30851899999999</v>
      </c>
      <c r="C767">
        <v>192.41537</v>
      </c>
      <c r="D767">
        <v>199.92393799999999</v>
      </c>
      <c r="E767">
        <v>109.561993</v>
      </c>
      <c r="F767">
        <v>78.071855999999997</v>
      </c>
      <c r="G767">
        <v>50.063628999999999</v>
      </c>
      <c r="H767">
        <v>54.277327</v>
      </c>
      <c r="I767"/>
      <c r="N767"/>
      <c r="O767"/>
      <c r="P767" s="1">
        <f t="shared" si="67"/>
        <v>189.09300609756096</v>
      </c>
      <c r="Q767" s="1">
        <f t="shared" si="68"/>
        <v>196.30436178861788</v>
      </c>
      <c r="R767" s="1">
        <f t="shared" si="69"/>
        <v>204.67557051085959</v>
      </c>
      <c r="S767" s="1">
        <f t="shared" si="70"/>
        <v>112.88444353518823</v>
      </c>
    </row>
    <row r="768" spans="1:19" x14ac:dyDescent="0.3">
      <c r="A768">
        <v>12665.6</v>
      </c>
      <c r="B768">
        <v>185.304776</v>
      </c>
      <c r="C768">
        <v>192.41491300000001</v>
      </c>
      <c r="D768">
        <v>199.93563499999999</v>
      </c>
      <c r="E768">
        <v>109.466538</v>
      </c>
      <c r="F768">
        <v>77.808796999999998</v>
      </c>
      <c r="G768">
        <v>50.063628999999999</v>
      </c>
      <c r="H768">
        <v>54.277327</v>
      </c>
      <c r="I768"/>
      <c r="N768"/>
      <c r="O768"/>
      <c r="P768" s="1">
        <f t="shared" si="67"/>
        <v>189.1112469512195</v>
      </c>
      <c r="Q768" s="1">
        <f t="shared" si="68"/>
        <v>196.32383333333334</v>
      </c>
      <c r="R768" s="1">
        <f t="shared" si="69"/>
        <v>204.69950035688794</v>
      </c>
      <c r="S768" s="1">
        <f t="shared" si="70"/>
        <v>112.89011149754501</v>
      </c>
    </row>
    <row r="769" spans="1:19" x14ac:dyDescent="0.3">
      <c r="A769">
        <v>12665.8</v>
      </c>
      <c r="B769">
        <v>185.304776</v>
      </c>
      <c r="C769">
        <v>192.41491300000001</v>
      </c>
      <c r="D769">
        <v>199.93563499999999</v>
      </c>
      <c r="E769">
        <v>109.466538</v>
      </c>
      <c r="F769">
        <v>77.808796999999998</v>
      </c>
      <c r="G769">
        <v>50.026570999999997</v>
      </c>
      <c r="H769">
        <v>54.261572000000001</v>
      </c>
      <c r="I769"/>
      <c r="N769"/>
      <c r="O769"/>
      <c r="P769" s="1">
        <f t="shared" si="67"/>
        <v>189.1112469512195</v>
      </c>
      <c r="Q769" s="1">
        <f t="shared" si="68"/>
        <v>196.32383333333334</v>
      </c>
      <c r="R769" s="1">
        <f t="shared" si="69"/>
        <v>204.69950035688794</v>
      </c>
      <c r="S769" s="1">
        <f t="shared" si="70"/>
        <v>112.89011149754501</v>
      </c>
    </row>
    <row r="770" spans="1:19" x14ac:dyDescent="0.3">
      <c r="A770">
        <v>12666</v>
      </c>
      <c r="B770">
        <v>185.31209000000001</v>
      </c>
      <c r="C770">
        <v>192.41259500000001</v>
      </c>
      <c r="D770">
        <v>199.93450100000001</v>
      </c>
      <c r="E770">
        <v>109.400586</v>
      </c>
      <c r="F770">
        <v>78.882092999999998</v>
      </c>
      <c r="G770">
        <v>50.026570999999997</v>
      </c>
      <c r="H770">
        <v>54.261572000000001</v>
      </c>
      <c r="I770" t="s">
        <v>56</v>
      </c>
      <c r="N770"/>
      <c r="O770"/>
      <c r="P770" s="1">
        <f t="shared" si="67"/>
        <v>189.11288109756097</v>
      </c>
      <c r="Q770" s="1">
        <f t="shared" si="68"/>
        <v>196.31566768292683</v>
      </c>
      <c r="R770" s="1">
        <f t="shared" si="69"/>
        <v>204.66968084021619</v>
      </c>
      <c r="S770" s="1">
        <f t="shared" si="70"/>
        <v>112.88659676759411</v>
      </c>
    </row>
    <row r="771" spans="1:19" x14ac:dyDescent="0.3">
      <c r="A771">
        <v>12666.2</v>
      </c>
      <c r="B771">
        <v>185.31209000000001</v>
      </c>
      <c r="C771">
        <v>192.41259500000001</v>
      </c>
      <c r="D771">
        <v>199.93450100000001</v>
      </c>
      <c r="E771">
        <v>109.400586</v>
      </c>
      <c r="F771">
        <v>78.882092999999998</v>
      </c>
      <c r="G771">
        <v>50.050936999999998</v>
      </c>
      <c r="H771">
        <v>54.294632</v>
      </c>
      <c r="I771"/>
      <c r="N771"/>
      <c r="O771"/>
      <c r="P771" s="1">
        <f t="shared" si="67"/>
        <v>189.11288109756097</v>
      </c>
      <c r="Q771" s="1">
        <f t="shared" si="68"/>
        <v>196.31566768292683</v>
      </c>
      <c r="R771" s="1">
        <f t="shared" si="69"/>
        <v>204.66968084021619</v>
      </c>
      <c r="S771" s="1">
        <f t="shared" si="70"/>
        <v>112.88659676759411</v>
      </c>
    </row>
    <row r="772" spans="1:19" x14ac:dyDescent="0.3">
      <c r="A772">
        <v>12666.4</v>
      </c>
      <c r="B772">
        <v>185.280021</v>
      </c>
      <c r="C772">
        <v>192.40869799999999</v>
      </c>
      <c r="D772">
        <v>199.93507</v>
      </c>
      <c r="E772">
        <v>109.449437</v>
      </c>
      <c r="F772">
        <v>79.321140999999997</v>
      </c>
      <c r="G772">
        <v>50.050936999999998</v>
      </c>
      <c r="H772">
        <v>54.294632</v>
      </c>
      <c r="I772"/>
      <c r="N772"/>
      <c r="O772"/>
      <c r="P772" s="1">
        <f t="shared" si="67"/>
        <v>189.09306097560975</v>
      </c>
      <c r="Q772" s="1">
        <f t="shared" si="68"/>
        <v>196.33645731707315</v>
      </c>
      <c r="R772" s="1">
        <f t="shared" si="69"/>
        <v>204.66275721423474</v>
      </c>
      <c r="S772" s="1">
        <f t="shared" si="70"/>
        <v>112.89841346153845</v>
      </c>
    </row>
    <row r="773" spans="1:19" x14ac:dyDescent="0.3">
      <c r="A773">
        <v>12666.6</v>
      </c>
      <c r="B773">
        <v>185.280021</v>
      </c>
      <c r="C773">
        <v>192.40869799999999</v>
      </c>
      <c r="D773">
        <v>199.93507</v>
      </c>
      <c r="E773">
        <v>109.449437</v>
      </c>
      <c r="F773">
        <v>79.321140999999997</v>
      </c>
      <c r="G773">
        <v>50.041072999999997</v>
      </c>
      <c r="H773">
        <v>54.332735999999997</v>
      </c>
      <c r="I773"/>
      <c r="N773"/>
      <c r="O773"/>
      <c r="P773" s="1">
        <f t="shared" si="67"/>
        <v>189.09306097560975</v>
      </c>
      <c r="Q773" s="1">
        <f t="shared" si="68"/>
        <v>196.33645731707315</v>
      </c>
      <c r="R773" s="1">
        <f t="shared" si="69"/>
        <v>204.66275721423474</v>
      </c>
      <c r="S773" s="1">
        <f t="shared" si="70"/>
        <v>112.89841346153845</v>
      </c>
    </row>
    <row r="774" spans="1:19" x14ac:dyDescent="0.3">
      <c r="A774">
        <v>12666.8</v>
      </c>
      <c r="B774">
        <v>185.29827599999999</v>
      </c>
      <c r="C774">
        <v>192.4084</v>
      </c>
      <c r="D774">
        <v>199.930802</v>
      </c>
      <c r="E774">
        <v>109.493595</v>
      </c>
      <c r="F774">
        <v>78.917385999999993</v>
      </c>
      <c r="G774">
        <v>50.041072999999997</v>
      </c>
      <c r="H774">
        <v>54.332735999999997</v>
      </c>
      <c r="I774"/>
      <c r="N774"/>
      <c r="O774"/>
      <c r="P774" s="1">
        <f t="shared" si="67"/>
        <v>189.11571341463414</v>
      </c>
      <c r="Q774" s="1">
        <f t="shared" si="68"/>
        <v>196.32328760162599</v>
      </c>
      <c r="R774" s="1">
        <f t="shared" si="69"/>
        <v>204.65439991842564</v>
      </c>
      <c r="S774" s="1">
        <f t="shared" si="70"/>
        <v>112.97795724222586</v>
      </c>
    </row>
    <row r="775" spans="1:19" x14ac:dyDescent="0.3">
      <c r="A775">
        <v>13392</v>
      </c>
      <c r="B775">
        <v>198.315943</v>
      </c>
      <c r="C775">
        <v>206.026646</v>
      </c>
      <c r="D775">
        <v>214.404529</v>
      </c>
      <c r="E775">
        <v>111.56153500000001</v>
      </c>
      <c r="F775">
        <v>79.761647999999994</v>
      </c>
      <c r="G775">
        <v>50.078142</v>
      </c>
      <c r="H775">
        <v>54.806871999999998</v>
      </c>
      <c r="I775" t="s">
        <v>56</v>
      </c>
      <c r="N775"/>
      <c r="O775"/>
      <c r="P775" s="1">
        <f t="shared" si="67"/>
        <v>189.11571341463414</v>
      </c>
      <c r="Q775" s="1">
        <f t="shared" si="68"/>
        <v>196.32328760162599</v>
      </c>
      <c r="R775" s="1">
        <f t="shared" si="69"/>
        <v>204.65439991842564</v>
      </c>
      <c r="S775" s="1">
        <f t="shared" si="70"/>
        <v>112.97795724222586</v>
      </c>
    </row>
    <row r="776" spans="1:19" x14ac:dyDescent="0.3">
      <c r="A776">
        <v>13392.2</v>
      </c>
      <c r="B776">
        <v>198.315943</v>
      </c>
      <c r="C776">
        <v>206.026646</v>
      </c>
      <c r="D776">
        <v>214.404529</v>
      </c>
      <c r="E776">
        <v>111.56153500000001</v>
      </c>
      <c r="F776">
        <v>79.761647999999994</v>
      </c>
      <c r="G776">
        <v>50.08831</v>
      </c>
      <c r="H776">
        <v>54.828301000000003</v>
      </c>
      <c r="I776"/>
      <c r="N776"/>
      <c r="O776"/>
      <c r="P776" s="1">
        <f t="shared" si="67"/>
        <v>189.10171849593496</v>
      </c>
      <c r="Q776" s="1">
        <f t="shared" si="68"/>
        <v>196.32504674796746</v>
      </c>
      <c r="R776" s="1">
        <f t="shared" si="69"/>
        <v>204.68260120322222</v>
      </c>
      <c r="S776" s="1">
        <f t="shared" si="70"/>
        <v>112.94278232405891</v>
      </c>
    </row>
    <row r="777" spans="1:19" x14ac:dyDescent="0.3">
      <c r="A777">
        <v>13392.4</v>
      </c>
      <c r="B777">
        <v>198.33305999999999</v>
      </c>
      <c r="C777">
        <v>206.05903799999999</v>
      </c>
      <c r="D777">
        <v>214.431533</v>
      </c>
      <c r="E777">
        <v>111.569023</v>
      </c>
      <c r="F777">
        <v>79.632154</v>
      </c>
      <c r="G777">
        <v>50.08831</v>
      </c>
      <c r="H777">
        <v>54.828301000000003</v>
      </c>
      <c r="I777"/>
      <c r="N777"/>
      <c r="O777"/>
      <c r="P777" s="1">
        <f t="shared" si="67"/>
        <v>189.10171849593496</v>
      </c>
      <c r="Q777" s="1">
        <f t="shared" si="68"/>
        <v>196.32504674796746</v>
      </c>
      <c r="R777" s="1">
        <f t="shared" si="69"/>
        <v>204.68260120322222</v>
      </c>
      <c r="S777" s="1">
        <f t="shared" si="70"/>
        <v>112.94278232405891</v>
      </c>
    </row>
    <row r="778" spans="1:19" x14ac:dyDescent="0.3">
      <c r="A778">
        <v>13392.6</v>
      </c>
      <c r="B778">
        <v>198.33305999999999</v>
      </c>
      <c r="C778">
        <v>206.05903799999999</v>
      </c>
      <c r="D778">
        <v>214.431533</v>
      </c>
      <c r="E778">
        <v>111.569023</v>
      </c>
      <c r="F778">
        <v>79.632154</v>
      </c>
      <c r="G778">
        <v>50.075237999999999</v>
      </c>
      <c r="H778">
        <v>54.789459000000001</v>
      </c>
      <c r="I778"/>
      <c r="N778"/>
      <c r="O778"/>
      <c r="P778" s="1">
        <f t="shared" si="67"/>
        <v>189.13129776422761</v>
      </c>
      <c r="Q778" s="1">
        <f t="shared" si="68"/>
        <v>196.34918394308943</v>
      </c>
      <c r="R778" s="1">
        <f t="shared" si="69"/>
        <v>204.66304986234323</v>
      </c>
      <c r="S778" s="1">
        <f t="shared" si="70"/>
        <v>113.01699774959083</v>
      </c>
    </row>
    <row r="779" spans="1:19" x14ac:dyDescent="0.3">
      <c r="A779">
        <v>13392.8</v>
      </c>
      <c r="B779">
        <v>198.308211</v>
      </c>
      <c r="C779">
        <v>206.04496599999999</v>
      </c>
      <c r="D779">
        <v>214.41385099999999</v>
      </c>
      <c r="E779">
        <v>111.631018</v>
      </c>
      <c r="F779">
        <v>78.554832000000005</v>
      </c>
      <c r="G779">
        <v>50.075237999999999</v>
      </c>
      <c r="H779">
        <v>54.789459000000001</v>
      </c>
      <c r="I779"/>
      <c r="N779"/>
      <c r="O779"/>
      <c r="P779" s="1">
        <f t="shared" si="67"/>
        <v>189.13129776422761</v>
      </c>
      <c r="Q779" s="1">
        <f t="shared" si="68"/>
        <v>196.34918394308943</v>
      </c>
      <c r="R779" s="1">
        <f t="shared" si="69"/>
        <v>204.66304986234323</v>
      </c>
      <c r="S779" s="1">
        <f t="shared" si="70"/>
        <v>113.01699774959083</v>
      </c>
    </row>
    <row r="780" spans="1:19" x14ac:dyDescent="0.3">
      <c r="A780">
        <v>13393</v>
      </c>
      <c r="B780">
        <v>198.308211</v>
      </c>
      <c r="C780">
        <v>206.04496599999999</v>
      </c>
      <c r="D780">
        <v>214.41385099999999</v>
      </c>
      <c r="E780">
        <v>111.631018</v>
      </c>
      <c r="F780">
        <v>78.554832000000005</v>
      </c>
      <c r="G780">
        <v>50.063037000000001</v>
      </c>
      <c r="H780">
        <v>54.797341000000003</v>
      </c>
      <c r="I780" t="s">
        <v>56</v>
      </c>
      <c r="N780"/>
      <c r="O780"/>
      <c r="P780" s="1">
        <f t="shared" si="67"/>
        <v>189.1201758130081</v>
      </c>
      <c r="Q780" s="1">
        <f t="shared" si="68"/>
        <v>196.3339756097561</v>
      </c>
      <c r="R780" s="1">
        <f t="shared" si="69"/>
        <v>204.66886305700012</v>
      </c>
      <c r="S780" s="1">
        <f t="shared" si="70"/>
        <v>112.9869343289689</v>
      </c>
    </row>
    <row r="781" spans="1:19" x14ac:dyDescent="0.3">
      <c r="A781">
        <v>13393.2</v>
      </c>
      <c r="B781">
        <v>198.33106900000001</v>
      </c>
      <c r="C781">
        <v>206.026996</v>
      </c>
      <c r="D781">
        <v>214.41186099999999</v>
      </c>
      <c r="E781">
        <v>111.511019</v>
      </c>
      <c r="F781">
        <v>78.857437000000004</v>
      </c>
      <c r="G781">
        <v>50.063037000000001</v>
      </c>
      <c r="H781">
        <v>54.797341000000003</v>
      </c>
      <c r="I781"/>
      <c r="N781"/>
      <c r="O781"/>
      <c r="P781" s="1">
        <f t="shared" si="67"/>
        <v>189.1201758130081</v>
      </c>
      <c r="Q781" s="1">
        <f t="shared" si="68"/>
        <v>196.3339756097561</v>
      </c>
      <c r="R781" s="1">
        <f t="shared" si="69"/>
        <v>204.66886305700012</v>
      </c>
      <c r="S781" s="1">
        <f t="shared" si="70"/>
        <v>112.9869343289689</v>
      </c>
    </row>
    <row r="782" spans="1:19" x14ac:dyDescent="0.3">
      <c r="A782">
        <v>13393.4</v>
      </c>
      <c r="B782">
        <v>198.33106900000001</v>
      </c>
      <c r="C782">
        <v>206.026996</v>
      </c>
      <c r="D782">
        <v>214.41186099999999</v>
      </c>
      <c r="E782">
        <v>111.511019</v>
      </c>
      <c r="F782">
        <v>78.857437000000004</v>
      </c>
      <c r="G782">
        <v>50.056854999999999</v>
      </c>
      <c r="H782">
        <v>54.722738999999997</v>
      </c>
      <c r="I782"/>
      <c r="N782"/>
      <c r="O782"/>
      <c r="P782" s="1">
        <f t="shared" si="67"/>
        <v>189.12346239837399</v>
      </c>
      <c r="Q782" s="1">
        <f t="shared" si="68"/>
        <v>196.33846443089431</v>
      </c>
      <c r="R782" s="1">
        <f t="shared" si="69"/>
        <v>204.67857754665036</v>
      </c>
      <c r="S782" s="1">
        <f t="shared" si="70"/>
        <v>112.98896890343698</v>
      </c>
    </row>
    <row r="783" spans="1:19" x14ac:dyDescent="0.3">
      <c r="A783">
        <v>13393.6</v>
      </c>
      <c r="B783">
        <v>198.29174</v>
      </c>
      <c r="C783">
        <v>206.038105</v>
      </c>
      <c r="D783">
        <v>214.414962</v>
      </c>
      <c r="E783">
        <v>111.576477</v>
      </c>
      <c r="F783">
        <v>78.828104999999994</v>
      </c>
      <c r="G783">
        <v>50.056854999999999</v>
      </c>
      <c r="H783">
        <v>54.722738999999997</v>
      </c>
      <c r="I783"/>
      <c r="N783"/>
      <c r="O783"/>
      <c r="P783" s="1">
        <f t="shared" si="67"/>
        <v>189.12346239837399</v>
      </c>
      <c r="Q783" s="1">
        <f t="shared" si="68"/>
        <v>196.33846443089431</v>
      </c>
      <c r="R783" s="1">
        <f t="shared" si="69"/>
        <v>204.67857754665036</v>
      </c>
      <c r="S783" s="1">
        <f t="shared" si="70"/>
        <v>112.98896890343698</v>
      </c>
    </row>
    <row r="784" spans="1:19" x14ac:dyDescent="0.3">
      <c r="A784">
        <v>13393.8</v>
      </c>
      <c r="B784">
        <v>198.29174</v>
      </c>
      <c r="C784">
        <v>206.038105</v>
      </c>
      <c r="D784">
        <v>214.414962</v>
      </c>
      <c r="E784">
        <v>111.576477</v>
      </c>
      <c r="F784">
        <v>78.828104999999994</v>
      </c>
      <c r="G784">
        <v>50.054597000000001</v>
      </c>
      <c r="H784">
        <v>54.702973999999998</v>
      </c>
      <c r="I784"/>
      <c r="N784"/>
      <c r="O784"/>
      <c r="P784" s="1">
        <f t="shared" si="67"/>
        <v>189.12095426829268</v>
      </c>
      <c r="Q784" s="1">
        <f t="shared" si="68"/>
        <v>196.34336382113821</v>
      </c>
      <c r="R784" s="1">
        <f t="shared" si="69"/>
        <v>204.68465177934129</v>
      </c>
      <c r="S784" s="1">
        <f t="shared" si="70"/>
        <v>113.01738236497545</v>
      </c>
    </row>
    <row r="785" spans="1:19" x14ac:dyDescent="0.3">
      <c r="A785">
        <v>13394</v>
      </c>
      <c r="B785">
        <v>198.320762</v>
      </c>
      <c r="C785">
        <v>206.046729</v>
      </c>
      <c r="D785">
        <v>214.40023299999999</v>
      </c>
      <c r="E785">
        <v>111.58663300000001</v>
      </c>
      <c r="F785">
        <v>78.301288999999997</v>
      </c>
      <c r="G785">
        <v>50.054597000000001</v>
      </c>
      <c r="H785">
        <v>54.702973999999998</v>
      </c>
      <c r="I785" t="s">
        <v>56</v>
      </c>
      <c r="N785"/>
      <c r="O785"/>
      <c r="P785" s="1">
        <f t="shared" si="67"/>
        <v>189.12095426829268</v>
      </c>
      <c r="Q785" s="1">
        <f t="shared" si="68"/>
        <v>196.34336382113821</v>
      </c>
      <c r="R785" s="1">
        <f t="shared" si="69"/>
        <v>204.68465177934129</v>
      </c>
      <c r="S785" s="1">
        <f t="shared" si="70"/>
        <v>113.01738236497545</v>
      </c>
    </row>
    <row r="786" spans="1:19" x14ac:dyDescent="0.3">
      <c r="A786">
        <v>13394.2</v>
      </c>
      <c r="B786">
        <v>198.320762</v>
      </c>
      <c r="C786">
        <v>206.046729</v>
      </c>
      <c r="D786">
        <v>214.40023299999999</v>
      </c>
      <c r="E786">
        <v>111.58663300000001</v>
      </c>
      <c r="F786">
        <v>78.301288999999997</v>
      </c>
      <c r="G786">
        <v>50.060526000000003</v>
      </c>
      <c r="H786">
        <v>54.692295999999999</v>
      </c>
      <c r="I786"/>
      <c r="N786"/>
      <c r="O786"/>
      <c r="P786" s="1">
        <f t="shared" si="67"/>
        <v>189.11715040650407</v>
      </c>
      <c r="Q786" s="1">
        <f t="shared" si="68"/>
        <v>196.3428993902439</v>
      </c>
      <c r="R786" s="1">
        <f t="shared" si="69"/>
        <v>204.69657897420211</v>
      </c>
      <c r="S786" s="1">
        <f t="shared" si="70"/>
        <v>112.91974018003273</v>
      </c>
    </row>
    <row r="787" spans="1:19" x14ac:dyDescent="0.3">
      <c r="A787">
        <v>13394.4</v>
      </c>
      <c r="B787">
        <v>198.30467100000001</v>
      </c>
      <c r="C787">
        <v>206.05363</v>
      </c>
      <c r="D787">
        <v>214.43734499999999</v>
      </c>
      <c r="E787">
        <v>111.573328</v>
      </c>
      <c r="F787">
        <v>78.862218999999996</v>
      </c>
      <c r="G787">
        <v>50.060526000000003</v>
      </c>
      <c r="H787">
        <v>54.692295999999999</v>
      </c>
      <c r="I787"/>
      <c r="N787"/>
      <c r="O787"/>
      <c r="P787" s="1">
        <f t="shared" si="67"/>
        <v>189.11715040650407</v>
      </c>
      <c r="Q787" s="1">
        <f t="shared" si="68"/>
        <v>196.3428993902439</v>
      </c>
      <c r="R787" s="1">
        <f t="shared" si="69"/>
        <v>204.69657897420211</v>
      </c>
      <c r="S787" s="1">
        <f t="shared" si="70"/>
        <v>112.91974018003273</v>
      </c>
    </row>
    <row r="788" spans="1:19" x14ac:dyDescent="0.3">
      <c r="A788">
        <v>13394.6</v>
      </c>
      <c r="B788">
        <v>198.30467100000001</v>
      </c>
      <c r="C788">
        <v>206.05363</v>
      </c>
      <c r="D788">
        <v>214.43734499999999</v>
      </c>
      <c r="E788">
        <v>111.573328</v>
      </c>
      <c r="F788">
        <v>78.862218999999996</v>
      </c>
      <c r="G788">
        <v>50.078709000000003</v>
      </c>
      <c r="H788">
        <v>54.745913999999999</v>
      </c>
      <c r="I788"/>
      <c r="N788"/>
      <c r="O788"/>
      <c r="P788" s="1">
        <f t="shared" si="67"/>
        <v>189.12458333333333</v>
      </c>
      <c r="Q788" s="1">
        <f t="shared" si="68"/>
        <v>196.34054369918698</v>
      </c>
      <c r="R788" s="1">
        <f t="shared" si="69"/>
        <v>204.69542265728563</v>
      </c>
      <c r="S788" s="1">
        <f t="shared" si="70"/>
        <v>112.85227700490998</v>
      </c>
    </row>
    <row r="789" spans="1:19" x14ac:dyDescent="0.3">
      <c r="A789">
        <v>13394.8</v>
      </c>
      <c r="B789">
        <v>198.317633</v>
      </c>
      <c r="C789">
        <v>206.049701</v>
      </c>
      <c r="D789">
        <v>214.42599799999999</v>
      </c>
      <c r="E789">
        <v>111.68236899999999</v>
      </c>
      <c r="F789">
        <v>78.191159999999996</v>
      </c>
      <c r="G789">
        <v>50.078709000000003</v>
      </c>
      <c r="H789">
        <v>54.745913999999999</v>
      </c>
      <c r="I789"/>
      <c r="N789"/>
      <c r="O789"/>
      <c r="P789" s="1">
        <f t="shared" si="67"/>
        <v>189.12458333333333</v>
      </c>
      <c r="Q789" s="1">
        <f t="shared" si="68"/>
        <v>196.34054369918698</v>
      </c>
      <c r="R789" s="1">
        <f t="shared" si="69"/>
        <v>204.69542265728563</v>
      </c>
      <c r="S789" s="1">
        <f t="shared" si="70"/>
        <v>112.85227700490998</v>
      </c>
    </row>
    <row r="790" spans="1:19" x14ac:dyDescent="0.3">
      <c r="A790">
        <v>13395</v>
      </c>
      <c r="B790">
        <v>198.317633</v>
      </c>
      <c r="C790">
        <v>206.049701</v>
      </c>
      <c r="D790">
        <v>214.42599799999999</v>
      </c>
      <c r="E790">
        <v>111.68236899999999</v>
      </c>
      <c r="F790">
        <v>78.191159999999996</v>
      </c>
      <c r="G790">
        <v>50.078640999999998</v>
      </c>
      <c r="H790">
        <v>54.773727000000001</v>
      </c>
      <c r="I790" t="s">
        <v>56</v>
      </c>
      <c r="N790"/>
      <c r="O790"/>
      <c r="P790" s="1">
        <f t="shared" si="67"/>
        <v>189.09199288617887</v>
      </c>
      <c r="Q790" s="1">
        <f t="shared" si="68"/>
        <v>196.33658333333332</v>
      </c>
      <c r="R790" s="1">
        <f t="shared" si="69"/>
        <v>204.6960028551035</v>
      </c>
      <c r="S790" s="1">
        <f t="shared" si="70"/>
        <v>112.90224734042553</v>
      </c>
    </row>
    <row r="791" spans="1:19" x14ac:dyDescent="0.3">
      <c r="A791">
        <v>13395.2</v>
      </c>
      <c r="B791">
        <v>198.30589699999999</v>
      </c>
      <c r="C791">
        <v>206.02645100000001</v>
      </c>
      <c r="D791">
        <v>214.41132099999999</v>
      </c>
      <c r="E791">
        <v>111.627869</v>
      </c>
      <c r="F791">
        <v>78.738308000000004</v>
      </c>
      <c r="G791">
        <v>50.078640999999998</v>
      </c>
      <c r="H791">
        <v>54.773727000000001</v>
      </c>
      <c r="I791"/>
      <c r="N791"/>
      <c r="O791"/>
      <c r="P791" s="1">
        <f t="shared" si="67"/>
        <v>189.09199288617887</v>
      </c>
      <c r="Q791" s="1">
        <f t="shared" si="68"/>
        <v>196.33658333333332</v>
      </c>
      <c r="R791" s="1">
        <f t="shared" si="69"/>
        <v>204.6960028551035</v>
      </c>
      <c r="S791" s="1">
        <f t="shared" si="70"/>
        <v>112.90224734042553</v>
      </c>
    </row>
    <row r="792" spans="1:19" x14ac:dyDescent="0.3">
      <c r="A792">
        <v>13395.4</v>
      </c>
      <c r="B792">
        <v>198.30589699999999</v>
      </c>
      <c r="C792">
        <v>206.02645100000001</v>
      </c>
      <c r="D792">
        <v>214.41132099999999</v>
      </c>
      <c r="E792">
        <v>111.627869</v>
      </c>
      <c r="F792">
        <v>78.738308000000004</v>
      </c>
      <c r="G792">
        <v>50.075479000000001</v>
      </c>
      <c r="H792">
        <v>54.782556999999997</v>
      </c>
      <c r="I792"/>
      <c r="N792"/>
      <c r="O792"/>
      <c r="P792" s="1">
        <f t="shared" si="67"/>
        <v>189.11054471544713</v>
      </c>
      <c r="Q792" s="1">
        <f t="shared" si="68"/>
        <v>196.33628048780486</v>
      </c>
      <c r="R792" s="1">
        <f t="shared" si="69"/>
        <v>204.69165086162945</v>
      </c>
      <c r="S792" s="1">
        <f t="shared" si="70"/>
        <v>112.94741714402619</v>
      </c>
    </row>
    <row r="793" spans="1:19" x14ac:dyDescent="0.3">
      <c r="A793">
        <v>13395.6</v>
      </c>
      <c r="B793">
        <v>198.33767599999999</v>
      </c>
      <c r="C793">
        <v>206.03055699999999</v>
      </c>
      <c r="D793">
        <v>214.40654499999999</v>
      </c>
      <c r="E793">
        <v>111.641603</v>
      </c>
      <c r="F793">
        <v>79.653589999999994</v>
      </c>
      <c r="G793">
        <v>50.075479000000001</v>
      </c>
      <c r="H793">
        <v>54.782556999999997</v>
      </c>
      <c r="I793"/>
      <c r="N793"/>
      <c r="O793"/>
      <c r="P793" s="1">
        <f t="shared" si="67"/>
        <v>202.33988109756098</v>
      </c>
      <c r="Q793" s="1">
        <f t="shared" si="68"/>
        <v>210.17596138211383</v>
      </c>
      <c r="R793" s="1">
        <f t="shared" si="69"/>
        <v>219.4502182114816</v>
      </c>
      <c r="S793" s="1">
        <f t="shared" si="70"/>
        <v>115.06274038461538</v>
      </c>
    </row>
    <row r="794" spans="1:19" x14ac:dyDescent="0.3">
      <c r="A794">
        <v>13395.8</v>
      </c>
      <c r="B794">
        <v>198.33767599999999</v>
      </c>
      <c r="C794">
        <v>206.03055699999999</v>
      </c>
      <c r="D794">
        <v>214.40654499999999</v>
      </c>
      <c r="E794">
        <v>111.641603</v>
      </c>
      <c r="F794">
        <v>79.653589999999994</v>
      </c>
      <c r="G794">
        <v>50.048031000000002</v>
      </c>
      <c r="H794">
        <v>54.790905000000002</v>
      </c>
      <c r="I794"/>
      <c r="N794"/>
      <c r="O794"/>
      <c r="P794" s="1">
        <f t="shared" si="67"/>
        <v>202.33988109756098</v>
      </c>
      <c r="Q794" s="1">
        <f t="shared" si="68"/>
        <v>210.17596138211383</v>
      </c>
      <c r="R794" s="1">
        <f t="shared" si="69"/>
        <v>219.4502182114816</v>
      </c>
      <c r="S794" s="1">
        <f t="shared" si="70"/>
        <v>115.06274038461538</v>
      </c>
    </row>
    <row r="795" spans="1:19" x14ac:dyDescent="0.3">
      <c r="A795">
        <v>13396</v>
      </c>
      <c r="B795">
        <v>198.334126</v>
      </c>
      <c r="C795">
        <v>206.057523</v>
      </c>
      <c r="D795">
        <v>214.40558300000001</v>
      </c>
      <c r="E795">
        <v>111.682669</v>
      </c>
      <c r="F795">
        <v>79.695727000000005</v>
      </c>
      <c r="G795">
        <v>50.048031000000002</v>
      </c>
      <c r="H795">
        <v>54.790905000000002</v>
      </c>
      <c r="I795" t="s">
        <v>56</v>
      </c>
      <c r="N795"/>
      <c r="O795"/>
      <c r="P795" s="1">
        <f t="shared" si="67"/>
        <v>202.35727642276422</v>
      </c>
      <c r="Q795" s="1">
        <f t="shared" si="68"/>
        <v>210.2088800813008</v>
      </c>
      <c r="R795" s="1">
        <f t="shared" si="69"/>
        <v>219.47775364535536</v>
      </c>
      <c r="S795" s="1">
        <f t="shared" si="70"/>
        <v>115.07039995908347</v>
      </c>
    </row>
    <row r="796" spans="1:19" x14ac:dyDescent="0.3">
      <c r="A796">
        <v>13396.2</v>
      </c>
      <c r="B796">
        <v>198.334126</v>
      </c>
      <c r="C796">
        <v>206.057523</v>
      </c>
      <c r="D796">
        <v>214.40558300000001</v>
      </c>
      <c r="E796">
        <v>111.682669</v>
      </c>
      <c r="F796">
        <v>79.695727000000005</v>
      </c>
      <c r="G796">
        <v>50.056682000000002</v>
      </c>
      <c r="H796">
        <v>54.781787000000001</v>
      </c>
      <c r="I796"/>
      <c r="N796"/>
      <c r="O796"/>
      <c r="P796" s="1">
        <f t="shared" si="67"/>
        <v>202.35727642276422</v>
      </c>
      <c r="Q796" s="1">
        <f t="shared" si="68"/>
        <v>210.2088800813008</v>
      </c>
      <c r="R796" s="1">
        <f t="shared" si="69"/>
        <v>219.47775364535536</v>
      </c>
      <c r="S796" s="1">
        <f t="shared" si="70"/>
        <v>115.07039995908347</v>
      </c>
    </row>
    <row r="797" spans="1:19" x14ac:dyDescent="0.3">
      <c r="A797">
        <v>13396.4</v>
      </c>
      <c r="B797">
        <v>198.309663</v>
      </c>
      <c r="C797">
        <v>206.03961100000001</v>
      </c>
      <c r="D797">
        <v>214.41575800000001</v>
      </c>
      <c r="E797">
        <v>111.676016</v>
      </c>
      <c r="F797">
        <v>79.568672000000007</v>
      </c>
      <c r="G797">
        <v>50.056682000000002</v>
      </c>
      <c r="H797">
        <v>54.781787000000001</v>
      </c>
      <c r="I797"/>
      <c r="N797"/>
      <c r="O797"/>
      <c r="P797" s="1">
        <f t="shared" si="67"/>
        <v>202.33202337398373</v>
      </c>
      <c r="Q797" s="1">
        <f t="shared" si="68"/>
        <v>210.19457926829267</v>
      </c>
      <c r="R797" s="1">
        <f t="shared" si="69"/>
        <v>219.45972366676864</v>
      </c>
      <c r="S797" s="1">
        <f t="shared" si="70"/>
        <v>115.13381546644844</v>
      </c>
    </row>
    <row r="798" spans="1:19" x14ac:dyDescent="0.3">
      <c r="A798">
        <v>13396.6</v>
      </c>
      <c r="B798">
        <v>198.309663</v>
      </c>
      <c r="C798">
        <v>206.03961100000001</v>
      </c>
      <c r="D798">
        <v>214.41575800000001</v>
      </c>
      <c r="E798">
        <v>111.676016</v>
      </c>
      <c r="F798">
        <v>79.568672000000007</v>
      </c>
      <c r="G798">
        <v>50.069938</v>
      </c>
      <c r="H798">
        <v>54.798461000000003</v>
      </c>
      <c r="I798"/>
      <c r="N798"/>
      <c r="O798"/>
      <c r="P798" s="1">
        <f t="shared" si="67"/>
        <v>202.33202337398373</v>
      </c>
      <c r="Q798" s="1">
        <f t="shared" si="68"/>
        <v>210.19457926829267</v>
      </c>
      <c r="R798" s="1">
        <f t="shared" si="69"/>
        <v>219.45972366676864</v>
      </c>
      <c r="S798" s="1">
        <f t="shared" si="70"/>
        <v>115.13381546644844</v>
      </c>
    </row>
    <row r="799" spans="1:19" x14ac:dyDescent="0.3">
      <c r="A799">
        <v>13396.8</v>
      </c>
      <c r="B799">
        <v>198.31119000000001</v>
      </c>
      <c r="C799">
        <v>206.035505</v>
      </c>
      <c r="D799">
        <v>214.390265</v>
      </c>
      <c r="E799">
        <v>111.612105</v>
      </c>
      <c r="F799">
        <v>78.951818000000003</v>
      </c>
      <c r="G799">
        <v>50.069938</v>
      </c>
      <c r="H799">
        <v>54.798461000000003</v>
      </c>
      <c r="I799"/>
      <c r="N799"/>
      <c r="O799"/>
      <c r="P799" s="1">
        <f t="shared" si="67"/>
        <v>202.3552530487805</v>
      </c>
      <c r="Q799" s="1">
        <f t="shared" si="68"/>
        <v>210.17631707317071</v>
      </c>
      <c r="R799" s="1">
        <f t="shared" si="69"/>
        <v>219.45769450392575</v>
      </c>
      <c r="S799" s="1">
        <f t="shared" si="70"/>
        <v>115.01106689852701</v>
      </c>
    </row>
    <row r="800" spans="1:19" x14ac:dyDescent="0.3">
      <c r="A800">
        <v>13397</v>
      </c>
      <c r="B800">
        <v>198.31119000000001</v>
      </c>
      <c r="C800">
        <v>206.035505</v>
      </c>
      <c r="D800">
        <v>214.390265</v>
      </c>
      <c r="E800">
        <v>111.612105</v>
      </c>
      <c r="F800">
        <v>78.951818000000003</v>
      </c>
      <c r="G800">
        <v>50.085180000000001</v>
      </c>
      <c r="H800">
        <v>54.806285000000003</v>
      </c>
      <c r="I800" t="s">
        <v>56</v>
      </c>
      <c r="N800"/>
      <c r="O800"/>
      <c r="P800" s="1">
        <f t="shared" si="67"/>
        <v>202.3552530487805</v>
      </c>
      <c r="Q800" s="1">
        <f t="shared" si="68"/>
        <v>210.17631707317071</v>
      </c>
      <c r="R800" s="1">
        <f t="shared" si="69"/>
        <v>219.45769450392575</v>
      </c>
      <c r="S800" s="1">
        <f t="shared" si="70"/>
        <v>115.01106689852701</v>
      </c>
    </row>
    <row r="801" spans="1:19" x14ac:dyDescent="0.3">
      <c r="A801">
        <v>13397.2</v>
      </c>
      <c r="B801">
        <v>198.30452500000001</v>
      </c>
      <c r="C801">
        <v>206.026487</v>
      </c>
      <c r="D801">
        <v>214.40716499999999</v>
      </c>
      <c r="E801">
        <v>111.670816</v>
      </c>
      <c r="F801">
        <v>78.566541999999998</v>
      </c>
      <c r="G801">
        <v>50.085180000000001</v>
      </c>
      <c r="H801">
        <v>54.806285000000003</v>
      </c>
      <c r="I801"/>
      <c r="N801"/>
      <c r="O801"/>
      <c r="P801" s="1">
        <f t="shared" si="67"/>
        <v>202.31528455284553</v>
      </c>
      <c r="Q801" s="1">
        <f t="shared" si="68"/>
        <v>210.18760670731706</v>
      </c>
      <c r="R801" s="1">
        <f t="shared" si="69"/>
        <v>219.46085653104927</v>
      </c>
      <c r="S801" s="1">
        <f t="shared" si="70"/>
        <v>115.07802475450082</v>
      </c>
    </row>
    <row r="802" spans="1:19" x14ac:dyDescent="0.3">
      <c r="A802">
        <v>13397.4</v>
      </c>
      <c r="B802">
        <v>198.30452500000001</v>
      </c>
      <c r="C802">
        <v>206.026487</v>
      </c>
      <c r="D802">
        <v>214.40716499999999</v>
      </c>
      <c r="E802">
        <v>111.670816</v>
      </c>
      <c r="F802">
        <v>78.566541999999998</v>
      </c>
      <c r="G802">
        <v>50.069833000000003</v>
      </c>
      <c r="H802">
        <v>54.824624999999997</v>
      </c>
      <c r="I802"/>
      <c r="N802"/>
      <c r="O802"/>
      <c r="P802" s="1">
        <f t="shared" si="67"/>
        <v>202.31528455284553</v>
      </c>
      <c r="Q802" s="1">
        <f t="shared" si="68"/>
        <v>210.18760670731706</v>
      </c>
      <c r="R802" s="1">
        <f t="shared" si="69"/>
        <v>219.46085653104927</v>
      </c>
      <c r="S802" s="1">
        <f t="shared" si="70"/>
        <v>115.07802475450082</v>
      </c>
    </row>
    <row r="803" spans="1:19" x14ac:dyDescent="0.3">
      <c r="A803">
        <v>13397.6</v>
      </c>
      <c r="B803">
        <v>198.31060600000001</v>
      </c>
      <c r="C803">
        <v>206.063796</v>
      </c>
      <c r="D803">
        <v>214.42414400000001</v>
      </c>
      <c r="E803">
        <v>111.594966</v>
      </c>
      <c r="F803">
        <v>80.045430999999994</v>
      </c>
      <c r="G803">
        <v>50.069833000000003</v>
      </c>
      <c r="H803">
        <v>54.824624999999997</v>
      </c>
      <c r="I803"/>
      <c r="N803"/>
      <c r="O803"/>
      <c r="P803" s="1">
        <f t="shared" si="67"/>
        <v>202.34477845528454</v>
      </c>
      <c r="Q803" s="1">
        <f t="shared" si="68"/>
        <v>210.19637093495933</v>
      </c>
      <c r="R803" s="1">
        <f t="shared" si="69"/>
        <v>219.44583766697255</v>
      </c>
      <c r="S803" s="1">
        <f t="shared" si="70"/>
        <v>115.08841346153847</v>
      </c>
    </row>
    <row r="804" spans="1:19" x14ac:dyDescent="0.3">
      <c r="A804">
        <v>13397.8</v>
      </c>
      <c r="B804">
        <v>198.31060600000001</v>
      </c>
      <c r="C804">
        <v>206.063796</v>
      </c>
      <c r="D804">
        <v>214.42414400000001</v>
      </c>
      <c r="E804">
        <v>111.594966</v>
      </c>
      <c r="F804">
        <v>80.045430999999994</v>
      </c>
      <c r="G804">
        <v>50.068987999999997</v>
      </c>
      <c r="H804">
        <v>54.799357000000001</v>
      </c>
      <c r="I804"/>
      <c r="N804"/>
      <c r="O804"/>
      <c r="P804" s="1">
        <f t="shared" si="67"/>
        <v>202.34477845528454</v>
      </c>
      <c r="Q804" s="1">
        <f t="shared" si="68"/>
        <v>210.19637093495933</v>
      </c>
      <c r="R804" s="1">
        <f t="shared" si="69"/>
        <v>219.44583766697255</v>
      </c>
      <c r="S804" s="1">
        <f t="shared" si="70"/>
        <v>115.08841346153847</v>
      </c>
    </row>
    <row r="805" spans="1:19" x14ac:dyDescent="0.3">
      <c r="A805">
        <v>13398</v>
      </c>
      <c r="B805">
        <v>198.33722900000001</v>
      </c>
      <c r="C805">
        <v>206.04302200000001</v>
      </c>
      <c r="D805">
        <v>214.44708</v>
      </c>
      <c r="E805">
        <v>111.553307</v>
      </c>
      <c r="F805">
        <v>79.627664999999993</v>
      </c>
      <c r="G805">
        <v>50.068987999999997</v>
      </c>
      <c r="H805">
        <v>54.799357000000001</v>
      </c>
      <c r="I805" t="s">
        <v>56</v>
      </c>
      <c r="N805"/>
      <c r="O805"/>
      <c r="P805" s="1">
        <f t="shared" si="67"/>
        <v>202.32842581300812</v>
      </c>
      <c r="Q805" s="1">
        <f t="shared" si="68"/>
        <v>210.20338414634145</v>
      </c>
      <c r="R805" s="1">
        <f t="shared" si="69"/>
        <v>219.48368002447231</v>
      </c>
      <c r="S805" s="1">
        <f t="shared" si="70"/>
        <v>115.07480360065466</v>
      </c>
    </row>
    <row r="806" spans="1:19" x14ac:dyDescent="0.3">
      <c r="A806">
        <v>13398.2</v>
      </c>
      <c r="B806">
        <v>198.33722900000001</v>
      </c>
      <c r="C806">
        <v>206.04302200000001</v>
      </c>
      <c r="D806">
        <v>214.44708</v>
      </c>
      <c r="E806">
        <v>111.553307</v>
      </c>
      <c r="F806">
        <v>79.627664999999993</v>
      </c>
      <c r="G806">
        <v>50.067574999999998</v>
      </c>
      <c r="H806">
        <v>54.783200999999998</v>
      </c>
      <c r="I806"/>
      <c r="N806"/>
      <c r="O806"/>
      <c r="P806" s="1">
        <f t="shared" si="67"/>
        <v>202.32842581300812</v>
      </c>
      <c r="Q806" s="1">
        <f t="shared" si="68"/>
        <v>210.20338414634145</v>
      </c>
      <c r="R806" s="1">
        <f t="shared" si="69"/>
        <v>219.48368002447231</v>
      </c>
      <c r="S806" s="1">
        <f t="shared" si="70"/>
        <v>115.07480360065466</v>
      </c>
    </row>
    <row r="807" spans="1:19" x14ac:dyDescent="0.3">
      <c r="A807">
        <v>13398.4</v>
      </c>
      <c r="B807">
        <v>198.320921</v>
      </c>
      <c r="C807">
        <v>206.05956499999999</v>
      </c>
      <c r="D807">
        <v>214.40271899999999</v>
      </c>
      <c r="E807">
        <v>111.612897</v>
      </c>
      <c r="F807">
        <v>80.031625000000005</v>
      </c>
      <c r="G807">
        <v>50.067574999999998</v>
      </c>
      <c r="H807">
        <v>54.783200999999998</v>
      </c>
      <c r="I807"/>
      <c r="N807"/>
      <c r="O807"/>
      <c r="P807" s="1">
        <f t="shared" si="67"/>
        <v>202.34159857723577</v>
      </c>
      <c r="Q807" s="1">
        <f t="shared" si="68"/>
        <v>210.1993912601626</v>
      </c>
      <c r="R807" s="1">
        <f t="shared" si="69"/>
        <v>219.4721097175487</v>
      </c>
      <c r="S807" s="1">
        <f t="shared" si="70"/>
        <v>115.18634308510637</v>
      </c>
    </row>
    <row r="808" spans="1:19" x14ac:dyDescent="0.3">
      <c r="A808">
        <v>13398.6</v>
      </c>
      <c r="B808">
        <v>198.320921</v>
      </c>
      <c r="C808">
        <v>206.05956499999999</v>
      </c>
      <c r="D808">
        <v>214.40271899999999</v>
      </c>
      <c r="E808">
        <v>111.612897</v>
      </c>
      <c r="F808">
        <v>80.031625000000005</v>
      </c>
      <c r="G808">
        <v>50.084397000000003</v>
      </c>
      <c r="H808">
        <v>54.790297000000002</v>
      </c>
      <c r="I808"/>
      <c r="N808"/>
      <c r="O808"/>
      <c r="P808" s="1">
        <f t="shared" si="67"/>
        <v>202.34159857723577</v>
      </c>
      <c r="Q808" s="1">
        <f t="shared" si="68"/>
        <v>210.1993912601626</v>
      </c>
      <c r="R808" s="1">
        <f t="shared" si="69"/>
        <v>219.4721097175487</v>
      </c>
      <c r="S808" s="1">
        <f t="shared" si="70"/>
        <v>115.18634308510637</v>
      </c>
    </row>
    <row r="809" spans="1:19" x14ac:dyDescent="0.3">
      <c r="A809">
        <v>13398.8</v>
      </c>
      <c r="B809">
        <v>198.334768</v>
      </c>
      <c r="C809">
        <v>206.022952</v>
      </c>
      <c r="D809">
        <v>214.41809499999999</v>
      </c>
      <c r="E809">
        <v>111.560006</v>
      </c>
      <c r="F809">
        <v>79.018659999999997</v>
      </c>
      <c r="G809">
        <v>50.084397000000003</v>
      </c>
      <c r="H809">
        <v>54.790297000000002</v>
      </c>
      <c r="I809"/>
      <c r="N809"/>
      <c r="O809"/>
      <c r="P809" s="1">
        <f t="shared" si="67"/>
        <v>202.32967174796747</v>
      </c>
      <c r="Q809" s="1">
        <f t="shared" si="68"/>
        <v>210.1757632113821</v>
      </c>
      <c r="R809" s="1">
        <f t="shared" si="69"/>
        <v>219.45714387682267</v>
      </c>
      <c r="S809" s="1">
        <f t="shared" si="70"/>
        <v>115.1305943126023</v>
      </c>
    </row>
    <row r="810" spans="1:19" x14ac:dyDescent="0.3">
      <c r="A810">
        <v>13399</v>
      </c>
      <c r="B810">
        <v>198.334768</v>
      </c>
      <c r="C810">
        <v>206.022952</v>
      </c>
      <c r="D810">
        <v>214.41809499999999</v>
      </c>
      <c r="E810">
        <v>111.560006</v>
      </c>
      <c r="F810">
        <v>79.018659999999997</v>
      </c>
      <c r="G810">
        <v>50.084198000000001</v>
      </c>
      <c r="H810">
        <v>54.764290000000003</v>
      </c>
      <c r="I810" t="s">
        <v>56</v>
      </c>
      <c r="N810"/>
      <c r="O810"/>
      <c r="P810" s="1">
        <f t="shared" si="67"/>
        <v>202.32967174796747</v>
      </c>
      <c r="Q810" s="1">
        <f t="shared" si="68"/>
        <v>210.1757632113821</v>
      </c>
      <c r="R810" s="1">
        <f t="shared" si="69"/>
        <v>219.45714387682267</v>
      </c>
      <c r="S810" s="1">
        <f t="shared" si="70"/>
        <v>115.1305943126023</v>
      </c>
    </row>
    <row r="811" spans="1:19" x14ac:dyDescent="0.3">
      <c r="A811">
        <v>13399.2</v>
      </c>
      <c r="B811">
        <v>198.295355</v>
      </c>
      <c r="C811">
        <v>206.05745300000001</v>
      </c>
      <c r="D811">
        <v>214.415525</v>
      </c>
      <c r="E811">
        <v>111.60858399999999</v>
      </c>
      <c r="F811">
        <v>78.584205999999995</v>
      </c>
      <c r="G811">
        <v>50.084198000000001</v>
      </c>
      <c r="H811">
        <v>54.764290000000003</v>
      </c>
      <c r="I811"/>
      <c r="N811"/>
      <c r="O811"/>
      <c r="P811" s="1">
        <f t="shared" si="67"/>
        <v>202.36196747967477</v>
      </c>
      <c r="Q811" s="1">
        <f t="shared" si="68"/>
        <v>210.17993597560974</v>
      </c>
      <c r="R811" s="1">
        <f t="shared" si="69"/>
        <v>219.4522738859998</v>
      </c>
      <c r="S811" s="1">
        <f t="shared" si="70"/>
        <v>115.14464300327332</v>
      </c>
    </row>
    <row r="812" spans="1:19" x14ac:dyDescent="0.3">
      <c r="A812">
        <v>13399.4</v>
      </c>
      <c r="B812">
        <v>198.295355</v>
      </c>
      <c r="C812">
        <v>206.05745300000001</v>
      </c>
      <c r="D812">
        <v>214.415525</v>
      </c>
      <c r="E812">
        <v>111.60858399999999</v>
      </c>
      <c r="F812">
        <v>78.584205999999995</v>
      </c>
      <c r="G812">
        <v>50.060668</v>
      </c>
      <c r="H812">
        <v>54.775393000000001</v>
      </c>
      <c r="I812"/>
      <c r="N812"/>
      <c r="O812"/>
      <c r="P812" s="1">
        <f t="shared" ref="P812:P875" si="71">(B794+Q$36)/P$36</f>
        <v>202.36196747967477</v>
      </c>
      <c r="Q812" s="1">
        <f t="shared" ref="Q812:Q875" si="72">(C794+Q$36)/P$36</f>
        <v>210.17993597560974</v>
      </c>
      <c r="R812" s="1">
        <f t="shared" ref="R812:R875" si="73">(D794+Q$38)/P$38</f>
        <v>219.4522738859998</v>
      </c>
      <c r="S812" s="1">
        <f t="shared" ref="S812:S875" si="74">(E794+Q$39)/P$39</f>
        <v>115.14464300327332</v>
      </c>
    </row>
    <row r="813" spans="1:19" x14ac:dyDescent="0.3">
      <c r="A813">
        <v>13399.6</v>
      </c>
      <c r="B813">
        <v>198.307919</v>
      </c>
      <c r="C813">
        <v>206.02025900000001</v>
      </c>
      <c r="D813">
        <v>214.42520300000001</v>
      </c>
      <c r="E813">
        <v>111.63981699999999</v>
      </c>
      <c r="F813">
        <v>79.714743999999996</v>
      </c>
      <c r="G813">
        <v>50.060668</v>
      </c>
      <c r="H813">
        <v>54.775393000000001</v>
      </c>
      <c r="I813"/>
      <c r="N813"/>
      <c r="O813"/>
      <c r="P813" s="1">
        <f t="shared" si="71"/>
        <v>202.35835975609754</v>
      </c>
      <c r="Q813" s="1">
        <f t="shared" si="72"/>
        <v>210.20734044715448</v>
      </c>
      <c r="R813" s="1">
        <f t="shared" si="73"/>
        <v>219.45129295401244</v>
      </c>
      <c r="S813" s="1">
        <f t="shared" si="74"/>
        <v>115.18664995908347</v>
      </c>
    </row>
    <row r="814" spans="1:19" x14ac:dyDescent="0.3">
      <c r="A814">
        <v>13399.8</v>
      </c>
      <c r="B814">
        <v>198.307919</v>
      </c>
      <c r="C814">
        <v>206.02025900000001</v>
      </c>
      <c r="D814">
        <v>214.42520300000001</v>
      </c>
      <c r="E814">
        <v>111.63981699999999</v>
      </c>
      <c r="F814">
        <v>79.714743999999996</v>
      </c>
      <c r="G814">
        <v>50.057445999999999</v>
      </c>
      <c r="H814">
        <v>54.783239999999999</v>
      </c>
      <c r="I814"/>
      <c r="N814"/>
      <c r="O814"/>
      <c r="P814" s="1">
        <f t="shared" si="71"/>
        <v>202.35835975609754</v>
      </c>
      <c r="Q814" s="1">
        <f t="shared" si="72"/>
        <v>210.20734044715448</v>
      </c>
      <c r="R814" s="1">
        <f t="shared" si="73"/>
        <v>219.45129295401244</v>
      </c>
      <c r="S814" s="1">
        <f t="shared" si="74"/>
        <v>115.18664995908347</v>
      </c>
    </row>
    <row r="815" spans="1:19" x14ac:dyDescent="0.3">
      <c r="A815">
        <v>13400</v>
      </c>
      <c r="B815">
        <v>198.30478199999999</v>
      </c>
      <c r="C815">
        <v>206.038951</v>
      </c>
      <c r="D815">
        <v>214.42069100000001</v>
      </c>
      <c r="E815">
        <v>111.641548</v>
      </c>
      <c r="F815">
        <v>80.955817999999994</v>
      </c>
      <c r="G815">
        <v>50.057445999999999</v>
      </c>
      <c r="H815">
        <v>54.783239999999999</v>
      </c>
      <c r="I815" t="s">
        <v>56</v>
      </c>
      <c r="N815"/>
      <c r="O815"/>
      <c r="P815" s="1">
        <f t="shared" si="71"/>
        <v>202.33349898373984</v>
      </c>
      <c r="Q815" s="1">
        <f t="shared" si="72"/>
        <v>210.18913719512196</v>
      </c>
      <c r="R815" s="1">
        <f t="shared" si="73"/>
        <v>219.46166819618642</v>
      </c>
      <c r="S815" s="1">
        <f t="shared" si="74"/>
        <v>115.17984451718495</v>
      </c>
    </row>
    <row r="816" spans="1:19" x14ac:dyDescent="0.3">
      <c r="A816">
        <v>13400.2</v>
      </c>
      <c r="B816">
        <v>198.30478199999999</v>
      </c>
      <c r="C816">
        <v>206.038951</v>
      </c>
      <c r="D816">
        <v>214.42069100000001</v>
      </c>
      <c r="E816">
        <v>111.641548</v>
      </c>
      <c r="F816">
        <v>80.955817999999994</v>
      </c>
      <c r="G816">
        <v>50.070532</v>
      </c>
      <c r="H816">
        <v>54.793523</v>
      </c>
      <c r="I816"/>
      <c r="N816"/>
      <c r="O816"/>
      <c r="P816" s="1">
        <f t="shared" si="71"/>
        <v>202.33349898373984</v>
      </c>
      <c r="Q816" s="1">
        <f t="shared" si="72"/>
        <v>210.18913719512196</v>
      </c>
      <c r="R816" s="1">
        <f t="shared" si="73"/>
        <v>219.46166819618642</v>
      </c>
      <c r="S816" s="1">
        <f t="shared" si="74"/>
        <v>115.17984451718495</v>
      </c>
    </row>
    <row r="817" spans="1:19" x14ac:dyDescent="0.3">
      <c r="A817">
        <v>13400.4</v>
      </c>
      <c r="B817">
        <v>198.30557899999999</v>
      </c>
      <c r="C817">
        <v>206.026602</v>
      </c>
      <c r="D817">
        <v>214.406115</v>
      </c>
      <c r="E817">
        <v>111.73155</v>
      </c>
      <c r="F817">
        <v>80.537442999999996</v>
      </c>
      <c r="G817">
        <v>50.070532</v>
      </c>
      <c r="H817">
        <v>54.793523</v>
      </c>
      <c r="I817"/>
      <c r="N817"/>
      <c r="O817"/>
      <c r="P817" s="1">
        <f t="shared" si="71"/>
        <v>202.33505081300814</v>
      </c>
      <c r="Q817" s="1">
        <f t="shared" si="72"/>
        <v>210.1849644308943</v>
      </c>
      <c r="R817" s="1">
        <f t="shared" si="73"/>
        <v>219.43567349852148</v>
      </c>
      <c r="S817" s="1">
        <f t="shared" si="74"/>
        <v>115.11446910801963</v>
      </c>
    </row>
    <row r="818" spans="1:19" x14ac:dyDescent="0.3">
      <c r="A818">
        <v>13400.6</v>
      </c>
      <c r="B818">
        <v>198.30557899999999</v>
      </c>
      <c r="C818">
        <v>206.026602</v>
      </c>
      <c r="D818">
        <v>214.406115</v>
      </c>
      <c r="E818">
        <v>111.73155</v>
      </c>
      <c r="F818">
        <v>80.537442999999996</v>
      </c>
      <c r="G818">
        <v>50.070993999999999</v>
      </c>
      <c r="H818">
        <v>54.810113000000001</v>
      </c>
      <c r="I818"/>
      <c r="N818"/>
      <c r="O818"/>
      <c r="P818" s="1">
        <f t="shared" si="71"/>
        <v>202.33505081300814</v>
      </c>
      <c r="Q818" s="1">
        <f t="shared" si="72"/>
        <v>210.1849644308943</v>
      </c>
      <c r="R818" s="1">
        <f t="shared" si="73"/>
        <v>219.43567349852148</v>
      </c>
      <c r="S818" s="1">
        <f t="shared" si="74"/>
        <v>115.11446910801963</v>
      </c>
    </row>
    <row r="819" spans="1:19" x14ac:dyDescent="0.3">
      <c r="A819">
        <v>13400.8</v>
      </c>
      <c r="B819">
        <v>198.31448700000001</v>
      </c>
      <c r="C819">
        <v>206.05570700000001</v>
      </c>
      <c r="D819">
        <v>214.41053400000001</v>
      </c>
      <c r="E819">
        <v>111.732681</v>
      </c>
      <c r="F819">
        <v>80.880542000000005</v>
      </c>
      <c r="G819">
        <v>50.070993999999999</v>
      </c>
      <c r="H819">
        <v>54.810113000000001</v>
      </c>
      <c r="I819"/>
      <c r="N819"/>
      <c r="O819"/>
      <c r="P819" s="1">
        <f t="shared" si="71"/>
        <v>202.32827743902439</v>
      </c>
      <c r="Q819" s="1">
        <f t="shared" si="72"/>
        <v>210.17579979674795</v>
      </c>
      <c r="R819" s="1">
        <f t="shared" si="73"/>
        <v>219.45290608748854</v>
      </c>
      <c r="S819" s="1">
        <f t="shared" si="74"/>
        <v>115.17452536824877</v>
      </c>
    </row>
    <row r="820" spans="1:19" x14ac:dyDescent="0.3">
      <c r="A820">
        <v>13401</v>
      </c>
      <c r="B820">
        <v>198.31448700000001</v>
      </c>
      <c r="C820">
        <v>206.05570700000001</v>
      </c>
      <c r="D820">
        <v>214.41053400000001</v>
      </c>
      <c r="E820">
        <v>111.732681</v>
      </c>
      <c r="F820">
        <v>80.880542000000005</v>
      </c>
      <c r="G820">
        <v>50.085780999999997</v>
      </c>
      <c r="H820">
        <v>54.823936000000003</v>
      </c>
      <c r="I820" t="s">
        <v>56</v>
      </c>
      <c r="N820"/>
      <c r="O820"/>
      <c r="P820" s="1">
        <f t="shared" si="71"/>
        <v>202.32827743902439</v>
      </c>
      <c r="Q820" s="1">
        <f t="shared" si="72"/>
        <v>210.17579979674795</v>
      </c>
      <c r="R820" s="1">
        <f t="shared" si="73"/>
        <v>219.45290608748854</v>
      </c>
      <c r="S820" s="1">
        <f t="shared" si="74"/>
        <v>115.17452536824877</v>
      </c>
    </row>
    <row r="821" spans="1:19" x14ac:dyDescent="0.3">
      <c r="A821">
        <v>13401.2</v>
      </c>
      <c r="B821">
        <v>198.33500799999999</v>
      </c>
      <c r="C821">
        <v>206.041268</v>
      </c>
      <c r="D821">
        <v>214.41251199999999</v>
      </c>
      <c r="E821">
        <v>111.713947</v>
      </c>
      <c r="F821">
        <v>80.661451999999997</v>
      </c>
      <c r="G821">
        <v>50.085780999999997</v>
      </c>
      <c r="H821">
        <v>54.823936000000003</v>
      </c>
      <c r="I821"/>
      <c r="N821"/>
      <c r="O821"/>
      <c r="P821" s="1">
        <f t="shared" si="71"/>
        <v>202.33445731707317</v>
      </c>
      <c r="Q821" s="1">
        <f t="shared" si="72"/>
        <v>210.21371544715447</v>
      </c>
      <c r="R821" s="1">
        <f t="shared" si="73"/>
        <v>219.47021923116145</v>
      </c>
      <c r="S821" s="1">
        <f t="shared" si="74"/>
        <v>115.09693739770867</v>
      </c>
    </row>
    <row r="822" spans="1:19" x14ac:dyDescent="0.3">
      <c r="A822">
        <v>13401.4</v>
      </c>
      <c r="B822">
        <v>198.33500799999999</v>
      </c>
      <c r="C822">
        <v>206.041268</v>
      </c>
      <c r="D822">
        <v>214.41251199999999</v>
      </c>
      <c r="E822">
        <v>111.713947</v>
      </c>
      <c r="F822">
        <v>80.661451999999997</v>
      </c>
      <c r="G822">
        <v>50.074150000000003</v>
      </c>
      <c r="H822">
        <v>54.828468999999998</v>
      </c>
      <c r="I822"/>
      <c r="N822"/>
      <c r="O822"/>
      <c r="P822" s="1">
        <f t="shared" si="71"/>
        <v>202.33445731707317</v>
      </c>
      <c r="Q822" s="1">
        <f t="shared" si="72"/>
        <v>210.21371544715447</v>
      </c>
      <c r="R822" s="1">
        <f t="shared" si="73"/>
        <v>219.47021923116145</v>
      </c>
      <c r="S822" s="1">
        <f t="shared" si="74"/>
        <v>115.09693739770867</v>
      </c>
    </row>
    <row r="823" spans="1:19" x14ac:dyDescent="0.3">
      <c r="A823">
        <v>13401.6</v>
      </c>
      <c r="B823">
        <v>198.32403299999999</v>
      </c>
      <c r="C823">
        <v>206.05657600000001</v>
      </c>
      <c r="D823">
        <v>214.41605200000001</v>
      </c>
      <c r="E823">
        <v>111.68152600000001</v>
      </c>
      <c r="F823">
        <v>80.959956000000005</v>
      </c>
      <c r="G823">
        <v>50.074150000000003</v>
      </c>
      <c r="H823">
        <v>54.828468999999998</v>
      </c>
      <c r="I823"/>
      <c r="N823"/>
      <c r="O823"/>
      <c r="P823" s="1">
        <f t="shared" si="71"/>
        <v>202.36151321138212</v>
      </c>
      <c r="Q823" s="1">
        <f t="shared" si="72"/>
        <v>210.1926036585366</v>
      </c>
      <c r="R823" s="1">
        <f t="shared" si="73"/>
        <v>219.49360660752524</v>
      </c>
      <c r="S823" s="1">
        <f t="shared" si="74"/>
        <v>115.05432385433716</v>
      </c>
    </row>
    <row r="824" spans="1:19" x14ac:dyDescent="0.3">
      <c r="A824">
        <v>13401.8</v>
      </c>
      <c r="B824">
        <v>198.32403299999999</v>
      </c>
      <c r="C824">
        <v>206.05657600000001</v>
      </c>
      <c r="D824">
        <v>214.41605200000001</v>
      </c>
      <c r="E824">
        <v>111.68152600000001</v>
      </c>
      <c r="F824">
        <v>80.959956000000005</v>
      </c>
      <c r="G824">
        <v>50.077727000000003</v>
      </c>
      <c r="H824">
        <v>54.798392999999997</v>
      </c>
      <c r="I824"/>
      <c r="N824"/>
      <c r="O824"/>
      <c r="P824" s="1">
        <f t="shared" si="71"/>
        <v>202.36151321138212</v>
      </c>
      <c r="Q824" s="1">
        <f t="shared" si="72"/>
        <v>210.1926036585366</v>
      </c>
      <c r="R824" s="1">
        <f t="shared" si="73"/>
        <v>219.49360660752524</v>
      </c>
      <c r="S824" s="1">
        <f t="shared" si="74"/>
        <v>115.05432385433716</v>
      </c>
    </row>
    <row r="825" spans="1:19" x14ac:dyDescent="0.3">
      <c r="A825"/>
      <c r="B825"/>
      <c r="C825"/>
      <c r="D825"/>
      <c r="E825"/>
      <c r="F825"/>
      <c r="G825"/>
      <c r="H825"/>
      <c r="I825"/>
      <c r="N825"/>
      <c r="O825"/>
      <c r="P825" s="1">
        <f t="shared" si="71"/>
        <v>202.34494004065039</v>
      </c>
      <c r="Q825" s="1">
        <f t="shared" si="72"/>
        <v>210.2094156504065</v>
      </c>
      <c r="R825" s="1">
        <f t="shared" si="73"/>
        <v>219.44837259100643</v>
      </c>
      <c r="S825" s="1">
        <f t="shared" si="74"/>
        <v>115.11527925531915</v>
      </c>
    </row>
    <row r="826" spans="1:19" x14ac:dyDescent="0.3">
      <c r="A826"/>
      <c r="B826"/>
      <c r="C826"/>
      <c r="D826"/>
      <c r="E826"/>
      <c r="F826"/>
      <c r="G826"/>
      <c r="H826"/>
      <c r="I826"/>
      <c r="N826"/>
      <c r="O826"/>
      <c r="P826" s="1">
        <f t="shared" si="71"/>
        <v>202.34494004065039</v>
      </c>
      <c r="Q826" s="1">
        <f t="shared" si="72"/>
        <v>210.2094156504065</v>
      </c>
      <c r="R826" s="1">
        <f t="shared" si="73"/>
        <v>219.44837259100643</v>
      </c>
      <c r="S826" s="1">
        <f t="shared" si="74"/>
        <v>115.11527925531915</v>
      </c>
    </row>
    <row r="827" spans="1:19" x14ac:dyDescent="0.3">
      <c r="A827"/>
      <c r="B827"/>
      <c r="C827"/>
      <c r="D827"/>
      <c r="E827"/>
      <c r="F827"/>
      <c r="G827"/>
      <c r="H827"/>
      <c r="I827"/>
      <c r="N827"/>
      <c r="O827"/>
      <c r="P827" s="1">
        <f t="shared" si="71"/>
        <v>202.35901219512195</v>
      </c>
      <c r="Q827" s="1">
        <f t="shared" si="72"/>
        <v>210.17220731707317</v>
      </c>
      <c r="R827" s="1">
        <f t="shared" si="73"/>
        <v>219.464051187927</v>
      </c>
      <c r="S827" s="1">
        <f t="shared" si="74"/>
        <v>115.0611763502455</v>
      </c>
    </row>
    <row r="828" spans="1:19" x14ac:dyDescent="0.3">
      <c r="A828"/>
      <c r="B828"/>
      <c r="C828"/>
      <c r="D828"/>
      <c r="E828"/>
      <c r="F828"/>
      <c r="G828"/>
      <c r="H828"/>
      <c r="I828"/>
      <c r="N828"/>
      <c r="O828"/>
      <c r="P828" s="1">
        <f t="shared" si="71"/>
        <v>202.35901219512195</v>
      </c>
      <c r="Q828" s="1">
        <f t="shared" si="72"/>
        <v>210.17220731707317</v>
      </c>
      <c r="R828" s="1">
        <f t="shared" si="73"/>
        <v>219.464051187927</v>
      </c>
      <c r="S828" s="1">
        <f t="shared" si="74"/>
        <v>115.0611763502455</v>
      </c>
    </row>
    <row r="829" spans="1:19" x14ac:dyDescent="0.3">
      <c r="A829"/>
      <c r="B829"/>
      <c r="C829"/>
      <c r="D829"/>
      <c r="E829"/>
      <c r="F829"/>
      <c r="G829"/>
      <c r="H829"/>
      <c r="I829"/>
      <c r="N829"/>
      <c r="O829"/>
      <c r="P829" s="1">
        <f t="shared" si="71"/>
        <v>202.31895833333331</v>
      </c>
      <c r="Q829" s="1">
        <f t="shared" si="72"/>
        <v>210.2072693089431</v>
      </c>
      <c r="R829" s="1">
        <f t="shared" si="73"/>
        <v>219.46143061078823</v>
      </c>
      <c r="S829" s="1">
        <f t="shared" si="74"/>
        <v>115.11086743044189</v>
      </c>
    </row>
    <row r="830" spans="1:19" x14ac:dyDescent="0.3">
      <c r="A830"/>
      <c r="B830"/>
      <c r="C830"/>
      <c r="D830"/>
      <c r="E830"/>
      <c r="F830"/>
      <c r="G830"/>
      <c r="H830"/>
      <c r="I830"/>
      <c r="N830"/>
      <c r="O830"/>
      <c r="P830" s="1">
        <f t="shared" si="71"/>
        <v>202.31895833333331</v>
      </c>
      <c r="Q830" s="1">
        <f t="shared" si="72"/>
        <v>210.2072693089431</v>
      </c>
      <c r="R830" s="1">
        <f t="shared" si="73"/>
        <v>219.46143061078823</v>
      </c>
      <c r="S830" s="1">
        <f t="shared" si="74"/>
        <v>115.11086743044189</v>
      </c>
    </row>
    <row r="831" spans="1:19" x14ac:dyDescent="0.3">
      <c r="A831"/>
      <c r="B831"/>
      <c r="C831"/>
      <c r="D831"/>
      <c r="E831"/>
      <c r="F831"/>
      <c r="G831"/>
      <c r="H831"/>
      <c r="I831"/>
      <c r="N831"/>
      <c r="O831"/>
      <c r="P831" s="1">
        <f t="shared" si="71"/>
        <v>202.33172662601626</v>
      </c>
      <c r="Q831" s="1">
        <f t="shared" si="72"/>
        <v>210.16947052845529</v>
      </c>
      <c r="R831" s="1">
        <f t="shared" si="73"/>
        <v>219.47129907209137</v>
      </c>
      <c r="S831" s="1">
        <f t="shared" si="74"/>
        <v>115.1428160801964</v>
      </c>
    </row>
    <row r="832" spans="1:19" x14ac:dyDescent="0.3">
      <c r="A832"/>
      <c r="B832"/>
      <c r="C832"/>
      <c r="D832"/>
      <c r="E832"/>
      <c r="F832"/>
      <c r="G832"/>
      <c r="H832"/>
      <c r="I832"/>
      <c r="N832"/>
      <c r="O832"/>
      <c r="P832" s="1">
        <f t="shared" si="71"/>
        <v>202.33172662601626</v>
      </c>
      <c r="Q832" s="1">
        <f t="shared" si="72"/>
        <v>210.16947052845529</v>
      </c>
      <c r="R832" s="1">
        <f t="shared" si="73"/>
        <v>219.47129907209137</v>
      </c>
      <c r="S832" s="1">
        <f t="shared" si="74"/>
        <v>115.1428160801964</v>
      </c>
    </row>
    <row r="833" spans="1:19" x14ac:dyDescent="0.3">
      <c r="A833"/>
      <c r="B833"/>
      <c r="C833"/>
      <c r="D833"/>
      <c r="E833"/>
      <c r="F833"/>
      <c r="G833"/>
      <c r="H833"/>
      <c r="I833"/>
      <c r="N833"/>
      <c r="O833"/>
      <c r="P833" s="1">
        <f t="shared" si="71"/>
        <v>202.32853861788615</v>
      </c>
      <c r="Q833" s="1">
        <f t="shared" si="72"/>
        <v>210.18846646341461</v>
      </c>
      <c r="R833" s="1">
        <f t="shared" si="73"/>
        <v>219.46669827674111</v>
      </c>
      <c r="S833" s="1">
        <f t="shared" si="74"/>
        <v>115.14458674304419</v>
      </c>
    </row>
    <row r="834" spans="1:19" x14ac:dyDescent="0.3">
      <c r="A834"/>
      <c r="B834"/>
      <c r="C834"/>
      <c r="D834"/>
      <c r="E834"/>
      <c r="F834"/>
      <c r="G834"/>
      <c r="H834"/>
      <c r="I834"/>
      <c r="N834"/>
      <c r="O834"/>
      <c r="P834" s="1">
        <f t="shared" si="71"/>
        <v>202.32853861788615</v>
      </c>
      <c r="Q834" s="1">
        <f t="shared" si="72"/>
        <v>210.18846646341461</v>
      </c>
      <c r="R834" s="1">
        <f t="shared" si="73"/>
        <v>219.46669827674111</v>
      </c>
      <c r="S834" s="1">
        <f t="shared" si="74"/>
        <v>115.14458674304419</v>
      </c>
    </row>
    <row r="835" spans="1:19" x14ac:dyDescent="0.3">
      <c r="A835"/>
      <c r="B835"/>
      <c r="C835"/>
      <c r="D835"/>
      <c r="E835"/>
      <c r="F835"/>
      <c r="G835"/>
      <c r="H835"/>
      <c r="I835"/>
      <c r="N835"/>
      <c r="O835"/>
      <c r="P835" s="1">
        <f t="shared" si="71"/>
        <v>202.32934857723575</v>
      </c>
      <c r="Q835" s="1">
        <f t="shared" si="72"/>
        <v>210.17591666666667</v>
      </c>
      <c r="R835" s="1">
        <f t="shared" si="73"/>
        <v>219.45183542367698</v>
      </c>
      <c r="S835" s="1">
        <f t="shared" si="74"/>
        <v>115.23665098199672</v>
      </c>
    </row>
    <row r="836" spans="1:19" x14ac:dyDescent="0.3">
      <c r="A836"/>
      <c r="B836"/>
      <c r="C836"/>
      <c r="D836"/>
      <c r="E836"/>
      <c r="F836"/>
      <c r="G836"/>
      <c r="H836"/>
      <c r="I836"/>
      <c r="N836"/>
      <c r="O836"/>
      <c r="P836" s="1">
        <f t="shared" si="71"/>
        <v>202.32934857723575</v>
      </c>
      <c r="Q836" s="1">
        <f t="shared" si="72"/>
        <v>210.17591666666667</v>
      </c>
      <c r="R836" s="1">
        <f t="shared" si="73"/>
        <v>219.45183542367698</v>
      </c>
      <c r="S836" s="1">
        <f t="shared" si="74"/>
        <v>115.23665098199672</v>
      </c>
    </row>
    <row r="837" spans="1:19" x14ac:dyDescent="0.3">
      <c r="A837"/>
      <c r="B837"/>
      <c r="C837"/>
      <c r="D837"/>
      <c r="E837"/>
      <c r="F837"/>
      <c r="G837"/>
      <c r="H837"/>
      <c r="I837"/>
      <c r="N837"/>
      <c r="O837"/>
      <c r="P837" s="1">
        <f t="shared" si="71"/>
        <v>202.33840142276424</v>
      </c>
      <c r="Q837" s="1">
        <f t="shared" si="72"/>
        <v>210.2054949186992</v>
      </c>
      <c r="R837" s="1">
        <f t="shared" si="73"/>
        <v>219.45634138880393</v>
      </c>
      <c r="S837" s="1">
        <f t="shared" si="74"/>
        <v>115.23780789689035</v>
      </c>
    </row>
    <row r="838" spans="1:19" x14ac:dyDescent="0.3">
      <c r="A838"/>
      <c r="B838"/>
      <c r="C838"/>
      <c r="D838"/>
      <c r="E838"/>
      <c r="F838"/>
      <c r="G838"/>
      <c r="H838"/>
      <c r="I838"/>
      <c r="N838"/>
      <c r="O838"/>
      <c r="P838" s="1">
        <f t="shared" si="71"/>
        <v>202.33840142276424</v>
      </c>
      <c r="Q838" s="1">
        <f t="shared" si="72"/>
        <v>210.2054949186992</v>
      </c>
      <c r="R838" s="1">
        <f t="shared" si="73"/>
        <v>219.45634138880393</v>
      </c>
      <c r="S838" s="1">
        <f t="shared" si="74"/>
        <v>115.23780789689035</v>
      </c>
    </row>
    <row r="839" spans="1:19" x14ac:dyDescent="0.3">
      <c r="A839"/>
      <c r="B839"/>
      <c r="C839"/>
      <c r="D839"/>
      <c r="E839"/>
      <c r="F839"/>
      <c r="G839"/>
      <c r="H839"/>
      <c r="I839"/>
      <c r="N839"/>
      <c r="O839"/>
      <c r="P839" s="1">
        <f t="shared" si="71"/>
        <v>202.35925609756094</v>
      </c>
      <c r="Q839" s="1">
        <f t="shared" si="72"/>
        <v>210.19082113821139</v>
      </c>
      <c r="R839" s="1">
        <f t="shared" si="73"/>
        <v>219.45835831548894</v>
      </c>
      <c r="S839" s="1">
        <f t="shared" si="74"/>
        <v>115.21864463993454</v>
      </c>
    </row>
    <row r="840" spans="1:19" x14ac:dyDescent="0.3">
      <c r="A840"/>
      <c r="B840"/>
      <c r="C840"/>
      <c r="D840"/>
      <c r="E840"/>
      <c r="F840"/>
      <c r="G840"/>
      <c r="H840"/>
      <c r="I840"/>
      <c r="N840"/>
      <c r="O840"/>
      <c r="P840" s="1">
        <f t="shared" si="71"/>
        <v>202.35925609756094</v>
      </c>
      <c r="Q840" s="1">
        <f t="shared" si="72"/>
        <v>210.19082113821139</v>
      </c>
      <c r="R840" s="1">
        <f t="shared" si="73"/>
        <v>219.45835831548894</v>
      </c>
      <c r="S840" s="1">
        <f t="shared" si="74"/>
        <v>115.21864463993454</v>
      </c>
    </row>
    <row r="841" spans="1:19" x14ac:dyDescent="0.3">
      <c r="A841"/>
      <c r="B841"/>
      <c r="C841"/>
      <c r="D841"/>
      <c r="E841"/>
      <c r="F841"/>
      <c r="G841"/>
      <c r="H841"/>
      <c r="I841"/>
      <c r="N841"/>
      <c r="O841"/>
      <c r="P841" s="1">
        <f t="shared" si="71"/>
        <v>202.34810264227639</v>
      </c>
      <c r="Q841" s="1">
        <f t="shared" si="72"/>
        <v>210.20637804878049</v>
      </c>
      <c r="R841" s="1">
        <f t="shared" si="73"/>
        <v>219.46196798205366</v>
      </c>
      <c r="S841" s="1">
        <f t="shared" si="74"/>
        <v>115.18548076923076</v>
      </c>
    </row>
    <row r="842" spans="1:19" x14ac:dyDescent="0.3">
      <c r="A842"/>
      <c r="B842"/>
      <c r="C842"/>
      <c r="D842"/>
      <c r="E842"/>
      <c r="F842"/>
      <c r="G842"/>
      <c r="H842"/>
      <c r="I842"/>
      <c r="N842"/>
      <c r="O842"/>
      <c r="P842" s="1">
        <f t="shared" si="71"/>
        <v>202.34810264227639</v>
      </c>
      <c r="Q842" s="1">
        <f t="shared" si="72"/>
        <v>210.20637804878049</v>
      </c>
      <c r="R842" s="1">
        <f t="shared" si="73"/>
        <v>219.46196798205366</v>
      </c>
      <c r="S842" s="1">
        <f t="shared" si="74"/>
        <v>115.18548076923076</v>
      </c>
    </row>
    <row r="843" spans="1:19" x14ac:dyDescent="0.3">
      <c r="A843"/>
      <c r="B843"/>
      <c r="C843"/>
      <c r="D843"/>
      <c r="E843"/>
      <c r="F843"/>
      <c r="G843"/>
      <c r="H843"/>
      <c r="I843"/>
      <c r="N843"/>
      <c r="O843"/>
      <c r="P843" s="1">
        <f t="shared" si="71"/>
        <v>0.79928861788617889</v>
      </c>
      <c r="Q843" s="1">
        <f t="shared" si="72"/>
        <v>0.79928861788617889</v>
      </c>
      <c r="R843" s="1">
        <f t="shared" si="73"/>
        <v>0.82624655858060569</v>
      </c>
      <c r="S843" s="1">
        <f t="shared" si="74"/>
        <v>0.94496726677577736</v>
      </c>
    </row>
    <row r="844" spans="1:19" x14ac:dyDescent="0.3">
      <c r="A844"/>
      <c r="B844"/>
      <c r="C844"/>
      <c r="D844"/>
      <c r="E844"/>
      <c r="F844"/>
      <c r="G844"/>
      <c r="H844"/>
      <c r="I844"/>
      <c r="N844"/>
      <c r="O844"/>
      <c r="P844" s="1">
        <f t="shared" si="71"/>
        <v>0.79928861788617889</v>
      </c>
      <c r="Q844" s="1">
        <f t="shared" si="72"/>
        <v>0.79928861788617889</v>
      </c>
      <c r="R844" s="1">
        <f t="shared" si="73"/>
        <v>0.82624655858060569</v>
      </c>
      <c r="S844" s="1">
        <f t="shared" si="74"/>
        <v>0.94496726677577736</v>
      </c>
    </row>
    <row r="845" spans="1:19" x14ac:dyDescent="0.3">
      <c r="A845"/>
      <c r="B845"/>
      <c r="C845"/>
      <c r="D845"/>
      <c r="E845"/>
      <c r="F845"/>
      <c r="G845"/>
      <c r="H845"/>
      <c r="I845"/>
      <c r="N845"/>
      <c r="O845"/>
      <c r="P845" s="1">
        <f t="shared" si="71"/>
        <v>0.79928861788617889</v>
      </c>
      <c r="Q845" s="1">
        <f t="shared" si="72"/>
        <v>0.79928861788617889</v>
      </c>
      <c r="R845" s="1">
        <f t="shared" si="73"/>
        <v>0.82624655858060569</v>
      </c>
      <c r="S845" s="1">
        <f t="shared" si="74"/>
        <v>0.94496726677577736</v>
      </c>
    </row>
    <row r="846" spans="1:19" x14ac:dyDescent="0.3">
      <c r="A846"/>
      <c r="B846"/>
      <c r="C846"/>
      <c r="D846"/>
      <c r="E846"/>
      <c r="F846"/>
      <c r="G846"/>
      <c r="H846"/>
      <c r="I846"/>
      <c r="N846"/>
      <c r="O846"/>
      <c r="P846" s="1">
        <f t="shared" si="71"/>
        <v>0.79928861788617889</v>
      </c>
      <c r="Q846" s="1">
        <f t="shared" si="72"/>
        <v>0.79928861788617889</v>
      </c>
      <c r="R846" s="1">
        <f t="shared" si="73"/>
        <v>0.82624655858060569</v>
      </c>
      <c r="S846" s="1">
        <f t="shared" si="74"/>
        <v>0.94496726677577736</v>
      </c>
    </row>
    <row r="847" spans="1:19" x14ac:dyDescent="0.3">
      <c r="A847"/>
      <c r="B847"/>
      <c r="C847"/>
      <c r="D847"/>
      <c r="E847"/>
      <c r="F847"/>
      <c r="G847"/>
      <c r="H847"/>
      <c r="I847"/>
      <c r="N847"/>
      <c r="O847"/>
      <c r="P847" s="1">
        <f t="shared" si="71"/>
        <v>0.79928861788617889</v>
      </c>
      <c r="Q847" s="1">
        <f t="shared" si="72"/>
        <v>0.79928861788617889</v>
      </c>
      <c r="R847" s="1">
        <f t="shared" si="73"/>
        <v>0.82624655858060569</v>
      </c>
      <c r="S847" s="1">
        <f t="shared" si="74"/>
        <v>0.94496726677577736</v>
      </c>
    </row>
    <row r="848" spans="1:19" x14ac:dyDescent="0.3">
      <c r="A848"/>
      <c r="B848"/>
      <c r="C848"/>
      <c r="D848"/>
      <c r="E848"/>
      <c r="F848"/>
      <c r="G848"/>
      <c r="H848"/>
      <c r="I848"/>
      <c r="N848"/>
      <c r="O848"/>
      <c r="P848" s="1">
        <f t="shared" si="71"/>
        <v>0.79928861788617889</v>
      </c>
      <c r="Q848" s="1">
        <f t="shared" si="72"/>
        <v>0.79928861788617889</v>
      </c>
      <c r="R848" s="1">
        <f t="shared" si="73"/>
        <v>0.82624655858060569</v>
      </c>
      <c r="S848" s="1">
        <f t="shared" si="74"/>
        <v>0.94496726677577736</v>
      </c>
    </row>
    <row r="849" spans="1:19" x14ac:dyDescent="0.3">
      <c r="A849"/>
      <c r="B849"/>
      <c r="C849"/>
      <c r="D849"/>
      <c r="E849"/>
      <c r="F849"/>
      <c r="G849"/>
      <c r="H849"/>
      <c r="I849"/>
      <c r="N849"/>
      <c r="O849"/>
      <c r="P849" s="1">
        <f t="shared" si="71"/>
        <v>0.79928861788617889</v>
      </c>
      <c r="Q849" s="1">
        <f t="shared" si="72"/>
        <v>0.79928861788617889</v>
      </c>
      <c r="R849" s="1">
        <f t="shared" si="73"/>
        <v>0.82624655858060569</v>
      </c>
      <c r="S849" s="1">
        <f t="shared" si="74"/>
        <v>0.94496726677577736</v>
      </c>
    </row>
    <row r="850" spans="1:19" x14ac:dyDescent="0.3">
      <c r="A850"/>
      <c r="B850"/>
      <c r="C850"/>
      <c r="D850"/>
      <c r="E850"/>
      <c r="F850"/>
      <c r="G850"/>
      <c r="H850"/>
      <c r="I850"/>
      <c r="N850"/>
      <c r="O850"/>
      <c r="P850" s="1">
        <f t="shared" si="71"/>
        <v>0.79928861788617889</v>
      </c>
      <c r="Q850" s="1">
        <f t="shared" si="72"/>
        <v>0.79928861788617889</v>
      </c>
      <c r="R850" s="1">
        <f t="shared" si="73"/>
        <v>0.82624655858060569</v>
      </c>
      <c r="S850" s="1">
        <f t="shared" si="74"/>
        <v>0.94496726677577736</v>
      </c>
    </row>
    <row r="851" spans="1:19" x14ac:dyDescent="0.3">
      <c r="A851"/>
      <c r="B851"/>
      <c r="C851"/>
      <c r="D851"/>
      <c r="E851"/>
      <c r="F851"/>
      <c r="G851"/>
      <c r="H851"/>
      <c r="I851"/>
      <c r="N851"/>
      <c r="O851"/>
      <c r="P851" s="1">
        <f t="shared" si="71"/>
        <v>0.79928861788617889</v>
      </c>
      <c r="Q851" s="1">
        <f t="shared" si="72"/>
        <v>0.79928861788617889</v>
      </c>
      <c r="R851" s="1">
        <f t="shared" si="73"/>
        <v>0.82624655858060569</v>
      </c>
      <c r="S851" s="1">
        <f t="shared" si="74"/>
        <v>0.94496726677577736</v>
      </c>
    </row>
    <row r="852" spans="1:19" x14ac:dyDescent="0.3">
      <c r="A852"/>
      <c r="B852"/>
      <c r="C852"/>
      <c r="D852"/>
      <c r="E852"/>
      <c r="F852"/>
      <c r="G852"/>
      <c r="H852"/>
      <c r="I852"/>
      <c r="N852"/>
      <c r="O852"/>
      <c r="P852" s="1">
        <f t="shared" si="71"/>
        <v>0.79928861788617889</v>
      </c>
      <c r="Q852" s="1">
        <f t="shared" si="72"/>
        <v>0.79928861788617889</v>
      </c>
      <c r="R852" s="1">
        <f t="shared" si="73"/>
        <v>0.82624655858060569</v>
      </c>
      <c r="S852" s="1">
        <f t="shared" si="74"/>
        <v>0.94496726677577736</v>
      </c>
    </row>
    <row r="853" spans="1:19" x14ac:dyDescent="0.3">
      <c r="A853"/>
      <c r="B853"/>
      <c r="C853"/>
      <c r="D853"/>
      <c r="E853"/>
      <c r="F853"/>
      <c r="G853"/>
      <c r="H853"/>
      <c r="I853"/>
      <c r="N853"/>
      <c r="O853"/>
      <c r="P853" s="1">
        <f t="shared" si="71"/>
        <v>0.79928861788617889</v>
      </c>
      <c r="Q853" s="1">
        <f t="shared" si="72"/>
        <v>0.79928861788617889</v>
      </c>
      <c r="R853" s="1">
        <f t="shared" si="73"/>
        <v>0.82624655858060569</v>
      </c>
      <c r="S853" s="1">
        <f t="shared" si="74"/>
        <v>0.94496726677577736</v>
      </c>
    </row>
    <row r="854" spans="1:19" x14ac:dyDescent="0.3">
      <c r="A854"/>
      <c r="B854"/>
      <c r="C854"/>
      <c r="D854"/>
      <c r="E854"/>
      <c r="F854"/>
      <c r="G854"/>
      <c r="H854"/>
      <c r="I854"/>
      <c r="N854"/>
      <c r="O854"/>
      <c r="P854" s="1">
        <f t="shared" si="71"/>
        <v>0.79928861788617889</v>
      </c>
      <c r="Q854" s="1">
        <f t="shared" si="72"/>
        <v>0.79928861788617889</v>
      </c>
      <c r="R854" s="1">
        <f t="shared" si="73"/>
        <v>0.82624655858060569</v>
      </c>
      <c r="S854" s="1">
        <f t="shared" si="74"/>
        <v>0.94496726677577736</v>
      </c>
    </row>
    <row r="855" spans="1:19" x14ac:dyDescent="0.3">
      <c r="A855"/>
      <c r="B855"/>
      <c r="C855"/>
      <c r="D855"/>
      <c r="E855"/>
      <c r="F855"/>
      <c r="G855"/>
      <c r="H855"/>
      <c r="I855"/>
      <c r="N855"/>
      <c r="O855"/>
      <c r="P855" s="1">
        <f t="shared" si="71"/>
        <v>0.79928861788617889</v>
      </c>
      <c r="Q855" s="1">
        <f t="shared" si="72"/>
        <v>0.79928861788617889</v>
      </c>
      <c r="R855" s="1">
        <f t="shared" si="73"/>
        <v>0.82624655858060569</v>
      </c>
      <c r="S855" s="1">
        <f t="shared" si="74"/>
        <v>0.94496726677577736</v>
      </c>
    </row>
    <row r="856" spans="1:19" x14ac:dyDescent="0.3">
      <c r="A856"/>
      <c r="B856"/>
      <c r="C856"/>
      <c r="D856"/>
      <c r="E856"/>
      <c r="F856"/>
      <c r="G856"/>
      <c r="H856"/>
      <c r="I856"/>
      <c r="N856"/>
      <c r="O856"/>
      <c r="P856" s="1">
        <f t="shared" si="71"/>
        <v>0.79928861788617889</v>
      </c>
      <c r="Q856" s="1">
        <f t="shared" si="72"/>
        <v>0.79928861788617889</v>
      </c>
      <c r="R856" s="1">
        <f t="shared" si="73"/>
        <v>0.82624655858060569</v>
      </c>
      <c r="S856" s="1">
        <f t="shared" si="74"/>
        <v>0.94496726677577736</v>
      </c>
    </row>
    <row r="857" spans="1:19" x14ac:dyDescent="0.3">
      <c r="A857"/>
      <c r="B857"/>
      <c r="C857"/>
      <c r="D857"/>
      <c r="E857"/>
      <c r="F857"/>
      <c r="G857"/>
      <c r="H857"/>
      <c r="I857"/>
      <c r="N857"/>
      <c r="O857"/>
      <c r="P857" s="1">
        <f t="shared" si="71"/>
        <v>0.79928861788617889</v>
      </c>
      <c r="Q857" s="1">
        <f t="shared" si="72"/>
        <v>0.79928861788617889</v>
      </c>
      <c r="R857" s="1">
        <f t="shared" si="73"/>
        <v>0.82624655858060569</v>
      </c>
      <c r="S857" s="1">
        <f t="shared" si="74"/>
        <v>0.94496726677577736</v>
      </c>
    </row>
    <row r="858" spans="1:19" x14ac:dyDescent="0.3">
      <c r="A858"/>
      <c r="B858"/>
      <c r="C858"/>
      <c r="D858"/>
      <c r="E858"/>
      <c r="F858"/>
      <c r="G858"/>
      <c r="H858"/>
      <c r="I858"/>
      <c r="N858"/>
      <c r="O858"/>
      <c r="P858" s="1">
        <f t="shared" si="71"/>
        <v>0.79928861788617889</v>
      </c>
      <c r="Q858" s="1">
        <f t="shared" si="72"/>
        <v>0.79928861788617889</v>
      </c>
      <c r="R858" s="1">
        <f t="shared" si="73"/>
        <v>0.82624655858060569</v>
      </c>
      <c r="S858" s="1">
        <f t="shared" si="74"/>
        <v>0.94496726677577736</v>
      </c>
    </row>
    <row r="859" spans="1:19" x14ac:dyDescent="0.3">
      <c r="A859"/>
      <c r="B859"/>
      <c r="C859"/>
      <c r="D859"/>
      <c r="E859"/>
      <c r="F859"/>
      <c r="G859"/>
      <c r="H859"/>
      <c r="I859"/>
      <c r="N859"/>
      <c r="O859"/>
      <c r="P859" s="1">
        <f t="shared" si="71"/>
        <v>0.79928861788617889</v>
      </c>
      <c r="Q859" s="1">
        <f t="shared" si="72"/>
        <v>0.79928861788617889</v>
      </c>
      <c r="R859" s="1">
        <f t="shared" si="73"/>
        <v>0.82624655858060569</v>
      </c>
      <c r="S859" s="1">
        <f t="shared" si="74"/>
        <v>0.94496726677577736</v>
      </c>
    </row>
    <row r="860" spans="1:19" x14ac:dyDescent="0.3">
      <c r="A860"/>
      <c r="B860"/>
      <c r="C860"/>
      <c r="D860"/>
      <c r="E860"/>
      <c r="F860"/>
      <c r="G860"/>
      <c r="H860"/>
      <c r="I860"/>
      <c r="N860"/>
      <c r="O860"/>
      <c r="P860" s="1">
        <f t="shared" si="71"/>
        <v>0.79928861788617889</v>
      </c>
      <c r="Q860" s="1">
        <f t="shared" si="72"/>
        <v>0.79928861788617889</v>
      </c>
      <c r="R860" s="1">
        <f t="shared" si="73"/>
        <v>0.82624655858060569</v>
      </c>
      <c r="S860" s="1">
        <f t="shared" si="74"/>
        <v>0.94496726677577736</v>
      </c>
    </row>
    <row r="861" spans="1:19" x14ac:dyDescent="0.3">
      <c r="A861"/>
      <c r="B861"/>
      <c r="C861"/>
      <c r="D861"/>
      <c r="E861"/>
      <c r="F861"/>
      <c r="G861"/>
      <c r="H861"/>
      <c r="I861"/>
      <c r="N861"/>
      <c r="O861"/>
      <c r="P861" s="1">
        <f t="shared" si="71"/>
        <v>0.79928861788617889</v>
      </c>
      <c r="Q861" s="1">
        <f t="shared" si="72"/>
        <v>0.79928861788617889</v>
      </c>
      <c r="R861" s="1">
        <f t="shared" si="73"/>
        <v>0.82624655858060569</v>
      </c>
      <c r="S861" s="1">
        <f t="shared" si="74"/>
        <v>0.94496726677577736</v>
      </c>
    </row>
    <row r="862" spans="1:19" x14ac:dyDescent="0.3">
      <c r="A862"/>
      <c r="B862"/>
      <c r="C862"/>
      <c r="D862"/>
      <c r="E862"/>
      <c r="F862"/>
      <c r="G862"/>
      <c r="H862"/>
      <c r="I862"/>
      <c r="N862"/>
      <c r="O862"/>
      <c r="P862" s="1">
        <f t="shared" si="71"/>
        <v>0.79928861788617889</v>
      </c>
      <c r="Q862" s="1">
        <f t="shared" si="72"/>
        <v>0.79928861788617889</v>
      </c>
      <c r="R862" s="1">
        <f t="shared" si="73"/>
        <v>0.82624655858060569</v>
      </c>
      <c r="S862" s="1">
        <f t="shared" si="74"/>
        <v>0.94496726677577736</v>
      </c>
    </row>
    <row r="863" spans="1:19" x14ac:dyDescent="0.3">
      <c r="A863"/>
      <c r="B863"/>
      <c r="C863"/>
      <c r="D863"/>
      <c r="E863"/>
      <c r="F863"/>
      <c r="G863"/>
      <c r="H863"/>
      <c r="I863"/>
      <c r="N863"/>
      <c r="O863"/>
      <c r="P863" s="1">
        <f t="shared" si="71"/>
        <v>0.79928861788617889</v>
      </c>
      <c r="Q863" s="1">
        <f t="shared" si="72"/>
        <v>0.79928861788617889</v>
      </c>
      <c r="R863" s="1">
        <f t="shared" si="73"/>
        <v>0.82624655858060569</v>
      </c>
      <c r="S863" s="1">
        <f t="shared" si="74"/>
        <v>0.94496726677577736</v>
      </c>
    </row>
    <row r="864" spans="1:19" x14ac:dyDescent="0.3">
      <c r="A864"/>
      <c r="B864"/>
      <c r="C864"/>
      <c r="D864"/>
      <c r="E864"/>
      <c r="F864"/>
      <c r="G864"/>
      <c r="H864"/>
      <c r="I864"/>
      <c r="N864"/>
      <c r="O864"/>
      <c r="P864" s="1">
        <f t="shared" si="71"/>
        <v>0.79928861788617889</v>
      </c>
      <c r="Q864" s="1">
        <f t="shared" si="72"/>
        <v>0.79928861788617889</v>
      </c>
      <c r="R864" s="1">
        <f t="shared" si="73"/>
        <v>0.82624655858060569</v>
      </c>
      <c r="S864" s="1">
        <f t="shared" si="74"/>
        <v>0.94496726677577736</v>
      </c>
    </row>
    <row r="865" spans="1:19" x14ac:dyDescent="0.3">
      <c r="A865"/>
      <c r="B865"/>
      <c r="C865"/>
      <c r="D865"/>
      <c r="E865"/>
      <c r="F865"/>
      <c r="G865"/>
      <c r="H865"/>
      <c r="I865"/>
      <c r="N865"/>
      <c r="O865"/>
      <c r="P865" s="1">
        <f t="shared" si="71"/>
        <v>0.79928861788617889</v>
      </c>
      <c r="Q865" s="1">
        <f t="shared" si="72"/>
        <v>0.79928861788617889</v>
      </c>
      <c r="R865" s="1">
        <f t="shared" si="73"/>
        <v>0.82624655858060569</v>
      </c>
      <c r="S865" s="1">
        <f t="shared" si="74"/>
        <v>0.94496726677577736</v>
      </c>
    </row>
    <row r="866" spans="1:19" x14ac:dyDescent="0.3">
      <c r="A866"/>
      <c r="B866"/>
      <c r="C866"/>
      <c r="D866"/>
      <c r="E866"/>
      <c r="F866"/>
      <c r="G866"/>
      <c r="H866"/>
      <c r="I866"/>
      <c r="N866"/>
      <c r="O866"/>
      <c r="P866" s="1">
        <f t="shared" si="71"/>
        <v>0.79928861788617889</v>
      </c>
      <c r="Q866" s="1">
        <f t="shared" si="72"/>
        <v>0.79928861788617889</v>
      </c>
      <c r="R866" s="1">
        <f t="shared" si="73"/>
        <v>0.82624655858060569</v>
      </c>
      <c r="S866" s="1">
        <f t="shared" si="74"/>
        <v>0.94496726677577736</v>
      </c>
    </row>
    <row r="867" spans="1:19" x14ac:dyDescent="0.3">
      <c r="A867"/>
      <c r="B867"/>
      <c r="C867"/>
      <c r="D867"/>
      <c r="E867"/>
      <c r="F867"/>
      <c r="G867"/>
      <c r="H867"/>
      <c r="I867"/>
      <c r="N867"/>
      <c r="O867"/>
      <c r="P867" s="1">
        <f t="shared" si="71"/>
        <v>0.79928861788617889</v>
      </c>
      <c r="Q867" s="1">
        <f t="shared" si="72"/>
        <v>0.79928861788617889</v>
      </c>
      <c r="R867" s="1">
        <f t="shared" si="73"/>
        <v>0.82624655858060569</v>
      </c>
      <c r="S867" s="1">
        <f t="shared" si="74"/>
        <v>0.94496726677577736</v>
      </c>
    </row>
    <row r="868" spans="1:19" x14ac:dyDescent="0.3">
      <c r="A868"/>
      <c r="B868"/>
      <c r="C868"/>
      <c r="D868"/>
      <c r="E868"/>
      <c r="F868"/>
      <c r="G868"/>
      <c r="H868"/>
      <c r="I868"/>
      <c r="N868"/>
      <c r="O868"/>
      <c r="P868" s="1">
        <f t="shared" si="71"/>
        <v>0.79928861788617889</v>
      </c>
      <c r="Q868" s="1">
        <f t="shared" si="72"/>
        <v>0.79928861788617889</v>
      </c>
      <c r="R868" s="1">
        <f t="shared" si="73"/>
        <v>0.82624655858060569</v>
      </c>
      <c r="S868" s="1">
        <f t="shared" si="74"/>
        <v>0.94496726677577736</v>
      </c>
    </row>
    <row r="869" spans="1:19" x14ac:dyDescent="0.3">
      <c r="A869"/>
      <c r="B869"/>
      <c r="C869"/>
      <c r="D869"/>
      <c r="E869"/>
      <c r="F869"/>
      <c r="G869"/>
      <c r="H869"/>
      <c r="I869"/>
      <c r="N869"/>
      <c r="O869"/>
      <c r="P869" s="1">
        <f t="shared" si="71"/>
        <v>0.79928861788617889</v>
      </c>
      <c r="Q869" s="1">
        <f t="shared" si="72"/>
        <v>0.79928861788617889</v>
      </c>
      <c r="R869" s="1">
        <f t="shared" si="73"/>
        <v>0.82624655858060569</v>
      </c>
      <c r="S869" s="1">
        <f t="shared" si="74"/>
        <v>0.94496726677577736</v>
      </c>
    </row>
    <row r="870" spans="1:19" x14ac:dyDescent="0.3">
      <c r="A870"/>
      <c r="B870"/>
      <c r="C870"/>
      <c r="D870"/>
      <c r="E870"/>
      <c r="F870"/>
      <c r="G870"/>
      <c r="H870"/>
      <c r="I870"/>
      <c r="N870"/>
      <c r="O870"/>
      <c r="P870" s="1">
        <f t="shared" si="71"/>
        <v>0.79928861788617889</v>
      </c>
      <c r="Q870" s="1">
        <f t="shared" si="72"/>
        <v>0.79928861788617889</v>
      </c>
      <c r="R870" s="1">
        <f t="shared" si="73"/>
        <v>0.82624655858060569</v>
      </c>
      <c r="S870" s="1">
        <f t="shared" si="74"/>
        <v>0.94496726677577736</v>
      </c>
    </row>
    <row r="871" spans="1:19" x14ac:dyDescent="0.3">
      <c r="A871"/>
      <c r="B871"/>
      <c r="C871"/>
      <c r="D871"/>
      <c r="E871"/>
      <c r="F871"/>
      <c r="G871"/>
      <c r="H871"/>
      <c r="I871"/>
      <c r="N871"/>
      <c r="O871"/>
      <c r="P871" s="1">
        <f t="shared" si="71"/>
        <v>0.79928861788617889</v>
      </c>
      <c r="Q871" s="1">
        <f t="shared" si="72"/>
        <v>0.79928861788617889</v>
      </c>
      <c r="R871" s="1">
        <f t="shared" si="73"/>
        <v>0.82624655858060569</v>
      </c>
      <c r="S871" s="1">
        <f t="shared" si="74"/>
        <v>0.94496726677577736</v>
      </c>
    </row>
    <row r="872" spans="1:19" x14ac:dyDescent="0.3">
      <c r="A872"/>
      <c r="B872"/>
      <c r="C872"/>
      <c r="D872"/>
      <c r="E872"/>
      <c r="F872"/>
      <c r="G872"/>
      <c r="H872"/>
      <c r="I872"/>
      <c r="N872"/>
      <c r="O872"/>
      <c r="P872" s="1">
        <f t="shared" si="71"/>
        <v>0.79928861788617889</v>
      </c>
      <c r="Q872" s="1">
        <f t="shared" si="72"/>
        <v>0.79928861788617889</v>
      </c>
      <c r="R872" s="1">
        <f t="shared" si="73"/>
        <v>0.82624655858060569</v>
      </c>
      <c r="S872" s="1">
        <f t="shared" si="74"/>
        <v>0.94496726677577736</v>
      </c>
    </row>
    <row r="873" spans="1:19" x14ac:dyDescent="0.3">
      <c r="A873"/>
      <c r="B873"/>
      <c r="C873"/>
      <c r="D873"/>
      <c r="E873"/>
      <c r="F873"/>
      <c r="G873"/>
      <c r="H873"/>
      <c r="I873"/>
      <c r="N873"/>
      <c r="O873"/>
      <c r="P873" s="1">
        <f t="shared" si="71"/>
        <v>0.79928861788617889</v>
      </c>
      <c r="Q873" s="1">
        <f t="shared" si="72"/>
        <v>0.79928861788617889</v>
      </c>
      <c r="R873" s="1">
        <f t="shared" si="73"/>
        <v>0.82624655858060569</v>
      </c>
      <c r="S873" s="1">
        <f t="shared" si="74"/>
        <v>0.94496726677577736</v>
      </c>
    </row>
    <row r="874" spans="1:19" x14ac:dyDescent="0.3">
      <c r="A874"/>
      <c r="B874"/>
      <c r="C874"/>
      <c r="D874"/>
      <c r="E874"/>
      <c r="F874"/>
      <c r="G874"/>
      <c r="H874"/>
      <c r="I874"/>
      <c r="N874"/>
      <c r="O874"/>
      <c r="P874" s="1">
        <f t="shared" si="71"/>
        <v>0.79928861788617889</v>
      </c>
      <c r="Q874" s="1">
        <f t="shared" si="72"/>
        <v>0.79928861788617889</v>
      </c>
      <c r="R874" s="1">
        <f t="shared" si="73"/>
        <v>0.82624655858060569</v>
      </c>
      <c r="S874" s="1">
        <f t="shared" si="74"/>
        <v>0.94496726677577736</v>
      </c>
    </row>
    <row r="875" spans="1:19" x14ac:dyDescent="0.3">
      <c r="A875"/>
      <c r="B875"/>
      <c r="C875"/>
      <c r="D875"/>
      <c r="E875"/>
      <c r="F875"/>
      <c r="G875"/>
      <c r="H875"/>
      <c r="I875"/>
      <c r="N875"/>
      <c r="O875"/>
      <c r="P875" s="1">
        <f t="shared" si="71"/>
        <v>0.79928861788617889</v>
      </c>
      <c r="Q875" s="1">
        <f t="shared" si="72"/>
        <v>0.79928861788617889</v>
      </c>
      <c r="R875" s="1">
        <f t="shared" si="73"/>
        <v>0.82624655858060569</v>
      </c>
      <c r="S875" s="1">
        <f t="shared" si="74"/>
        <v>0.94496726677577736</v>
      </c>
    </row>
    <row r="876" spans="1:19" x14ac:dyDescent="0.3">
      <c r="A876"/>
      <c r="B876"/>
      <c r="C876"/>
      <c r="D876"/>
      <c r="E876"/>
      <c r="F876"/>
      <c r="G876"/>
      <c r="H876"/>
      <c r="I876"/>
      <c r="N876"/>
      <c r="O876"/>
      <c r="P876" s="1">
        <f t="shared" ref="P876:P924" si="75">(B858+Q$36)/P$36</f>
        <v>0.79928861788617889</v>
      </c>
      <c r="Q876" s="1">
        <f t="shared" ref="Q876:Q924" si="76">(C858+Q$36)/P$36</f>
        <v>0.79928861788617889</v>
      </c>
      <c r="R876" s="1">
        <f t="shared" ref="R876:R924" si="77">(D858+Q$38)/P$38</f>
        <v>0.82624655858060569</v>
      </c>
      <c r="S876" s="1">
        <f t="shared" ref="S876:S924" si="78">(E858+Q$39)/P$39</f>
        <v>0.94496726677577736</v>
      </c>
    </row>
    <row r="877" spans="1:19" x14ac:dyDescent="0.3">
      <c r="A877"/>
      <c r="B877"/>
      <c r="C877"/>
      <c r="D877"/>
      <c r="E877"/>
      <c r="F877"/>
      <c r="G877"/>
      <c r="H877"/>
      <c r="I877"/>
      <c r="N877"/>
      <c r="O877"/>
      <c r="P877" s="1">
        <f t="shared" si="75"/>
        <v>0.79928861788617889</v>
      </c>
      <c r="Q877" s="1">
        <f t="shared" si="76"/>
        <v>0.79928861788617889</v>
      </c>
      <c r="R877" s="1">
        <f t="shared" si="77"/>
        <v>0.82624655858060569</v>
      </c>
      <c r="S877" s="1">
        <f t="shared" si="78"/>
        <v>0.94496726677577736</v>
      </c>
    </row>
    <row r="878" spans="1:19" x14ac:dyDescent="0.3">
      <c r="A878"/>
      <c r="B878"/>
      <c r="C878"/>
      <c r="D878"/>
      <c r="E878"/>
      <c r="F878"/>
      <c r="G878"/>
      <c r="H878"/>
      <c r="I878"/>
      <c r="N878"/>
      <c r="O878"/>
      <c r="P878" s="1">
        <f t="shared" si="75"/>
        <v>0.79928861788617889</v>
      </c>
      <c r="Q878" s="1">
        <f t="shared" si="76"/>
        <v>0.79928861788617889</v>
      </c>
      <c r="R878" s="1">
        <f t="shared" si="77"/>
        <v>0.82624655858060569</v>
      </c>
      <c r="S878" s="1">
        <f t="shared" si="78"/>
        <v>0.94496726677577736</v>
      </c>
    </row>
    <row r="879" spans="1:19" x14ac:dyDescent="0.3">
      <c r="A879"/>
      <c r="B879"/>
      <c r="C879"/>
      <c r="D879"/>
      <c r="E879"/>
      <c r="F879"/>
      <c r="G879"/>
      <c r="H879"/>
      <c r="I879"/>
      <c r="N879"/>
      <c r="O879"/>
      <c r="P879" s="1">
        <f t="shared" si="75"/>
        <v>0.79928861788617889</v>
      </c>
      <c r="Q879" s="1">
        <f t="shared" si="76"/>
        <v>0.79928861788617889</v>
      </c>
      <c r="R879" s="1">
        <f t="shared" si="77"/>
        <v>0.82624655858060569</v>
      </c>
      <c r="S879" s="1">
        <f t="shared" si="78"/>
        <v>0.94496726677577736</v>
      </c>
    </row>
    <row r="880" spans="1:19" x14ac:dyDescent="0.3">
      <c r="A880"/>
      <c r="B880"/>
      <c r="C880"/>
      <c r="D880"/>
      <c r="E880"/>
      <c r="F880"/>
      <c r="G880"/>
      <c r="H880"/>
      <c r="I880"/>
      <c r="N880"/>
      <c r="O880"/>
      <c r="P880" s="1">
        <f t="shared" si="75"/>
        <v>0.79928861788617889</v>
      </c>
      <c r="Q880" s="1">
        <f t="shared" si="76"/>
        <v>0.79928861788617889</v>
      </c>
      <c r="R880" s="1">
        <f t="shared" si="77"/>
        <v>0.82624655858060569</v>
      </c>
      <c r="S880" s="1">
        <f t="shared" si="78"/>
        <v>0.94496726677577736</v>
      </c>
    </row>
    <row r="881" spans="1:19" x14ac:dyDescent="0.3">
      <c r="A881"/>
      <c r="B881"/>
      <c r="C881"/>
      <c r="D881"/>
      <c r="E881"/>
      <c r="F881"/>
      <c r="G881"/>
      <c r="H881"/>
      <c r="I881"/>
      <c r="N881"/>
      <c r="O881"/>
      <c r="P881" s="1">
        <f t="shared" si="75"/>
        <v>0.79928861788617889</v>
      </c>
      <c r="Q881" s="1">
        <f t="shared" si="76"/>
        <v>0.79928861788617889</v>
      </c>
      <c r="R881" s="1">
        <f t="shared" si="77"/>
        <v>0.82624655858060569</v>
      </c>
      <c r="S881" s="1">
        <f t="shared" si="78"/>
        <v>0.94496726677577736</v>
      </c>
    </row>
    <row r="882" spans="1:19" x14ac:dyDescent="0.3">
      <c r="A882"/>
      <c r="B882"/>
      <c r="C882"/>
      <c r="D882"/>
      <c r="E882"/>
      <c r="F882"/>
      <c r="G882"/>
      <c r="H882"/>
      <c r="I882"/>
      <c r="N882"/>
      <c r="O882"/>
      <c r="P882" s="1">
        <f t="shared" si="75"/>
        <v>0.79928861788617889</v>
      </c>
      <c r="Q882" s="1">
        <f t="shared" si="76"/>
        <v>0.79928861788617889</v>
      </c>
      <c r="R882" s="1">
        <f t="shared" si="77"/>
        <v>0.82624655858060569</v>
      </c>
      <c r="S882" s="1">
        <f t="shared" si="78"/>
        <v>0.94496726677577736</v>
      </c>
    </row>
    <row r="883" spans="1:19" x14ac:dyDescent="0.3">
      <c r="A883"/>
      <c r="B883"/>
      <c r="C883"/>
      <c r="D883"/>
      <c r="E883"/>
      <c r="F883"/>
      <c r="G883"/>
      <c r="H883"/>
      <c r="I883"/>
      <c r="N883"/>
      <c r="O883"/>
      <c r="P883" s="1">
        <f t="shared" si="75"/>
        <v>0.79928861788617889</v>
      </c>
      <c r="Q883" s="1">
        <f t="shared" si="76"/>
        <v>0.79928861788617889</v>
      </c>
      <c r="R883" s="1">
        <f t="shared" si="77"/>
        <v>0.82624655858060569</v>
      </c>
      <c r="S883" s="1">
        <f t="shared" si="78"/>
        <v>0.94496726677577736</v>
      </c>
    </row>
    <row r="884" spans="1:19" x14ac:dyDescent="0.3">
      <c r="A884"/>
      <c r="B884"/>
      <c r="C884"/>
      <c r="D884"/>
      <c r="E884"/>
      <c r="F884"/>
      <c r="G884"/>
      <c r="H884"/>
      <c r="I884"/>
      <c r="N884"/>
      <c r="O884"/>
      <c r="P884" s="1">
        <f t="shared" si="75"/>
        <v>0.79928861788617889</v>
      </c>
      <c r="Q884" s="1">
        <f t="shared" si="76"/>
        <v>0.79928861788617889</v>
      </c>
      <c r="R884" s="1">
        <f t="shared" si="77"/>
        <v>0.82624655858060569</v>
      </c>
      <c r="S884" s="1">
        <f t="shared" si="78"/>
        <v>0.94496726677577736</v>
      </c>
    </row>
    <row r="885" spans="1:19" x14ac:dyDescent="0.3">
      <c r="A885"/>
      <c r="B885"/>
      <c r="C885"/>
      <c r="D885"/>
      <c r="E885"/>
      <c r="F885"/>
      <c r="G885"/>
      <c r="H885"/>
      <c r="I885"/>
      <c r="N885"/>
      <c r="O885"/>
      <c r="P885" s="1">
        <f t="shared" si="75"/>
        <v>0.79928861788617889</v>
      </c>
      <c r="Q885" s="1">
        <f t="shared" si="76"/>
        <v>0.79928861788617889</v>
      </c>
      <c r="R885" s="1">
        <f t="shared" si="77"/>
        <v>0.82624655858060569</v>
      </c>
      <c r="S885" s="1">
        <f t="shared" si="78"/>
        <v>0.94496726677577736</v>
      </c>
    </row>
    <row r="886" spans="1:19" x14ac:dyDescent="0.3">
      <c r="A886"/>
      <c r="B886"/>
      <c r="C886"/>
      <c r="D886"/>
      <c r="E886"/>
      <c r="F886"/>
      <c r="G886"/>
      <c r="H886"/>
      <c r="I886"/>
      <c r="N886"/>
      <c r="O886"/>
      <c r="P886" s="1">
        <f t="shared" si="75"/>
        <v>0.79928861788617889</v>
      </c>
      <c r="Q886" s="1">
        <f t="shared" si="76"/>
        <v>0.79928861788617889</v>
      </c>
      <c r="R886" s="1">
        <f t="shared" si="77"/>
        <v>0.82624655858060569</v>
      </c>
      <c r="S886" s="1">
        <f t="shared" si="78"/>
        <v>0.94496726677577736</v>
      </c>
    </row>
    <row r="887" spans="1:19" x14ac:dyDescent="0.3">
      <c r="A887"/>
      <c r="B887"/>
      <c r="C887"/>
      <c r="D887"/>
      <c r="E887"/>
      <c r="F887"/>
      <c r="G887"/>
      <c r="H887"/>
      <c r="I887"/>
      <c r="N887"/>
      <c r="O887"/>
      <c r="P887" s="1">
        <f t="shared" si="75"/>
        <v>0.79928861788617889</v>
      </c>
      <c r="Q887" s="1">
        <f t="shared" si="76"/>
        <v>0.79928861788617889</v>
      </c>
      <c r="R887" s="1">
        <f t="shared" si="77"/>
        <v>0.82624655858060569</v>
      </c>
      <c r="S887" s="1">
        <f t="shared" si="78"/>
        <v>0.94496726677577736</v>
      </c>
    </row>
    <row r="888" spans="1:19" x14ac:dyDescent="0.3">
      <c r="A888"/>
      <c r="B888"/>
      <c r="C888"/>
      <c r="D888"/>
      <c r="E888"/>
      <c r="F888"/>
      <c r="G888"/>
      <c r="H888"/>
      <c r="I888"/>
      <c r="N888"/>
      <c r="O888"/>
      <c r="P888" s="1">
        <f t="shared" si="75"/>
        <v>0.79928861788617889</v>
      </c>
      <c r="Q888" s="1">
        <f t="shared" si="76"/>
        <v>0.79928861788617889</v>
      </c>
      <c r="R888" s="1">
        <f t="shared" si="77"/>
        <v>0.82624655858060569</v>
      </c>
      <c r="S888" s="1">
        <f t="shared" si="78"/>
        <v>0.94496726677577736</v>
      </c>
    </row>
    <row r="889" spans="1:19" x14ac:dyDescent="0.3">
      <c r="A889"/>
      <c r="B889"/>
      <c r="C889"/>
      <c r="D889"/>
      <c r="E889"/>
      <c r="F889"/>
      <c r="G889"/>
      <c r="H889"/>
      <c r="I889"/>
      <c r="N889"/>
      <c r="O889"/>
      <c r="P889" s="1">
        <f t="shared" si="75"/>
        <v>0.79928861788617889</v>
      </c>
      <c r="Q889" s="1">
        <f t="shared" si="76"/>
        <v>0.79928861788617889</v>
      </c>
      <c r="R889" s="1">
        <f t="shared" si="77"/>
        <v>0.82624655858060569</v>
      </c>
      <c r="S889" s="1">
        <f t="shared" si="78"/>
        <v>0.94496726677577736</v>
      </c>
    </row>
    <row r="890" spans="1:19" x14ac:dyDescent="0.3">
      <c r="A890"/>
      <c r="B890"/>
      <c r="C890"/>
      <c r="D890"/>
      <c r="E890"/>
      <c r="F890"/>
      <c r="G890"/>
      <c r="H890"/>
      <c r="I890"/>
      <c r="N890"/>
      <c r="O890"/>
      <c r="P890" s="1">
        <f t="shared" si="75"/>
        <v>0.79928861788617889</v>
      </c>
      <c r="Q890" s="1">
        <f t="shared" si="76"/>
        <v>0.79928861788617889</v>
      </c>
      <c r="R890" s="1">
        <f t="shared" si="77"/>
        <v>0.82624655858060569</v>
      </c>
      <c r="S890" s="1">
        <f t="shared" si="78"/>
        <v>0.94496726677577736</v>
      </c>
    </row>
    <row r="891" spans="1:19" x14ac:dyDescent="0.3">
      <c r="A891"/>
      <c r="B891"/>
      <c r="C891"/>
      <c r="D891"/>
      <c r="E891"/>
      <c r="F891"/>
      <c r="G891"/>
      <c r="H891"/>
      <c r="I891"/>
      <c r="N891"/>
      <c r="O891"/>
      <c r="P891" s="1">
        <f t="shared" si="75"/>
        <v>0.79928861788617889</v>
      </c>
      <c r="Q891" s="1">
        <f t="shared" si="76"/>
        <v>0.79928861788617889</v>
      </c>
      <c r="R891" s="1">
        <f t="shared" si="77"/>
        <v>0.82624655858060569</v>
      </c>
      <c r="S891" s="1">
        <f t="shared" si="78"/>
        <v>0.94496726677577736</v>
      </c>
    </row>
    <row r="892" spans="1:19" x14ac:dyDescent="0.3">
      <c r="A892"/>
      <c r="B892"/>
      <c r="C892"/>
      <c r="D892"/>
      <c r="E892"/>
      <c r="F892"/>
      <c r="G892"/>
      <c r="H892"/>
      <c r="I892"/>
      <c r="N892"/>
      <c r="O892"/>
      <c r="P892" s="1">
        <f t="shared" si="75"/>
        <v>0.79928861788617889</v>
      </c>
      <c r="Q892" s="1">
        <f t="shared" si="76"/>
        <v>0.79928861788617889</v>
      </c>
      <c r="R892" s="1">
        <f t="shared" si="77"/>
        <v>0.82624655858060569</v>
      </c>
      <c r="S892" s="1">
        <f t="shared" si="78"/>
        <v>0.94496726677577736</v>
      </c>
    </row>
    <row r="893" spans="1:19" x14ac:dyDescent="0.3">
      <c r="A893"/>
      <c r="B893"/>
      <c r="C893"/>
      <c r="D893"/>
      <c r="E893"/>
      <c r="F893"/>
      <c r="G893"/>
      <c r="H893"/>
      <c r="I893"/>
      <c r="N893"/>
      <c r="P893" s="1">
        <f t="shared" si="75"/>
        <v>0.79928861788617889</v>
      </c>
      <c r="Q893" s="1">
        <f t="shared" si="76"/>
        <v>0.79928861788617889</v>
      </c>
      <c r="R893" s="1">
        <f t="shared" si="77"/>
        <v>0.82624655858060569</v>
      </c>
      <c r="S893" s="1">
        <f t="shared" si="78"/>
        <v>0.94496726677577736</v>
      </c>
    </row>
    <row r="894" spans="1:19" x14ac:dyDescent="0.3">
      <c r="A894"/>
      <c r="B894"/>
      <c r="C894"/>
      <c r="D894"/>
      <c r="E894"/>
      <c r="F894"/>
      <c r="G894"/>
      <c r="H894"/>
      <c r="I894"/>
      <c r="N894"/>
      <c r="O894" s="26"/>
      <c r="P894" s="1">
        <f t="shared" si="75"/>
        <v>0.79928861788617889</v>
      </c>
      <c r="Q894" s="1">
        <f t="shared" si="76"/>
        <v>0.79928861788617889</v>
      </c>
      <c r="R894" s="1">
        <f t="shared" si="77"/>
        <v>0.82624655858060569</v>
      </c>
      <c r="S894" s="1">
        <f t="shared" si="78"/>
        <v>0.94496726677577736</v>
      </c>
    </row>
    <row r="895" spans="1:19" x14ac:dyDescent="0.3">
      <c r="A895"/>
      <c r="B895"/>
      <c r="C895"/>
      <c r="D895"/>
      <c r="E895"/>
      <c r="F895"/>
      <c r="G895"/>
      <c r="H895"/>
      <c r="I895"/>
      <c r="N895"/>
      <c r="O895" s="26"/>
      <c r="P895" s="1">
        <f t="shared" si="75"/>
        <v>0.79928861788617889</v>
      </c>
      <c r="Q895" s="1">
        <f t="shared" si="76"/>
        <v>0.79928861788617889</v>
      </c>
      <c r="R895" s="1">
        <f t="shared" si="77"/>
        <v>0.82624655858060569</v>
      </c>
      <c r="S895" s="1">
        <f t="shared" si="78"/>
        <v>0.94496726677577736</v>
      </c>
    </row>
    <row r="896" spans="1:19" x14ac:dyDescent="0.3">
      <c r="A896"/>
      <c r="B896"/>
      <c r="C896"/>
      <c r="D896"/>
      <c r="E896"/>
      <c r="F896"/>
      <c r="G896"/>
      <c r="H896"/>
      <c r="I896"/>
      <c r="N896"/>
      <c r="O896" s="26"/>
      <c r="P896" s="1">
        <f t="shared" si="75"/>
        <v>0.79928861788617889</v>
      </c>
      <c r="Q896" s="1">
        <f t="shared" si="76"/>
        <v>0.79928861788617889</v>
      </c>
      <c r="R896" s="1">
        <f t="shared" si="77"/>
        <v>0.82624655858060569</v>
      </c>
      <c r="S896" s="1">
        <f t="shared" si="78"/>
        <v>0.94496726677577736</v>
      </c>
    </row>
    <row r="897" spans="1:19" x14ac:dyDescent="0.3">
      <c r="A897"/>
      <c r="B897"/>
      <c r="C897"/>
      <c r="D897"/>
      <c r="E897"/>
      <c r="F897"/>
      <c r="G897"/>
      <c r="H897"/>
      <c r="I897"/>
      <c r="N897"/>
      <c r="O897" s="26"/>
      <c r="P897" s="1">
        <f t="shared" si="75"/>
        <v>0.79928861788617889</v>
      </c>
      <c r="Q897" s="1">
        <f t="shared" si="76"/>
        <v>0.79928861788617889</v>
      </c>
      <c r="R897" s="1">
        <f t="shared" si="77"/>
        <v>0.82624655858060569</v>
      </c>
      <c r="S897" s="1">
        <f t="shared" si="78"/>
        <v>0.94496726677577736</v>
      </c>
    </row>
    <row r="898" spans="1:19" x14ac:dyDescent="0.3">
      <c r="A898"/>
      <c r="B898"/>
      <c r="C898"/>
      <c r="D898"/>
      <c r="E898"/>
      <c r="F898"/>
      <c r="G898"/>
      <c r="H898"/>
      <c r="I898"/>
      <c r="N898"/>
      <c r="O898"/>
      <c r="P898" s="1">
        <f t="shared" si="75"/>
        <v>0.79928861788617889</v>
      </c>
      <c r="Q898" s="1">
        <f t="shared" si="76"/>
        <v>0.79928861788617889</v>
      </c>
      <c r="R898" s="1">
        <f t="shared" si="77"/>
        <v>0.82624655858060569</v>
      </c>
      <c r="S898" s="1">
        <f t="shared" si="78"/>
        <v>0.94496726677577736</v>
      </c>
    </row>
    <row r="899" spans="1:19" x14ac:dyDescent="0.3">
      <c r="A899"/>
      <c r="B899"/>
      <c r="C899"/>
      <c r="D899"/>
      <c r="E899"/>
      <c r="F899"/>
      <c r="G899"/>
      <c r="H899"/>
      <c r="I899"/>
      <c r="N899"/>
      <c r="O899"/>
      <c r="P899" s="1">
        <f t="shared" si="75"/>
        <v>0.79928861788617889</v>
      </c>
      <c r="Q899" s="1">
        <f t="shared" si="76"/>
        <v>0.79928861788617889</v>
      </c>
      <c r="R899" s="1">
        <f t="shared" si="77"/>
        <v>0.82624655858060569</v>
      </c>
      <c r="S899" s="1">
        <f t="shared" si="78"/>
        <v>0.94496726677577736</v>
      </c>
    </row>
    <row r="900" spans="1:19" x14ac:dyDescent="0.3">
      <c r="A900"/>
      <c r="B900"/>
      <c r="C900"/>
      <c r="D900"/>
      <c r="E900"/>
      <c r="F900"/>
      <c r="G900"/>
      <c r="H900"/>
      <c r="I900"/>
      <c r="N900"/>
      <c r="O900"/>
      <c r="P900" s="1">
        <f t="shared" si="75"/>
        <v>0.79928861788617889</v>
      </c>
      <c r="Q900" s="1">
        <f t="shared" si="76"/>
        <v>0.79928861788617889</v>
      </c>
      <c r="R900" s="1">
        <f t="shared" si="77"/>
        <v>0.82624655858060569</v>
      </c>
      <c r="S900" s="1">
        <f t="shared" si="78"/>
        <v>0.94496726677577736</v>
      </c>
    </row>
    <row r="901" spans="1:19" x14ac:dyDescent="0.3">
      <c r="A901"/>
      <c r="B901"/>
      <c r="C901"/>
      <c r="D901"/>
      <c r="E901"/>
      <c r="F901"/>
      <c r="G901"/>
      <c r="H901"/>
      <c r="I901"/>
      <c r="N901"/>
      <c r="O901"/>
      <c r="P901" s="1">
        <f t="shared" si="75"/>
        <v>0.79928861788617889</v>
      </c>
      <c r="Q901" s="1">
        <f t="shared" si="76"/>
        <v>0.79928861788617889</v>
      </c>
      <c r="R901" s="1">
        <f t="shared" si="77"/>
        <v>0.82624655858060569</v>
      </c>
      <c r="S901" s="1">
        <f t="shared" si="78"/>
        <v>0.94496726677577736</v>
      </c>
    </row>
    <row r="902" spans="1:19" x14ac:dyDescent="0.3">
      <c r="A902"/>
      <c r="B902"/>
      <c r="C902"/>
      <c r="D902"/>
      <c r="E902"/>
      <c r="F902"/>
      <c r="G902"/>
      <c r="H902"/>
      <c r="I902"/>
      <c r="N902"/>
      <c r="O902"/>
      <c r="P902" s="1">
        <f t="shared" si="75"/>
        <v>0.79928861788617889</v>
      </c>
      <c r="Q902" s="1">
        <f t="shared" si="76"/>
        <v>0.79928861788617889</v>
      </c>
      <c r="R902" s="1">
        <f t="shared" si="77"/>
        <v>0.82624655858060569</v>
      </c>
      <c r="S902" s="1">
        <f t="shared" si="78"/>
        <v>0.94496726677577736</v>
      </c>
    </row>
    <row r="903" spans="1:19" x14ac:dyDescent="0.3">
      <c r="A903"/>
      <c r="B903"/>
      <c r="C903"/>
      <c r="D903"/>
      <c r="E903"/>
      <c r="F903"/>
      <c r="G903"/>
      <c r="H903"/>
      <c r="I903"/>
      <c r="N903"/>
      <c r="O903"/>
      <c r="P903" s="1">
        <f t="shared" si="75"/>
        <v>0.79928861788617889</v>
      </c>
      <c r="Q903" s="1">
        <f t="shared" si="76"/>
        <v>0.79928861788617889</v>
      </c>
      <c r="R903" s="1">
        <f t="shared" si="77"/>
        <v>0.82624655858060569</v>
      </c>
      <c r="S903" s="1">
        <f t="shared" si="78"/>
        <v>0.94496726677577736</v>
      </c>
    </row>
    <row r="904" spans="1:19" x14ac:dyDescent="0.3">
      <c r="A904"/>
      <c r="B904"/>
      <c r="C904"/>
      <c r="D904"/>
      <c r="E904"/>
      <c r="F904"/>
      <c r="G904"/>
      <c r="H904"/>
      <c r="I904"/>
      <c r="N904"/>
      <c r="O904"/>
      <c r="P904" s="1">
        <f t="shared" si="75"/>
        <v>0.79928861788617889</v>
      </c>
      <c r="Q904" s="1">
        <f t="shared" si="76"/>
        <v>0.79928861788617889</v>
      </c>
      <c r="R904" s="1">
        <f t="shared" si="77"/>
        <v>0.82624655858060569</v>
      </c>
      <c r="S904" s="1">
        <f t="shared" si="78"/>
        <v>0.94496726677577736</v>
      </c>
    </row>
    <row r="905" spans="1:19" x14ac:dyDescent="0.3">
      <c r="A905"/>
      <c r="B905"/>
      <c r="C905"/>
      <c r="D905"/>
      <c r="E905"/>
      <c r="F905"/>
      <c r="G905"/>
      <c r="H905"/>
      <c r="I905"/>
      <c r="N905"/>
      <c r="O905"/>
      <c r="P905" s="1">
        <f t="shared" si="75"/>
        <v>0.79928861788617889</v>
      </c>
      <c r="Q905" s="1">
        <f t="shared" si="76"/>
        <v>0.79928861788617889</v>
      </c>
      <c r="R905" s="1">
        <f t="shared" si="77"/>
        <v>0.82624655858060569</v>
      </c>
      <c r="S905" s="1">
        <f t="shared" si="78"/>
        <v>0.94496726677577736</v>
      </c>
    </row>
    <row r="906" spans="1:19" x14ac:dyDescent="0.3">
      <c r="A906"/>
      <c r="B906"/>
      <c r="C906"/>
      <c r="D906"/>
      <c r="E906"/>
      <c r="F906"/>
      <c r="G906"/>
      <c r="H906"/>
      <c r="I906"/>
      <c r="N906"/>
      <c r="O906"/>
      <c r="P906" s="1">
        <f t="shared" si="75"/>
        <v>0.79928861788617889</v>
      </c>
      <c r="Q906" s="1">
        <f t="shared" si="76"/>
        <v>0.79928861788617889</v>
      </c>
      <c r="R906" s="1">
        <f t="shared" si="77"/>
        <v>0.82624655858060569</v>
      </c>
      <c r="S906" s="1">
        <f t="shared" si="78"/>
        <v>0.94496726677577736</v>
      </c>
    </row>
    <row r="907" spans="1:19" x14ac:dyDescent="0.3">
      <c r="A907"/>
      <c r="B907"/>
      <c r="C907"/>
      <c r="D907"/>
      <c r="E907"/>
      <c r="F907"/>
      <c r="G907"/>
      <c r="H907"/>
      <c r="I907"/>
      <c r="N907"/>
      <c r="O907"/>
      <c r="P907" s="1">
        <f t="shared" si="75"/>
        <v>0.79928861788617889</v>
      </c>
      <c r="Q907" s="1">
        <f t="shared" si="76"/>
        <v>0.79928861788617889</v>
      </c>
      <c r="R907" s="1">
        <f t="shared" si="77"/>
        <v>0.82624655858060569</v>
      </c>
      <c r="S907" s="1">
        <f t="shared" si="78"/>
        <v>0.94496726677577736</v>
      </c>
    </row>
    <row r="908" spans="1:19" x14ac:dyDescent="0.3">
      <c r="A908"/>
      <c r="B908"/>
      <c r="C908"/>
      <c r="D908"/>
      <c r="E908"/>
      <c r="F908"/>
      <c r="G908"/>
      <c r="H908"/>
      <c r="I908"/>
      <c r="N908"/>
      <c r="O908"/>
      <c r="P908" s="1">
        <f t="shared" si="75"/>
        <v>0.79928861788617889</v>
      </c>
      <c r="Q908" s="1">
        <f t="shared" si="76"/>
        <v>0.79928861788617889</v>
      </c>
      <c r="R908" s="1">
        <f t="shared" si="77"/>
        <v>0.82624655858060569</v>
      </c>
      <c r="S908" s="1">
        <f t="shared" si="78"/>
        <v>0.94496726677577736</v>
      </c>
    </row>
    <row r="909" spans="1:19" x14ac:dyDescent="0.3">
      <c r="A909"/>
      <c r="B909"/>
      <c r="C909"/>
      <c r="D909"/>
      <c r="E909"/>
      <c r="F909"/>
      <c r="G909"/>
      <c r="H909"/>
      <c r="I909"/>
      <c r="N909"/>
      <c r="O909"/>
      <c r="P909" s="1">
        <f t="shared" si="75"/>
        <v>0.79928861788617889</v>
      </c>
      <c r="Q909" s="1">
        <f t="shared" si="76"/>
        <v>0.79928861788617889</v>
      </c>
      <c r="R909" s="1">
        <f t="shared" si="77"/>
        <v>0.82624655858060569</v>
      </c>
      <c r="S909" s="1">
        <f t="shared" si="78"/>
        <v>0.94496726677577736</v>
      </c>
    </row>
    <row r="910" spans="1:19" x14ac:dyDescent="0.3">
      <c r="A910"/>
      <c r="B910"/>
      <c r="C910"/>
      <c r="D910"/>
      <c r="E910"/>
      <c r="F910"/>
      <c r="G910"/>
      <c r="H910"/>
      <c r="I910"/>
      <c r="N910"/>
      <c r="O910"/>
      <c r="P910" s="1">
        <f t="shared" si="75"/>
        <v>0.79928861788617889</v>
      </c>
      <c r="Q910" s="1">
        <f t="shared" si="76"/>
        <v>0.79928861788617889</v>
      </c>
      <c r="R910" s="1">
        <f t="shared" si="77"/>
        <v>0.82624655858060569</v>
      </c>
      <c r="S910" s="1">
        <f t="shared" si="78"/>
        <v>0.94496726677577736</v>
      </c>
    </row>
    <row r="911" spans="1:19" x14ac:dyDescent="0.3">
      <c r="A911"/>
      <c r="B911"/>
      <c r="C911"/>
      <c r="D911"/>
      <c r="E911"/>
      <c r="F911"/>
      <c r="G911"/>
      <c r="H911"/>
      <c r="I911"/>
      <c r="N911"/>
      <c r="O911"/>
      <c r="P911" s="1">
        <f t="shared" si="75"/>
        <v>0.79928861788617889</v>
      </c>
      <c r="Q911" s="1">
        <f t="shared" si="76"/>
        <v>0.79928861788617889</v>
      </c>
      <c r="R911" s="1">
        <f t="shared" si="77"/>
        <v>0.82624655858060569</v>
      </c>
      <c r="S911" s="1">
        <f t="shared" si="78"/>
        <v>0.94496726677577736</v>
      </c>
    </row>
    <row r="912" spans="1:19" x14ac:dyDescent="0.3">
      <c r="A912"/>
      <c r="B912"/>
      <c r="C912"/>
      <c r="D912"/>
      <c r="E912"/>
      <c r="F912"/>
      <c r="G912"/>
      <c r="H912"/>
      <c r="I912"/>
      <c r="N912"/>
      <c r="O912"/>
      <c r="P912" s="1">
        <f t="shared" si="75"/>
        <v>0.79928861788617889</v>
      </c>
      <c r="Q912" s="1">
        <f t="shared" si="76"/>
        <v>0.79928861788617889</v>
      </c>
      <c r="R912" s="1">
        <f t="shared" si="77"/>
        <v>0.82624655858060569</v>
      </c>
      <c r="S912" s="1">
        <f t="shared" si="78"/>
        <v>0.94496726677577736</v>
      </c>
    </row>
    <row r="913" spans="1:19" x14ac:dyDescent="0.3">
      <c r="A913"/>
      <c r="B913"/>
      <c r="C913"/>
      <c r="D913"/>
      <c r="E913"/>
      <c r="F913"/>
      <c r="G913"/>
      <c r="H913"/>
      <c r="I913"/>
      <c r="N913"/>
      <c r="O913"/>
      <c r="P913" s="1">
        <f t="shared" si="75"/>
        <v>0.79928861788617889</v>
      </c>
      <c r="Q913" s="1">
        <f t="shared" si="76"/>
        <v>0.79928861788617889</v>
      </c>
      <c r="R913" s="1">
        <f t="shared" si="77"/>
        <v>0.82624655858060569</v>
      </c>
      <c r="S913" s="1">
        <f t="shared" si="78"/>
        <v>0.94496726677577736</v>
      </c>
    </row>
    <row r="914" spans="1:19" x14ac:dyDescent="0.3">
      <c r="A914"/>
      <c r="B914"/>
      <c r="C914"/>
      <c r="D914"/>
      <c r="E914"/>
      <c r="F914"/>
      <c r="G914"/>
      <c r="H914"/>
      <c r="I914"/>
      <c r="N914"/>
      <c r="O914"/>
      <c r="P914" s="1">
        <f t="shared" si="75"/>
        <v>0.79928861788617889</v>
      </c>
      <c r="Q914" s="1">
        <f t="shared" si="76"/>
        <v>0.79928861788617889</v>
      </c>
      <c r="R914" s="1">
        <f t="shared" si="77"/>
        <v>0.82624655858060569</v>
      </c>
      <c r="S914" s="1">
        <f t="shared" si="78"/>
        <v>0.94496726677577736</v>
      </c>
    </row>
    <row r="915" spans="1:19" x14ac:dyDescent="0.3">
      <c r="A915"/>
      <c r="B915"/>
      <c r="C915"/>
      <c r="D915"/>
      <c r="E915"/>
      <c r="F915"/>
      <c r="G915"/>
      <c r="H915"/>
      <c r="I915"/>
      <c r="N915"/>
      <c r="O915"/>
      <c r="P915" s="1">
        <f t="shared" si="75"/>
        <v>0.79928861788617889</v>
      </c>
      <c r="Q915" s="1">
        <f t="shared" si="76"/>
        <v>0.79928861788617889</v>
      </c>
      <c r="R915" s="1">
        <f t="shared" si="77"/>
        <v>0.82624655858060569</v>
      </c>
      <c r="S915" s="1">
        <f t="shared" si="78"/>
        <v>0.94496726677577736</v>
      </c>
    </row>
    <row r="916" spans="1:19" x14ac:dyDescent="0.3">
      <c r="A916"/>
      <c r="B916"/>
      <c r="C916"/>
      <c r="D916"/>
      <c r="E916"/>
      <c r="F916"/>
      <c r="G916"/>
      <c r="H916"/>
      <c r="I916"/>
      <c r="N916"/>
      <c r="O916"/>
      <c r="P916" s="1">
        <f t="shared" si="75"/>
        <v>0.79928861788617889</v>
      </c>
      <c r="Q916" s="1">
        <f t="shared" si="76"/>
        <v>0.79928861788617889</v>
      </c>
      <c r="R916" s="1">
        <f t="shared" si="77"/>
        <v>0.82624655858060569</v>
      </c>
      <c r="S916" s="1">
        <f t="shared" si="78"/>
        <v>0.94496726677577736</v>
      </c>
    </row>
    <row r="917" spans="1:19" x14ac:dyDescent="0.3">
      <c r="A917"/>
      <c r="B917"/>
      <c r="C917"/>
      <c r="D917"/>
      <c r="E917"/>
      <c r="F917"/>
      <c r="G917"/>
      <c r="H917"/>
      <c r="I917"/>
      <c r="N917"/>
      <c r="O917"/>
      <c r="P917" s="1">
        <f t="shared" si="75"/>
        <v>0.79928861788617889</v>
      </c>
      <c r="Q917" s="1">
        <f t="shared" si="76"/>
        <v>0.79928861788617889</v>
      </c>
      <c r="R917" s="1">
        <f t="shared" si="77"/>
        <v>0.82624655858060569</v>
      </c>
      <c r="S917" s="1">
        <f t="shared" si="78"/>
        <v>0.94496726677577736</v>
      </c>
    </row>
    <row r="918" spans="1:19" x14ac:dyDescent="0.3">
      <c r="A918"/>
      <c r="B918"/>
      <c r="C918"/>
      <c r="D918"/>
      <c r="E918"/>
      <c r="F918"/>
      <c r="G918"/>
      <c r="H918"/>
      <c r="I918"/>
      <c r="N918"/>
      <c r="O918"/>
      <c r="P918" s="1">
        <f t="shared" si="75"/>
        <v>0.79928861788617889</v>
      </c>
      <c r="Q918" s="1">
        <f t="shared" si="76"/>
        <v>0.79928861788617889</v>
      </c>
      <c r="R918" s="1">
        <f t="shared" si="77"/>
        <v>0.82624655858060569</v>
      </c>
      <c r="S918" s="1">
        <f t="shared" si="78"/>
        <v>0.94496726677577736</v>
      </c>
    </row>
    <row r="919" spans="1:19" x14ac:dyDescent="0.3">
      <c r="A919"/>
      <c r="B919"/>
      <c r="C919"/>
      <c r="D919"/>
      <c r="E919"/>
      <c r="F919"/>
      <c r="G919"/>
      <c r="H919"/>
      <c r="I919"/>
      <c r="N919"/>
      <c r="O919"/>
      <c r="P919" s="1">
        <f t="shared" si="75"/>
        <v>0.79928861788617889</v>
      </c>
      <c r="Q919" s="1">
        <f t="shared" si="76"/>
        <v>0.79928861788617889</v>
      </c>
      <c r="R919" s="1">
        <f t="shared" si="77"/>
        <v>0.82624655858060569</v>
      </c>
      <c r="S919" s="1">
        <f t="shared" si="78"/>
        <v>0.94496726677577736</v>
      </c>
    </row>
    <row r="920" spans="1:19" x14ac:dyDescent="0.3">
      <c r="A920"/>
      <c r="B920"/>
      <c r="C920"/>
      <c r="D920"/>
      <c r="E920"/>
      <c r="F920"/>
      <c r="G920"/>
      <c r="H920"/>
      <c r="I920"/>
      <c r="N920"/>
      <c r="O920"/>
      <c r="P920" s="1">
        <f t="shared" si="75"/>
        <v>0.79928861788617889</v>
      </c>
      <c r="Q920" s="1">
        <f t="shared" si="76"/>
        <v>0.79928861788617889</v>
      </c>
      <c r="R920" s="1">
        <f t="shared" si="77"/>
        <v>0.82624655858060569</v>
      </c>
      <c r="S920" s="1">
        <f t="shared" si="78"/>
        <v>0.94496726677577736</v>
      </c>
    </row>
    <row r="921" spans="1:19" x14ac:dyDescent="0.3">
      <c r="A921"/>
      <c r="B921"/>
      <c r="C921"/>
      <c r="D921"/>
      <c r="E921"/>
      <c r="F921"/>
      <c r="G921"/>
      <c r="H921"/>
      <c r="I921"/>
      <c r="N921"/>
      <c r="O921"/>
      <c r="P921" s="1">
        <f t="shared" si="75"/>
        <v>0.79928861788617889</v>
      </c>
      <c r="Q921" s="1">
        <f t="shared" si="76"/>
        <v>0.79928861788617889</v>
      </c>
      <c r="R921" s="1">
        <f t="shared" si="77"/>
        <v>0.82624655858060569</v>
      </c>
      <c r="S921" s="1">
        <f t="shared" si="78"/>
        <v>0.94496726677577736</v>
      </c>
    </row>
    <row r="922" spans="1:19" x14ac:dyDescent="0.3">
      <c r="A922"/>
      <c r="B922"/>
      <c r="C922"/>
      <c r="D922"/>
      <c r="E922"/>
      <c r="F922"/>
      <c r="G922"/>
      <c r="H922"/>
      <c r="I922"/>
      <c r="N922"/>
      <c r="O922"/>
      <c r="P922" s="1">
        <f t="shared" si="75"/>
        <v>0.79928861788617889</v>
      </c>
      <c r="Q922" s="1">
        <f t="shared" si="76"/>
        <v>0.79928861788617889</v>
      </c>
      <c r="R922" s="1">
        <f t="shared" si="77"/>
        <v>0.82624655858060569</v>
      </c>
      <c r="S922" s="1">
        <f t="shared" si="78"/>
        <v>0.94496726677577736</v>
      </c>
    </row>
    <row r="923" spans="1:19" x14ac:dyDescent="0.3">
      <c r="A923"/>
      <c r="B923"/>
      <c r="C923"/>
      <c r="D923"/>
      <c r="E923"/>
      <c r="F923"/>
      <c r="G923"/>
      <c r="H923"/>
      <c r="I923"/>
      <c r="N923"/>
      <c r="O923"/>
      <c r="P923" s="1">
        <f t="shared" si="75"/>
        <v>0.79928861788617889</v>
      </c>
      <c r="Q923" s="1">
        <f t="shared" si="76"/>
        <v>0.79928861788617889</v>
      </c>
      <c r="R923" s="1">
        <f t="shared" si="77"/>
        <v>0.82624655858060569</v>
      </c>
      <c r="S923" s="1">
        <f t="shared" si="78"/>
        <v>0.94496726677577736</v>
      </c>
    </row>
    <row r="924" spans="1:19" x14ac:dyDescent="0.3">
      <c r="A924"/>
      <c r="B924"/>
      <c r="C924"/>
      <c r="D924"/>
      <c r="E924"/>
      <c r="F924"/>
      <c r="G924"/>
      <c r="H924"/>
      <c r="I924"/>
      <c r="N924"/>
      <c r="O924"/>
      <c r="P924" s="1">
        <f t="shared" si="75"/>
        <v>0.79928861788617889</v>
      </c>
      <c r="Q924" s="1">
        <f t="shared" si="76"/>
        <v>0.79928861788617889</v>
      </c>
      <c r="R924" s="1">
        <f t="shared" si="77"/>
        <v>0.82624655858060569</v>
      </c>
      <c r="S924" s="1">
        <f t="shared" si="78"/>
        <v>0.94496726677577736</v>
      </c>
    </row>
    <row r="925" spans="1:19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9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9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9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N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N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N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N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N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N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N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N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N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N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N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N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  <c r="N1042"/>
      <c r="O1042"/>
    </row>
    <row r="1043" spans="1:15" x14ac:dyDescent="0.3">
      <c r="A1043"/>
      <c r="B1043"/>
      <c r="C1043"/>
      <c r="D1043"/>
      <c r="E1043"/>
      <c r="F1043"/>
      <c r="G1043"/>
      <c r="H1043"/>
      <c r="I1043"/>
      <c r="N1043"/>
      <c r="O1043"/>
    </row>
    <row r="1044" spans="1:15" x14ac:dyDescent="0.3">
      <c r="A1044"/>
      <c r="B1044"/>
      <c r="C1044"/>
      <c r="D1044"/>
      <c r="E1044"/>
      <c r="F1044"/>
      <c r="G1044"/>
      <c r="H1044"/>
      <c r="I1044"/>
      <c r="N1044"/>
      <c r="O1044"/>
    </row>
    <row r="1045" spans="1:15" x14ac:dyDescent="0.3">
      <c r="A1045"/>
      <c r="B1045"/>
      <c r="C1045"/>
      <c r="D1045"/>
      <c r="E1045"/>
      <c r="F1045"/>
      <c r="G1045"/>
      <c r="H1045"/>
      <c r="I1045"/>
      <c r="N1045"/>
      <c r="O1045"/>
    </row>
    <row r="1046" spans="1:15" x14ac:dyDescent="0.3">
      <c r="A1046"/>
      <c r="B1046"/>
      <c r="C1046"/>
      <c r="D1046"/>
      <c r="E1046"/>
      <c r="F1046"/>
      <c r="G1046"/>
      <c r="H1046"/>
      <c r="I1046"/>
      <c r="N1046"/>
      <c r="O1046"/>
    </row>
    <row r="1047" spans="1:15" x14ac:dyDescent="0.3">
      <c r="A1047"/>
      <c r="B1047"/>
      <c r="C1047"/>
      <c r="D1047"/>
      <c r="E1047"/>
      <c r="F1047"/>
      <c r="G1047"/>
      <c r="H1047"/>
      <c r="I1047"/>
      <c r="N1047"/>
      <c r="O1047"/>
    </row>
    <row r="1048" spans="1:15" x14ac:dyDescent="0.3">
      <c r="A1048"/>
      <c r="B1048"/>
      <c r="C1048"/>
      <c r="D1048"/>
      <c r="E1048"/>
      <c r="F1048"/>
      <c r="G1048"/>
      <c r="H1048"/>
      <c r="I1048"/>
      <c r="N1048"/>
      <c r="O1048"/>
    </row>
    <row r="1049" spans="1:15" x14ac:dyDescent="0.3">
      <c r="A1049"/>
      <c r="B1049"/>
      <c r="C1049"/>
      <c r="D1049"/>
      <c r="E1049"/>
      <c r="F1049"/>
      <c r="G1049"/>
      <c r="H1049"/>
      <c r="I1049"/>
      <c r="N1049"/>
      <c r="O1049"/>
    </row>
    <row r="1050" spans="1:15" x14ac:dyDescent="0.3">
      <c r="A1050"/>
      <c r="B1050"/>
      <c r="C1050"/>
      <c r="D1050"/>
      <c r="E1050"/>
      <c r="F1050"/>
      <c r="G1050"/>
      <c r="H1050"/>
      <c r="I1050"/>
      <c r="N1050"/>
      <c r="O1050"/>
    </row>
    <row r="1051" spans="1:15" x14ac:dyDescent="0.3">
      <c r="A1051"/>
      <c r="B1051"/>
      <c r="C1051"/>
      <c r="D1051"/>
      <c r="E1051"/>
      <c r="F1051"/>
      <c r="G1051"/>
      <c r="H1051"/>
      <c r="I1051"/>
      <c r="N1051"/>
      <c r="O1051"/>
    </row>
    <row r="1052" spans="1:15" x14ac:dyDescent="0.3">
      <c r="A1052"/>
      <c r="B1052"/>
      <c r="C1052"/>
      <c r="D1052"/>
      <c r="E1052"/>
      <c r="F1052"/>
      <c r="G1052"/>
      <c r="H1052"/>
      <c r="I1052"/>
      <c r="N1052"/>
      <c r="O1052"/>
    </row>
    <row r="1053" spans="1:15" x14ac:dyDescent="0.3">
      <c r="A1053"/>
      <c r="B1053"/>
      <c r="C1053"/>
      <c r="D1053"/>
      <c r="E1053"/>
      <c r="F1053"/>
      <c r="G1053"/>
      <c r="H1053"/>
      <c r="I1053"/>
      <c r="N1053"/>
      <c r="O1053"/>
    </row>
    <row r="1054" spans="1:15" x14ac:dyDescent="0.3">
      <c r="A1054"/>
      <c r="B1054"/>
      <c r="C1054"/>
      <c r="D1054"/>
      <c r="E1054"/>
      <c r="F1054"/>
      <c r="G1054"/>
      <c r="H1054"/>
      <c r="I1054"/>
      <c r="N1054"/>
      <c r="O1054"/>
    </row>
    <row r="1055" spans="1:15" x14ac:dyDescent="0.3">
      <c r="A1055"/>
      <c r="B1055"/>
      <c r="C1055"/>
      <c r="D1055"/>
      <c r="E1055"/>
      <c r="F1055"/>
      <c r="G1055"/>
      <c r="H1055"/>
      <c r="I1055"/>
      <c r="N1055"/>
      <c r="O1055"/>
    </row>
    <row r="1056" spans="1:15" x14ac:dyDescent="0.3">
      <c r="A1056"/>
      <c r="B1056"/>
      <c r="C1056"/>
      <c r="D1056"/>
      <c r="E1056"/>
      <c r="F1056"/>
      <c r="G1056"/>
      <c r="H1056"/>
      <c r="I1056"/>
      <c r="N1056"/>
      <c r="O1056"/>
    </row>
    <row r="1057" spans="1:15" x14ac:dyDescent="0.3">
      <c r="A1057"/>
      <c r="B1057"/>
      <c r="C1057"/>
      <c r="D1057"/>
      <c r="E1057"/>
      <c r="F1057"/>
      <c r="G1057"/>
      <c r="H1057"/>
      <c r="I1057"/>
      <c r="N1057"/>
      <c r="O1057"/>
    </row>
    <row r="1058" spans="1:15" x14ac:dyDescent="0.3">
      <c r="A1058"/>
      <c r="B1058"/>
      <c r="C1058"/>
      <c r="D1058"/>
      <c r="E1058"/>
      <c r="F1058"/>
      <c r="G1058"/>
      <c r="H1058"/>
      <c r="I1058"/>
      <c r="N1058"/>
      <c r="O1058"/>
    </row>
    <row r="1059" spans="1:15" x14ac:dyDescent="0.3">
      <c r="A1059"/>
      <c r="B1059"/>
      <c r="C1059"/>
      <c r="D1059"/>
      <c r="E1059"/>
      <c r="F1059"/>
      <c r="G1059"/>
      <c r="H1059"/>
      <c r="I1059"/>
      <c r="N1059"/>
      <c r="O1059"/>
    </row>
    <row r="1060" spans="1:15" x14ac:dyDescent="0.3">
      <c r="A1060"/>
      <c r="B1060"/>
      <c r="C1060"/>
      <c r="D1060"/>
      <c r="E1060"/>
      <c r="F1060"/>
      <c r="G1060"/>
      <c r="H1060"/>
      <c r="I1060"/>
      <c r="N1060"/>
      <c r="O1060"/>
    </row>
    <row r="1061" spans="1:15" x14ac:dyDescent="0.3">
      <c r="A1061"/>
      <c r="B1061"/>
      <c r="C1061"/>
      <c r="D1061"/>
      <c r="E1061"/>
      <c r="F1061"/>
      <c r="G1061"/>
      <c r="H1061"/>
      <c r="I1061"/>
      <c r="N1061"/>
      <c r="O1061"/>
    </row>
    <row r="1062" spans="1:15" x14ac:dyDescent="0.3">
      <c r="A1062"/>
      <c r="B1062"/>
      <c r="C1062"/>
      <c r="D1062"/>
      <c r="E1062"/>
      <c r="F1062"/>
      <c r="G1062"/>
      <c r="H1062"/>
      <c r="I1062"/>
      <c r="N1062"/>
      <c r="O1062"/>
    </row>
    <row r="1063" spans="1:15" x14ac:dyDescent="0.3">
      <c r="A1063"/>
      <c r="B1063"/>
      <c r="C1063"/>
      <c r="D1063"/>
      <c r="E1063"/>
      <c r="F1063"/>
      <c r="G1063"/>
      <c r="H1063"/>
      <c r="I1063"/>
      <c r="N1063"/>
      <c r="O1063"/>
    </row>
    <row r="1064" spans="1:15" x14ac:dyDescent="0.3">
      <c r="A1064"/>
      <c r="B1064"/>
      <c r="C1064"/>
      <c r="D1064"/>
      <c r="E1064"/>
      <c r="F1064"/>
      <c r="G1064"/>
      <c r="H1064"/>
      <c r="I1064"/>
      <c r="N1064"/>
      <c r="O1064"/>
    </row>
    <row r="1065" spans="1:15" x14ac:dyDescent="0.3">
      <c r="A1065"/>
      <c r="B1065"/>
      <c r="C1065"/>
      <c r="D1065"/>
      <c r="E1065"/>
      <c r="F1065"/>
      <c r="G1065"/>
      <c r="H1065"/>
      <c r="I1065"/>
      <c r="N1065"/>
      <c r="O1065"/>
    </row>
    <row r="1066" spans="1:15" x14ac:dyDescent="0.3">
      <c r="A1066"/>
      <c r="B1066"/>
      <c r="C1066"/>
      <c r="D1066"/>
      <c r="E1066"/>
      <c r="F1066"/>
      <c r="G1066"/>
      <c r="H1066"/>
      <c r="I1066"/>
      <c r="N1066"/>
      <c r="O1066"/>
    </row>
    <row r="1067" spans="1:15" x14ac:dyDescent="0.3">
      <c r="A1067"/>
      <c r="B1067"/>
      <c r="C1067"/>
      <c r="D1067"/>
      <c r="E1067"/>
      <c r="F1067"/>
      <c r="G1067"/>
      <c r="H1067"/>
      <c r="I1067"/>
      <c r="N1067"/>
      <c r="O1067"/>
    </row>
    <row r="1068" spans="1:15" x14ac:dyDescent="0.3">
      <c r="A1068"/>
      <c r="B1068"/>
      <c r="C1068"/>
      <c r="D1068"/>
      <c r="E1068"/>
      <c r="F1068"/>
      <c r="G1068"/>
      <c r="H1068"/>
      <c r="I1068"/>
      <c r="N1068"/>
      <c r="O1068"/>
    </row>
    <row r="1069" spans="1:15" x14ac:dyDescent="0.3">
      <c r="A1069"/>
      <c r="B1069"/>
      <c r="C1069"/>
      <c r="D1069"/>
      <c r="E1069"/>
      <c r="F1069"/>
      <c r="G1069"/>
      <c r="H1069"/>
      <c r="I1069"/>
      <c r="N1069"/>
      <c r="O1069"/>
    </row>
    <row r="1070" spans="1:15" x14ac:dyDescent="0.3">
      <c r="A1070"/>
      <c r="B1070"/>
      <c r="C1070"/>
      <c r="D1070"/>
      <c r="E1070"/>
      <c r="F1070"/>
      <c r="G1070"/>
      <c r="H1070"/>
      <c r="I1070"/>
      <c r="N1070"/>
      <c r="O1070"/>
    </row>
    <row r="1071" spans="1:15" x14ac:dyDescent="0.3">
      <c r="A1071"/>
      <c r="B1071"/>
      <c r="C1071"/>
      <c r="D1071"/>
      <c r="E1071"/>
      <c r="F1071"/>
      <c r="G1071"/>
      <c r="H1071"/>
      <c r="I1071"/>
      <c r="N1071"/>
      <c r="O1071"/>
    </row>
    <row r="1072" spans="1:15" x14ac:dyDescent="0.3">
      <c r="A1072"/>
      <c r="B1072"/>
      <c r="C1072"/>
      <c r="D1072"/>
      <c r="E1072"/>
      <c r="F1072"/>
      <c r="G1072"/>
      <c r="H1072"/>
      <c r="I1072"/>
      <c r="N1072"/>
      <c r="O1072"/>
    </row>
    <row r="1073" spans="1:15" x14ac:dyDescent="0.3">
      <c r="A1073"/>
      <c r="B1073"/>
      <c r="C1073"/>
      <c r="D1073"/>
      <c r="E1073"/>
      <c r="F1073"/>
      <c r="G1073"/>
      <c r="H1073"/>
      <c r="I1073"/>
      <c r="N1073"/>
      <c r="O1073"/>
    </row>
    <row r="1074" spans="1:15" x14ac:dyDescent="0.3">
      <c r="A1074"/>
      <c r="B1074"/>
      <c r="C1074"/>
      <c r="D1074"/>
      <c r="E1074"/>
      <c r="F1074"/>
      <c r="G1074"/>
      <c r="H1074"/>
      <c r="I1074"/>
      <c r="N1074"/>
      <c r="O1074"/>
    </row>
    <row r="1075" spans="1:15" x14ac:dyDescent="0.3">
      <c r="A1075"/>
      <c r="B1075"/>
      <c r="C1075"/>
      <c r="D1075"/>
      <c r="E1075"/>
      <c r="F1075"/>
      <c r="G1075"/>
      <c r="H1075"/>
      <c r="I1075"/>
      <c r="N1075"/>
      <c r="O1075"/>
    </row>
    <row r="1076" spans="1:15" x14ac:dyDescent="0.3">
      <c r="A1076"/>
      <c r="B1076"/>
      <c r="C1076"/>
      <c r="D1076"/>
      <c r="E1076"/>
      <c r="F1076"/>
      <c r="G1076"/>
      <c r="H1076"/>
      <c r="I1076"/>
      <c r="N1076"/>
      <c r="O1076"/>
    </row>
    <row r="1077" spans="1:15" x14ac:dyDescent="0.3">
      <c r="A1077"/>
      <c r="B1077"/>
      <c r="C1077"/>
      <c r="D1077"/>
      <c r="E1077"/>
      <c r="F1077"/>
      <c r="G1077"/>
      <c r="H1077"/>
      <c r="I1077"/>
      <c r="N1077"/>
      <c r="O1077"/>
    </row>
    <row r="1078" spans="1:15" x14ac:dyDescent="0.3">
      <c r="A1078"/>
      <c r="B1078"/>
      <c r="C1078"/>
      <c r="D1078"/>
      <c r="E1078"/>
      <c r="F1078"/>
      <c r="G1078"/>
      <c r="H1078"/>
      <c r="I1078"/>
      <c r="N1078"/>
      <c r="O1078"/>
    </row>
    <row r="1079" spans="1:15" x14ac:dyDescent="0.3">
      <c r="A1079"/>
      <c r="B1079"/>
      <c r="C1079"/>
      <c r="D1079"/>
      <c r="E1079"/>
      <c r="F1079"/>
      <c r="G1079"/>
      <c r="H1079"/>
      <c r="I1079"/>
      <c r="N1079"/>
      <c r="O1079"/>
    </row>
    <row r="1080" spans="1:15" x14ac:dyDescent="0.3">
      <c r="A1080"/>
      <c r="B1080"/>
      <c r="C1080"/>
      <c r="D1080"/>
      <c r="E1080"/>
      <c r="F1080"/>
      <c r="G1080"/>
      <c r="H1080"/>
      <c r="I1080"/>
      <c r="N1080"/>
      <c r="O1080"/>
    </row>
    <row r="1081" spans="1:15" x14ac:dyDescent="0.3">
      <c r="A1081"/>
      <c r="B1081"/>
      <c r="C1081"/>
      <c r="D1081"/>
      <c r="E1081"/>
      <c r="F1081"/>
      <c r="G1081"/>
      <c r="H1081"/>
      <c r="I1081"/>
      <c r="O1081"/>
    </row>
    <row r="1082" spans="1:15" x14ac:dyDescent="0.3">
      <c r="A1082"/>
      <c r="B1082"/>
      <c r="C1082"/>
      <c r="D1082"/>
      <c r="E1082"/>
      <c r="F1082"/>
      <c r="G1082"/>
      <c r="H1082"/>
      <c r="I1082"/>
      <c r="O1082"/>
    </row>
    <row r="1083" spans="1:15" x14ac:dyDescent="0.3">
      <c r="A1083"/>
      <c r="B1083"/>
      <c r="C1083"/>
      <c r="D1083"/>
      <c r="E1083"/>
      <c r="F1083"/>
      <c r="G1083"/>
      <c r="H1083"/>
      <c r="I1083"/>
      <c r="O1083"/>
    </row>
    <row r="1084" spans="1:15" x14ac:dyDescent="0.3">
      <c r="A1084"/>
      <c r="B1084"/>
      <c r="C1084"/>
      <c r="D1084"/>
      <c r="E1084"/>
      <c r="F1084"/>
      <c r="G1084"/>
      <c r="H1084"/>
      <c r="I1084"/>
      <c r="O1084"/>
    </row>
    <row r="1085" spans="1:15" x14ac:dyDescent="0.3">
      <c r="A1085"/>
      <c r="B1085"/>
      <c r="C1085"/>
      <c r="D1085"/>
      <c r="E1085"/>
      <c r="F1085"/>
      <c r="G1085"/>
      <c r="H1085"/>
      <c r="I1085"/>
      <c r="O1085"/>
    </row>
    <row r="1086" spans="1:15" x14ac:dyDescent="0.3">
      <c r="A1086"/>
      <c r="B1086"/>
      <c r="C1086"/>
      <c r="D1086"/>
      <c r="E1086"/>
      <c r="F1086"/>
      <c r="G1086"/>
      <c r="H1086"/>
      <c r="I1086"/>
      <c r="O1086"/>
    </row>
    <row r="1087" spans="1:15" x14ac:dyDescent="0.3">
      <c r="A1087"/>
      <c r="B1087"/>
      <c r="C1087"/>
      <c r="D1087"/>
      <c r="E1087"/>
      <c r="F1087"/>
      <c r="G1087"/>
      <c r="H1087"/>
      <c r="I1087"/>
      <c r="O1087"/>
    </row>
    <row r="1088" spans="1:15" x14ac:dyDescent="0.3">
      <c r="A1088"/>
      <c r="B1088"/>
      <c r="C1088"/>
      <c r="D1088"/>
      <c r="E1088"/>
      <c r="F1088"/>
      <c r="G1088"/>
      <c r="H1088"/>
      <c r="I1088"/>
      <c r="O1088"/>
    </row>
    <row r="1089" spans="1:15" x14ac:dyDescent="0.3">
      <c r="A1089"/>
      <c r="B1089"/>
      <c r="C1089"/>
      <c r="D1089"/>
      <c r="E1089"/>
      <c r="F1089"/>
      <c r="G1089"/>
      <c r="H1089"/>
      <c r="I1089"/>
      <c r="O1089"/>
    </row>
    <row r="1090" spans="1:15" x14ac:dyDescent="0.3">
      <c r="A1090"/>
      <c r="B1090"/>
      <c r="C1090"/>
      <c r="D1090"/>
      <c r="E1090"/>
      <c r="F1090"/>
      <c r="G1090"/>
      <c r="H1090"/>
      <c r="I1090"/>
      <c r="O1090"/>
    </row>
    <row r="1091" spans="1:15" x14ac:dyDescent="0.3">
      <c r="A1091"/>
      <c r="B1091"/>
      <c r="C1091"/>
      <c r="D1091"/>
      <c r="E1091"/>
      <c r="F1091"/>
      <c r="G1091"/>
      <c r="H1091"/>
      <c r="I1091"/>
      <c r="O1091"/>
    </row>
    <row r="1092" spans="1:15" x14ac:dyDescent="0.3">
      <c r="A1092"/>
      <c r="B1092"/>
      <c r="C1092"/>
      <c r="D1092"/>
      <c r="E1092"/>
      <c r="F1092"/>
      <c r="G1092"/>
      <c r="H1092"/>
      <c r="I1092"/>
      <c r="O1092"/>
    </row>
    <row r="1093" spans="1:15" x14ac:dyDescent="0.3">
      <c r="A1093"/>
      <c r="B1093"/>
      <c r="C1093"/>
      <c r="D1093"/>
      <c r="E1093"/>
      <c r="F1093"/>
      <c r="G1093"/>
      <c r="H1093"/>
      <c r="I1093"/>
    </row>
    <row r="1094" spans="1:15" x14ac:dyDescent="0.3">
      <c r="A1094"/>
      <c r="B1094"/>
      <c r="C1094"/>
      <c r="D1094"/>
      <c r="E1094"/>
      <c r="F1094"/>
      <c r="G1094"/>
      <c r="H1094"/>
      <c r="I1094"/>
    </row>
    <row r="1095" spans="1:15" x14ac:dyDescent="0.3">
      <c r="A1095"/>
      <c r="B1095"/>
      <c r="C1095"/>
      <c r="D1095"/>
      <c r="E1095"/>
      <c r="F1095"/>
      <c r="G1095"/>
      <c r="H1095"/>
      <c r="I1095"/>
    </row>
    <row r="1096" spans="1:15" x14ac:dyDescent="0.3">
      <c r="A1096"/>
      <c r="B1096"/>
      <c r="C1096"/>
      <c r="D1096"/>
      <c r="E1096"/>
      <c r="F1096"/>
      <c r="G1096"/>
      <c r="H1096"/>
      <c r="I1096"/>
    </row>
    <row r="1097" spans="1:15" x14ac:dyDescent="0.3">
      <c r="A1097"/>
      <c r="B1097"/>
      <c r="C1097"/>
      <c r="D1097"/>
      <c r="E1097"/>
      <c r="F1097"/>
      <c r="G1097"/>
      <c r="H1097"/>
      <c r="I1097"/>
    </row>
    <row r="1098" spans="1:15" x14ac:dyDescent="0.3">
      <c r="A1098"/>
      <c r="B1098"/>
      <c r="C1098"/>
      <c r="D1098"/>
      <c r="E1098"/>
      <c r="F1098"/>
      <c r="G1098"/>
      <c r="H1098"/>
      <c r="I1098"/>
    </row>
    <row r="1099" spans="1:15" x14ac:dyDescent="0.3">
      <c r="A1099"/>
      <c r="B1099"/>
      <c r="C1099"/>
      <c r="D1099"/>
      <c r="E1099"/>
      <c r="F1099"/>
      <c r="G1099"/>
      <c r="H1099"/>
      <c r="I1099"/>
    </row>
    <row r="1100" spans="1:15" x14ac:dyDescent="0.3">
      <c r="A1100"/>
      <c r="B1100"/>
      <c r="C1100"/>
      <c r="D1100"/>
      <c r="E1100"/>
      <c r="F1100"/>
      <c r="G1100"/>
      <c r="H1100"/>
      <c r="I1100"/>
    </row>
    <row r="1101" spans="1:15" x14ac:dyDescent="0.3">
      <c r="A1101"/>
      <c r="B1101"/>
      <c r="C1101"/>
      <c r="D1101"/>
      <c r="E1101"/>
      <c r="F1101"/>
      <c r="G1101"/>
      <c r="H1101"/>
      <c r="I1101"/>
    </row>
    <row r="1102" spans="1:15" x14ac:dyDescent="0.3">
      <c r="A1102"/>
      <c r="B1102"/>
      <c r="C1102"/>
      <c r="D1102"/>
      <c r="E1102"/>
      <c r="F1102"/>
      <c r="G1102"/>
      <c r="H1102"/>
      <c r="I1102"/>
    </row>
    <row r="1103" spans="1:15" x14ac:dyDescent="0.3">
      <c r="A1103"/>
      <c r="B1103"/>
      <c r="C1103"/>
      <c r="D1103"/>
      <c r="E1103"/>
      <c r="F1103"/>
      <c r="G1103"/>
      <c r="H1103"/>
      <c r="I1103"/>
    </row>
    <row r="1104" spans="1:15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9" x14ac:dyDescent="0.3">
      <c r="A1217"/>
      <c r="B1217"/>
      <c r="C1217"/>
      <c r="D1217"/>
      <c r="E1217"/>
      <c r="F1217"/>
      <c r="G1217"/>
      <c r="H1217"/>
      <c r="I1217"/>
    </row>
    <row r="1218" spans="1:9" x14ac:dyDescent="0.3">
      <c r="A1218"/>
      <c r="B1218"/>
      <c r="C1218"/>
      <c r="D1218"/>
      <c r="E1218"/>
      <c r="F1218"/>
      <c r="G1218"/>
      <c r="H1218"/>
      <c r="I1218"/>
    </row>
    <row r="1219" spans="1:9" x14ac:dyDescent="0.3">
      <c r="A1219"/>
      <c r="B1219"/>
      <c r="C1219"/>
      <c r="D1219"/>
      <c r="E1219"/>
      <c r="F1219"/>
      <c r="G1219"/>
      <c r="H1219"/>
      <c r="I1219"/>
    </row>
    <row r="1220" spans="1:9" x14ac:dyDescent="0.3">
      <c r="A1220"/>
      <c r="B1220"/>
      <c r="C1220"/>
      <c r="D1220"/>
      <c r="E1220"/>
      <c r="F1220"/>
      <c r="G1220"/>
      <c r="H1220"/>
      <c r="I1220"/>
    </row>
    <row r="1221" spans="1:9" x14ac:dyDescent="0.3">
      <c r="A1221"/>
      <c r="B1221"/>
      <c r="C1221"/>
      <c r="D1221"/>
      <c r="E1221"/>
      <c r="F1221"/>
      <c r="G1221"/>
      <c r="H1221"/>
      <c r="I1221"/>
    </row>
    <row r="1222" spans="1:9" x14ac:dyDescent="0.3">
      <c r="A1222"/>
      <c r="B1222"/>
      <c r="C1222"/>
      <c r="D1222"/>
      <c r="E1222"/>
      <c r="F1222"/>
      <c r="G1222"/>
      <c r="H1222"/>
      <c r="I1222"/>
    </row>
    <row r="1223" spans="1:9" x14ac:dyDescent="0.3">
      <c r="A1223"/>
      <c r="B1223"/>
      <c r="C1223"/>
      <c r="D1223"/>
      <c r="E1223"/>
      <c r="F1223"/>
      <c r="G1223"/>
      <c r="H1223"/>
      <c r="I1223"/>
    </row>
    <row r="1224" spans="1:9" x14ac:dyDescent="0.3">
      <c r="A1224"/>
      <c r="B1224"/>
      <c r="C1224"/>
      <c r="D1224"/>
      <c r="E1224"/>
      <c r="F1224"/>
      <c r="G1224"/>
      <c r="H1224"/>
      <c r="I1224"/>
    </row>
    <row r="1225" spans="1:9" x14ac:dyDescent="0.3">
      <c r="A1225"/>
      <c r="B1225"/>
      <c r="C1225"/>
      <c r="D1225"/>
      <c r="E1225"/>
      <c r="F1225"/>
      <c r="G1225"/>
      <c r="H1225"/>
      <c r="I1225"/>
    </row>
    <row r="1226" spans="1:9" x14ac:dyDescent="0.3">
      <c r="A1226"/>
      <c r="B1226"/>
      <c r="C1226"/>
      <c r="D1226"/>
      <c r="E1226"/>
      <c r="F1226"/>
      <c r="G1226"/>
      <c r="H1226"/>
      <c r="I1226"/>
    </row>
    <row r="1227" spans="1:9" x14ac:dyDescent="0.3">
      <c r="A1227"/>
      <c r="B1227"/>
      <c r="C1227"/>
      <c r="D1227"/>
      <c r="E1227"/>
      <c r="F1227"/>
      <c r="G1227"/>
      <c r="H1227"/>
      <c r="I1227"/>
    </row>
    <row r="1228" spans="1:9" x14ac:dyDescent="0.3">
      <c r="A1228"/>
      <c r="B1228"/>
      <c r="C1228"/>
      <c r="D1228"/>
      <c r="E1228"/>
      <c r="F1228"/>
      <c r="G1228"/>
      <c r="H1228"/>
      <c r="I1228"/>
    </row>
    <row r="1229" spans="1:9" x14ac:dyDescent="0.3">
      <c r="A1229"/>
      <c r="B1229"/>
      <c r="C1229"/>
      <c r="D1229"/>
      <c r="E1229"/>
      <c r="F1229"/>
      <c r="G1229"/>
      <c r="H1229"/>
      <c r="I1229"/>
    </row>
    <row r="1230" spans="1:9" x14ac:dyDescent="0.3">
      <c r="A1230"/>
      <c r="B1230"/>
      <c r="C1230"/>
      <c r="D1230"/>
      <c r="E1230"/>
      <c r="F1230"/>
      <c r="G1230"/>
      <c r="H1230"/>
      <c r="I1230"/>
    </row>
    <row r="1231" spans="1:9" x14ac:dyDescent="0.3">
      <c r="A1231"/>
      <c r="B1231"/>
      <c r="C1231"/>
      <c r="D1231"/>
      <c r="E1231"/>
      <c r="F1231"/>
      <c r="G1231"/>
      <c r="H1231"/>
      <c r="I1231"/>
    </row>
    <row r="1232" spans="1:9" x14ac:dyDescent="0.3">
      <c r="A1232"/>
      <c r="B1232"/>
      <c r="C1232"/>
      <c r="D1232"/>
      <c r="E1232"/>
      <c r="F1232"/>
      <c r="G1232"/>
      <c r="H1232"/>
      <c r="I1232"/>
    </row>
    <row r="1233" spans="1:9" x14ac:dyDescent="0.3">
      <c r="A1233"/>
      <c r="B1233"/>
      <c r="C1233"/>
      <c r="D1233"/>
      <c r="E1233"/>
      <c r="F1233"/>
      <c r="G1233"/>
      <c r="H1233"/>
      <c r="I1233"/>
    </row>
    <row r="1234" spans="1:9" x14ac:dyDescent="0.3">
      <c r="A1234"/>
      <c r="B1234"/>
      <c r="C1234"/>
      <c r="D1234"/>
      <c r="E1234"/>
      <c r="F1234"/>
      <c r="G1234"/>
      <c r="H1234"/>
      <c r="I1234"/>
    </row>
    <row r="1235" spans="1:9" x14ac:dyDescent="0.3">
      <c r="A1235"/>
      <c r="B1235"/>
      <c r="C1235"/>
      <c r="D1235"/>
      <c r="E1235"/>
      <c r="F1235"/>
      <c r="G1235"/>
      <c r="H1235"/>
      <c r="I1235"/>
    </row>
    <row r="1236" spans="1:9" x14ac:dyDescent="0.3">
      <c r="A1236"/>
      <c r="B1236"/>
      <c r="C1236"/>
      <c r="D1236"/>
      <c r="E1236"/>
      <c r="F1236"/>
      <c r="G1236"/>
      <c r="H1236"/>
      <c r="I1236"/>
    </row>
    <row r="1237" spans="1:9" x14ac:dyDescent="0.3">
      <c r="A1237"/>
      <c r="B1237"/>
      <c r="C1237"/>
      <c r="D1237"/>
      <c r="E1237"/>
      <c r="F1237"/>
      <c r="G1237"/>
      <c r="H1237"/>
      <c r="I1237"/>
    </row>
    <row r="1238" spans="1:9" x14ac:dyDescent="0.3">
      <c r="A1238"/>
      <c r="B1238"/>
      <c r="C1238"/>
      <c r="D1238"/>
      <c r="E1238"/>
      <c r="F1238"/>
      <c r="G1238"/>
      <c r="H1238"/>
      <c r="I1238"/>
    </row>
    <row r="1239" spans="1:9" x14ac:dyDescent="0.3">
      <c r="A1239"/>
      <c r="B1239"/>
      <c r="C1239"/>
      <c r="D1239"/>
      <c r="E1239"/>
      <c r="F1239"/>
      <c r="G1239"/>
      <c r="H1239"/>
      <c r="I1239"/>
    </row>
    <row r="1240" spans="1:9" x14ac:dyDescent="0.3">
      <c r="A1240"/>
      <c r="B1240"/>
      <c r="C1240"/>
      <c r="D1240"/>
      <c r="E1240"/>
      <c r="F1240"/>
      <c r="G1240"/>
      <c r="H1240"/>
      <c r="I1240"/>
    </row>
    <row r="1241" spans="1:9" x14ac:dyDescent="0.3">
      <c r="A1241"/>
      <c r="B1241"/>
      <c r="C1241"/>
      <c r="D1241"/>
      <c r="E1241"/>
      <c r="F1241"/>
      <c r="G1241"/>
      <c r="H1241"/>
      <c r="I1241"/>
    </row>
    <row r="1242" spans="1:9" x14ac:dyDescent="0.3">
      <c r="A1242"/>
      <c r="B1242"/>
      <c r="C1242"/>
      <c r="D1242"/>
      <c r="E1242"/>
      <c r="F1242"/>
      <c r="G1242"/>
      <c r="H1242"/>
      <c r="I1242"/>
    </row>
    <row r="1243" spans="1:9" x14ac:dyDescent="0.3">
      <c r="A1243"/>
      <c r="B1243"/>
      <c r="C1243"/>
      <c r="D1243"/>
      <c r="E1243"/>
      <c r="F1243"/>
      <c r="G1243"/>
      <c r="H1243"/>
      <c r="I1243"/>
    </row>
    <row r="1244" spans="1:9" x14ac:dyDescent="0.3">
      <c r="A1244"/>
      <c r="B1244"/>
      <c r="C1244"/>
      <c r="D1244"/>
      <c r="E1244"/>
      <c r="F1244"/>
      <c r="G1244"/>
      <c r="H1244"/>
      <c r="I1244"/>
    </row>
    <row r="1245" spans="1:9" x14ac:dyDescent="0.3">
      <c r="A1245"/>
      <c r="B1245"/>
      <c r="C1245"/>
      <c r="D1245"/>
      <c r="E1245"/>
      <c r="F1245"/>
      <c r="G1245"/>
      <c r="H1245"/>
      <c r="I1245"/>
    </row>
    <row r="1246" spans="1:9" x14ac:dyDescent="0.3">
      <c r="A1246"/>
      <c r="B1246"/>
      <c r="C1246"/>
      <c r="D1246"/>
      <c r="E1246"/>
      <c r="F1246"/>
      <c r="G1246"/>
      <c r="H1246"/>
      <c r="I1246"/>
    </row>
    <row r="1247" spans="1:9" x14ac:dyDescent="0.3">
      <c r="A1247"/>
      <c r="B1247"/>
      <c r="C1247"/>
      <c r="D1247"/>
      <c r="E1247"/>
      <c r="F1247"/>
      <c r="G1247"/>
      <c r="H1247"/>
      <c r="I1247"/>
    </row>
    <row r="1248" spans="1:9" x14ac:dyDescent="0.3">
      <c r="A1248"/>
      <c r="B1248"/>
      <c r="C1248"/>
      <c r="D1248"/>
      <c r="E1248"/>
      <c r="F1248"/>
      <c r="G1248"/>
      <c r="H1248"/>
      <c r="I1248"/>
    </row>
    <row r="1249" spans="1:9" x14ac:dyDescent="0.3">
      <c r="A1249"/>
      <c r="B1249"/>
      <c r="C1249"/>
      <c r="D1249"/>
      <c r="E1249"/>
      <c r="F1249"/>
      <c r="G1249"/>
      <c r="H1249"/>
      <c r="I1249"/>
    </row>
    <row r="1250" spans="1:9" x14ac:dyDescent="0.3">
      <c r="A1250"/>
      <c r="B1250"/>
      <c r="C1250"/>
      <c r="D1250"/>
      <c r="E1250"/>
      <c r="F1250"/>
      <c r="G1250"/>
      <c r="H1250"/>
      <c r="I1250"/>
    </row>
    <row r="1251" spans="1:9" x14ac:dyDescent="0.3">
      <c r="A1251"/>
      <c r="B1251"/>
      <c r="C1251"/>
      <c r="D1251"/>
      <c r="E1251"/>
      <c r="F1251"/>
      <c r="G1251"/>
      <c r="H1251"/>
      <c r="I1251"/>
    </row>
    <row r="1252" spans="1:9" x14ac:dyDescent="0.3">
      <c r="A1252"/>
      <c r="B1252"/>
      <c r="C1252"/>
      <c r="D1252"/>
      <c r="E1252"/>
      <c r="F1252"/>
      <c r="G1252"/>
      <c r="H1252"/>
      <c r="I1252"/>
    </row>
    <row r="1253" spans="1:9" x14ac:dyDescent="0.3">
      <c r="A1253"/>
      <c r="B1253"/>
      <c r="C1253"/>
      <c r="D1253"/>
      <c r="E1253"/>
      <c r="F1253"/>
      <c r="G1253"/>
      <c r="H1253"/>
      <c r="I1253"/>
    </row>
    <row r="1254" spans="1:9" x14ac:dyDescent="0.3">
      <c r="A1254"/>
      <c r="B1254"/>
      <c r="C1254"/>
      <c r="D1254"/>
      <c r="E1254"/>
      <c r="F1254"/>
      <c r="G1254"/>
      <c r="H1254"/>
      <c r="I1254"/>
    </row>
    <row r="1255" spans="1:9" x14ac:dyDescent="0.3">
      <c r="A1255"/>
      <c r="B1255"/>
      <c r="C1255"/>
      <c r="D1255"/>
      <c r="E1255"/>
      <c r="F1255"/>
      <c r="G1255"/>
      <c r="H1255"/>
      <c r="I1255"/>
    </row>
    <row r="1256" spans="1:9" x14ac:dyDescent="0.3">
      <c r="A1256"/>
      <c r="B1256"/>
      <c r="C1256"/>
      <c r="D1256"/>
      <c r="E1256"/>
      <c r="F1256"/>
      <c r="G1256"/>
      <c r="H1256"/>
      <c r="I1256"/>
    </row>
    <row r="1257" spans="1:9" x14ac:dyDescent="0.3">
      <c r="A1257"/>
      <c r="B1257"/>
      <c r="C1257"/>
      <c r="D1257"/>
      <c r="E1257"/>
      <c r="F1257"/>
      <c r="G1257"/>
      <c r="H1257"/>
      <c r="I1257"/>
    </row>
    <row r="1258" spans="1:9" x14ac:dyDescent="0.3">
      <c r="A1258"/>
      <c r="B1258"/>
      <c r="C1258"/>
      <c r="D1258"/>
      <c r="E1258"/>
      <c r="F1258"/>
      <c r="G1258"/>
      <c r="H1258"/>
      <c r="I1258"/>
    </row>
    <row r="1259" spans="1:9" x14ac:dyDescent="0.3">
      <c r="A1259"/>
      <c r="B1259"/>
      <c r="C1259"/>
      <c r="D1259"/>
      <c r="E1259"/>
      <c r="F1259"/>
      <c r="G1259"/>
      <c r="H1259"/>
      <c r="I1259"/>
    </row>
    <row r="1260" spans="1:9" x14ac:dyDescent="0.3">
      <c r="A1260"/>
      <c r="B1260"/>
      <c r="C1260"/>
      <c r="D1260"/>
      <c r="E1260"/>
      <c r="F1260"/>
      <c r="G1260"/>
      <c r="H1260"/>
      <c r="I1260"/>
    </row>
    <row r="1261" spans="1:9" x14ac:dyDescent="0.3">
      <c r="A1261"/>
      <c r="B1261"/>
      <c r="C1261"/>
      <c r="D1261"/>
      <c r="E1261"/>
      <c r="F1261"/>
      <c r="G1261"/>
      <c r="H1261"/>
      <c r="I1261"/>
    </row>
    <row r="1262" spans="1:9" x14ac:dyDescent="0.3">
      <c r="A1262"/>
      <c r="B1262"/>
      <c r="C1262"/>
      <c r="D1262"/>
      <c r="E1262"/>
      <c r="F1262"/>
      <c r="G1262"/>
      <c r="H1262"/>
      <c r="I1262"/>
    </row>
    <row r="1263" spans="1:9" x14ac:dyDescent="0.3">
      <c r="A1263"/>
      <c r="B1263"/>
      <c r="C1263"/>
      <c r="D1263"/>
      <c r="E1263"/>
      <c r="F1263"/>
      <c r="G1263"/>
      <c r="H1263"/>
      <c r="I1263"/>
    </row>
    <row r="1264" spans="1:9" x14ac:dyDescent="0.3">
      <c r="A1264"/>
      <c r="B1264"/>
      <c r="C1264"/>
      <c r="D1264"/>
      <c r="E1264"/>
      <c r="F1264"/>
      <c r="G1264"/>
      <c r="H1264"/>
      <c r="I1264"/>
    </row>
    <row r="1265" spans="1:19" x14ac:dyDescent="0.3">
      <c r="A1265"/>
      <c r="B1265"/>
      <c r="C1265"/>
      <c r="D1265"/>
      <c r="E1265"/>
      <c r="F1265"/>
      <c r="G1265"/>
      <c r="H1265"/>
      <c r="I1265"/>
    </row>
    <row r="1266" spans="1:19" x14ac:dyDescent="0.3">
      <c r="A1266"/>
      <c r="B1266"/>
      <c r="C1266"/>
      <c r="D1266"/>
      <c r="E1266"/>
      <c r="F1266"/>
      <c r="G1266"/>
      <c r="H1266"/>
      <c r="I1266"/>
    </row>
    <row r="1267" spans="1:19" x14ac:dyDescent="0.3">
      <c r="A1267"/>
      <c r="B1267"/>
      <c r="C1267"/>
      <c r="D1267"/>
      <c r="E1267"/>
      <c r="F1267"/>
      <c r="G1267"/>
      <c r="H1267"/>
      <c r="I1267"/>
    </row>
    <row r="1268" spans="1:19" x14ac:dyDescent="0.3">
      <c r="A1268"/>
      <c r="B1268"/>
      <c r="C1268"/>
      <c r="D1268"/>
      <c r="E1268"/>
      <c r="F1268"/>
      <c r="G1268"/>
      <c r="H1268"/>
      <c r="I1268"/>
    </row>
    <row r="1269" spans="1:19" x14ac:dyDescent="0.3">
      <c r="A1269"/>
      <c r="B1269"/>
      <c r="C1269"/>
      <c r="D1269"/>
      <c r="E1269"/>
      <c r="F1269"/>
      <c r="G1269"/>
      <c r="H1269"/>
      <c r="I1269"/>
    </row>
    <row r="1270" spans="1:19" x14ac:dyDescent="0.3">
      <c r="A1270"/>
      <c r="B1270"/>
      <c r="C1270"/>
      <c r="D1270"/>
      <c r="E1270"/>
      <c r="F1270"/>
      <c r="G1270"/>
      <c r="H1270"/>
      <c r="I1270"/>
    </row>
    <row r="1271" spans="1:19" x14ac:dyDescent="0.3">
      <c r="A1271"/>
      <c r="B1271"/>
      <c r="C1271"/>
      <c r="D1271"/>
      <c r="E1271"/>
      <c r="F1271"/>
      <c r="G1271"/>
      <c r="H1271"/>
      <c r="I1271"/>
    </row>
    <row r="1272" spans="1:19" x14ac:dyDescent="0.3">
      <c r="A1272"/>
      <c r="B1272"/>
      <c r="C1272"/>
      <c r="D1272"/>
      <c r="E1272"/>
      <c r="F1272"/>
      <c r="G1272"/>
      <c r="H1272"/>
      <c r="I1272"/>
    </row>
    <row r="1273" spans="1:19" x14ac:dyDescent="0.3">
      <c r="A1273"/>
      <c r="B1273"/>
      <c r="C1273"/>
      <c r="D1273"/>
      <c r="E1273"/>
      <c r="F1273"/>
      <c r="G1273"/>
      <c r="H1273"/>
      <c r="I1273"/>
    </row>
    <row r="1274" spans="1:19" x14ac:dyDescent="0.3">
      <c r="A1274"/>
      <c r="B1274"/>
      <c r="C1274"/>
      <c r="D1274"/>
      <c r="E1274"/>
      <c r="F1274"/>
      <c r="G1274"/>
      <c r="H1274"/>
      <c r="I1274"/>
    </row>
    <row r="1275" spans="1:19" x14ac:dyDescent="0.3">
      <c r="C1275"/>
      <c r="D1275"/>
      <c r="E1275"/>
      <c r="F1275"/>
      <c r="G1275"/>
      <c r="P1275" s="1">
        <f t="shared" ref="P1275:P1292" si="79">(B1257+Q$36)/P$36</f>
        <v>0.79928861788617889</v>
      </c>
      <c r="Q1275" s="1">
        <f t="shared" ref="Q1275:Q1292" si="80">(C1257+Q$36)/P$36</f>
        <v>0.79928861788617889</v>
      </c>
      <c r="R1275" s="1">
        <f t="shared" ref="R1275:R1292" si="81">(D1257+Q$38)/P$38</f>
        <v>0.82624655858060569</v>
      </c>
      <c r="S1275" s="1">
        <f t="shared" ref="S1275:S1292" si="82">(E1257+Q$39)/P$39</f>
        <v>0.94496726677577736</v>
      </c>
    </row>
    <row r="1276" spans="1:19" x14ac:dyDescent="0.3">
      <c r="C1276"/>
      <c r="D1276"/>
      <c r="E1276"/>
      <c r="F1276"/>
      <c r="G1276"/>
      <c r="P1276" s="1">
        <f t="shared" si="79"/>
        <v>0.79928861788617889</v>
      </c>
      <c r="Q1276" s="1">
        <f t="shared" si="80"/>
        <v>0.79928861788617889</v>
      </c>
      <c r="R1276" s="1">
        <f t="shared" si="81"/>
        <v>0.82624655858060569</v>
      </c>
      <c r="S1276" s="1">
        <f t="shared" si="82"/>
        <v>0.94496726677577736</v>
      </c>
    </row>
    <row r="1277" spans="1:19" x14ac:dyDescent="0.3">
      <c r="C1277"/>
      <c r="D1277"/>
      <c r="E1277"/>
      <c r="F1277"/>
      <c r="G1277"/>
      <c r="P1277" s="1">
        <f t="shared" si="79"/>
        <v>0.79928861788617889</v>
      </c>
      <c r="Q1277" s="1">
        <f t="shared" si="80"/>
        <v>0.79928861788617889</v>
      </c>
      <c r="R1277" s="1">
        <f t="shared" si="81"/>
        <v>0.82624655858060569</v>
      </c>
      <c r="S1277" s="1">
        <f t="shared" si="82"/>
        <v>0.94496726677577736</v>
      </c>
    </row>
    <row r="1278" spans="1:19" x14ac:dyDescent="0.3">
      <c r="C1278"/>
      <c r="D1278"/>
      <c r="E1278"/>
      <c r="F1278"/>
      <c r="G1278"/>
      <c r="P1278" s="1">
        <f t="shared" si="79"/>
        <v>0.79928861788617889</v>
      </c>
      <c r="Q1278" s="1">
        <f t="shared" si="80"/>
        <v>0.79928861788617889</v>
      </c>
      <c r="R1278" s="1">
        <f t="shared" si="81"/>
        <v>0.82624655858060569</v>
      </c>
      <c r="S1278" s="1">
        <f t="shared" si="82"/>
        <v>0.94496726677577736</v>
      </c>
    </row>
    <row r="1279" spans="1:19" x14ac:dyDescent="0.3">
      <c r="C1279"/>
      <c r="D1279"/>
      <c r="E1279"/>
      <c r="F1279"/>
      <c r="G1279"/>
      <c r="P1279" s="1">
        <f t="shared" si="79"/>
        <v>0.79928861788617889</v>
      </c>
      <c r="Q1279" s="1">
        <f t="shared" si="80"/>
        <v>0.79928861788617889</v>
      </c>
      <c r="R1279" s="1">
        <f t="shared" si="81"/>
        <v>0.82624655858060569</v>
      </c>
      <c r="S1279" s="1">
        <f t="shared" si="82"/>
        <v>0.94496726677577736</v>
      </c>
    </row>
    <row r="1280" spans="1:19" x14ac:dyDescent="0.3">
      <c r="C1280"/>
      <c r="D1280"/>
      <c r="E1280"/>
      <c r="F1280"/>
      <c r="G1280"/>
      <c r="P1280" s="1">
        <f t="shared" si="79"/>
        <v>0.79928861788617889</v>
      </c>
      <c r="Q1280" s="1">
        <f t="shared" si="80"/>
        <v>0.79928861788617889</v>
      </c>
      <c r="R1280" s="1">
        <f t="shared" si="81"/>
        <v>0.82624655858060569</v>
      </c>
      <c r="S1280" s="1">
        <f t="shared" si="82"/>
        <v>0.94496726677577736</v>
      </c>
    </row>
    <row r="1281" spans="3:19" x14ac:dyDescent="0.3">
      <c r="C1281"/>
      <c r="D1281"/>
      <c r="E1281"/>
      <c r="F1281"/>
      <c r="G1281"/>
      <c r="P1281" s="1">
        <f t="shared" si="79"/>
        <v>0.79928861788617889</v>
      </c>
      <c r="Q1281" s="1">
        <f t="shared" si="80"/>
        <v>0.79928861788617889</v>
      </c>
      <c r="R1281" s="1">
        <f t="shared" si="81"/>
        <v>0.82624655858060569</v>
      </c>
      <c r="S1281" s="1">
        <f t="shared" si="82"/>
        <v>0.94496726677577736</v>
      </c>
    </row>
    <row r="1282" spans="3:19" x14ac:dyDescent="0.3">
      <c r="C1282"/>
      <c r="D1282"/>
      <c r="E1282"/>
      <c r="F1282"/>
      <c r="G1282"/>
      <c r="P1282" s="1">
        <f t="shared" si="79"/>
        <v>0.79928861788617889</v>
      </c>
      <c r="Q1282" s="1">
        <f t="shared" si="80"/>
        <v>0.79928861788617889</v>
      </c>
      <c r="R1282" s="1">
        <f t="shared" si="81"/>
        <v>0.82624655858060569</v>
      </c>
      <c r="S1282" s="1">
        <f t="shared" si="82"/>
        <v>0.94496726677577736</v>
      </c>
    </row>
    <row r="1283" spans="3:19" x14ac:dyDescent="0.3">
      <c r="C1283"/>
      <c r="D1283"/>
      <c r="E1283"/>
      <c r="F1283"/>
      <c r="G1283"/>
      <c r="P1283" s="1">
        <f t="shared" si="79"/>
        <v>0.79928861788617889</v>
      </c>
      <c r="Q1283" s="1">
        <f t="shared" si="80"/>
        <v>0.79928861788617889</v>
      </c>
      <c r="R1283" s="1">
        <f t="shared" si="81"/>
        <v>0.82624655858060569</v>
      </c>
      <c r="S1283" s="1">
        <f t="shared" si="82"/>
        <v>0.94496726677577736</v>
      </c>
    </row>
    <row r="1284" spans="3:19" x14ac:dyDescent="0.3">
      <c r="C1284"/>
      <c r="D1284"/>
      <c r="E1284"/>
      <c r="F1284"/>
      <c r="G1284"/>
      <c r="P1284" s="1">
        <f t="shared" si="79"/>
        <v>0.79928861788617889</v>
      </c>
      <c r="Q1284" s="1">
        <f t="shared" si="80"/>
        <v>0.79928861788617889</v>
      </c>
      <c r="R1284" s="1">
        <f t="shared" si="81"/>
        <v>0.82624655858060569</v>
      </c>
      <c r="S1284" s="1">
        <f t="shared" si="82"/>
        <v>0.94496726677577736</v>
      </c>
    </row>
    <row r="1285" spans="3:19" x14ac:dyDescent="0.3">
      <c r="C1285"/>
      <c r="D1285"/>
      <c r="E1285"/>
      <c r="F1285"/>
      <c r="G1285"/>
      <c r="P1285" s="1">
        <f t="shared" si="79"/>
        <v>0.79928861788617889</v>
      </c>
      <c r="Q1285" s="1">
        <f t="shared" si="80"/>
        <v>0.79928861788617889</v>
      </c>
      <c r="R1285" s="1">
        <f t="shared" si="81"/>
        <v>0.82624655858060569</v>
      </c>
      <c r="S1285" s="1">
        <f t="shared" si="82"/>
        <v>0.94496726677577736</v>
      </c>
    </row>
    <row r="1286" spans="3:19" x14ac:dyDescent="0.3">
      <c r="C1286"/>
      <c r="D1286"/>
      <c r="E1286"/>
      <c r="F1286"/>
      <c r="G1286"/>
      <c r="P1286" s="1">
        <f t="shared" si="79"/>
        <v>0.79928861788617889</v>
      </c>
      <c r="Q1286" s="1">
        <f t="shared" si="80"/>
        <v>0.79928861788617889</v>
      </c>
      <c r="R1286" s="1">
        <f t="shared" si="81"/>
        <v>0.82624655858060569</v>
      </c>
      <c r="S1286" s="1">
        <f t="shared" si="82"/>
        <v>0.94496726677577736</v>
      </c>
    </row>
    <row r="1287" spans="3:19" x14ac:dyDescent="0.3">
      <c r="C1287"/>
      <c r="D1287"/>
      <c r="E1287"/>
      <c r="F1287"/>
      <c r="G1287"/>
      <c r="P1287" s="1">
        <f t="shared" si="79"/>
        <v>0.79928861788617889</v>
      </c>
      <c r="Q1287" s="1">
        <f t="shared" si="80"/>
        <v>0.79928861788617889</v>
      </c>
      <c r="R1287" s="1">
        <f t="shared" si="81"/>
        <v>0.82624655858060569</v>
      </c>
      <c r="S1287" s="1">
        <f t="shared" si="82"/>
        <v>0.94496726677577736</v>
      </c>
    </row>
    <row r="1288" spans="3:19" x14ac:dyDescent="0.3">
      <c r="C1288"/>
      <c r="D1288"/>
      <c r="E1288"/>
      <c r="F1288"/>
      <c r="G1288"/>
      <c r="P1288" s="1">
        <f t="shared" si="79"/>
        <v>0.79928861788617889</v>
      </c>
      <c r="Q1288" s="1">
        <f t="shared" si="80"/>
        <v>0.79928861788617889</v>
      </c>
      <c r="R1288" s="1">
        <f t="shared" si="81"/>
        <v>0.82624655858060569</v>
      </c>
      <c r="S1288" s="1">
        <f t="shared" si="82"/>
        <v>0.94496726677577736</v>
      </c>
    </row>
    <row r="1289" spans="3:19" x14ac:dyDescent="0.3">
      <c r="C1289"/>
      <c r="D1289"/>
      <c r="E1289"/>
      <c r="F1289"/>
      <c r="G1289"/>
      <c r="P1289" s="1">
        <f t="shared" si="79"/>
        <v>0.79928861788617889</v>
      </c>
      <c r="Q1289" s="1">
        <f t="shared" si="80"/>
        <v>0.79928861788617889</v>
      </c>
      <c r="R1289" s="1">
        <f t="shared" si="81"/>
        <v>0.82624655858060569</v>
      </c>
      <c r="S1289" s="1">
        <f t="shared" si="82"/>
        <v>0.94496726677577736</v>
      </c>
    </row>
    <row r="1290" spans="3:19" x14ac:dyDescent="0.3">
      <c r="C1290"/>
      <c r="D1290"/>
      <c r="E1290"/>
      <c r="F1290"/>
      <c r="G1290"/>
      <c r="P1290" s="1">
        <f t="shared" si="79"/>
        <v>0.79928861788617889</v>
      </c>
      <c r="Q1290" s="1">
        <f t="shared" si="80"/>
        <v>0.79928861788617889</v>
      </c>
      <c r="R1290" s="1">
        <f t="shared" si="81"/>
        <v>0.82624655858060569</v>
      </c>
      <c r="S1290" s="1">
        <f t="shared" si="82"/>
        <v>0.94496726677577736</v>
      </c>
    </row>
    <row r="1291" spans="3:19" x14ac:dyDescent="0.3">
      <c r="C1291"/>
      <c r="D1291"/>
      <c r="E1291"/>
      <c r="F1291"/>
      <c r="G1291"/>
      <c r="P1291" s="1">
        <f t="shared" si="79"/>
        <v>0.79928861788617889</v>
      </c>
      <c r="Q1291" s="1">
        <f t="shared" si="80"/>
        <v>0.79928861788617889</v>
      </c>
      <c r="R1291" s="1">
        <f t="shared" si="81"/>
        <v>0.82624655858060569</v>
      </c>
      <c r="S1291" s="1">
        <f t="shared" si="82"/>
        <v>0.94496726677577736</v>
      </c>
    </row>
    <row r="1292" spans="3:19" x14ac:dyDescent="0.3">
      <c r="C1292"/>
      <c r="D1292"/>
      <c r="E1292"/>
      <c r="F1292"/>
      <c r="G1292"/>
      <c r="P1292" s="1">
        <f t="shared" si="79"/>
        <v>0.79928861788617889</v>
      </c>
      <c r="Q1292" s="1">
        <f t="shared" si="80"/>
        <v>0.79928861788617889</v>
      </c>
      <c r="R1292" s="1">
        <f t="shared" si="81"/>
        <v>0.82624655858060569</v>
      </c>
      <c r="S1292" s="1">
        <f t="shared" si="82"/>
        <v>0.94496726677577736</v>
      </c>
    </row>
    <row r="1293" spans="3:19" x14ac:dyDescent="0.3">
      <c r="C1293"/>
      <c r="D1293"/>
      <c r="E1293"/>
      <c r="F1293"/>
      <c r="G1293"/>
    </row>
    <row r="1294" spans="3:19" x14ac:dyDescent="0.3">
      <c r="C1294"/>
      <c r="D1294"/>
      <c r="E1294"/>
      <c r="F1294"/>
      <c r="G1294"/>
    </row>
    <row r="1295" spans="3:19" x14ac:dyDescent="0.3">
      <c r="C1295"/>
      <c r="D1295"/>
      <c r="E1295"/>
      <c r="F1295"/>
      <c r="G1295"/>
    </row>
    <row r="1296" spans="3:19" x14ac:dyDescent="0.3">
      <c r="C1296"/>
      <c r="D1296"/>
      <c r="E1296"/>
      <c r="F1296"/>
      <c r="G1296"/>
    </row>
    <row r="1297" spans="3:7" x14ac:dyDescent="0.3">
      <c r="C1297"/>
      <c r="D1297"/>
      <c r="E1297"/>
      <c r="F1297"/>
      <c r="G1297"/>
    </row>
    <row r="1298" spans="3:7" x14ac:dyDescent="0.3">
      <c r="C1298"/>
      <c r="D1298"/>
      <c r="E1298"/>
      <c r="F1298"/>
      <c r="G1298"/>
    </row>
    <row r="1299" spans="3:7" x14ac:dyDescent="0.3">
      <c r="C1299"/>
      <c r="D1299"/>
      <c r="E1299"/>
      <c r="F1299"/>
      <c r="G1299"/>
    </row>
    <row r="1300" spans="3:7" x14ac:dyDescent="0.3">
      <c r="C1300"/>
      <c r="D1300"/>
      <c r="E1300"/>
      <c r="F1300"/>
      <c r="G1300"/>
    </row>
    <row r="1301" spans="3:7" x14ac:dyDescent="0.3">
      <c r="C1301"/>
      <c r="D1301"/>
      <c r="E1301"/>
      <c r="F1301"/>
      <c r="G1301"/>
    </row>
    <row r="1302" spans="3:7" x14ac:dyDescent="0.3">
      <c r="C1302"/>
      <c r="D1302"/>
      <c r="E1302"/>
      <c r="F1302"/>
      <c r="G1302"/>
    </row>
    <row r="1303" spans="3:7" x14ac:dyDescent="0.3">
      <c r="C1303"/>
      <c r="D1303"/>
      <c r="E1303"/>
      <c r="F1303"/>
      <c r="G1303"/>
    </row>
    <row r="1304" spans="3:7" x14ac:dyDescent="0.3">
      <c r="C1304"/>
      <c r="D1304"/>
      <c r="E1304"/>
      <c r="F1304"/>
      <c r="G1304"/>
    </row>
    <row r="1305" spans="3:7" x14ac:dyDescent="0.3">
      <c r="C1305"/>
      <c r="D1305"/>
      <c r="E1305"/>
      <c r="F1305"/>
      <c r="G1305"/>
    </row>
    <row r="1306" spans="3:7" x14ac:dyDescent="0.3">
      <c r="C1306"/>
      <c r="D1306"/>
      <c r="E1306"/>
      <c r="F1306"/>
      <c r="G1306"/>
    </row>
    <row r="1307" spans="3:7" x14ac:dyDescent="0.3">
      <c r="C1307"/>
      <c r="D1307"/>
      <c r="E1307"/>
      <c r="F1307"/>
      <c r="G1307"/>
    </row>
    <row r="1308" spans="3:7" x14ac:dyDescent="0.3">
      <c r="C1308"/>
      <c r="D1308"/>
      <c r="E1308"/>
      <c r="F1308"/>
      <c r="G1308"/>
    </row>
    <row r="1309" spans="3:7" x14ac:dyDescent="0.3">
      <c r="C1309"/>
      <c r="D1309"/>
      <c r="E1309"/>
      <c r="F1309"/>
      <c r="G1309"/>
    </row>
    <row r="1310" spans="3:7" x14ac:dyDescent="0.3">
      <c r="C1310"/>
      <c r="D1310"/>
      <c r="E1310"/>
      <c r="F1310"/>
      <c r="G1310"/>
    </row>
    <row r="1311" spans="3:7" x14ac:dyDescent="0.3">
      <c r="C1311"/>
      <c r="D1311"/>
      <c r="E1311"/>
      <c r="F1311"/>
      <c r="G1311"/>
    </row>
    <row r="1312" spans="3:7" x14ac:dyDescent="0.3">
      <c r="C1312"/>
      <c r="D1312"/>
      <c r="E1312"/>
      <c r="F1312"/>
      <c r="G1312"/>
    </row>
    <row r="1313" spans="3:7" x14ac:dyDescent="0.3">
      <c r="C1313"/>
      <c r="D1313"/>
      <c r="E1313"/>
      <c r="F1313"/>
      <c r="G1313"/>
    </row>
    <row r="1314" spans="3:7" x14ac:dyDescent="0.3">
      <c r="C1314"/>
      <c r="D1314"/>
      <c r="E1314"/>
      <c r="F1314"/>
      <c r="G1314"/>
    </row>
    <row r="1315" spans="3:7" x14ac:dyDescent="0.3">
      <c r="C1315"/>
      <c r="D1315"/>
      <c r="E1315"/>
      <c r="F1315"/>
      <c r="G1315"/>
    </row>
    <row r="1316" spans="3:7" x14ac:dyDescent="0.3">
      <c r="C1316"/>
      <c r="D1316"/>
      <c r="E1316"/>
      <c r="F1316"/>
      <c r="G1316"/>
    </row>
    <row r="1317" spans="3:7" x14ac:dyDescent="0.3">
      <c r="C1317"/>
      <c r="D1317"/>
      <c r="E1317"/>
      <c r="F1317"/>
      <c r="G1317"/>
    </row>
    <row r="1318" spans="3:7" x14ac:dyDescent="0.3">
      <c r="C1318"/>
      <c r="D1318"/>
      <c r="E1318"/>
      <c r="F1318"/>
      <c r="G1318"/>
    </row>
    <row r="1319" spans="3:7" x14ac:dyDescent="0.3">
      <c r="C1319"/>
      <c r="D1319"/>
      <c r="E1319"/>
      <c r="F1319"/>
      <c r="G1319"/>
    </row>
    <row r="1320" spans="3:7" x14ac:dyDescent="0.3">
      <c r="C1320"/>
      <c r="D1320"/>
      <c r="E1320"/>
      <c r="F1320"/>
      <c r="G1320"/>
    </row>
    <row r="1321" spans="3:7" x14ac:dyDescent="0.3">
      <c r="C1321"/>
      <c r="D1321"/>
      <c r="E1321"/>
      <c r="F1321"/>
      <c r="G1321"/>
    </row>
    <row r="1322" spans="3:7" x14ac:dyDescent="0.3">
      <c r="C1322"/>
      <c r="D1322"/>
      <c r="E1322"/>
      <c r="F1322"/>
      <c r="G1322"/>
    </row>
    <row r="1323" spans="3:7" x14ac:dyDescent="0.3">
      <c r="C1323"/>
      <c r="D1323"/>
      <c r="E1323"/>
      <c r="F1323"/>
      <c r="G1323"/>
    </row>
    <row r="1324" spans="3:7" x14ac:dyDescent="0.3">
      <c r="C1324"/>
      <c r="D1324"/>
      <c r="E1324"/>
      <c r="F1324"/>
      <c r="G1324"/>
    </row>
    <row r="1325" spans="3:7" x14ac:dyDescent="0.3">
      <c r="C1325"/>
      <c r="D1325"/>
      <c r="E1325"/>
      <c r="F1325"/>
      <c r="G1325"/>
    </row>
    <row r="1326" spans="3:7" x14ac:dyDescent="0.3">
      <c r="C1326"/>
      <c r="D1326"/>
      <c r="E1326"/>
      <c r="F1326"/>
      <c r="G1326"/>
    </row>
    <row r="1327" spans="3:7" x14ac:dyDescent="0.3">
      <c r="C1327"/>
      <c r="D1327"/>
      <c r="E1327"/>
      <c r="F1327"/>
      <c r="G1327"/>
    </row>
    <row r="1328" spans="3:7" x14ac:dyDescent="0.3">
      <c r="C1328"/>
      <c r="D1328"/>
      <c r="E1328"/>
      <c r="F1328"/>
      <c r="G1328"/>
    </row>
    <row r="1329" spans="3:7" x14ac:dyDescent="0.3">
      <c r="C1329"/>
      <c r="D1329"/>
      <c r="E1329"/>
      <c r="F1329"/>
      <c r="G1329"/>
    </row>
    <row r="1330" spans="3:7" x14ac:dyDescent="0.3">
      <c r="C1330"/>
      <c r="D1330"/>
      <c r="E1330"/>
      <c r="F1330"/>
      <c r="G1330"/>
    </row>
    <row r="1331" spans="3:7" x14ac:dyDescent="0.3">
      <c r="C1331"/>
      <c r="D1331"/>
      <c r="E1331"/>
      <c r="F1331"/>
      <c r="G1331"/>
    </row>
    <row r="1332" spans="3:7" x14ac:dyDescent="0.3">
      <c r="C1332"/>
      <c r="D1332"/>
      <c r="E1332"/>
      <c r="F1332"/>
      <c r="G1332"/>
    </row>
    <row r="1333" spans="3:7" x14ac:dyDescent="0.3">
      <c r="C1333"/>
      <c r="D1333"/>
      <c r="E1333"/>
      <c r="F1333"/>
      <c r="G1333"/>
    </row>
    <row r="1334" spans="3:7" x14ac:dyDescent="0.3">
      <c r="C1334"/>
      <c r="D1334"/>
      <c r="E1334"/>
      <c r="F1334"/>
      <c r="G1334"/>
    </row>
    <row r="1335" spans="3:7" x14ac:dyDescent="0.3">
      <c r="C1335"/>
      <c r="D1335"/>
      <c r="E1335"/>
      <c r="F1335"/>
      <c r="G1335"/>
    </row>
    <row r="1336" spans="3:7" x14ac:dyDescent="0.3">
      <c r="C1336"/>
      <c r="D1336"/>
      <c r="E1336"/>
      <c r="F1336"/>
      <c r="G1336"/>
    </row>
    <row r="1337" spans="3:7" x14ac:dyDescent="0.3">
      <c r="C1337"/>
      <c r="D1337"/>
      <c r="E1337"/>
      <c r="F1337"/>
      <c r="G1337"/>
    </row>
    <row r="1338" spans="3:7" x14ac:dyDescent="0.3">
      <c r="C1338"/>
      <c r="D1338"/>
      <c r="E1338"/>
      <c r="F1338"/>
      <c r="G1338"/>
    </row>
    <row r="1339" spans="3:7" x14ac:dyDescent="0.3">
      <c r="C1339"/>
      <c r="D1339"/>
      <c r="E1339"/>
      <c r="F1339"/>
      <c r="G1339"/>
    </row>
    <row r="1340" spans="3:7" x14ac:dyDescent="0.3">
      <c r="C1340"/>
      <c r="D1340"/>
      <c r="E1340"/>
      <c r="F1340"/>
      <c r="G1340"/>
    </row>
    <row r="1341" spans="3:7" x14ac:dyDescent="0.3">
      <c r="C1341"/>
      <c r="D1341"/>
      <c r="E1341"/>
      <c r="F1341"/>
      <c r="G1341"/>
    </row>
    <row r="1342" spans="3:7" x14ac:dyDescent="0.3">
      <c r="C1342"/>
      <c r="D1342"/>
      <c r="E1342"/>
      <c r="F1342"/>
      <c r="G1342"/>
    </row>
    <row r="1343" spans="3:7" x14ac:dyDescent="0.3">
      <c r="C1343"/>
      <c r="D1343"/>
      <c r="E1343"/>
      <c r="F1343"/>
      <c r="G1343"/>
    </row>
    <row r="1344" spans="3:7" x14ac:dyDescent="0.3">
      <c r="C1344"/>
      <c r="D1344"/>
      <c r="E1344"/>
      <c r="F1344"/>
      <c r="G1344"/>
    </row>
    <row r="1345" spans="3:7" x14ac:dyDescent="0.3">
      <c r="C1345"/>
      <c r="D1345"/>
      <c r="E1345"/>
      <c r="F1345"/>
      <c r="G1345"/>
    </row>
    <row r="1346" spans="3:7" x14ac:dyDescent="0.3">
      <c r="C1346"/>
      <c r="D1346"/>
      <c r="E1346"/>
      <c r="F1346"/>
      <c r="G1346"/>
    </row>
    <row r="1347" spans="3:7" x14ac:dyDescent="0.3">
      <c r="C1347"/>
      <c r="D1347"/>
      <c r="E1347"/>
      <c r="F1347"/>
      <c r="G1347"/>
    </row>
    <row r="1348" spans="3:7" x14ac:dyDescent="0.3">
      <c r="C1348"/>
      <c r="D1348"/>
      <c r="E1348"/>
      <c r="F1348"/>
      <c r="G1348"/>
    </row>
    <row r="1349" spans="3:7" x14ac:dyDescent="0.3">
      <c r="C1349"/>
      <c r="D1349"/>
      <c r="E1349"/>
      <c r="F1349"/>
      <c r="G1349"/>
    </row>
    <row r="1350" spans="3:7" x14ac:dyDescent="0.3">
      <c r="C1350"/>
      <c r="D1350"/>
      <c r="E1350"/>
      <c r="F1350"/>
      <c r="G1350"/>
    </row>
    <row r="1351" spans="3:7" x14ac:dyDescent="0.3">
      <c r="C1351"/>
      <c r="D1351"/>
      <c r="E1351"/>
      <c r="F1351"/>
      <c r="G1351"/>
    </row>
    <row r="1352" spans="3:7" x14ac:dyDescent="0.3">
      <c r="C1352"/>
      <c r="D1352"/>
      <c r="E1352"/>
      <c r="F1352"/>
      <c r="G1352"/>
    </row>
    <row r="1353" spans="3:7" x14ac:dyDescent="0.3">
      <c r="C1353"/>
      <c r="D1353"/>
      <c r="E1353"/>
      <c r="F1353"/>
      <c r="G1353"/>
    </row>
    <row r="1354" spans="3:7" x14ac:dyDescent="0.3">
      <c r="C1354"/>
      <c r="D1354"/>
      <c r="E1354"/>
      <c r="F1354"/>
      <c r="G1354"/>
    </row>
    <row r="1355" spans="3:7" x14ac:dyDescent="0.3">
      <c r="C1355"/>
      <c r="D1355"/>
      <c r="E1355"/>
      <c r="F1355"/>
      <c r="G1355"/>
    </row>
    <row r="1356" spans="3:7" x14ac:dyDescent="0.3">
      <c r="C1356"/>
      <c r="D1356"/>
      <c r="E1356"/>
      <c r="F1356"/>
      <c r="G1356"/>
    </row>
    <row r="1357" spans="3:7" x14ac:dyDescent="0.3">
      <c r="C1357"/>
      <c r="D1357"/>
      <c r="E1357"/>
      <c r="F1357"/>
      <c r="G1357"/>
    </row>
    <row r="1358" spans="3:7" x14ac:dyDescent="0.3">
      <c r="C1358"/>
      <c r="D1358"/>
      <c r="E1358"/>
      <c r="F1358"/>
      <c r="G1358"/>
    </row>
    <row r="1359" spans="3:7" x14ac:dyDescent="0.3">
      <c r="C1359"/>
      <c r="D1359"/>
      <c r="E1359"/>
      <c r="F1359"/>
      <c r="G1359"/>
    </row>
    <row r="1360" spans="3:7" x14ac:dyDescent="0.3">
      <c r="C1360"/>
      <c r="D1360"/>
      <c r="E1360"/>
      <c r="F1360"/>
      <c r="G1360"/>
    </row>
    <row r="1361" spans="3:7" x14ac:dyDescent="0.3">
      <c r="C1361"/>
      <c r="D1361"/>
      <c r="E1361"/>
      <c r="F1361"/>
      <c r="G1361"/>
    </row>
    <row r="1362" spans="3:7" x14ac:dyDescent="0.3">
      <c r="C1362"/>
      <c r="D1362"/>
      <c r="E1362"/>
      <c r="F1362"/>
      <c r="G1362"/>
    </row>
    <row r="1363" spans="3:7" x14ac:dyDescent="0.3">
      <c r="C1363"/>
      <c r="D1363"/>
      <c r="E1363"/>
      <c r="F1363"/>
      <c r="G1363"/>
    </row>
    <row r="1364" spans="3:7" x14ac:dyDescent="0.3">
      <c r="C1364"/>
      <c r="D1364"/>
      <c r="E1364"/>
      <c r="F1364"/>
      <c r="G1364"/>
    </row>
    <row r="1365" spans="3:7" x14ac:dyDescent="0.3">
      <c r="C1365"/>
      <c r="D1365"/>
      <c r="E1365"/>
      <c r="F1365"/>
      <c r="G1365"/>
    </row>
    <row r="1366" spans="3:7" x14ac:dyDescent="0.3">
      <c r="C1366"/>
      <c r="D1366"/>
      <c r="E1366"/>
      <c r="F1366"/>
      <c r="G1366"/>
    </row>
    <row r="1367" spans="3:7" x14ac:dyDescent="0.3">
      <c r="C1367"/>
      <c r="D1367"/>
      <c r="E1367"/>
      <c r="F1367"/>
      <c r="G1367"/>
    </row>
    <row r="1368" spans="3:7" x14ac:dyDescent="0.3">
      <c r="C1368"/>
      <c r="D1368"/>
      <c r="E1368"/>
      <c r="F1368"/>
      <c r="G1368"/>
    </row>
    <row r="1369" spans="3:7" x14ac:dyDescent="0.3">
      <c r="C1369"/>
      <c r="D1369"/>
      <c r="E1369"/>
      <c r="F1369"/>
      <c r="G1369"/>
    </row>
    <row r="1370" spans="3:7" x14ac:dyDescent="0.3">
      <c r="C1370"/>
      <c r="D1370"/>
      <c r="E1370"/>
      <c r="F1370"/>
      <c r="G1370"/>
    </row>
    <row r="1371" spans="3:7" x14ac:dyDescent="0.3">
      <c r="C1371"/>
      <c r="D1371"/>
      <c r="E1371"/>
      <c r="F1371"/>
      <c r="G1371"/>
    </row>
    <row r="1372" spans="3:7" x14ac:dyDescent="0.3">
      <c r="C1372"/>
      <c r="D1372"/>
      <c r="E1372"/>
      <c r="F1372"/>
      <c r="G1372"/>
    </row>
    <row r="1373" spans="3:7" x14ac:dyDescent="0.3">
      <c r="C1373"/>
      <c r="D1373"/>
      <c r="E1373"/>
      <c r="F1373"/>
      <c r="G1373"/>
    </row>
    <row r="1374" spans="3:7" x14ac:dyDescent="0.3">
      <c r="C1374"/>
      <c r="D1374"/>
      <c r="E1374"/>
      <c r="F1374"/>
      <c r="G1374"/>
    </row>
    <row r="1375" spans="3:7" x14ac:dyDescent="0.3">
      <c r="C1375"/>
      <c r="D1375"/>
      <c r="E1375"/>
      <c r="F1375"/>
      <c r="G1375"/>
    </row>
    <row r="1376" spans="3:7" x14ac:dyDescent="0.3">
      <c r="C1376"/>
      <c r="D1376"/>
      <c r="E1376"/>
      <c r="F1376"/>
      <c r="G1376"/>
    </row>
    <row r="1377" spans="3:7" x14ac:dyDescent="0.3">
      <c r="C1377"/>
      <c r="D1377"/>
      <c r="E1377"/>
      <c r="F1377"/>
      <c r="G1377"/>
    </row>
    <row r="1378" spans="3:7" x14ac:dyDescent="0.3">
      <c r="C1378"/>
      <c r="D1378"/>
      <c r="E1378"/>
      <c r="F1378"/>
      <c r="G1378"/>
    </row>
    <row r="1379" spans="3:7" x14ac:dyDescent="0.3">
      <c r="C1379"/>
      <c r="D1379"/>
      <c r="E1379"/>
      <c r="F1379"/>
      <c r="G1379"/>
    </row>
    <row r="1380" spans="3:7" x14ac:dyDescent="0.3">
      <c r="C1380"/>
      <c r="D1380"/>
      <c r="E1380"/>
      <c r="F1380"/>
      <c r="G1380"/>
    </row>
    <row r="1381" spans="3:7" x14ac:dyDescent="0.3">
      <c r="C1381"/>
      <c r="D1381"/>
      <c r="E1381"/>
      <c r="F1381"/>
      <c r="G1381"/>
    </row>
    <row r="1382" spans="3:7" x14ac:dyDescent="0.3">
      <c r="C1382"/>
      <c r="D1382"/>
      <c r="E1382"/>
      <c r="F1382"/>
      <c r="G1382"/>
    </row>
    <row r="1383" spans="3:7" x14ac:dyDescent="0.3">
      <c r="C1383"/>
      <c r="D1383"/>
      <c r="E1383"/>
      <c r="F1383"/>
      <c r="G1383"/>
    </row>
    <row r="1384" spans="3:7" x14ac:dyDescent="0.3">
      <c r="C1384"/>
      <c r="D1384"/>
      <c r="E1384"/>
      <c r="F1384"/>
      <c r="G1384"/>
    </row>
    <row r="1385" spans="3:7" x14ac:dyDescent="0.3">
      <c r="C1385"/>
      <c r="D1385"/>
      <c r="E1385"/>
      <c r="F1385"/>
      <c r="G1385"/>
    </row>
    <row r="1386" spans="3:7" x14ac:dyDescent="0.3">
      <c r="C1386"/>
      <c r="D1386"/>
      <c r="E1386"/>
      <c r="F1386"/>
      <c r="G1386"/>
    </row>
    <row r="1387" spans="3:7" x14ac:dyDescent="0.3">
      <c r="C1387"/>
      <c r="D1387"/>
      <c r="E1387"/>
      <c r="F1387"/>
      <c r="G1387"/>
    </row>
    <row r="1388" spans="3:7" x14ac:dyDescent="0.3">
      <c r="C1388"/>
      <c r="D1388"/>
      <c r="E1388"/>
      <c r="F1388"/>
      <c r="G1388"/>
    </row>
    <row r="1389" spans="3:7" x14ac:dyDescent="0.3">
      <c r="C1389"/>
      <c r="D1389"/>
      <c r="E1389"/>
      <c r="F1389"/>
      <c r="G1389"/>
    </row>
    <row r="1390" spans="3:7" x14ac:dyDescent="0.3">
      <c r="C1390"/>
      <c r="D1390"/>
      <c r="E1390"/>
      <c r="F1390"/>
      <c r="G1390"/>
    </row>
    <row r="1391" spans="3:7" x14ac:dyDescent="0.3">
      <c r="C1391"/>
      <c r="D1391"/>
      <c r="E1391"/>
      <c r="F1391"/>
      <c r="G1391"/>
    </row>
    <row r="1392" spans="3:7" x14ac:dyDescent="0.3">
      <c r="C1392"/>
      <c r="D1392"/>
      <c r="E1392"/>
      <c r="F1392"/>
      <c r="G1392"/>
    </row>
    <row r="1393" spans="3:7" x14ac:dyDescent="0.3">
      <c r="C1393"/>
      <c r="D1393"/>
      <c r="E1393"/>
      <c r="F1393"/>
      <c r="G1393"/>
    </row>
    <row r="1394" spans="3:7" x14ac:dyDescent="0.3">
      <c r="C1394"/>
      <c r="D1394"/>
      <c r="E1394"/>
      <c r="F1394"/>
      <c r="G1394"/>
    </row>
    <row r="1395" spans="3:7" x14ac:dyDescent="0.3">
      <c r="C1395"/>
      <c r="D1395"/>
      <c r="E1395"/>
      <c r="F1395"/>
      <c r="G1395"/>
    </row>
    <row r="1396" spans="3:7" x14ac:dyDescent="0.3">
      <c r="C1396"/>
      <c r="D1396"/>
      <c r="E1396"/>
      <c r="F1396"/>
      <c r="G1396"/>
    </row>
    <row r="1397" spans="3:7" x14ac:dyDescent="0.3">
      <c r="C1397"/>
      <c r="D1397"/>
      <c r="E1397"/>
      <c r="F1397"/>
      <c r="G1397"/>
    </row>
    <row r="1398" spans="3:7" x14ac:dyDescent="0.3">
      <c r="C1398"/>
      <c r="D1398"/>
      <c r="E1398"/>
      <c r="F1398"/>
      <c r="G1398"/>
    </row>
    <row r="1399" spans="3:7" x14ac:dyDescent="0.3">
      <c r="C1399"/>
      <c r="D1399"/>
      <c r="E1399"/>
      <c r="F1399"/>
      <c r="G1399"/>
    </row>
    <row r="1400" spans="3:7" x14ac:dyDescent="0.3">
      <c r="C1400"/>
      <c r="D1400"/>
      <c r="E1400"/>
      <c r="F1400"/>
      <c r="G1400"/>
    </row>
    <row r="1401" spans="3:7" x14ac:dyDescent="0.3">
      <c r="C1401"/>
      <c r="D1401"/>
      <c r="E1401"/>
      <c r="F1401"/>
      <c r="G1401"/>
    </row>
    <row r="1402" spans="3:7" x14ac:dyDescent="0.3">
      <c r="C1402"/>
      <c r="D1402"/>
      <c r="E1402"/>
      <c r="F1402"/>
      <c r="G1402"/>
    </row>
    <row r="1403" spans="3:7" x14ac:dyDescent="0.3">
      <c r="C1403"/>
      <c r="D1403"/>
      <c r="E1403"/>
      <c r="F1403"/>
      <c r="G1403"/>
    </row>
    <row r="1404" spans="3:7" x14ac:dyDescent="0.3">
      <c r="C1404"/>
      <c r="D1404"/>
      <c r="E1404"/>
      <c r="F1404"/>
      <c r="G1404"/>
    </row>
    <row r="1405" spans="3:7" x14ac:dyDescent="0.3">
      <c r="C1405"/>
      <c r="D1405"/>
      <c r="E1405"/>
      <c r="F1405"/>
      <c r="G1405"/>
    </row>
    <row r="1406" spans="3:7" x14ac:dyDescent="0.3">
      <c r="C1406"/>
      <c r="D1406"/>
      <c r="E1406"/>
      <c r="F1406"/>
      <c r="G1406"/>
    </row>
    <row r="1407" spans="3:7" x14ac:dyDescent="0.3">
      <c r="C1407"/>
      <c r="D1407"/>
      <c r="E1407"/>
      <c r="F1407"/>
      <c r="G1407"/>
    </row>
    <row r="1408" spans="3:7" x14ac:dyDescent="0.3">
      <c r="C1408"/>
      <c r="D1408"/>
      <c r="E1408"/>
      <c r="F1408"/>
      <c r="G1408"/>
    </row>
    <row r="1409" spans="3:7" x14ac:dyDescent="0.3">
      <c r="C1409"/>
      <c r="D1409"/>
      <c r="E1409"/>
      <c r="F1409"/>
      <c r="G1409"/>
    </row>
    <row r="1410" spans="3:7" x14ac:dyDescent="0.3">
      <c r="C1410"/>
      <c r="D1410"/>
      <c r="E1410"/>
      <c r="F1410"/>
      <c r="G1410"/>
    </row>
    <row r="1411" spans="3:7" x14ac:dyDescent="0.3">
      <c r="C1411"/>
      <c r="D1411"/>
      <c r="E1411"/>
      <c r="F1411"/>
      <c r="G1411"/>
    </row>
    <row r="1412" spans="3:7" x14ac:dyDescent="0.3">
      <c r="C1412"/>
      <c r="D1412"/>
      <c r="E1412"/>
      <c r="F1412"/>
      <c r="G1412"/>
    </row>
    <row r="1413" spans="3:7" x14ac:dyDescent="0.3">
      <c r="C1413"/>
      <c r="D1413"/>
      <c r="E1413"/>
      <c r="F1413"/>
      <c r="G1413"/>
    </row>
    <row r="1414" spans="3:7" x14ac:dyDescent="0.3">
      <c r="C1414"/>
      <c r="D1414"/>
      <c r="E1414"/>
      <c r="F1414"/>
      <c r="G1414"/>
    </row>
    <row r="1415" spans="3:7" x14ac:dyDescent="0.3">
      <c r="C1415"/>
      <c r="D1415"/>
      <c r="E1415"/>
      <c r="F1415"/>
      <c r="G1415"/>
    </row>
    <row r="1416" spans="3:7" x14ac:dyDescent="0.3">
      <c r="C1416"/>
      <c r="D1416"/>
      <c r="E1416"/>
      <c r="F1416"/>
      <c r="G1416"/>
    </row>
    <row r="1417" spans="3:7" x14ac:dyDescent="0.3">
      <c r="C1417"/>
      <c r="D1417"/>
      <c r="E1417"/>
      <c r="F1417"/>
      <c r="G1417"/>
    </row>
    <row r="1418" spans="3:7" x14ac:dyDescent="0.3">
      <c r="C1418"/>
      <c r="D1418"/>
      <c r="E1418"/>
      <c r="F1418"/>
      <c r="G1418"/>
    </row>
    <row r="1419" spans="3:7" x14ac:dyDescent="0.3">
      <c r="C1419"/>
      <c r="D1419"/>
      <c r="E1419"/>
      <c r="F1419"/>
      <c r="G1419"/>
    </row>
    <row r="1420" spans="3:7" x14ac:dyDescent="0.3">
      <c r="C1420"/>
      <c r="D1420"/>
      <c r="E1420"/>
      <c r="F1420"/>
      <c r="G1420"/>
    </row>
    <row r="1421" spans="3:7" x14ac:dyDescent="0.3">
      <c r="C1421"/>
      <c r="D1421"/>
      <c r="E1421"/>
      <c r="F1421"/>
      <c r="G1421"/>
    </row>
    <row r="1422" spans="3:7" x14ac:dyDescent="0.3">
      <c r="C1422"/>
      <c r="D1422"/>
      <c r="E1422"/>
      <c r="F1422"/>
      <c r="G1422"/>
    </row>
    <row r="1423" spans="3:7" x14ac:dyDescent="0.3">
      <c r="C1423"/>
      <c r="D1423"/>
      <c r="E1423"/>
      <c r="F1423"/>
      <c r="G1423"/>
    </row>
    <row r="1424" spans="3:7" x14ac:dyDescent="0.3">
      <c r="C1424"/>
      <c r="D1424"/>
      <c r="E1424"/>
      <c r="F1424"/>
      <c r="G1424"/>
    </row>
    <row r="1425" spans="3:7" x14ac:dyDescent="0.3">
      <c r="C1425"/>
      <c r="D1425"/>
      <c r="E1425"/>
      <c r="F1425"/>
      <c r="G1425"/>
    </row>
    <row r="1426" spans="3:7" x14ac:dyDescent="0.3">
      <c r="C1426"/>
      <c r="D1426"/>
      <c r="E1426"/>
      <c r="F1426"/>
      <c r="G1426"/>
    </row>
    <row r="1427" spans="3:7" x14ac:dyDescent="0.3">
      <c r="C1427"/>
      <c r="D1427"/>
      <c r="E1427"/>
      <c r="F1427"/>
      <c r="G1427"/>
    </row>
    <row r="1428" spans="3:7" x14ac:dyDescent="0.3">
      <c r="C1428"/>
      <c r="D1428"/>
      <c r="E1428"/>
      <c r="F1428"/>
      <c r="G1428"/>
    </row>
    <row r="1429" spans="3:7" x14ac:dyDescent="0.3">
      <c r="C1429"/>
      <c r="D1429"/>
      <c r="E1429"/>
      <c r="F1429"/>
      <c r="G1429"/>
    </row>
    <row r="1430" spans="3:7" x14ac:dyDescent="0.3">
      <c r="C1430"/>
      <c r="D1430"/>
      <c r="E1430"/>
      <c r="F1430"/>
      <c r="G1430"/>
    </row>
    <row r="1431" spans="3:7" x14ac:dyDescent="0.3">
      <c r="C1431"/>
      <c r="D1431"/>
      <c r="E1431"/>
      <c r="F1431"/>
      <c r="G1431"/>
    </row>
    <row r="1432" spans="3:7" x14ac:dyDescent="0.3">
      <c r="C1432"/>
      <c r="D1432"/>
      <c r="E1432"/>
      <c r="F1432"/>
      <c r="G1432"/>
    </row>
    <row r="1433" spans="3:7" x14ac:dyDescent="0.3">
      <c r="C1433"/>
      <c r="D1433"/>
      <c r="E1433"/>
      <c r="F1433"/>
      <c r="G1433"/>
    </row>
    <row r="1434" spans="3:7" x14ac:dyDescent="0.3">
      <c r="C1434"/>
      <c r="D1434"/>
      <c r="E1434"/>
      <c r="F1434"/>
      <c r="G1434"/>
    </row>
    <row r="1435" spans="3:7" x14ac:dyDescent="0.3">
      <c r="C1435"/>
      <c r="D1435"/>
      <c r="E1435"/>
      <c r="F1435"/>
      <c r="G1435"/>
    </row>
    <row r="1436" spans="3:7" x14ac:dyDescent="0.3">
      <c r="C1436"/>
      <c r="D1436"/>
      <c r="E1436"/>
      <c r="F1436"/>
      <c r="G1436"/>
    </row>
    <row r="1437" spans="3:7" x14ac:dyDescent="0.3">
      <c r="C1437"/>
      <c r="D1437"/>
      <c r="E1437"/>
      <c r="F1437"/>
      <c r="G1437"/>
    </row>
    <row r="1438" spans="3:7" x14ac:dyDescent="0.3">
      <c r="C1438"/>
      <c r="D1438"/>
      <c r="E1438"/>
      <c r="F1438"/>
      <c r="G1438"/>
    </row>
    <row r="1439" spans="3:7" x14ac:dyDescent="0.3">
      <c r="C1439"/>
      <c r="D1439"/>
      <c r="E1439"/>
      <c r="F1439"/>
      <c r="G1439"/>
    </row>
    <row r="1440" spans="3:7" x14ac:dyDescent="0.3">
      <c r="C1440"/>
      <c r="D1440"/>
      <c r="E1440"/>
      <c r="F1440"/>
      <c r="G1440"/>
    </row>
    <row r="1441" spans="3:7" x14ac:dyDescent="0.3">
      <c r="C1441"/>
      <c r="D1441"/>
      <c r="E1441"/>
      <c r="F1441"/>
      <c r="G1441"/>
    </row>
    <row r="1442" spans="3:7" x14ac:dyDescent="0.3">
      <c r="C1442"/>
      <c r="D1442"/>
      <c r="E1442"/>
      <c r="F1442"/>
      <c r="G1442"/>
    </row>
    <row r="1443" spans="3:7" x14ac:dyDescent="0.3">
      <c r="C1443"/>
      <c r="D1443"/>
      <c r="E1443"/>
      <c r="F1443"/>
      <c r="G1443"/>
    </row>
    <row r="1444" spans="3:7" x14ac:dyDescent="0.3">
      <c r="C1444"/>
      <c r="D1444"/>
      <c r="E1444"/>
      <c r="F1444"/>
      <c r="G1444"/>
    </row>
    <row r="1445" spans="3:7" x14ac:dyDescent="0.3">
      <c r="C1445"/>
      <c r="D1445"/>
      <c r="E1445"/>
      <c r="F1445"/>
      <c r="G1445"/>
    </row>
    <row r="1446" spans="3:7" x14ac:dyDescent="0.3">
      <c r="C1446"/>
      <c r="D1446"/>
      <c r="E1446"/>
      <c r="F1446"/>
      <c r="G1446"/>
    </row>
    <row r="1447" spans="3:7" x14ac:dyDescent="0.3">
      <c r="C1447"/>
      <c r="D1447"/>
      <c r="E1447"/>
      <c r="F1447"/>
      <c r="G1447"/>
    </row>
    <row r="1448" spans="3:7" x14ac:dyDescent="0.3">
      <c r="C1448"/>
      <c r="D1448"/>
      <c r="E1448"/>
      <c r="F1448"/>
      <c r="G1448"/>
    </row>
    <row r="1449" spans="3:7" x14ac:dyDescent="0.3">
      <c r="C1449"/>
      <c r="D1449"/>
      <c r="E1449"/>
      <c r="F1449"/>
      <c r="G1449"/>
    </row>
    <row r="1450" spans="3:7" x14ac:dyDescent="0.3">
      <c r="C1450"/>
      <c r="D1450"/>
      <c r="E1450"/>
      <c r="F1450"/>
      <c r="G1450"/>
    </row>
    <row r="1451" spans="3:7" x14ac:dyDescent="0.3">
      <c r="C1451"/>
      <c r="D1451"/>
      <c r="E1451"/>
      <c r="F1451"/>
      <c r="G1451"/>
    </row>
    <row r="1452" spans="3:7" x14ac:dyDescent="0.3">
      <c r="C1452"/>
      <c r="D1452"/>
      <c r="E1452"/>
      <c r="F1452"/>
      <c r="G1452"/>
    </row>
    <row r="1453" spans="3:7" x14ac:dyDescent="0.3">
      <c r="C1453"/>
      <c r="D1453"/>
      <c r="E1453"/>
      <c r="F1453"/>
      <c r="G1453"/>
    </row>
    <row r="1454" spans="3:7" x14ac:dyDescent="0.3">
      <c r="C1454"/>
      <c r="D1454"/>
      <c r="E1454"/>
      <c r="F1454"/>
      <c r="G1454"/>
    </row>
    <row r="1455" spans="3:7" x14ac:dyDescent="0.3">
      <c r="C1455"/>
      <c r="D1455"/>
      <c r="E1455"/>
      <c r="F1455"/>
      <c r="G1455"/>
    </row>
    <row r="1456" spans="3:7" x14ac:dyDescent="0.3">
      <c r="C1456"/>
      <c r="D1456"/>
      <c r="E1456"/>
      <c r="F1456"/>
      <c r="G1456"/>
    </row>
    <row r="1457" spans="3:7" x14ac:dyDescent="0.3">
      <c r="C1457"/>
      <c r="D1457"/>
      <c r="E1457"/>
      <c r="F1457"/>
      <c r="G1457"/>
    </row>
    <row r="1458" spans="3:7" x14ac:dyDescent="0.3">
      <c r="C1458"/>
      <c r="D1458"/>
      <c r="E1458"/>
      <c r="F1458"/>
      <c r="G1458"/>
    </row>
    <row r="1459" spans="3:7" x14ac:dyDescent="0.3">
      <c r="C1459"/>
      <c r="D1459"/>
      <c r="E1459"/>
      <c r="F1459"/>
      <c r="G1459"/>
    </row>
    <row r="1460" spans="3:7" x14ac:dyDescent="0.3">
      <c r="C1460"/>
      <c r="D1460"/>
      <c r="E1460"/>
      <c r="F1460"/>
      <c r="G1460"/>
    </row>
    <row r="1461" spans="3:7" x14ac:dyDescent="0.3">
      <c r="C1461"/>
      <c r="D1461"/>
      <c r="E1461"/>
      <c r="F1461"/>
      <c r="G1461"/>
    </row>
    <row r="1462" spans="3:7" x14ac:dyDescent="0.3">
      <c r="C1462"/>
      <c r="D1462"/>
      <c r="E1462"/>
      <c r="F1462"/>
      <c r="G1462"/>
    </row>
    <row r="1463" spans="3:7" x14ac:dyDescent="0.3">
      <c r="C1463"/>
      <c r="D1463"/>
      <c r="E1463"/>
      <c r="F1463"/>
      <c r="G1463"/>
    </row>
    <row r="1464" spans="3:7" x14ac:dyDescent="0.3">
      <c r="C1464"/>
      <c r="D1464"/>
      <c r="E1464"/>
      <c r="F1464"/>
      <c r="G1464"/>
    </row>
    <row r="1465" spans="3:7" x14ac:dyDescent="0.3">
      <c r="C1465"/>
      <c r="D1465"/>
      <c r="E1465"/>
      <c r="F1465"/>
      <c r="G1465"/>
    </row>
    <row r="1466" spans="3:7" x14ac:dyDescent="0.3">
      <c r="C1466"/>
      <c r="D1466"/>
      <c r="E1466"/>
      <c r="F1466"/>
      <c r="G1466"/>
    </row>
    <row r="1467" spans="3:7" x14ac:dyDescent="0.3">
      <c r="C1467"/>
      <c r="D1467"/>
      <c r="E1467"/>
      <c r="F1467"/>
      <c r="G1467"/>
    </row>
    <row r="1468" spans="3:7" x14ac:dyDescent="0.3">
      <c r="C1468"/>
      <c r="D1468"/>
      <c r="E1468"/>
      <c r="F1468"/>
      <c r="G1468"/>
    </row>
    <row r="1469" spans="3:7" x14ac:dyDescent="0.3">
      <c r="C1469"/>
      <c r="D1469"/>
      <c r="E1469"/>
      <c r="F1469"/>
      <c r="G1469"/>
    </row>
    <row r="1470" spans="3:7" x14ac:dyDescent="0.3">
      <c r="C1470"/>
      <c r="D1470"/>
      <c r="E1470"/>
      <c r="F1470"/>
      <c r="G1470"/>
    </row>
    <row r="1471" spans="3:7" x14ac:dyDescent="0.3">
      <c r="C1471"/>
      <c r="D1471"/>
      <c r="E1471"/>
      <c r="F1471"/>
      <c r="G1471"/>
    </row>
    <row r="1472" spans="3:7" x14ac:dyDescent="0.3">
      <c r="C1472"/>
      <c r="D1472"/>
      <c r="E1472"/>
      <c r="F1472"/>
      <c r="G1472"/>
    </row>
    <row r="1473" spans="3:7" x14ac:dyDescent="0.3">
      <c r="C1473"/>
      <c r="D1473"/>
      <c r="E1473"/>
      <c r="F1473"/>
      <c r="G1473"/>
    </row>
    <row r="1474" spans="3:7" x14ac:dyDescent="0.3">
      <c r="C1474"/>
      <c r="D1474"/>
      <c r="E1474"/>
      <c r="F1474"/>
      <c r="G1474"/>
    </row>
    <row r="1475" spans="3:7" x14ac:dyDescent="0.3">
      <c r="C1475"/>
      <c r="D1475"/>
      <c r="E1475"/>
      <c r="F1475"/>
      <c r="G1475"/>
    </row>
    <row r="1476" spans="3:7" x14ac:dyDescent="0.3">
      <c r="C1476"/>
      <c r="D1476"/>
      <c r="E1476"/>
      <c r="F1476"/>
      <c r="G1476"/>
    </row>
    <row r="1477" spans="3:7" x14ac:dyDescent="0.3">
      <c r="C1477"/>
      <c r="D1477"/>
      <c r="E1477"/>
      <c r="F1477"/>
      <c r="G1477"/>
    </row>
    <row r="1478" spans="3:7" x14ac:dyDescent="0.3">
      <c r="C1478"/>
      <c r="D1478"/>
      <c r="E1478"/>
      <c r="F1478"/>
      <c r="G1478"/>
    </row>
    <row r="1479" spans="3:7" x14ac:dyDescent="0.3">
      <c r="C1479"/>
      <c r="D1479"/>
      <c r="E1479"/>
      <c r="F1479"/>
      <c r="G1479"/>
    </row>
    <row r="1480" spans="3:7" x14ac:dyDescent="0.3">
      <c r="C1480"/>
      <c r="D1480"/>
      <c r="E1480"/>
      <c r="F1480"/>
      <c r="G1480"/>
    </row>
    <row r="1481" spans="3:7" x14ac:dyDescent="0.3">
      <c r="C1481"/>
      <c r="D1481"/>
      <c r="E1481"/>
      <c r="F1481"/>
      <c r="G1481"/>
    </row>
    <row r="1482" spans="3:7" x14ac:dyDescent="0.3">
      <c r="C1482"/>
      <c r="D1482"/>
      <c r="E1482"/>
      <c r="F1482"/>
      <c r="G1482"/>
    </row>
    <row r="1483" spans="3:7" x14ac:dyDescent="0.3">
      <c r="C1483"/>
      <c r="D1483"/>
      <c r="E1483"/>
      <c r="F1483"/>
      <c r="G1483"/>
    </row>
    <row r="1484" spans="3:7" x14ac:dyDescent="0.3">
      <c r="C1484"/>
      <c r="D1484"/>
      <c r="E1484"/>
      <c r="F1484"/>
      <c r="G1484"/>
    </row>
    <row r="1485" spans="3:7" x14ac:dyDescent="0.3">
      <c r="C1485"/>
      <c r="D1485"/>
      <c r="E1485"/>
      <c r="F1485"/>
      <c r="G1485"/>
    </row>
    <row r="1486" spans="3:7" x14ac:dyDescent="0.3">
      <c r="C1486"/>
      <c r="D1486"/>
      <c r="E1486"/>
      <c r="F1486"/>
      <c r="G1486"/>
    </row>
    <row r="1487" spans="3:7" x14ac:dyDescent="0.3">
      <c r="C1487"/>
      <c r="D1487"/>
      <c r="E1487"/>
      <c r="F1487"/>
      <c r="G1487"/>
    </row>
    <row r="1488" spans="3:7" x14ac:dyDescent="0.3">
      <c r="C1488"/>
      <c r="D1488"/>
      <c r="E1488"/>
      <c r="F1488"/>
      <c r="G1488"/>
    </row>
    <row r="1489" spans="3:7" x14ac:dyDescent="0.3">
      <c r="C1489"/>
      <c r="D1489"/>
      <c r="E1489"/>
      <c r="F1489"/>
      <c r="G1489"/>
    </row>
    <row r="1490" spans="3:7" x14ac:dyDescent="0.3">
      <c r="C1490"/>
      <c r="D1490"/>
      <c r="E1490"/>
      <c r="F1490"/>
      <c r="G1490"/>
    </row>
    <row r="1491" spans="3:7" x14ac:dyDescent="0.3">
      <c r="C1491"/>
      <c r="D1491"/>
      <c r="E1491"/>
      <c r="F1491"/>
      <c r="G1491"/>
    </row>
    <row r="1492" spans="3:7" x14ac:dyDescent="0.3">
      <c r="C1492"/>
      <c r="D1492"/>
      <c r="E1492"/>
      <c r="F1492"/>
      <c r="G1492"/>
    </row>
    <row r="1493" spans="3:7" x14ac:dyDescent="0.3">
      <c r="C1493"/>
      <c r="D1493"/>
      <c r="E1493"/>
      <c r="F1493"/>
      <c r="G1493"/>
    </row>
    <row r="1494" spans="3:7" x14ac:dyDescent="0.3">
      <c r="C1494"/>
      <c r="D1494"/>
      <c r="E1494"/>
      <c r="F1494"/>
      <c r="G1494"/>
    </row>
    <row r="1495" spans="3:7" x14ac:dyDescent="0.3">
      <c r="C1495"/>
      <c r="D1495"/>
      <c r="E1495"/>
      <c r="F1495"/>
      <c r="G1495"/>
    </row>
    <row r="1496" spans="3:7" x14ac:dyDescent="0.3">
      <c r="C1496"/>
      <c r="D1496"/>
      <c r="E1496"/>
      <c r="F1496"/>
      <c r="G1496"/>
    </row>
    <row r="1497" spans="3:7" x14ac:dyDescent="0.3">
      <c r="C1497"/>
      <c r="D1497"/>
      <c r="E1497"/>
      <c r="F1497"/>
      <c r="G1497"/>
    </row>
    <row r="1498" spans="3:7" x14ac:dyDescent="0.3">
      <c r="C1498"/>
      <c r="D1498"/>
      <c r="E1498"/>
      <c r="F1498"/>
      <c r="G1498"/>
    </row>
    <row r="1499" spans="3:7" x14ac:dyDescent="0.3">
      <c r="C1499"/>
      <c r="D1499"/>
      <c r="E1499"/>
      <c r="F1499"/>
      <c r="G1499"/>
    </row>
    <row r="1500" spans="3:7" x14ac:dyDescent="0.3">
      <c r="C1500"/>
      <c r="D1500"/>
      <c r="E1500"/>
      <c r="F1500"/>
      <c r="G1500"/>
    </row>
    <row r="1501" spans="3:7" x14ac:dyDescent="0.3">
      <c r="C1501"/>
      <c r="D1501"/>
      <c r="E1501"/>
      <c r="F1501"/>
      <c r="G1501"/>
    </row>
    <row r="1502" spans="3:7" x14ac:dyDescent="0.3">
      <c r="C1502"/>
      <c r="D1502"/>
      <c r="E1502"/>
      <c r="F1502"/>
      <c r="G1502"/>
    </row>
    <row r="1503" spans="3:7" x14ac:dyDescent="0.3">
      <c r="C1503"/>
      <c r="D1503"/>
      <c r="E1503"/>
      <c r="F1503"/>
      <c r="G1503"/>
    </row>
    <row r="1504" spans="3:7" x14ac:dyDescent="0.3">
      <c r="C1504"/>
      <c r="D1504"/>
      <c r="E1504"/>
      <c r="F1504"/>
      <c r="G1504"/>
    </row>
    <row r="1505" spans="3:7" x14ac:dyDescent="0.3">
      <c r="C1505"/>
      <c r="D1505"/>
      <c r="E1505"/>
      <c r="F1505"/>
      <c r="G1505"/>
    </row>
    <row r="1506" spans="3:7" x14ac:dyDescent="0.3">
      <c r="C1506"/>
      <c r="D1506"/>
      <c r="E1506"/>
      <c r="F1506"/>
      <c r="G1506"/>
    </row>
    <row r="1507" spans="3:7" x14ac:dyDescent="0.3">
      <c r="C1507"/>
      <c r="D1507"/>
      <c r="E1507"/>
      <c r="F1507"/>
      <c r="G1507"/>
    </row>
    <row r="1508" spans="3:7" x14ac:dyDescent="0.3">
      <c r="C1508"/>
      <c r="D1508"/>
      <c r="E1508"/>
      <c r="F1508"/>
      <c r="G1508"/>
    </row>
    <row r="1509" spans="3:7" x14ac:dyDescent="0.3">
      <c r="C1509"/>
      <c r="D1509"/>
      <c r="E1509"/>
      <c r="F1509"/>
      <c r="G1509"/>
    </row>
    <row r="1510" spans="3:7" x14ac:dyDescent="0.3">
      <c r="C1510"/>
      <c r="D1510"/>
      <c r="E1510"/>
      <c r="F1510"/>
      <c r="G1510"/>
    </row>
    <row r="1511" spans="3:7" x14ac:dyDescent="0.3">
      <c r="C1511"/>
      <c r="D1511"/>
      <c r="E1511"/>
      <c r="F1511"/>
      <c r="G1511"/>
    </row>
    <row r="1512" spans="3:7" x14ac:dyDescent="0.3">
      <c r="C1512"/>
      <c r="D1512"/>
      <c r="E1512"/>
      <c r="F1512"/>
      <c r="G1512"/>
    </row>
    <row r="1513" spans="3:7" x14ac:dyDescent="0.3">
      <c r="C1513"/>
      <c r="D1513"/>
      <c r="E1513"/>
      <c r="F1513"/>
      <c r="G1513"/>
    </row>
    <row r="1514" spans="3:7" x14ac:dyDescent="0.3">
      <c r="C1514"/>
      <c r="D1514"/>
      <c r="E1514"/>
      <c r="F1514"/>
      <c r="G1514"/>
    </row>
    <row r="1515" spans="3:7" x14ac:dyDescent="0.3">
      <c r="C1515"/>
      <c r="D1515"/>
      <c r="E1515"/>
      <c r="F1515"/>
      <c r="G1515"/>
    </row>
    <row r="1516" spans="3:7" x14ac:dyDescent="0.3">
      <c r="C1516"/>
      <c r="D1516"/>
      <c r="E1516"/>
      <c r="F1516"/>
      <c r="G1516"/>
    </row>
    <row r="1517" spans="3:7" x14ac:dyDescent="0.3">
      <c r="C1517"/>
      <c r="D1517"/>
      <c r="E1517"/>
      <c r="F1517"/>
      <c r="G1517"/>
    </row>
    <row r="1518" spans="3:7" x14ac:dyDescent="0.3">
      <c r="C1518"/>
      <c r="D1518"/>
      <c r="E1518"/>
      <c r="F1518"/>
      <c r="G1518"/>
    </row>
    <row r="1519" spans="3:7" x14ac:dyDescent="0.3">
      <c r="C1519"/>
      <c r="D1519"/>
      <c r="E1519"/>
      <c r="F1519"/>
      <c r="G1519"/>
    </row>
    <row r="1520" spans="3:7" x14ac:dyDescent="0.3">
      <c r="C1520"/>
      <c r="D1520"/>
      <c r="E1520"/>
      <c r="F1520"/>
      <c r="G1520"/>
    </row>
    <row r="1521" spans="3:7" x14ac:dyDescent="0.3">
      <c r="C1521"/>
      <c r="D1521"/>
      <c r="E1521"/>
      <c r="F1521"/>
      <c r="G1521"/>
    </row>
    <row r="1522" spans="3:7" x14ac:dyDescent="0.3">
      <c r="C1522"/>
      <c r="D1522"/>
      <c r="E1522"/>
      <c r="F1522"/>
      <c r="G1522"/>
    </row>
    <row r="1523" spans="3:7" x14ac:dyDescent="0.3">
      <c r="C1523"/>
      <c r="D1523"/>
      <c r="E1523"/>
      <c r="F1523"/>
      <c r="G1523"/>
    </row>
    <row r="1524" spans="3:7" x14ac:dyDescent="0.3">
      <c r="C1524"/>
      <c r="D1524"/>
      <c r="E1524"/>
      <c r="F1524"/>
      <c r="G1524"/>
    </row>
    <row r="1525" spans="3:7" x14ac:dyDescent="0.3">
      <c r="C1525"/>
      <c r="D1525"/>
      <c r="E1525"/>
      <c r="F1525"/>
      <c r="G1525"/>
    </row>
    <row r="1526" spans="3:7" x14ac:dyDescent="0.3">
      <c r="C1526"/>
      <c r="D1526"/>
      <c r="E1526"/>
      <c r="F1526"/>
      <c r="G1526"/>
    </row>
    <row r="1527" spans="3:7" x14ac:dyDescent="0.3">
      <c r="C1527"/>
      <c r="D1527"/>
      <c r="E1527"/>
      <c r="F1527"/>
      <c r="G1527"/>
    </row>
    <row r="1528" spans="3:7" x14ac:dyDescent="0.3">
      <c r="C1528"/>
      <c r="D1528"/>
      <c r="E1528"/>
      <c r="F1528"/>
      <c r="G1528"/>
    </row>
    <row r="1529" spans="3:7" x14ac:dyDescent="0.3">
      <c r="C1529"/>
      <c r="D1529"/>
      <c r="E1529"/>
      <c r="F1529"/>
      <c r="G1529"/>
    </row>
    <row r="1530" spans="3:7" x14ac:dyDescent="0.3">
      <c r="C1530"/>
      <c r="D1530"/>
      <c r="E1530"/>
      <c r="F1530"/>
      <c r="G1530"/>
    </row>
    <row r="1531" spans="3:7" x14ac:dyDescent="0.3">
      <c r="C1531"/>
      <c r="D1531"/>
      <c r="E1531"/>
      <c r="F1531"/>
      <c r="G1531"/>
    </row>
    <row r="1532" spans="3:7" x14ac:dyDescent="0.3">
      <c r="C1532"/>
      <c r="D1532"/>
      <c r="E1532"/>
      <c r="F1532"/>
      <c r="G1532"/>
    </row>
    <row r="1533" spans="3:7" x14ac:dyDescent="0.3">
      <c r="C1533"/>
      <c r="D1533"/>
      <c r="E1533"/>
      <c r="F1533"/>
      <c r="G1533"/>
    </row>
    <row r="1534" spans="3:7" x14ac:dyDescent="0.3">
      <c r="C1534"/>
      <c r="D1534"/>
      <c r="E1534"/>
      <c r="F1534"/>
      <c r="G1534"/>
    </row>
    <row r="1535" spans="3:7" x14ac:dyDescent="0.3">
      <c r="C1535"/>
      <c r="D1535"/>
      <c r="E1535"/>
      <c r="F1535"/>
      <c r="G1535"/>
    </row>
    <row r="1536" spans="3:7" x14ac:dyDescent="0.3">
      <c r="C1536"/>
      <c r="D1536"/>
      <c r="E1536"/>
      <c r="F1536"/>
      <c r="G1536"/>
    </row>
    <row r="1537" spans="3:7" x14ac:dyDescent="0.3">
      <c r="C1537"/>
      <c r="D1537"/>
      <c r="E1537"/>
      <c r="F1537"/>
      <c r="G1537"/>
    </row>
    <row r="1538" spans="3:7" x14ac:dyDescent="0.3">
      <c r="C1538"/>
      <c r="D1538"/>
      <c r="E1538"/>
      <c r="F1538"/>
      <c r="G1538"/>
    </row>
    <row r="1539" spans="3:7" x14ac:dyDescent="0.3">
      <c r="C1539"/>
      <c r="D1539"/>
      <c r="E1539"/>
      <c r="F1539"/>
      <c r="G1539"/>
    </row>
    <row r="1540" spans="3:7" x14ac:dyDescent="0.3">
      <c r="C1540"/>
      <c r="D1540"/>
      <c r="E1540"/>
      <c r="F1540"/>
      <c r="G1540"/>
    </row>
    <row r="1541" spans="3:7" x14ac:dyDescent="0.3">
      <c r="C1541"/>
      <c r="D1541"/>
      <c r="E1541"/>
      <c r="F1541"/>
      <c r="G1541"/>
    </row>
    <row r="1542" spans="3:7" x14ac:dyDescent="0.3">
      <c r="C1542"/>
      <c r="D1542"/>
      <c r="E1542"/>
      <c r="F1542"/>
      <c r="G1542"/>
    </row>
    <row r="1543" spans="3:7" x14ac:dyDescent="0.3">
      <c r="C1543"/>
      <c r="D1543"/>
      <c r="E1543"/>
      <c r="F1543"/>
      <c r="G1543"/>
    </row>
    <row r="1544" spans="3:7" x14ac:dyDescent="0.3">
      <c r="C1544"/>
      <c r="D1544"/>
      <c r="E1544"/>
      <c r="F1544"/>
      <c r="G1544"/>
    </row>
    <row r="1545" spans="3:7" x14ac:dyDescent="0.3">
      <c r="C1545"/>
      <c r="D1545"/>
      <c r="E1545"/>
      <c r="F1545"/>
      <c r="G1545"/>
    </row>
    <row r="1546" spans="3:7" x14ac:dyDescent="0.3">
      <c r="C1546"/>
      <c r="D1546"/>
      <c r="E1546"/>
      <c r="F1546"/>
      <c r="G1546"/>
    </row>
    <row r="1547" spans="3:7" x14ac:dyDescent="0.3">
      <c r="C1547"/>
      <c r="D1547"/>
      <c r="E1547"/>
      <c r="F1547"/>
      <c r="G1547"/>
    </row>
    <row r="1548" spans="3:7" x14ac:dyDescent="0.3">
      <c r="C1548"/>
      <c r="D1548"/>
      <c r="E1548"/>
      <c r="F1548"/>
      <c r="G1548"/>
    </row>
    <row r="1549" spans="3:7" x14ac:dyDescent="0.3">
      <c r="C1549"/>
      <c r="D1549"/>
      <c r="E1549"/>
      <c r="F1549"/>
      <c r="G1549"/>
    </row>
    <row r="1550" spans="3:7" x14ac:dyDescent="0.3">
      <c r="C1550"/>
      <c r="D1550"/>
      <c r="E1550"/>
      <c r="F1550"/>
      <c r="G1550"/>
    </row>
    <row r="1551" spans="3:7" x14ac:dyDescent="0.3">
      <c r="C1551"/>
      <c r="D1551"/>
      <c r="E1551"/>
      <c r="F1551"/>
      <c r="G1551"/>
    </row>
    <row r="1552" spans="3:7" x14ac:dyDescent="0.3">
      <c r="C1552"/>
      <c r="D1552"/>
      <c r="E1552"/>
      <c r="F1552"/>
      <c r="G1552"/>
    </row>
    <row r="1553" spans="3:7" x14ac:dyDescent="0.3">
      <c r="C1553"/>
      <c r="D1553"/>
      <c r="E1553"/>
      <c r="F1553"/>
      <c r="G1553"/>
    </row>
    <row r="1554" spans="3:7" x14ac:dyDescent="0.3">
      <c r="C1554"/>
      <c r="D1554"/>
      <c r="E1554"/>
      <c r="F1554"/>
      <c r="G1554"/>
    </row>
    <row r="1555" spans="3:7" x14ac:dyDescent="0.3">
      <c r="C1555"/>
      <c r="D1555"/>
      <c r="E1555"/>
      <c r="F1555"/>
      <c r="G1555"/>
    </row>
    <row r="1556" spans="3:7" x14ac:dyDescent="0.3">
      <c r="C1556"/>
      <c r="D1556"/>
      <c r="E1556"/>
      <c r="F1556"/>
      <c r="G1556"/>
    </row>
    <row r="1557" spans="3:7" x14ac:dyDescent="0.3">
      <c r="C1557"/>
      <c r="D1557"/>
      <c r="E1557"/>
      <c r="F1557"/>
      <c r="G1557"/>
    </row>
    <row r="1558" spans="3:7" x14ac:dyDescent="0.3">
      <c r="C1558"/>
      <c r="D1558"/>
      <c r="E1558"/>
      <c r="F1558"/>
      <c r="G1558"/>
    </row>
    <row r="1559" spans="3:7" x14ac:dyDescent="0.3">
      <c r="C1559"/>
      <c r="D1559"/>
      <c r="E1559"/>
      <c r="F1559"/>
      <c r="G1559"/>
    </row>
    <row r="1560" spans="3:7" x14ac:dyDescent="0.3">
      <c r="C1560"/>
      <c r="D1560"/>
      <c r="E1560"/>
      <c r="F1560"/>
      <c r="G1560"/>
    </row>
    <row r="1561" spans="3:7" x14ac:dyDescent="0.3">
      <c r="C1561"/>
      <c r="D1561"/>
      <c r="E1561"/>
      <c r="F1561"/>
      <c r="G1561"/>
    </row>
    <row r="1562" spans="3:7" x14ac:dyDescent="0.3">
      <c r="C1562"/>
      <c r="D1562"/>
      <c r="E1562"/>
      <c r="F1562"/>
      <c r="G1562"/>
    </row>
    <row r="1563" spans="3:7" x14ac:dyDescent="0.3">
      <c r="C1563"/>
      <c r="D1563"/>
      <c r="E1563"/>
      <c r="F1563"/>
      <c r="G1563"/>
    </row>
    <row r="1564" spans="3:7" x14ac:dyDescent="0.3">
      <c r="C1564"/>
      <c r="D1564"/>
      <c r="E1564"/>
      <c r="F1564"/>
      <c r="G1564"/>
    </row>
    <row r="1565" spans="3:7" x14ac:dyDescent="0.3">
      <c r="C1565"/>
      <c r="D1565"/>
      <c r="E1565"/>
      <c r="F1565"/>
      <c r="G1565"/>
    </row>
    <row r="1566" spans="3:7" x14ac:dyDescent="0.3">
      <c r="C1566"/>
      <c r="D1566"/>
      <c r="E1566"/>
      <c r="F1566"/>
      <c r="G1566"/>
    </row>
    <row r="1567" spans="3:7" x14ac:dyDescent="0.3">
      <c r="C1567"/>
      <c r="D1567"/>
      <c r="E1567"/>
      <c r="F1567"/>
      <c r="G1567"/>
    </row>
    <row r="1568" spans="3:7" x14ac:dyDescent="0.3">
      <c r="C1568"/>
      <c r="D1568"/>
      <c r="E1568"/>
      <c r="F1568"/>
      <c r="G1568"/>
    </row>
    <row r="1569" spans="3:7" x14ac:dyDescent="0.3">
      <c r="C1569"/>
      <c r="D1569"/>
      <c r="E1569"/>
      <c r="F1569"/>
      <c r="G1569"/>
    </row>
    <row r="1570" spans="3:7" x14ac:dyDescent="0.3">
      <c r="C1570"/>
      <c r="D1570"/>
      <c r="E1570"/>
      <c r="F1570"/>
      <c r="G1570"/>
    </row>
    <row r="1571" spans="3:7" x14ac:dyDescent="0.3">
      <c r="C1571"/>
      <c r="D1571"/>
      <c r="E1571"/>
      <c r="F1571"/>
      <c r="G1571"/>
    </row>
    <row r="1572" spans="3:7" x14ac:dyDescent="0.3">
      <c r="C1572"/>
      <c r="D1572"/>
      <c r="E1572"/>
      <c r="F1572"/>
      <c r="G1572"/>
    </row>
    <row r="1573" spans="3:7" x14ac:dyDescent="0.3">
      <c r="C1573"/>
      <c r="D1573"/>
      <c r="E1573"/>
      <c r="F1573"/>
      <c r="G1573"/>
    </row>
    <row r="1574" spans="3:7" x14ac:dyDescent="0.3">
      <c r="C1574"/>
      <c r="D1574"/>
      <c r="E1574"/>
      <c r="F1574"/>
      <c r="G1574"/>
    </row>
    <row r="1575" spans="3:7" x14ac:dyDescent="0.3">
      <c r="C1575"/>
      <c r="D1575"/>
      <c r="E1575"/>
      <c r="F1575"/>
      <c r="G1575"/>
    </row>
    <row r="1576" spans="3:7" x14ac:dyDescent="0.3">
      <c r="C1576"/>
      <c r="D1576"/>
      <c r="E1576"/>
      <c r="F1576"/>
      <c r="G1576"/>
    </row>
    <row r="1577" spans="3:7" x14ac:dyDescent="0.3">
      <c r="C1577"/>
      <c r="D1577"/>
      <c r="E1577"/>
      <c r="F1577"/>
      <c r="G1577"/>
    </row>
    <row r="1578" spans="3:7" x14ac:dyDescent="0.3">
      <c r="C1578"/>
      <c r="D1578"/>
      <c r="E1578"/>
      <c r="F1578"/>
      <c r="G1578"/>
    </row>
    <row r="1579" spans="3:7" x14ac:dyDescent="0.3">
      <c r="C1579"/>
      <c r="D1579"/>
      <c r="E1579"/>
      <c r="F1579"/>
      <c r="G1579"/>
    </row>
    <row r="1580" spans="3:7" x14ac:dyDescent="0.3">
      <c r="C1580"/>
      <c r="D1580"/>
      <c r="E1580"/>
      <c r="F1580"/>
      <c r="G1580"/>
    </row>
    <row r="1581" spans="3:7" x14ac:dyDescent="0.3">
      <c r="C1581"/>
      <c r="D1581"/>
      <c r="E1581"/>
      <c r="F1581"/>
      <c r="G1581"/>
    </row>
    <row r="1582" spans="3:7" x14ac:dyDescent="0.3">
      <c r="C1582"/>
      <c r="D1582"/>
      <c r="E1582"/>
      <c r="F1582"/>
      <c r="G1582"/>
    </row>
    <row r="1583" spans="3:7" x14ac:dyDescent="0.3">
      <c r="C1583"/>
      <c r="D1583"/>
      <c r="E1583"/>
      <c r="F1583"/>
      <c r="G1583"/>
    </row>
    <row r="1584" spans="3:7" x14ac:dyDescent="0.3">
      <c r="C1584"/>
      <c r="D1584"/>
      <c r="E1584"/>
      <c r="F1584"/>
      <c r="G1584"/>
    </row>
    <row r="1585" spans="3:7" x14ac:dyDescent="0.3">
      <c r="C1585"/>
      <c r="D1585"/>
      <c r="E1585"/>
      <c r="F1585"/>
      <c r="G1585"/>
    </row>
    <row r="1586" spans="3:7" x14ac:dyDescent="0.3">
      <c r="C1586"/>
      <c r="D1586"/>
      <c r="E1586"/>
      <c r="F1586"/>
      <c r="G1586"/>
    </row>
    <row r="1587" spans="3:7" x14ac:dyDescent="0.3">
      <c r="C1587"/>
      <c r="D1587"/>
      <c r="E1587"/>
      <c r="F1587"/>
      <c r="G1587"/>
    </row>
    <row r="1588" spans="3:7" x14ac:dyDescent="0.3">
      <c r="C1588"/>
      <c r="D1588"/>
      <c r="E1588"/>
      <c r="F1588"/>
      <c r="G1588"/>
    </row>
    <row r="1589" spans="3:7" x14ac:dyDescent="0.3">
      <c r="C1589"/>
      <c r="D1589"/>
      <c r="E1589"/>
      <c r="F1589"/>
      <c r="G1589"/>
    </row>
    <row r="1590" spans="3:7" x14ac:dyDescent="0.3">
      <c r="C1590"/>
      <c r="D1590"/>
      <c r="E1590"/>
      <c r="F1590"/>
      <c r="G1590"/>
    </row>
    <row r="1591" spans="3:7" x14ac:dyDescent="0.3">
      <c r="C1591"/>
      <c r="D1591"/>
      <c r="E1591"/>
      <c r="F1591"/>
      <c r="G1591"/>
    </row>
    <row r="1592" spans="3:7" x14ac:dyDescent="0.3">
      <c r="C1592"/>
      <c r="D1592"/>
      <c r="E1592"/>
      <c r="F1592"/>
      <c r="G1592"/>
    </row>
    <row r="1593" spans="3:7" x14ac:dyDescent="0.3">
      <c r="C1593"/>
      <c r="D1593"/>
      <c r="E1593"/>
      <c r="F1593"/>
      <c r="G1593"/>
    </row>
    <row r="1594" spans="3:7" x14ac:dyDescent="0.3">
      <c r="C1594"/>
      <c r="D1594"/>
      <c r="E1594"/>
      <c r="F1594"/>
      <c r="G1594"/>
    </row>
    <row r="1595" spans="3:7" x14ac:dyDescent="0.3">
      <c r="C1595"/>
      <c r="D1595"/>
      <c r="E1595"/>
      <c r="F1595"/>
      <c r="G1595"/>
    </row>
    <row r="1596" spans="3:7" x14ac:dyDescent="0.3">
      <c r="C1596"/>
      <c r="D1596"/>
      <c r="E1596"/>
      <c r="F1596"/>
      <c r="G1596"/>
    </row>
    <row r="1597" spans="3:7" x14ac:dyDescent="0.3">
      <c r="C1597"/>
      <c r="D1597"/>
      <c r="E1597"/>
      <c r="F1597"/>
      <c r="G1597"/>
    </row>
    <row r="1598" spans="3:7" x14ac:dyDescent="0.3">
      <c r="C1598"/>
      <c r="D1598"/>
      <c r="E1598"/>
      <c r="F1598"/>
      <c r="G1598"/>
    </row>
    <row r="1599" spans="3:7" x14ac:dyDescent="0.3">
      <c r="C1599"/>
      <c r="D1599"/>
      <c r="E1599"/>
      <c r="F1599"/>
      <c r="G1599"/>
    </row>
    <row r="1600" spans="3:7" x14ac:dyDescent="0.3">
      <c r="C1600"/>
      <c r="D1600"/>
      <c r="E1600"/>
      <c r="F1600"/>
      <c r="G1600"/>
    </row>
    <row r="1601" spans="3:7" x14ac:dyDescent="0.3">
      <c r="C1601"/>
      <c r="D1601"/>
      <c r="E1601"/>
      <c r="F1601"/>
      <c r="G1601"/>
    </row>
    <row r="1602" spans="3:7" x14ac:dyDescent="0.3">
      <c r="C1602"/>
      <c r="D1602"/>
      <c r="E1602"/>
      <c r="F1602"/>
      <c r="G1602"/>
    </row>
    <row r="1603" spans="3:7" x14ac:dyDescent="0.3">
      <c r="C1603"/>
      <c r="D1603"/>
      <c r="E1603"/>
      <c r="F1603"/>
      <c r="G1603"/>
    </row>
    <row r="1604" spans="3:7" x14ac:dyDescent="0.3">
      <c r="C1604"/>
      <c r="D1604"/>
      <c r="E1604"/>
      <c r="F1604"/>
      <c r="G1604"/>
    </row>
    <row r="1605" spans="3:7" x14ac:dyDescent="0.3">
      <c r="C1605"/>
      <c r="D1605"/>
      <c r="E1605"/>
      <c r="F1605"/>
      <c r="G1605"/>
    </row>
    <row r="1606" spans="3:7" x14ac:dyDescent="0.3">
      <c r="C1606"/>
      <c r="D1606"/>
      <c r="E1606"/>
      <c r="F1606"/>
      <c r="G1606"/>
    </row>
    <row r="1607" spans="3:7" x14ac:dyDescent="0.3">
      <c r="C1607"/>
      <c r="D1607"/>
      <c r="E1607"/>
      <c r="F1607"/>
      <c r="G1607"/>
    </row>
    <row r="1608" spans="3:7" x14ac:dyDescent="0.3">
      <c r="C1608"/>
      <c r="D1608"/>
      <c r="E1608"/>
      <c r="F1608"/>
      <c r="G1608"/>
    </row>
    <row r="1609" spans="3:7" x14ac:dyDescent="0.3">
      <c r="C1609"/>
      <c r="D1609"/>
      <c r="E1609"/>
      <c r="F1609"/>
      <c r="G1609"/>
    </row>
    <row r="1610" spans="3:7" x14ac:dyDescent="0.3">
      <c r="C1610"/>
      <c r="D1610"/>
      <c r="E1610"/>
      <c r="F1610"/>
      <c r="G1610"/>
    </row>
    <row r="1611" spans="3:7" x14ac:dyDescent="0.3">
      <c r="C1611"/>
      <c r="D1611"/>
      <c r="E1611"/>
      <c r="F1611"/>
      <c r="G1611"/>
    </row>
    <row r="1612" spans="3:7" x14ac:dyDescent="0.3">
      <c r="C1612"/>
      <c r="D1612"/>
      <c r="E1612"/>
      <c r="F1612"/>
      <c r="G1612"/>
    </row>
    <row r="1613" spans="3:7" x14ac:dyDescent="0.3">
      <c r="C1613"/>
      <c r="D1613"/>
      <c r="E1613"/>
      <c r="F1613"/>
      <c r="G1613"/>
    </row>
    <row r="1614" spans="3:7" x14ac:dyDescent="0.3">
      <c r="C1614"/>
      <c r="D1614"/>
      <c r="E1614"/>
      <c r="F1614"/>
      <c r="G1614"/>
    </row>
    <row r="1615" spans="3:7" x14ac:dyDescent="0.3">
      <c r="C1615"/>
      <c r="D1615"/>
      <c r="E1615"/>
      <c r="F1615"/>
      <c r="G1615"/>
    </row>
    <row r="1616" spans="3:7" x14ac:dyDescent="0.3">
      <c r="C1616"/>
      <c r="D1616"/>
      <c r="E1616"/>
      <c r="F1616"/>
      <c r="G1616"/>
    </row>
    <row r="1617" spans="3:7" x14ac:dyDescent="0.3">
      <c r="C1617"/>
      <c r="D1617"/>
      <c r="E1617"/>
      <c r="F1617"/>
      <c r="G1617"/>
    </row>
    <row r="1618" spans="3:7" x14ac:dyDescent="0.3">
      <c r="C1618"/>
      <c r="D1618"/>
      <c r="E1618"/>
      <c r="F1618"/>
      <c r="G1618"/>
    </row>
    <row r="1619" spans="3:7" x14ac:dyDescent="0.3">
      <c r="C1619"/>
      <c r="D1619"/>
      <c r="E1619"/>
      <c r="F1619"/>
      <c r="G1619"/>
    </row>
    <row r="1620" spans="3:7" x14ac:dyDescent="0.3">
      <c r="C1620"/>
      <c r="D1620"/>
      <c r="E1620"/>
      <c r="F1620"/>
      <c r="G1620"/>
    </row>
    <row r="1621" spans="3:7" x14ac:dyDescent="0.3">
      <c r="C1621"/>
      <c r="D1621"/>
      <c r="E1621"/>
      <c r="F1621"/>
      <c r="G1621"/>
    </row>
    <row r="1622" spans="3:7" x14ac:dyDescent="0.3">
      <c r="C1622"/>
      <c r="D1622"/>
      <c r="E1622"/>
      <c r="F1622"/>
      <c r="G1622"/>
    </row>
    <row r="1623" spans="3:7" x14ac:dyDescent="0.3">
      <c r="C1623"/>
      <c r="D1623"/>
      <c r="E1623"/>
      <c r="F1623"/>
      <c r="G1623"/>
    </row>
    <row r="1624" spans="3:7" x14ac:dyDescent="0.3">
      <c r="C1624"/>
      <c r="D1624"/>
      <c r="E1624"/>
      <c r="F1624"/>
      <c r="G1624"/>
    </row>
    <row r="1625" spans="3:7" x14ac:dyDescent="0.3">
      <c r="C1625"/>
      <c r="D1625"/>
      <c r="E1625"/>
      <c r="F1625"/>
      <c r="G1625"/>
    </row>
    <row r="1626" spans="3:7" x14ac:dyDescent="0.3">
      <c r="C1626"/>
      <c r="D1626"/>
      <c r="E1626"/>
      <c r="F1626"/>
      <c r="G1626"/>
    </row>
    <row r="1627" spans="3:7" x14ac:dyDescent="0.3">
      <c r="C1627"/>
      <c r="D1627"/>
      <c r="E1627"/>
      <c r="F1627"/>
      <c r="G1627"/>
    </row>
    <row r="1628" spans="3:7" x14ac:dyDescent="0.3">
      <c r="C1628"/>
      <c r="D1628"/>
      <c r="E1628"/>
      <c r="F1628"/>
      <c r="G1628"/>
    </row>
    <row r="1629" spans="3:7" x14ac:dyDescent="0.3">
      <c r="C1629"/>
      <c r="D1629"/>
      <c r="E1629"/>
      <c r="F1629"/>
      <c r="G1629"/>
    </row>
    <row r="1630" spans="3:7" x14ac:dyDescent="0.3">
      <c r="C1630"/>
      <c r="D1630"/>
      <c r="E1630"/>
      <c r="F1630"/>
      <c r="G1630"/>
    </row>
    <row r="1631" spans="3:7" x14ac:dyDescent="0.3">
      <c r="C1631"/>
      <c r="D1631"/>
      <c r="E1631"/>
      <c r="F1631"/>
      <c r="G1631"/>
    </row>
    <row r="1632" spans="3:7" x14ac:dyDescent="0.3">
      <c r="C1632"/>
      <c r="D1632"/>
      <c r="E1632"/>
      <c r="F1632"/>
      <c r="G1632"/>
    </row>
    <row r="1633" spans="3:7" x14ac:dyDescent="0.3">
      <c r="C1633"/>
      <c r="D1633"/>
      <c r="E1633"/>
      <c r="F1633"/>
      <c r="G1633"/>
    </row>
    <row r="1634" spans="3:7" x14ac:dyDescent="0.3">
      <c r="C1634"/>
      <c r="D1634"/>
      <c r="E1634"/>
      <c r="F1634"/>
      <c r="G1634"/>
    </row>
    <row r="1635" spans="3:7" x14ac:dyDescent="0.3">
      <c r="C1635"/>
      <c r="D1635"/>
      <c r="E1635"/>
      <c r="F1635"/>
      <c r="G1635"/>
    </row>
    <row r="1636" spans="3:7" x14ac:dyDescent="0.3">
      <c r="C1636"/>
      <c r="D1636"/>
      <c r="E1636"/>
      <c r="F1636"/>
      <c r="G1636"/>
    </row>
    <row r="1637" spans="3:7" x14ac:dyDescent="0.3">
      <c r="C1637"/>
      <c r="D1637"/>
      <c r="E1637"/>
      <c r="F1637"/>
      <c r="G1637"/>
    </row>
    <row r="1638" spans="3:7" x14ac:dyDescent="0.3">
      <c r="C1638"/>
      <c r="D1638"/>
      <c r="E1638"/>
      <c r="F1638"/>
      <c r="G1638"/>
    </row>
    <row r="1639" spans="3:7" x14ac:dyDescent="0.3">
      <c r="C1639"/>
      <c r="D1639"/>
      <c r="E1639"/>
      <c r="F1639"/>
      <c r="G1639"/>
    </row>
    <row r="1640" spans="3:7" x14ac:dyDescent="0.3">
      <c r="C1640"/>
      <c r="D1640"/>
      <c r="E1640"/>
      <c r="F1640"/>
      <c r="G1640"/>
    </row>
    <row r="1641" spans="3:7" x14ac:dyDescent="0.3">
      <c r="C1641"/>
      <c r="D1641"/>
      <c r="E1641"/>
      <c r="F1641"/>
      <c r="G1641"/>
    </row>
    <row r="1642" spans="3:7" x14ac:dyDescent="0.3">
      <c r="C1642"/>
      <c r="D1642"/>
      <c r="E1642"/>
      <c r="F1642"/>
      <c r="G1642"/>
    </row>
    <row r="1643" spans="3:7" x14ac:dyDescent="0.3">
      <c r="C1643"/>
      <c r="D1643"/>
      <c r="E1643"/>
      <c r="F1643"/>
      <c r="G1643"/>
    </row>
    <row r="1644" spans="3:7" x14ac:dyDescent="0.3">
      <c r="C1644"/>
      <c r="D1644"/>
      <c r="E1644"/>
      <c r="F1644"/>
      <c r="G1644"/>
    </row>
    <row r="1645" spans="3:7" x14ac:dyDescent="0.3">
      <c r="C1645"/>
      <c r="D1645"/>
      <c r="E1645"/>
      <c r="F1645"/>
      <c r="G1645"/>
    </row>
    <row r="1646" spans="3:7" x14ac:dyDescent="0.3">
      <c r="C1646"/>
      <c r="D1646"/>
      <c r="E1646"/>
      <c r="F1646"/>
      <c r="G1646"/>
    </row>
    <row r="1647" spans="3:7" x14ac:dyDescent="0.3">
      <c r="C1647"/>
      <c r="D1647"/>
      <c r="E1647"/>
      <c r="F1647"/>
      <c r="G1647"/>
    </row>
    <row r="1648" spans="3:7" x14ac:dyDescent="0.3">
      <c r="C1648"/>
      <c r="D1648"/>
      <c r="E1648"/>
      <c r="F1648"/>
      <c r="G1648"/>
    </row>
    <row r="1649" spans="3:7" x14ac:dyDescent="0.3">
      <c r="C1649"/>
      <c r="D1649"/>
      <c r="E1649"/>
      <c r="F1649"/>
      <c r="G1649"/>
    </row>
    <row r="1650" spans="3:7" x14ac:dyDescent="0.3">
      <c r="C1650"/>
      <c r="D1650"/>
      <c r="E1650"/>
      <c r="F1650"/>
      <c r="G1650"/>
    </row>
    <row r="1651" spans="3:7" x14ac:dyDescent="0.3">
      <c r="C1651"/>
      <c r="D1651"/>
      <c r="E1651"/>
      <c r="F1651"/>
      <c r="G1651"/>
    </row>
    <row r="1652" spans="3:7" x14ac:dyDescent="0.3">
      <c r="C1652"/>
      <c r="D1652"/>
      <c r="E1652"/>
      <c r="F1652"/>
      <c r="G1652"/>
    </row>
    <row r="1653" spans="3:7" x14ac:dyDescent="0.3">
      <c r="C1653"/>
      <c r="D1653"/>
      <c r="E1653"/>
      <c r="F1653"/>
      <c r="G1653"/>
    </row>
    <row r="1654" spans="3:7" x14ac:dyDescent="0.3">
      <c r="C1654"/>
      <c r="D1654"/>
      <c r="E1654"/>
      <c r="F1654"/>
      <c r="G1654"/>
    </row>
    <row r="1655" spans="3:7" x14ac:dyDescent="0.3">
      <c r="C1655"/>
      <c r="D1655"/>
      <c r="E1655"/>
      <c r="F1655"/>
      <c r="G1655"/>
    </row>
    <row r="1656" spans="3:7" x14ac:dyDescent="0.3">
      <c r="C1656"/>
      <c r="D1656"/>
      <c r="E1656"/>
      <c r="F1656"/>
      <c r="G1656"/>
    </row>
    <row r="1657" spans="3:7" x14ac:dyDescent="0.3">
      <c r="C1657"/>
      <c r="D1657"/>
      <c r="E1657"/>
      <c r="F1657"/>
      <c r="G1657"/>
    </row>
    <row r="1658" spans="3:7" x14ac:dyDescent="0.3">
      <c r="C1658"/>
      <c r="D1658"/>
      <c r="E1658"/>
      <c r="F1658"/>
      <c r="G1658"/>
    </row>
    <row r="1659" spans="3:7" x14ac:dyDescent="0.3">
      <c r="C1659"/>
      <c r="D1659"/>
      <c r="E1659"/>
      <c r="F1659"/>
      <c r="G1659"/>
    </row>
    <row r="1660" spans="3:7" x14ac:dyDescent="0.3">
      <c r="C1660"/>
      <c r="D1660"/>
      <c r="E1660"/>
      <c r="F1660"/>
      <c r="G1660"/>
    </row>
    <row r="1661" spans="3:7" x14ac:dyDescent="0.3">
      <c r="C1661"/>
      <c r="D1661"/>
      <c r="E1661"/>
      <c r="F1661"/>
      <c r="G1661"/>
    </row>
    <row r="1662" spans="3:7" x14ac:dyDescent="0.3">
      <c r="C1662"/>
      <c r="D1662"/>
      <c r="E1662"/>
      <c r="F1662"/>
      <c r="G1662"/>
    </row>
    <row r="1663" spans="3:7" x14ac:dyDescent="0.3">
      <c r="C1663"/>
      <c r="D1663"/>
      <c r="E1663"/>
      <c r="F1663"/>
      <c r="G1663"/>
    </row>
    <row r="1664" spans="3:7" x14ac:dyDescent="0.3">
      <c r="C1664"/>
      <c r="D1664"/>
      <c r="E1664"/>
      <c r="F1664"/>
      <c r="G1664"/>
    </row>
    <row r="1665" spans="3:7" x14ac:dyDescent="0.3">
      <c r="C1665"/>
      <c r="D1665"/>
      <c r="E1665"/>
      <c r="F1665"/>
      <c r="G1665"/>
    </row>
    <row r="1666" spans="3:7" x14ac:dyDescent="0.3">
      <c r="C1666"/>
      <c r="D1666"/>
      <c r="E1666"/>
      <c r="F1666"/>
      <c r="G1666"/>
    </row>
    <row r="1667" spans="3:7" x14ac:dyDescent="0.3">
      <c r="C1667"/>
      <c r="D1667"/>
      <c r="E1667"/>
      <c r="F1667"/>
      <c r="G1667"/>
    </row>
    <row r="1668" spans="3:7" x14ac:dyDescent="0.3">
      <c r="C1668"/>
      <c r="D1668"/>
      <c r="E1668"/>
      <c r="F1668"/>
      <c r="G1668"/>
    </row>
    <row r="1669" spans="3:7" x14ac:dyDescent="0.3">
      <c r="C1669"/>
      <c r="D1669"/>
      <c r="E1669"/>
      <c r="F1669"/>
      <c r="G1669"/>
    </row>
    <row r="1670" spans="3:7" x14ac:dyDescent="0.3">
      <c r="C1670"/>
      <c r="D1670"/>
      <c r="E1670"/>
      <c r="F1670"/>
      <c r="G1670"/>
    </row>
    <row r="1671" spans="3:7" x14ac:dyDescent="0.3">
      <c r="C1671"/>
      <c r="D1671"/>
      <c r="E1671"/>
      <c r="F1671"/>
      <c r="G1671"/>
    </row>
    <row r="1672" spans="3:7" x14ac:dyDescent="0.3">
      <c r="C1672"/>
      <c r="D1672"/>
      <c r="E1672"/>
      <c r="F1672"/>
      <c r="G1672"/>
    </row>
    <row r="1673" spans="3:7" x14ac:dyDescent="0.3">
      <c r="C1673"/>
      <c r="D1673"/>
      <c r="E1673"/>
      <c r="F1673"/>
      <c r="G1673"/>
    </row>
    <row r="1674" spans="3:7" x14ac:dyDescent="0.3">
      <c r="C1674"/>
      <c r="D1674"/>
      <c r="E1674"/>
      <c r="F1674"/>
      <c r="G1674"/>
    </row>
    <row r="1675" spans="3:7" x14ac:dyDescent="0.3">
      <c r="C1675"/>
      <c r="D1675"/>
      <c r="E1675"/>
      <c r="F1675"/>
      <c r="G1675"/>
    </row>
    <row r="1676" spans="3:7" x14ac:dyDescent="0.3">
      <c r="C1676"/>
      <c r="D1676"/>
      <c r="E1676"/>
      <c r="F1676"/>
      <c r="G1676"/>
    </row>
    <row r="1677" spans="3:7" x14ac:dyDescent="0.3">
      <c r="C1677"/>
      <c r="D1677"/>
      <c r="E1677"/>
      <c r="F1677"/>
      <c r="G1677"/>
    </row>
    <row r="1678" spans="3:7" x14ac:dyDescent="0.3">
      <c r="C1678"/>
      <c r="D1678"/>
      <c r="E1678"/>
      <c r="F1678"/>
      <c r="G1678"/>
    </row>
    <row r="1679" spans="3:7" x14ac:dyDescent="0.3">
      <c r="C1679"/>
      <c r="D1679"/>
      <c r="E1679"/>
      <c r="F1679"/>
      <c r="G1679"/>
    </row>
    <row r="1680" spans="3:7" x14ac:dyDescent="0.3">
      <c r="C1680"/>
      <c r="D1680"/>
      <c r="E1680"/>
      <c r="F1680"/>
      <c r="G1680"/>
    </row>
    <row r="1681" spans="3:7" x14ac:dyDescent="0.3">
      <c r="C1681"/>
      <c r="D1681"/>
      <c r="E1681"/>
      <c r="F1681"/>
      <c r="G1681"/>
    </row>
    <row r="1682" spans="3:7" x14ac:dyDescent="0.3">
      <c r="C1682"/>
      <c r="D1682"/>
      <c r="E1682"/>
      <c r="F1682"/>
      <c r="G1682"/>
    </row>
    <row r="1683" spans="3:7" x14ac:dyDescent="0.3">
      <c r="C1683"/>
      <c r="D1683"/>
      <c r="E1683"/>
      <c r="F1683"/>
      <c r="G1683"/>
    </row>
    <row r="1684" spans="3:7" x14ac:dyDescent="0.3">
      <c r="C1684"/>
      <c r="D1684"/>
      <c r="E1684"/>
      <c r="F1684"/>
      <c r="G1684"/>
    </row>
    <row r="1685" spans="3:7" x14ac:dyDescent="0.3">
      <c r="C1685"/>
      <c r="D1685"/>
      <c r="E1685"/>
      <c r="F1685"/>
      <c r="G1685"/>
    </row>
    <row r="1686" spans="3:7" x14ac:dyDescent="0.3">
      <c r="C1686"/>
      <c r="D1686"/>
      <c r="E1686"/>
      <c r="F1686"/>
      <c r="G1686"/>
    </row>
    <row r="1687" spans="3:7" x14ac:dyDescent="0.3">
      <c r="C1687"/>
      <c r="D1687"/>
      <c r="E1687"/>
      <c r="F1687"/>
      <c r="G1687"/>
    </row>
    <row r="1688" spans="3:7" x14ac:dyDescent="0.3">
      <c r="C1688"/>
      <c r="D1688"/>
      <c r="E1688"/>
      <c r="F1688"/>
      <c r="G1688"/>
    </row>
    <row r="1689" spans="3:7" x14ac:dyDescent="0.3">
      <c r="C1689"/>
      <c r="D1689"/>
      <c r="E1689"/>
      <c r="F1689"/>
      <c r="G1689"/>
    </row>
    <row r="1690" spans="3:7" x14ac:dyDescent="0.3">
      <c r="C1690"/>
      <c r="D1690"/>
      <c r="E1690"/>
      <c r="F1690"/>
      <c r="G1690"/>
    </row>
    <row r="1691" spans="3:7" x14ac:dyDescent="0.3">
      <c r="C1691"/>
      <c r="D1691"/>
      <c r="E1691"/>
      <c r="F1691"/>
      <c r="G1691"/>
    </row>
    <row r="1692" spans="3:7" x14ac:dyDescent="0.3">
      <c r="C1692"/>
      <c r="D1692"/>
      <c r="E1692"/>
      <c r="F1692"/>
      <c r="G1692"/>
    </row>
    <row r="1693" spans="3:7" x14ac:dyDescent="0.3">
      <c r="C1693"/>
      <c r="D1693"/>
      <c r="E1693"/>
      <c r="F1693"/>
      <c r="G1693"/>
    </row>
    <row r="1694" spans="3:7" x14ac:dyDescent="0.3">
      <c r="C1694"/>
      <c r="D1694"/>
      <c r="E1694"/>
      <c r="F1694"/>
      <c r="G1694"/>
    </row>
    <row r="1695" spans="3:7" x14ac:dyDescent="0.3">
      <c r="C1695"/>
      <c r="D1695"/>
      <c r="E1695"/>
      <c r="F1695"/>
      <c r="G1695"/>
    </row>
    <row r="1696" spans="3:7" x14ac:dyDescent="0.3">
      <c r="C1696"/>
      <c r="D1696"/>
      <c r="E1696"/>
      <c r="F1696"/>
      <c r="G1696"/>
    </row>
    <row r="1697" spans="3:7" x14ac:dyDescent="0.3">
      <c r="C1697"/>
      <c r="D1697"/>
      <c r="E1697"/>
      <c r="F1697"/>
      <c r="G1697"/>
    </row>
    <row r="1698" spans="3:7" x14ac:dyDescent="0.3">
      <c r="C1698"/>
      <c r="D1698"/>
      <c r="E1698"/>
      <c r="F1698"/>
      <c r="G1698"/>
    </row>
    <row r="1699" spans="3:7" x14ac:dyDescent="0.3">
      <c r="C1699"/>
      <c r="D1699"/>
      <c r="E1699"/>
      <c r="F1699"/>
      <c r="G1699"/>
    </row>
    <row r="1700" spans="3:7" x14ac:dyDescent="0.3">
      <c r="C1700"/>
      <c r="D1700"/>
      <c r="E1700"/>
      <c r="F1700"/>
      <c r="G1700"/>
    </row>
    <row r="1701" spans="3:7" x14ac:dyDescent="0.3">
      <c r="C1701"/>
      <c r="D1701"/>
      <c r="E1701"/>
      <c r="F1701"/>
      <c r="G1701"/>
    </row>
    <row r="1702" spans="3:7" x14ac:dyDescent="0.3">
      <c r="C1702"/>
      <c r="D1702"/>
      <c r="E1702"/>
      <c r="F1702"/>
      <c r="G1702"/>
    </row>
    <row r="1703" spans="3:7" x14ac:dyDescent="0.3">
      <c r="C1703"/>
      <c r="D1703"/>
      <c r="E1703"/>
      <c r="F1703"/>
      <c r="G1703"/>
    </row>
    <row r="1704" spans="3:7" x14ac:dyDescent="0.3">
      <c r="C1704"/>
      <c r="D1704"/>
      <c r="E1704"/>
      <c r="F1704"/>
      <c r="G1704"/>
    </row>
    <row r="1705" spans="3:7" x14ac:dyDescent="0.3">
      <c r="C1705"/>
      <c r="D1705"/>
      <c r="E1705"/>
      <c r="F1705"/>
      <c r="G1705"/>
    </row>
    <row r="1706" spans="3:7" x14ac:dyDescent="0.3">
      <c r="C1706"/>
      <c r="D1706"/>
      <c r="E1706"/>
      <c r="F1706"/>
      <c r="G1706"/>
    </row>
    <row r="1707" spans="3:7" x14ac:dyDescent="0.3">
      <c r="C1707"/>
      <c r="D1707"/>
      <c r="E1707"/>
      <c r="F1707"/>
      <c r="G1707"/>
    </row>
    <row r="1708" spans="3:7" x14ac:dyDescent="0.3">
      <c r="C1708"/>
      <c r="D1708"/>
      <c r="E1708"/>
      <c r="F1708"/>
      <c r="G1708"/>
    </row>
    <row r="1709" spans="3:7" x14ac:dyDescent="0.3">
      <c r="C1709"/>
      <c r="D1709"/>
      <c r="E1709"/>
      <c r="F1709"/>
      <c r="G1709"/>
    </row>
    <row r="1710" spans="3:7" x14ac:dyDescent="0.3">
      <c r="C1710"/>
      <c r="D1710"/>
      <c r="E1710"/>
      <c r="F1710"/>
      <c r="G1710"/>
    </row>
    <row r="1711" spans="3:7" x14ac:dyDescent="0.3">
      <c r="C1711"/>
      <c r="D1711"/>
      <c r="E1711"/>
      <c r="F1711"/>
      <c r="G1711"/>
    </row>
    <row r="1712" spans="3:7" x14ac:dyDescent="0.3">
      <c r="C1712"/>
      <c r="D1712"/>
      <c r="E1712"/>
      <c r="F1712"/>
      <c r="G1712"/>
    </row>
    <row r="1713" spans="3:7" x14ac:dyDescent="0.3">
      <c r="C1713"/>
      <c r="D1713"/>
      <c r="E1713"/>
      <c r="F1713"/>
      <c r="G1713"/>
    </row>
    <row r="1714" spans="3:7" x14ac:dyDescent="0.3">
      <c r="C1714"/>
      <c r="D1714"/>
      <c r="E1714"/>
      <c r="F1714"/>
      <c r="G1714"/>
    </row>
    <row r="1715" spans="3:7" x14ac:dyDescent="0.3">
      <c r="C1715"/>
      <c r="D1715"/>
      <c r="E1715"/>
      <c r="F1715"/>
      <c r="G1715"/>
    </row>
    <row r="1716" spans="3:7" x14ac:dyDescent="0.3">
      <c r="C1716"/>
      <c r="D1716"/>
      <c r="E1716"/>
      <c r="F1716"/>
      <c r="G1716"/>
    </row>
    <row r="1717" spans="3:7" x14ac:dyDescent="0.3">
      <c r="C1717"/>
      <c r="D1717"/>
      <c r="E1717"/>
      <c r="F1717"/>
      <c r="G1717"/>
    </row>
    <row r="1718" spans="3:7" x14ac:dyDescent="0.3">
      <c r="C1718"/>
      <c r="D1718"/>
      <c r="E1718"/>
      <c r="F1718"/>
      <c r="G1718"/>
    </row>
    <row r="1719" spans="3:7" x14ac:dyDescent="0.3">
      <c r="C1719"/>
      <c r="D1719"/>
      <c r="E1719"/>
      <c r="F1719"/>
      <c r="G1719"/>
    </row>
    <row r="1720" spans="3:7" x14ac:dyDescent="0.3">
      <c r="C1720"/>
      <c r="D1720"/>
      <c r="E1720"/>
      <c r="F1720"/>
      <c r="G1720"/>
    </row>
    <row r="1721" spans="3:7" x14ac:dyDescent="0.3">
      <c r="C1721"/>
      <c r="D1721"/>
      <c r="E1721"/>
      <c r="F1721"/>
      <c r="G1721"/>
    </row>
    <row r="1722" spans="3:7" x14ac:dyDescent="0.3">
      <c r="C1722"/>
      <c r="D1722"/>
      <c r="E1722"/>
      <c r="F1722"/>
      <c r="G1722"/>
    </row>
    <row r="1723" spans="3:7" x14ac:dyDescent="0.3">
      <c r="C1723"/>
      <c r="D1723"/>
      <c r="E1723"/>
      <c r="F1723"/>
      <c r="G1723"/>
    </row>
    <row r="1724" spans="3:7" x14ac:dyDescent="0.3">
      <c r="C1724"/>
      <c r="D1724"/>
      <c r="E1724"/>
      <c r="F1724"/>
      <c r="G1724"/>
    </row>
    <row r="1725" spans="3:7" x14ac:dyDescent="0.3">
      <c r="C1725"/>
      <c r="D1725"/>
      <c r="E1725"/>
      <c r="F1725"/>
      <c r="G1725"/>
    </row>
    <row r="1726" spans="3:7" x14ac:dyDescent="0.3">
      <c r="C1726"/>
      <c r="D1726"/>
      <c r="E1726"/>
      <c r="F1726"/>
      <c r="G1726"/>
    </row>
    <row r="1727" spans="3:7" x14ac:dyDescent="0.3">
      <c r="C1727"/>
      <c r="D1727"/>
      <c r="E1727"/>
      <c r="F1727"/>
      <c r="G1727"/>
    </row>
    <row r="1728" spans="3:7" x14ac:dyDescent="0.3">
      <c r="C1728"/>
      <c r="D1728"/>
      <c r="E1728"/>
      <c r="F1728"/>
      <c r="G1728"/>
    </row>
    <row r="1729" spans="3:7" x14ac:dyDescent="0.3">
      <c r="C1729"/>
      <c r="D1729"/>
      <c r="E1729"/>
      <c r="F1729"/>
      <c r="G1729"/>
    </row>
    <row r="1730" spans="3:7" x14ac:dyDescent="0.3">
      <c r="C1730"/>
      <c r="D1730"/>
      <c r="E1730"/>
      <c r="F1730"/>
      <c r="G1730"/>
    </row>
    <row r="1731" spans="3:7" x14ac:dyDescent="0.3">
      <c r="C1731"/>
      <c r="D1731"/>
      <c r="E1731"/>
      <c r="F1731"/>
      <c r="G1731"/>
    </row>
    <row r="1732" spans="3:7" x14ac:dyDescent="0.3">
      <c r="C1732"/>
      <c r="D1732"/>
      <c r="E1732"/>
      <c r="F1732"/>
      <c r="G1732"/>
    </row>
    <row r="1733" spans="3:7" x14ac:dyDescent="0.3">
      <c r="C1733"/>
      <c r="D1733"/>
      <c r="E1733"/>
      <c r="F1733"/>
      <c r="G1733"/>
    </row>
    <row r="1734" spans="3:7" x14ac:dyDescent="0.3">
      <c r="C1734"/>
      <c r="D1734"/>
      <c r="E1734"/>
      <c r="F1734"/>
      <c r="G1734"/>
    </row>
    <row r="1735" spans="3:7" x14ac:dyDescent="0.3">
      <c r="C1735"/>
      <c r="D1735"/>
      <c r="E1735"/>
      <c r="F1735"/>
      <c r="G1735"/>
    </row>
    <row r="1736" spans="3:7" x14ac:dyDescent="0.3">
      <c r="C1736"/>
      <c r="D1736"/>
      <c r="E1736"/>
      <c r="F1736"/>
      <c r="G1736"/>
    </row>
    <row r="1737" spans="3:7" x14ac:dyDescent="0.3">
      <c r="C1737"/>
      <c r="D1737"/>
      <c r="E1737"/>
      <c r="F1737"/>
      <c r="G1737"/>
    </row>
    <row r="1738" spans="3:7" x14ac:dyDescent="0.3">
      <c r="C1738"/>
      <c r="D1738"/>
      <c r="E1738"/>
      <c r="F1738"/>
      <c r="G1738"/>
    </row>
    <row r="1739" spans="3:7" x14ac:dyDescent="0.3">
      <c r="C1739"/>
      <c r="D1739"/>
      <c r="E1739"/>
      <c r="F1739"/>
      <c r="G1739"/>
    </row>
    <row r="1740" spans="3:7" x14ac:dyDescent="0.3">
      <c r="C1740"/>
      <c r="D1740"/>
      <c r="E1740"/>
      <c r="F1740"/>
      <c r="G1740"/>
    </row>
    <row r="1741" spans="3:7" x14ac:dyDescent="0.3">
      <c r="C1741"/>
      <c r="D1741"/>
      <c r="E1741"/>
      <c r="F1741"/>
      <c r="G1741"/>
    </row>
    <row r="1742" spans="3:7" x14ac:dyDescent="0.3">
      <c r="C1742"/>
      <c r="D1742"/>
      <c r="E1742"/>
      <c r="F1742"/>
      <c r="G1742"/>
    </row>
    <row r="1743" spans="3:7" x14ac:dyDescent="0.3">
      <c r="C1743"/>
      <c r="D1743"/>
      <c r="E1743"/>
      <c r="F1743"/>
      <c r="G1743"/>
    </row>
    <row r="1744" spans="3:7" x14ac:dyDescent="0.3">
      <c r="C1744"/>
      <c r="D1744"/>
      <c r="E1744"/>
      <c r="F1744"/>
      <c r="G1744"/>
    </row>
    <row r="1745" spans="3:7" x14ac:dyDescent="0.3">
      <c r="C1745"/>
      <c r="D1745"/>
      <c r="E1745"/>
      <c r="F1745"/>
      <c r="G1745"/>
    </row>
    <row r="1746" spans="3:7" x14ac:dyDescent="0.3">
      <c r="C1746"/>
      <c r="D1746"/>
      <c r="E1746"/>
      <c r="F1746"/>
      <c r="G1746"/>
    </row>
    <row r="1747" spans="3:7" x14ac:dyDescent="0.3">
      <c r="C1747"/>
      <c r="D1747"/>
      <c r="E1747"/>
      <c r="F1747"/>
      <c r="G1747"/>
    </row>
    <row r="1748" spans="3:7" x14ac:dyDescent="0.3">
      <c r="C1748"/>
      <c r="D1748"/>
      <c r="E1748"/>
      <c r="F1748"/>
      <c r="G1748"/>
    </row>
    <row r="1749" spans="3:7" x14ac:dyDescent="0.3">
      <c r="C1749"/>
      <c r="D1749"/>
      <c r="E1749"/>
      <c r="F1749"/>
      <c r="G1749"/>
    </row>
    <row r="1750" spans="3:7" x14ac:dyDescent="0.3">
      <c r="C1750"/>
      <c r="D1750"/>
      <c r="E1750"/>
      <c r="F1750"/>
      <c r="G1750"/>
    </row>
    <row r="1751" spans="3:7" x14ac:dyDescent="0.3">
      <c r="C1751"/>
      <c r="D1751"/>
      <c r="E1751"/>
      <c r="F1751"/>
      <c r="G1751"/>
    </row>
    <row r="1752" spans="3:7" x14ac:dyDescent="0.3">
      <c r="C1752"/>
      <c r="D1752"/>
      <c r="E1752"/>
      <c r="F1752"/>
      <c r="G1752"/>
    </row>
    <row r="1753" spans="3:7" x14ac:dyDescent="0.3">
      <c r="C1753"/>
      <c r="D1753"/>
      <c r="E1753"/>
      <c r="F1753"/>
      <c r="G1753"/>
    </row>
    <row r="1754" spans="3:7" x14ac:dyDescent="0.3">
      <c r="C1754"/>
      <c r="D1754"/>
      <c r="E1754"/>
      <c r="F1754"/>
      <c r="G1754"/>
    </row>
    <row r="1755" spans="3:7" x14ac:dyDescent="0.3">
      <c r="C1755"/>
      <c r="D1755"/>
      <c r="E1755"/>
      <c r="F1755"/>
      <c r="G1755"/>
    </row>
    <row r="1756" spans="3:7" x14ac:dyDescent="0.3">
      <c r="C1756"/>
      <c r="D1756"/>
      <c r="E1756"/>
      <c r="F1756"/>
      <c r="G1756"/>
    </row>
    <row r="1757" spans="3:7" x14ac:dyDescent="0.3">
      <c r="C1757"/>
      <c r="D1757"/>
      <c r="E1757"/>
      <c r="F1757"/>
      <c r="G1757"/>
    </row>
    <row r="1758" spans="3:7" x14ac:dyDescent="0.3">
      <c r="C1758"/>
      <c r="D1758"/>
      <c r="E1758"/>
      <c r="F1758"/>
      <c r="G1758"/>
    </row>
    <row r="1759" spans="3:7" x14ac:dyDescent="0.3">
      <c r="C1759"/>
      <c r="D1759"/>
      <c r="E1759"/>
      <c r="F1759"/>
      <c r="G1759"/>
    </row>
    <row r="1760" spans="3:7" x14ac:dyDescent="0.3">
      <c r="C1760"/>
      <c r="D1760"/>
      <c r="E1760"/>
      <c r="F1760"/>
      <c r="G1760"/>
    </row>
    <row r="1761" spans="3:7" x14ac:dyDescent="0.3">
      <c r="C1761"/>
      <c r="D1761"/>
      <c r="E1761"/>
      <c r="F1761"/>
      <c r="G1761"/>
    </row>
    <row r="1762" spans="3:7" x14ac:dyDescent="0.3">
      <c r="C1762"/>
      <c r="D1762"/>
      <c r="E1762"/>
      <c r="F1762"/>
      <c r="G1762"/>
    </row>
    <row r="1763" spans="3:7" x14ac:dyDescent="0.3">
      <c r="C1763"/>
      <c r="D1763"/>
      <c r="E1763"/>
      <c r="F1763"/>
      <c r="G1763"/>
    </row>
    <row r="1764" spans="3:7" x14ac:dyDescent="0.3">
      <c r="C1764"/>
      <c r="D1764"/>
      <c r="E1764"/>
      <c r="F1764"/>
      <c r="G1764"/>
    </row>
    <row r="1765" spans="3:7" x14ac:dyDescent="0.3">
      <c r="C1765"/>
      <c r="D1765"/>
      <c r="E1765"/>
      <c r="F1765"/>
      <c r="G1765"/>
    </row>
    <row r="1766" spans="3:7" x14ac:dyDescent="0.3">
      <c r="C1766"/>
      <c r="D1766"/>
      <c r="E1766"/>
      <c r="F1766"/>
      <c r="G1766"/>
    </row>
    <row r="1767" spans="3:7" x14ac:dyDescent="0.3">
      <c r="C1767"/>
      <c r="D1767"/>
      <c r="E1767"/>
      <c r="F1767"/>
      <c r="G1767"/>
    </row>
    <row r="1768" spans="3:7" x14ac:dyDescent="0.3">
      <c r="C1768"/>
      <c r="D1768"/>
      <c r="E1768"/>
      <c r="F1768"/>
      <c r="G1768"/>
    </row>
    <row r="1769" spans="3:7" x14ac:dyDescent="0.3">
      <c r="C1769"/>
      <c r="D1769"/>
      <c r="E1769"/>
      <c r="F1769"/>
      <c r="G1769"/>
    </row>
    <row r="1770" spans="3:7" x14ac:dyDescent="0.3">
      <c r="C1770"/>
      <c r="D1770"/>
      <c r="E1770"/>
      <c r="F1770"/>
      <c r="G1770"/>
    </row>
    <row r="1771" spans="3:7" x14ac:dyDescent="0.3">
      <c r="C1771"/>
      <c r="D1771"/>
      <c r="E1771"/>
      <c r="F1771"/>
      <c r="G1771"/>
    </row>
    <row r="1772" spans="3:7" x14ac:dyDescent="0.3">
      <c r="C1772"/>
      <c r="D1772"/>
      <c r="E1772"/>
      <c r="F1772"/>
      <c r="G1772"/>
    </row>
    <row r="1773" spans="3:7" x14ac:dyDescent="0.3">
      <c r="C1773"/>
      <c r="D1773"/>
      <c r="E1773"/>
      <c r="F1773"/>
      <c r="G1773"/>
    </row>
    <row r="1774" spans="3:7" x14ac:dyDescent="0.3">
      <c r="C1774"/>
      <c r="D1774"/>
      <c r="E1774"/>
      <c r="F1774"/>
      <c r="G1774"/>
    </row>
    <row r="1775" spans="3:7" x14ac:dyDescent="0.3">
      <c r="C1775"/>
      <c r="D1775"/>
      <c r="E1775"/>
      <c r="F1775"/>
      <c r="G1775"/>
    </row>
    <row r="1776" spans="3:7" x14ac:dyDescent="0.3">
      <c r="C1776"/>
      <c r="D1776"/>
      <c r="E1776"/>
      <c r="F1776"/>
      <c r="G1776"/>
    </row>
    <row r="1777" spans="3:7" x14ac:dyDescent="0.3">
      <c r="C1777"/>
      <c r="D1777"/>
      <c r="E1777"/>
      <c r="F1777"/>
      <c r="G1777"/>
    </row>
    <row r="1778" spans="3:7" x14ac:dyDescent="0.3">
      <c r="C1778"/>
      <c r="D1778"/>
      <c r="E1778"/>
      <c r="F1778"/>
      <c r="G1778"/>
    </row>
    <row r="1779" spans="3:7" x14ac:dyDescent="0.3">
      <c r="C1779"/>
      <c r="D1779"/>
      <c r="E1779"/>
      <c r="F1779"/>
      <c r="G1779"/>
    </row>
    <row r="1780" spans="3:7" x14ac:dyDescent="0.3">
      <c r="C1780"/>
      <c r="D1780"/>
      <c r="E1780"/>
      <c r="F1780"/>
      <c r="G1780"/>
    </row>
    <row r="1781" spans="3:7" x14ac:dyDescent="0.3">
      <c r="C1781"/>
      <c r="D1781"/>
      <c r="E1781"/>
      <c r="F1781"/>
      <c r="G1781"/>
    </row>
    <row r="1782" spans="3:7" x14ac:dyDescent="0.3">
      <c r="C1782"/>
      <c r="D1782"/>
      <c r="E1782"/>
      <c r="F1782"/>
      <c r="G1782"/>
    </row>
    <row r="1783" spans="3:7" x14ac:dyDescent="0.3">
      <c r="C1783"/>
      <c r="D1783"/>
      <c r="E1783"/>
      <c r="F1783"/>
      <c r="G1783"/>
    </row>
    <row r="1784" spans="3:7" x14ac:dyDescent="0.3">
      <c r="C1784"/>
      <c r="D1784"/>
      <c r="E1784"/>
      <c r="F1784"/>
      <c r="G1784"/>
    </row>
    <row r="1785" spans="3:7" x14ac:dyDescent="0.3">
      <c r="C1785"/>
      <c r="D1785"/>
      <c r="E1785"/>
      <c r="F1785"/>
      <c r="G1785"/>
    </row>
    <row r="1786" spans="3:7" x14ac:dyDescent="0.3">
      <c r="C1786"/>
      <c r="D1786"/>
      <c r="E1786"/>
      <c r="F1786"/>
      <c r="G1786"/>
    </row>
    <row r="1787" spans="3:7" x14ac:dyDescent="0.3">
      <c r="C1787"/>
      <c r="D1787"/>
      <c r="E1787"/>
      <c r="F1787"/>
      <c r="G1787"/>
    </row>
    <row r="1788" spans="3:7" x14ac:dyDescent="0.3">
      <c r="C1788"/>
      <c r="D1788"/>
      <c r="E1788"/>
      <c r="F1788"/>
      <c r="G1788"/>
    </row>
    <row r="1789" spans="3:7" x14ac:dyDescent="0.3">
      <c r="C1789"/>
      <c r="D1789"/>
      <c r="E1789"/>
      <c r="F1789"/>
      <c r="G1789"/>
    </row>
    <row r="1790" spans="3:7" x14ac:dyDescent="0.3">
      <c r="C1790"/>
      <c r="D1790"/>
      <c r="E1790"/>
      <c r="F1790"/>
      <c r="G1790"/>
    </row>
    <row r="1791" spans="3:7" x14ac:dyDescent="0.3">
      <c r="C1791"/>
      <c r="D1791"/>
      <c r="E1791"/>
      <c r="F1791"/>
      <c r="G1791"/>
    </row>
    <row r="1792" spans="3:7" x14ac:dyDescent="0.3">
      <c r="C1792"/>
      <c r="D1792"/>
      <c r="E1792"/>
      <c r="F1792"/>
      <c r="G1792"/>
    </row>
    <row r="1793" spans="3:7" x14ac:dyDescent="0.3">
      <c r="C1793"/>
      <c r="D1793"/>
      <c r="E1793"/>
      <c r="F1793"/>
      <c r="G1793"/>
    </row>
    <row r="1794" spans="3:7" x14ac:dyDescent="0.3">
      <c r="C1794"/>
      <c r="D1794"/>
      <c r="E1794"/>
      <c r="F1794"/>
      <c r="G1794"/>
    </row>
    <row r="1795" spans="3:7" x14ac:dyDescent="0.3">
      <c r="C1795"/>
      <c r="D1795"/>
      <c r="E1795"/>
      <c r="F1795"/>
      <c r="G1795"/>
    </row>
    <row r="1796" spans="3:7" x14ac:dyDescent="0.3">
      <c r="C1796"/>
      <c r="D1796"/>
      <c r="E1796"/>
      <c r="F1796"/>
      <c r="G1796"/>
    </row>
    <row r="1797" spans="3:7" x14ac:dyDescent="0.3">
      <c r="C1797"/>
      <c r="D1797"/>
      <c r="E1797"/>
      <c r="F1797"/>
      <c r="G1797"/>
    </row>
    <row r="1798" spans="3:7" x14ac:dyDescent="0.3">
      <c r="C1798"/>
      <c r="D1798"/>
      <c r="E1798"/>
      <c r="F1798"/>
      <c r="G1798"/>
    </row>
    <row r="1799" spans="3:7" x14ac:dyDescent="0.3">
      <c r="C1799"/>
      <c r="D1799"/>
      <c r="E1799"/>
      <c r="F1799"/>
      <c r="G1799"/>
    </row>
    <row r="1800" spans="3:7" x14ac:dyDescent="0.3">
      <c r="C1800"/>
      <c r="D1800"/>
      <c r="E1800"/>
      <c r="F1800"/>
      <c r="G1800"/>
    </row>
    <row r="1801" spans="3:7" x14ac:dyDescent="0.3">
      <c r="C1801"/>
      <c r="D1801"/>
      <c r="E1801"/>
      <c r="F1801"/>
      <c r="G1801"/>
    </row>
    <row r="1802" spans="3:7" x14ac:dyDescent="0.3">
      <c r="C1802"/>
      <c r="D1802"/>
      <c r="E1802"/>
      <c r="F1802"/>
      <c r="G1802"/>
    </row>
    <row r="1803" spans="3:7" x14ac:dyDescent="0.3">
      <c r="C1803"/>
      <c r="D1803"/>
      <c r="E1803"/>
      <c r="F1803"/>
      <c r="G1803"/>
    </row>
    <row r="1804" spans="3:7" x14ac:dyDescent="0.3">
      <c r="C1804"/>
      <c r="D1804"/>
      <c r="E1804"/>
      <c r="F1804"/>
      <c r="G1804"/>
    </row>
    <row r="1805" spans="3:7" x14ac:dyDescent="0.3">
      <c r="C1805"/>
      <c r="D1805"/>
      <c r="E1805"/>
      <c r="F1805"/>
      <c r="G1805"/>
    </row>
    <row r="1806" spans="3:7" x14ac:dyDescent="0.3">
      <c r="C1806"/>
      <c r="D1806"/>
      <c r="E1806"/>
      <c r="F1806"/>
      <c r="G1806"/>
    </row>
    <row r="1807" spans="3:7" x14ac:dyDescent="0.3">
      <c r="C1807"/>
      <c r="D1807"/>
      <c r="E1807"/>
      <c r="F1807"/>
      <c r="G1807"/>
    </row>
    <row r="1808" spans="3:7" x14ac:dyDescent="0.3">
      <c r="C1808"/>
      <c r="D1808"/>
      <c r="E1808"/>
      <c r="F1808"/>
      <c r="G1808"/>
    </row>
    <row r="1809" spans="3:7" x14ac:dyDescent="0.3">
      <c r="C1809"/>
      <c r="D1809"/>
      <c r="E1809"/>
      <c r="F1809"/>
      <c r="G1809"/>
    </row>
    <row r="1810" spans="3:7" x14ac:dyDescent="0.3">
      <c r="C1810"/>
      <c r="D1810"/>
      <c r="E1810"/>
      <c r="F1810"/>
      <c r="G1810"/>
    </row>
    <row r="1811" spans="3:7" x14ac:dyDescent="0.3">
      <c r="C1811"/>
      <c r="D1811"/>
      <c r="E1811"/>
      <c r="F1811"/>
      <c r="G1811"/>
    </row>
    <row r="1812" spans="3:7" x14ac:dyDescent="0.3">
      <c r="C1812"/>
      <c r="D1812"/>
      <c r="E1812"/>
      <c r="F1812"/>
      <c r="G1812"/>
    </row>
    <row r="1813" spans="3:7" x14ac:dyDescent="0.3">
      <c r="C1813"/>
      <c r="D1813"/>
      <c r="E1813"/>
      <c r="F1813"/>
      <c r="G1813"/>
    </row>
    <row r="1814" spans="3:7" x14ac:dyDescent="0.3">
      <c r="C1814"/>
      <c r="D1814"/>
      <c r="E1814"/>
      <c r="F1814"/>
      <c r="G1814"/>
    </row>
    <row r="1815" spans="3:7" x14ac:dyDescent="0.3">
      <c r="C1815"/>
      <c r="D1815"/>
      <c r="E1815"/>
      <c r="F1815"/>
      <c r="G1815"/>
    </row>
    <row r="1816" spans="3:7" x14ac:dyDescent="0.3">
      <c r="C1816"/>
      <c r="D1816"/>
      <c r="E1816"/>
      <c r="F1816"/>
      <c r="G1816"/>
    </row>
    <row r="1817" spans="3:7" x14ac:dyDescent="0.3">
      <c r="C1817"/>
      <c r="D1817"/>
      <c r="E1817"/>
      <c r="F1817"/>
      <c r="G1817"/>
    </row>
    <row r="1818" spans="3:7" x14ac:dyDescent="0.3">
      <c r="C1818"/>
      <c r="D1818"/>
      <c r="E1818"/>
      <c r="F1818"/>
      <c r="G1818"/>
    </row>
    <row r="1819" spans="3:7" x14ac:dyDescent="0.3">
      <c r="C1819"/>
      <c r="D1819"/>
      <c r="E1819"/>
      <c r="F1819"/>
      <c r="G1819"/>
    </row>
    <row r="1820" spans="3:7" x14ac:dyDescent="0.3">
      <c r="C1820"/>
      <c r="D1820"/>
      <c r="E1820"/>
      <c r="F1820"/>
      <c r="G1820"/>
    </row>
    <row r="1821" spans="3:7" x14ac:dyDescent="0.3">
      <c r="C1821"/>
      <c r="D1821"/>
      <c r="E1821"/>
      <c r="F1821"/>
      <c r="G1821"/>
    </row>
    <row r="1822" spans="3:7" x14ac:dyDescent="0.3">
      <c r="C1822"/>
      <c r="D1822"/>
      <c r="E1822"/>
      <c r="F1822"/>
      <c r="G1822"/>
    </row>
    <row r="1823" spans="3:7" x14ac:dyDescent="0.3">
      <c r="C1823"/>
      <c r="D1823"/>
      <c r="E1823"/>
      <c r="F1823"/>
      <c r="G1823"/>
    </row>
    <row r="1824" spans="3:7" x14ac:dyDescent="0.3">
      <c r="C1824"/>
      <c r="D1824"/>
      <c r="E1824"/>
      <c r="F1824"/>
      <c r="G1824"/>
    </row>
    <row r="1825" spans="3:7" x14ac:dyDescent="0.3">
      <c r="C1825"/>
      <c r="D1825"/>
      <c r="E1825"/>
      <c r="F1825"/>
      <c r="G1825"/>
    </row>
    <row r="1826" spans="3:7" x14ac:dyDescent="0.3">
      <c r="C1826"/>
      <c r="D1826"/>
      <c r="E1826"/>
      <c r="F1826"/>
      <c r="G1826"/>
    </row>
    <row r="1827" spans="3:7" x14ac:dyDescent="0.3">
      <c r="C1827"/>
      <c r="D1827"/>
      <c r="E1827"/>
      <c r="F1827"/>
      <c r="G1827"/>
    </row>
    <row r="1828" spans="3:7" x14ac:dyDescent="0.3">
      <c r="C1828"/>
      <c r="D1828"/>
      <c r="E1828"/>
      <c r="F1828"/>
      <c r="G1828"/>
    </row>
    <row r="1829" spans="3:7" x14ac:dyDescent="0.3">
      <c r="C1829"/>
      <c r="D1829"/>
      <c r="E1829"/>
      <c r="F1829"/>
      <c r="G1829"/>
    </row>
    <row r="1830" spans="3:7" x14ac:dyDescent="0.3">
      <c r="C1830"/>
      <c r="D1830"/>
      <c r="E1830"/>
      <c r="F1830"/>
      <c r="G1830"/>
    </row>
    <row r="1831" spans="3:7" x14ac:dyDescent="0.3">
      <c r="C1831"/>
      <c r="D1831"/>
      <c r="E1831"/>
      <c r="F1831"/>
      <c r="G1831"/>
    </row>
    <row r="1832" spans="3:7" x14ac:dyDescent="0.3">
      <c r="C1832"/>
      <c r="D1832"/>
      <c r="E1832"/>
      <c r="F1832"/>
      <c r="G1832"/>
    </row>
    <row r="1833" spans="3:7" x14ac:dyDescent="0.3">
      <c r="C1833"/>
      <c r="D1833"/>
      <c r="E1833"/>
      <c r="F1833"/>
      <c r="G1833"/>
    </row>
    <row r="1834" spans="3:7" x14ac:dyDescent="0.3">
      <c r="C1834"/>
      <c r="D1834"/>
      <c r="E1834"/>
      <c r="F1834"/>
      <c r="G1834"/>
    </row>
    <row r="1835" spans="3:7" x14ac:dyDescent="0.3">
      <c r="C1835"/>
      <c r="D1835"/>
      <c r="E1835"/>
      <c r="F1835"/>
      <c r="G1835"/>
    </row>
    <row r="1836" spans="3:7" x14ac:dyDescent="0.3">
      <c r="C1836"/>
      <c r="D1836"/>
      <c r="E1836"/>
      <c r="F1836"/>
      <c r="G1836"/>
    </row>
    <row r="1837" spans="3:7" x14ac:dyDescent="0.3">
      <c r="C1837"/>
      <c r="D1837"/>
      <c r="E1837"/>
      <c r="F1837"/>
      <c r="G1837"/>
    </row>
  </sheetData>
  <mergeCells count="1">
    <mergeCell ref="P41:S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F439-9926-419A-8B11-DFBAC39C967E}">
  <dimension ref="A1:BB1241"/>
  <sheetViews>
    <sheetView topLeftCell="AF1" zoomScale="85" zoomScaleNormal="85" workbookViewId="0">
      <selection activeCell="AN40" sqref="AN40"/>
    </sheetView>
  </sheetViews>
  <sheetFormatPr defaultColWidth="8.88671875" defaultRowHeight="14.4" x14ac:dyDescent="0.3"/>
  <cols>
    <col min="1" max="1" width="14.33203125" style="1" bestFit="1" customWidth="1"/>
    <col min="2" max="5" width="8.88671875" style="1"/>
    <col min="6" max="6" width="16" style="1" customWidth="1"/>
    <col min="7" max="7" width="12.33203125" style="1" bestFit="1" customWidth="1"/>
    <col min="8" max="8" width="15.33203125" style="1" customWidth="1"/>
    <col min="9" max="14" width="8.88671875" style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3320312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/>
    <col min="32" max="32" width="15.6640625" style="1" customWidth="1"/>
    <col min="33" max="36" width="8.88671875" style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/>
    <col min="41" max="41" width="10.6640625" style="1" customWidth="1"/>
    <col min="42" max="42" width="8.88671875" style="1"/>
    <col min="43" max="43" width="19.5546875" style="1" bestFit="1" customWidth="1"/>
    <col min="44" max="44" width="8.88671875" style="1"/>
    <col min="45" max="45" width="14.44140625" style="1" customWidth="1"/>
    <col min="46" max="46" width="8.88671875" style="1"/>
    <col min="47" max="47" width="12.44140625" style="1" customWidth="1"/>
    <col min="48" max="49" width="12.44140625" style="1" bestFit="1" customWidth="1"/>
    <col min="50" max="16384" width="8.88671875" style="1"/>
  </cols>
  <sheetData>
    <row r="1" spans="1:54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54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54" x14ac:dyDescent="0.3">
      <c r="D3" s="2" t="s">
        <v>8</v>
      </c>
      <c r="E3" s="3">
        <v>391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54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54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2.2000000000000002</v>
      </c>
      <c r="L5" s="3">
        <f>K5/60</f>
        <v>3.6666666666666667E-2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</row>
    <row r="6" spans="1:54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6">
        <v>1</v>
      </c>
      <c r="P6" s="7">
        <f>AVERAGE(B24:B73)</f>
        <v>61.920545519999976</v>
      </c>
      <c r="Q6" s="8">
        <f>STDEV(B24:B73)</f>
        <v>3.8561945086135488E-2</v>
      </c>
      <c r="R6" s="9">
        <f>AVERAGE(C24:C73)</f>
        <v>62.728840639999987</v>
      </c>
      <c r="S6" s="10">
        <f>STDEV(C24:C73)</f>
        <v>3.9229190282164296E-2</v>
      </c>
      <c r="T6" s="11">
        <f>AVERAGE(D24:D73)</f>
        <v>63.634318519999979</v>
      </c>
      <c r="U6" s="12">
        <f>STDEV(D24:D73)</f>
        <v>3.6888332463370671E-2</v>
      </c>
      <c r="V6" s="13">
        <f>AVERAGE(E24:E73)</f>
        <v>53.675574080000018</v>
      </c>
      <c r="W6" s="14">
        <f>STDEV(E24:E73)</f>
        <v>4.0084746106748531E-2</v>
      </c>
      <c r="X6" s="15">
        <f>AVERAGE(F24:F73)</f>
        <v>27.114889160000004</v>
      </c>
      <c r="Y6" s="16">
        <f>STDEV(F24:F73)</f>
        <v>0.40477409388041208</v>
      </c>
      <c r="Z6" s="17">
        <f>AVERAGE(G24:G73)</f>
        <v>19.492230679999992</v>
      </c>
      <c r="AA6" s="18">
        <f>AVERAGE(H24:H73)</f>
        <v>20.054323479999997</v>
      </c>
      <c r="AB6" s="6">
        <f>(T6-R6)/(R6-P6)</f>
        <v>1.1202317787097118</v>
      </c>
      <c r="AC6" s="6">
        <f>(3*P6- 4*R6 +T6)/(2*0.005)</f>
        <v>-151.94074800000266</v>
      </c>
      <c r="AD6" s="6">
        <f>-(E$3)*AC6*(1/10000)</f>
        <v>5.9408832468001043</v>
      </c>
      <c r="AE6" s="6">
        <f>(V6)-((0.006*AD6)/(0.0001*391))</f>
        <v>52.763929592000004</v>
      </c>
      <c r="AF6" s="19">
        <v>91</v>
      </c>
      <c r="AG6" s="19">
        <v>42</v>
      </c>
      <c r="AH6" s="6">
        <f>AG6-X6</f>
        <v>14.885110839999996</v>
      </c>
      <c r="AI6" s="6">
        <f>AE6-AG6</f>
        <v>10.763929592000004</v>
      </c>
      <c r="AJ6" s="6">
        <f>ABS(AD6*10/AI6)</f>
        <v>5.5192513068977185</v>
      </c>
      <c r="AK6" s="6">
        <f>(AE6-AG6)+(AG6-5)</f>
        <v>47.763929592000004</v>
      </c>
      <c r="AL6" s="6">
        <f>AD6*3.45*3.2</f>
        <v>65.587351044673156</v>
      </c>
      <c r="AM6" s="6">
        <f>AK6/AL6</f>
        <v>0.72824910338987192</v>
      </c>
      <c r="AN6" s="6">
        <f>AA6-Z6</f>
        <v>0.56209280000000561</v>
      </c>
      <c r="AO6" s="6">
        <f>L$5</f>
        <v>3.6666666666666667E-2</v>
      </c>
      <c r="AP6" s="6">
        <f>AO6*AN6*K$8</f>
        <v>86.294360298667527</v>
      </c>
      <c r="AQ6" s="6">
        <f>SQRT((($E$2^2)/($E$3^2))+(($E$4^2)/($E$1^2))+(9*($E$5^2)/(AR6^2))+(16*($E$6^2)/(AR6^2))+(($E$7^2)/(AR6^2)))</f>
        <v>0.15565705081607845</v>
      </c>
      <c r="AR6" s="6">
        <f>3*P6- 4*R6 +T6</f>
        <v>-1.5194074800000266</v>
      </c>
      <c r="AS6" s="6">
        <f>SQRT((($E$2^2)/(E$3^2))+(($E$4^2)/($E$1^2))+(9*(Q6^2)/(AR6^2))+(16*(S6^2)/(AR6^2))+((U6^2)/(AR6^2)))</f>
        <v>0.13261253204558668</v>
      </c>
      <c r="AT6" s="6">
        <f>SQRT(AS6^2 + AQ6^2)</f>
        <v>0.20448765518803569</v>
      </c>
      <c r="AU6" s="6">
        <f>AT6*100</f>
        <v>20.448765518803569</v>
      </c>
      <c r="AV6" s="6">
        <f>AT6*AD6</f>
        <v>1.2148372848840376</v>
      </c>
      <c r="AW6" s="6">
        <f t="shared" ref="AW6:AW23" si="0">AT6*AL6</f>
        <v>13.411803625119777</v>
      </c>
      <c r="AX6" s="20">
        <f xml:space="preserve"> (AE6-X6)/ AL6</f>
        <v>0.39106687529627182</v>
      </c>
      <c r="AY6" s="20">
        <f>(X6-(AVERAGE(Z6:AA6)))/AL6</f>
        <v>0.1119364018071024</v>
      </c>
      <c r="AZ6" s="20">
        <f xml:space="preserve"> SUM(AX6:AY6)</f>
        <v>0.50300327710337422</v>
      </c>
      <c r="BA6" s="1">
        <f>(AE6-X6)/AL6</f>
        <v>0.39106687529627182</v>
      </c>
      <c r="BB6" s="1">
        <f>AZ6+BA6</f>
        <v>0.89407015239964605</v>
      </c>
    </row>
    <row r="7" spans="1:54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6">
        <v>2</v>
      </c>
      <c r="P7" s="7">
        <f>AVERAGE(B74:B123)</f>
        <v>74.177839359999979</v>
      </c>
      <c r="Q7" s="8">
        <f>STDEV(B74:B123)</f>
        <v>1.6839799188972208E-2</v>
      </c>
      <c r="R7" s="9">
        <f>AVERAGE(C74:C123)</f>
        <v>75.343312960000006</v>
      </c>
      <c r="S7" s="10">
        <f>STDEV(C74:C123)</f>
        <v>1.3463179169323665E-2</v>
      </c>
      <c r="T7" s="11">
        <f>AVERAGE(D74:D123)</f>
        <v>76.676827320000015</v>
      </c>
      <c r="U7" s="12">
        <f>STDEV(D74:D123)</f>
        <v>1.2513634251538158E-2</v>
      </c>
      <c r="V7" s="13">
        <f>AVERAGE(E74:E123)</f>
        <v>62.582982199999975</v>
      </c>
      <c r="W7" s="14">
        <f>STDEV(E74:E123)</f>
        <v>3.0737190968809915E-2</v>
      </c>
      <c r="X7" s="15">
        <f>AVERAGE(F74:F123)</f>
        <v>27.806757119999979</v>
      </c>
      <c r="Y7" s="16">
        <f>STDEV(F74:F123)</f>
        <v>0.30626390958716943</v>
      </c>
      <c r="Z7" s="17">
        <f>AVERAGE(G74:G123)</f>
        <v>19.512303880000001</v>
      </c>
      <c r="AA7" s="18">
        <f>AVERAGE(H74:H123)</f>
        <v>20.38317232</v>
      </c>
      <c r="AB7" s="6">
        <f t="shared" ref="AB7:AB23" si="1">(T7-R7)/(R7-P7)</f>
        <v>1.1441823821663386</v>
      </c>
      <c r="AC7" s="6">
        <f>(3*P7- 4*R7 +T7)/(2*0.005)</f>
        <v>-216.29064400000715</v>
      </c>
      <c r="AD7" s="6">
        <f t="shared" ref="AD7:AD23" si="2">-(E$3)*AC7*(1/10000)</f>
        <v>8.4569641804002789</v>
      </c>
      <c r="AE7" s="6">
        <f>(V7)-((0.006*AD7)/(0.0001*391))</f>
        <v>61.285238335999935</v>
      </c>
      <c r="AF7" s="19">
        <v>91</v>
      </c>
      <c r="AG7" s="19">
        <v>42</v>
      </c>
      <c r="AH7" s="6">
        <f t="shared" ref="AH7:AH22" si="3">AG7-X7</f>
        <v>14.193242880000021</v>
      </c>
      <c r="AI7" s="6">
        <f t="shared" ref="AI7:AI22" si="4">AE7-AG7</f>
        <v>19.285238335999935</v>
      </c>
      <c r="AJ7" s="6">
        <f t="shared" ref="AJ7:AJ23" si="5">ABS(AD7*10/AI7)</f>
        <v>4.385200759802685</v>
      </c>
      <c r="AK7" s="6">
        <f t="shared" ref="AK7:AK22" si="6">(AE7-AG7)+(AG7-5)</f>
        <v>56.285238335999935</v>
      </c>
      <c r="AL7" s="6">
        <f t="shared" ref="AL7:AL23" si="7">AD7*3.45*3.2</f>
        <v>93.364884551619085</v>
      </c>
      <c r="AM7" s="6">
        <f t="shared" ref="AM7:AM23" si="8">AK7/AL7</f>
        <v>0.60285233154100082</v>
      </c>
      <c r="AN7" s="6">
        <f t="shared" ref="AN7:AN23" si="9">AA7-Z7</f>
        <v>0.87086843999999886</v>
      </c>
      <c r="AO7" s="6">
        <f t="shared" ref="AO7:AO23" si="10">L$5</f>
        <v>3.6666666666666667E-2</v>
      </c>
      <c r="AP7" s="6">
        <f t="shared" ref="AP7:AP23" si="11">AO7*AN7*K$8</f>
        <v>133.69862580359981</v>
      </c>
      <c r="AQ7" s="6">
        <f t="shared" ref="AQ7:AQ23" si="12">SQRT((($E$2^2)/($E$3^2))+(($E$4^2)/($E$1^2))+(9*($E$5^2)/(AR7^2))+(16*($E$6^2)/(AR7^2))+(($E$7^2)/(AR7^2)))</f>
        <v>0.11057608914557217</v>
      </c>
      <c r="AR7" s="6">
        <f t="shared" ref="AR7:AR23" si="13">3*P7- 4*R7 +T7</f>
        <v>-2.1629064400000715</v>
      </c>
      <c r="AS7" s="6">
        <f t="shared" ref="AS7:AS23" si="14">SQRT((($E$2^2)/(E$3^2))+(($E$4^2)/($E$1^2))+(9*(Q7^2)/(AR7^2))+(16*(S7^2)/(AR7^2))+((U7^2)/(AR7^2)))</f>
        <v>4.1626678879750793E-2</v>
      </c>
      <c r="AT7" s="6">
        <f t="shared" ref="AT7:AT23" si="15">SQRT(AS7^2 + AQ7^2)</f>
        <v>0.11815181710531335</v>
      </c>
      <c r="AU7" s="6">
        <f t="shared" ref="AU7:AU23" si="16">AT7*100</f>
        <v>11.815181710531334</v>
      </c>
      <c r="AV7" s="6">
        <f t="shared" ref="AV7:AV23" si="17">AT7*AD7</f>
        <v>0.99920568510883989</v>
      </c>
      <c r="AW7" s="6">
        <f t="shared" si="0"/>
        <v>11.031230763601593</v>
      </c>
      <c r="AX7" s="20">
        <f t="shared" ref="AX7:AX30" si="18" xml:space="preserve"> (AE7-X7)/ AL7</f>
        <v>0.35857679658448621</v>
      </c>
      <c r="AY7" s="20">
        <f t="shared" ref="AY7:AY30" si="19">(X7-(AVERAGE(Z7:AA7)))/AL7</f>
        <v>8.4175319851168703E-2</v>
      </c>
      <c r="AZ7" s="20">
        <f t="shared" ref="AZ7:AZ30" si="20" xml:space="preserve"> SUM(AX7:AY7)</f>
        <v>0.44275211643565493</v>
      </c>
      <c r="BA7" s="1">
        <f t="shared" ref="BA7:BA23" si="21">(AE7-X7)/AL7</f>
        <v>0.35857679658448621</v>
      </c>
      <c r="BB7" s="1">
        <f t="shared" ref="BB7:BB23" si="22">AZ7+BA7</f>
        <v>0.80132891302014109</v>
      </c>
    </row>
    <row r="8" spans="1:54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6">
        <v>3</v>
      </c>
      <c r="P8" s="7">
        <f>AVERAGE(B124:B173)</f>
        <v>81.802279539999986</v>
      </c>
      <c r="Q8" s="8">
        <f>STDEV(B124:B173)</f>
        <v>9.1796810903257156E-2</v>
      </c>
      <c r="R8" s="9">
        <f>AVERAGE(C124:C173)</f>
        <v>83.479316679999997</v>
      </c>
      <c r="S8" s="10">
        <f>STDEV(C124:C173)</f>
        <v>6.1726231087793369E-2</v>
      </c>
      <c r="T8" s="11">
        <f>AVERAGE(D124:D173)</f>
        <v>85.356817040000024</v>
      </c>
      <c r="U8" s="12">
        <f>STDEV(D124:D173)</f>
        <v>5.3959007184766941E-2</v>
      </c>
      <c r="V8" s="13">
        <f>AVERAGE(E124:E173)</f>
        <v>66.581294940000021</v>
      </c>
      <c r="W8" s="14">
        <f>STDEV(E124:E173)</f>
        <v>0.25995196301015461</v>
      </c>
      <c r="X8" s="15">
        <f>AVERAGE(F124:F173)</f>
        <v>30.660263739999991</v>
      </c>
      <c r="Y8" s="16">
        <f>STDEV(F124:F173)</f>
        <v>0.43896274054517564</v>
      </c>
      <c r="Z8" s="17">
        <f>AVERAGE(G124:G173)</f>
        <v>19.560352620000003</v>
      </c>
      <c r="AA8" s="18">
        <f>AVERAGE(H124:H173)</f>
        <v>20.770755420000011</v>
      </c>
      <c r="AB8" s="6">
        <f t="shared" si="1"/>
        <v>1.1195341565303771</v>
      </c>
      <c r="AC8" s="6">
        <f t="shared" ref="AC8:AC23" si="23">(3*P8- 4*R8 +T8)/(2*0.005)</f>
        <v>-315.36110599999887</v>
      </c>
      <c r="AD8" s="6">
        <f t="shared" si="2"/>
        <v>12.330619244599957</v>
      </c>
      <c r="AE8" s="6">
        <f t="shared" ref="AE8:AE23" si="24">(V8)-((0.006*AD8)/(0.0001*391))</f>
        <v>64.689128304000022</v>
      </c>
      <c r="AF8" s="19">
        <v>85</v>
      </c>
      <c r="AG8" s="19">
        <v>54</v>
      </c>
      <c r="AH8" s="6">
        <f t="shared" si="3"/>
        <v>23.339736260000009</v>
      </c>
      <c r="AI8" s="6">
        <f t="shared" si="4"/>
        <v>10.689128304000022</v>
      </c>
      <c r="AJ8" s="6">
        <f t="shared" si="5"/>
        <v>11.535663988602014</v>
      </c>
      <c r="AK8" s="6">
        <f t="shared" si="6"/>
        <v>59.689128304000022</v>
      </c>
      <c r="AL8" s="6">
        <f t="shared" si="7"/>
        <v>136.13003646038354</v>
      </c>
      <c r="AM8" s="6">
        <f t="shared" si="8"/>
        <v>0.4384714046658667</v>
      </c>
      <c r="AN8" s="6">
        <f t="shared" si="9"/>
        <v>1.2104028000000078</v>
      </c>
      <c r="AO8" s="6">
        <f t="shared" si="10"/>
        <v>3.6666666666666667E-2</v>
      </c>
      <c r="AP8" s="6">
        <f t="shared" si="11"/>
        <v>185.8250725320012</v>
      </c>
      <c r="AQ8" s="6">
        <f t="shared" si="12"/>
        <v>7.7680273425890789E-2</v>
      </c>
      <c r="AR8" s="6">
        <f t="shared" si="13"/>
        <v>-3.1536110599999887</v>
      </c>
      <c r="AS8" s="6">
        <f t="shared" si="14"/>
        <v>0.12075624535004324</v>
      </c>
      <c r="AT8" s="6">
        <f t="shared" si="15"/>
        <v>0.14358375838012111</v>
      </c>
      <c r="AU8" s="6">
        <f t="shared" si="16"/>
        <v>14.35837583801211</v>
      </c>
      <c r="AV8" s="6">
        <f t="shared" si="17"/>
        <v>1.7704766542939117</v>
      </c>
      <c r="AW8" s="6">
        <f t="shared" si="0"/>
        <v>19.546062263404785</v>
      </c>
      <c r="AX8" s="20">
        <f t="shared" si="18"/>
        <v>0.24997322742878342</v>
      </c>
      <c r="AY8" s="20">
        <f t="shared" si="19"/>
        <v>7.709327047050446E-2</v>
      </c>
      <c r="AZ8" s="20">
        <f t="shared" si="20"/>
        <v>0.32706649789928788</v>
      </c>
      <c r="BA8" s="1">
        <f t="shared" si="21"/>
        <v>0.24997322742878342</v>
      </c>
      <c r="BB8" s="1">
        <f t="shared" si="22"/>
        <v>0.57703972532807124</v>
      </c>
    </row>
    <row r="9" spans="1:54" x14ac:dyDescent="0.25">
      <c r="O9" s="6">
        <v>4</v>
      </c>
      <c r="P9" s="7">
        <f>AVERAGE(B174:B223)</f>
        <v>89.277402320000022</v>
      </c>
      <c r="Q9" s="8">
        <f>STDEV(B174:B223)</f>
        <v>7.6698233321706819E-2</v>
      </c>
      <c r="R9" s="9">
        <f>AVERAGE(C174:C223)</f>
        <v>91.704857600000011</v>
      </c>
      <c r="S9" s="10">
        <f>STDEV(C174:C223)</f>
        <v>3.6859347524317181E-2</v>
      </c>
      <c r="T9" s="11">
        <f>AVERAGE(D174:D223)</f>
        <v>94.230841560000002</v>
      </c>
      <c r="U9" s="12">
        <f>STDEV(D174:D223)</f>
        <v>3.273497671446287E-2</v>
      </c>
      <c r="V9" s="13">
        <f>AVERAGE(E174:E223)</f>
        <v>69.49074924</v>
      </c>
      <c r="W9" s="14">
        <f>STDEV(E174:E223)</f>
        <v>0.28131098901513818</v>
      </c>
      <c r="X9" s="15">
        <f>AVERAGE(F174:F223)</f>
        <v>35.968252280000009</v>
      </c>
      <c r="Y9" s="16">
        <f>STDEV(F174:F223)</f>
        <v>0.22370831534735686</v>
      </c>
      <c r="Z9" s="17">
        <f>AVERAGE(G174:G223)</f>
        <v>19.636323920000006</v>
      </c>
      <c r="AA9" s="18">
        <f>AVERAGE(H174:H223)</f>
        <v>21.285859840000004</v>
      </c>
      <c r="AB9" s="6">
        <f t="shared" si="1"/>
        <v>1.0405892873956473</v>
      </c>
      <c r="AC9" s="6">
        <f t="shared" si="23"/>
        <v>-475.6381879999978</v>
      </c>
      <c r="AD9" s="6">
        <f t="shared" si="2"/>
        <v>18.597453150799915</v>
      </c>
      <c r="AE9" s="6">
        <f t="shared" si="24"/>
        <v>66.636920112000013</v>
      </c>
      <c r="AF9" s="19">
        <v>85</v>
      </c>
      <c r="AG9" s="19">
        <v>54</v>
      </c>
      <c r="AH9" s="6">
        <f t="shared" si="3"/>
        <v>18.031747719999991</v>
      </c>
      <c r="AI9" s="6">
        <f t="shared" si="4"/>
        <v>12.636920112000013</v>
      </c>
      <c r="AJ9" s="6">
        <f t="shared" si="5"/>
        <v>14.716760876837213</v>
      </c>
      <c r="AK9" s="6">
        <f t="shared" si="6"/>
        <v>61.636920112000013</v>
      </c>
      <c r="AL9" s="6">
        <f t="shared" si="7"/>
        <v>205.31588278483105</v>
      </c>
      <c r="AM9" s="6">
        <f t="shared" si="8"/>
        <v>0.3002053191208538</v>
      </c>
      <c r="AN9" s="6">
        <f t="shared" si="9"/>
        <v>1.6495359199999982</v>
      </c>
      <c r="AO9" s="6">
        <f t="shared" si="10"/>
        <v>3.6666666666666667E-2</v>
      </c>
      <c r="AP9" s="6">
        <f t="shared" si="11"/>
        <v>253.24225289146639</v>
      </c>
      <c r="AQ9" s="6">
        <f t="shared" si="12"/>
        <v>5.4330735177572864E-2</v>
      </c>
      <c r="AR9" s="6">
        <f t="shared" si="13"/>
        <v>-4.756381879999978</v>
      </c>
      <c r="AS9" s="6">
        <f t="shared" si="14"/>
        <v>6.230803205570859E-2</v>
      </c>
      <c r="AT9" s="6">
        <f t="shared" si="15"/>
        <v>8.2668734377579309E-2</v>
      </c>
      <c r="AU9" s="6">
        <f t="shared" si="16"/>
        <v>8.2668734377579316</v>
      </c>
      <c r="AV9" s="6">
        <f t="shared" si="17"/>
        <v>1.5374279146229535</v>
      </c>
      <c r="AW9" s="6">
        <f t="shared" si="0"/>
        <v>16.973204177437406</v>
      </c>
      <c r="AX9" s="20">
        <f t="shared" si="18"/>
        <v>0.1493730899724911</v>
      </c>
      <c r="AY9" s="20">
        <f t="shared" si="19"/>
        <v>7.5528303946418754E-2</v>
      </c>
      <c r="AZ9" s="20">
        <f t="shared" si="20"/>
        <v>0.22490139391890984</v>
      </c>
      <c r="BA9" s="1">
        <f t="shared" si="21"/>
        <v>0.1493730899724911</v>
      </c>
      <c r="BB9" s="1">
        <f t="shared" si="22"/>
        <v>0.37427448389140094</v>
      </c>
    </row>
    <row r="10" spans="1:54" x14ac:dyDescent="0.25">
      <c r="O10" s="6">
        <v>5</v>
      </c>
      <c r="P10" s="7">
        <f>AVERAGE(B224:B273)</f>
        <v>98.118086559999981</v>
      </c>
      <c r="Q10" s="8">
        <f>STDEV(B224:B273)</f>
        <v>4.1372352814339729E-2</v>
      </c>
      <c r="R10" s="9">
        <f>AVERAGE(C224:C273)</f>
        <v>101.36034184</v>
      </c>
      <c r="S10" s="10">
        <f>STDEV(C224:C273)</f>
        <v>2.9301962554151278E-2</v>
      </c>
      <c r="T10" s="11">
        <f>AVERAGE(D224:D273)</f>
        <v>104.71762804000005</v>
      </c>
      <c r="U10" s="12">
        <f>STDEV(D224:D273)</f>
        <v>2.4427853224997974E-2</v>
      </c>
      <c r="V10" s="13">
        <f>AVERAGE(E224:E273)</f>
        <v>72.902793000000003</v>
      </c>
      <c r="W10" s="14">
        <f>STDEV(E224:E273)</f>
        <v>0.1876722982076218</v>
      </c>
      <c r="X10" s="15">
        <f>AVERAGE(F224:F273)</f>
        <v>41.62325812000001</v>
      </c>
      <c r="Y10" s="16">
        <f>STDEV(F224:F273)</f>
        <v>0.50671091065663343</v>
      </c>
      <c r="Z10" s="17">
        <f>AVERAGE(G224:G273)</f>
        <v>19.710237839999994</v>
      </c>
      <c r="AA10" s="18">
        <f>AVERAGE(H224:H273)</f>
        <v>21.901710720000004</v>
      </c>
      <c r="AB10" s="6">
        <f t="shared" si="1"/>
        <v>1.0354786745848163</v>
      </c>
      <c r="AC10" s="6">
        <f t="shared" si="23"/>
        <v>-636.94796400000371</v>
      </c>
      <c r="AD10" s="6">
        <f t="shared" si="2"/>
        <v>24.904665392400144</v>
      </c>
      <c r="AE10" s="6">
        <f t="shared" si="24"/>
        <v>69.081105215999983</v>
      </c>
      <c r="AF10" s="19">
        <v>85</v>
      </c>
      <c r="AG10" s="19">
        <v>54</v>
      </c>
      <c r="AH10" s="6">
        <f t="shared" si="3"/>
        <v>12.37674187999999</v>
      </c>
      <c r="AI10" s="6">
        <f t="shared" si="4"/>
        <v>15.081105215999983</v>
      </c>
      <c r="AJ10" s="6">
        <f t="shared" si="5"/>
        <v>16.513819800141743</v>
      </c>
      <c r="AK10" s="6">
        <f t="shared" si="6"/>
        <v>64.081105215999983</v>
      </c>
      <c r="AL10" s="6">
        <f t="shared" si="7"/>
        <v>274.94750593209761</v>
      </c>
      <c r="AM10" s="6">
        <f t="shared" si="8"/>
        <v>0.23306669030787924</v>
      </c>
      <c r="AN10" s="6">
        <f t="shared" si="9"/>
        <v>2.1914728800000098</v>
      </c>
      <c r="AO10" s="6">
        <f t="shared" si="10"/>
        <v>3.6666666666666667E-2</v>
      </c>
      <c r="AP10" s="6">
        <f t="shared" si="11"/>
        <v>336.44222144720152</v>
      </c>
      <c r="AQ10" s="6">
        <f t="shared" si="12"/>
        <v>4.3384030017449872E-2</v>
      </c>
      <c r="AR10" s="6">
        <f t="shared" si="13"/>
        <v>-6.3694796400000371</v>
      </c>
      <c r="AS10" s="6">
        <f t="shared" si="14"/>
        <v>3.5592966165587034E-2</v>
      </c>
      <c r="AT10" s="6">
        <f t="shared" si="15"/>
        <v>5.6116248101771869E-2</v>
      </c>
      <c r="AU10" s="6">
        <f t="shared" si="16"/>
        <v>5.6116248101771866</v>
      </c>
      <c r="AV10" s="6">
        <f t="shared" si="17"/>
        <v>1.3975563820515382</v>
      </c>
      <c r="AW10" s="6">
        <f t="shared" si="0"/>
        <v>15.429022457848982</v>
      </c>
      <c r="AX10" s="20">
        <f t="shared" si="18"/>
        <v>9.9865779843738969E-2</v>
      </c>
      <c r="AY10" s="20">
        <f t="shared" si="19"/>
        <v>7.5713666757686995E-2</v>
      </c>
      <c r="AZ10" s="20">
        <f t="shared" si="20"/>
        <v>0.17557944660142596</v>
      </c>
      <c r="BA10" s="1">
        <f t="shared" si="21"/>
        <v>9.9865779843738969E-2</v>
      </c>
      <c r="BB10" s="1">
        <f t="shared" si="22"/>
        <v>0.27544522644516495</v>
      </c>
    </row>
    <row r="11" spans="1:54" x14ac:dyDescent="0.25">
      <c r="O11" s="6">
        <v>6</v>
      </c>
      <c r="P11" s="7">
        <f>AVERAGE(B274:B323)</f>
        <v>107.19197534000003</v>
      </c>
      <c r="Q11" s="8">
        <f>STDEV(B274:B323)</f>
        <v>8.692927190247482E-2</v>
      </c>
      <c r="R11" s="9">
        <f>AVERAGE(C274:C323)</f>
        <v>111.34084759999995</v>
      </c>
      <c r="S11" s="10">
        <f>STDEV(C274:C323)</f>
        <v>6.1580718033077027E-2</v>
      </c>
      <c r="T11" s="11">
        <f>AVERAGE(D274:D323)</f>
        <v>115.56585967999996</v>
      </c>
      <c r="U11" s="12">
        <f>STDEV(D274:D323)</f>
        <v>6.6023956467406678E-2</v>
      </c>
      <c r="V11" s="13">
        <f>AVERAGE(E274:E323)</f>
        <v>76.052516500000024</v>
      </c>
      <c r="W11" s="14">
        <f>STDEV(E274:E323)</f>
        <v>0.18860568996840618</v>
      </c>
      <c r="X11" s="15">
        <f>AVERAGE(F274:F323)</f>
        <v>43.688004459999995</v>
      </c>
      <c r="Y11" s="16">
        <f>STDEV(F274:F323)</f>
        <v>0.52980127074235317</v>
      </c>
      <c r="Z11" s="17">
        <f>AVERAGE(G274:G323)</f>
        <v>19.718797460000008</v>
      </c>
      <c r="AA11" s="18">
        <f>AVERAGE(H274:H323)</f>
        <v>22.439494979999996</v>
      </c>
      <c r="AB11" s="6">
        <f t="shared" si="1"/>
        <v>1.0183519316162546</v>
      </c>
      <c r="AC11" s="6">
        <f t="shared" si="23"/>
        <v>-822.16046999997161</v>
      </c>
      <c r="AD11" s="6">
        <f t="shared" si="2"/>
        <v>32.146474376998889</v>
      </c>
      <c r="AE11" s="6">
        <f t="shared" si="24"/>
        <v>71.119553680000195</v>
      </c>
      <c r="AF11" s="19">
        <v>81</v>
      </c>
      <c r="AG11" s="19">
        <v>57</v>
      </c>
      <c r="AH11" s="6">
        <f t="shared" si="3"/>
        <v>13.311995540000005</v>
      </c>
      <c r="AI11" s="6">
        <f t="shared" si="4"/>
        <v>14.119553680000195</v>
      </c>
      <c r="AJ11" s="6">
        <f t="shared" si="5"/>
        <v>22.767344567366273</v>
      </c>
      <c r="AK11" s="6">
        <f t="shared" si="6"/>
        <v>66.119553680000195</v>
      </c>
      <c r="AL11" s="6">
        <f t="shared" si="7"/>
        <v>354.89707712206774</v>
      </c>
      <c r="AM11" s="6">
        <f t="shared" si="8"/>
        <v>0.1863062784742468</v>
      </c>
      <c r="AN11" s="6">
        <f t="shared" si="9"/>
        <v>2.7206975199999874</v>
      </c>
      <c r="AO11" s="6">
        <f t="shared" si="10"/>
        <v>3.6666666666666667E-2</v>
      </c>
      <c r="AP11" s="6">
        <f t="shared" si="11"/>
        <v>417.6905522621314</v>
      </c>
      <c r="AQ11" s="6">
        <f t="shared" si="12"/>
        <v>3.6648346279043793E-2</v>
      </c>
      <c r="AR11" s="6">
        <f t="shared" si="13"/>
        <v>-8.2216046999997161</v>
      </c>
      <c r="AS11" s="6">
        <f t="shared" si="14"/>
        <v>5.0020877891907671E-2</v>
      </c>
      <c r="AT11" s="6">
        <f t="shared" si="15"/>
        <v>6.2009592081111453E-2</v>
      </c>
      <c r="AU11" s="6">
        <f t="shared" si="16"/>
        <v>6.2009592081111453</v>
      </c>
      <c r="AV11" s="6">
        <f t="shared" si="17"/>
        <v>1.9933897629636026</v>
      </c>
      <c r="AW11" s="6">
        <f t="shared" si="0"/>
        <v>22.007022983118173</v>
      </c>
      <c r="AX11" s="20">
        <f t="shared" si="18"/>
        <v>7.7294379098436616E-2</v>
      </c>
      <c r="AY11" s="20">
        <f t="shared" si="19"/>
        <v>6.3705394316965924E-2</v>
      </c>
      <c r="AZ11" s="20">
        <f t="shared" si="20"/>
        <v>0.14099977341540254</v>
      </c>
      <c r="BA11" s="1">
        <f t="shared" si="21"/>
        <v>7.7294379098436616E-2</v>
      </c>
      <c r="BB11" s="1">
        <f t="shared" si="22"/>
        <v>0.21829415251383916</v>
      </c>
    </row>
    <row r="12" spans="1:54" x14ac:dyDescent="0.25">
      <c r="O12" s="6">
        <v>7</v>
      </c>
      <c r="P12" s="7">
        <f>AVERAGE(B324:B373)</f>
        <v>116.52800168000002</v>
      </c>
      <c r="Q12" s="8">
        <f>STDEV(B324:B373)</f>
        <v>3.7376225592867782E-2</v>
      </c>
      <c r="R12" s="9">
        <f>AVERAGE(C324:C373)</f>
        <v>121.60017204000003</v>
      </c>
      <c r="S12" s="10">
        <f>STDEV(C324:C373)</f>
        <v>4.6057525581960537E-2</v>
      </c>
      <c r="T12" s="11">
        <f>AVERAGE(D324:D373)</f>
        <v>126.71449723999996</v>
      </c>
      <c r="U12" s="12">
        <f>STDEV(D324:D373)</f>
        <v>5.0843558764699918E-2</v>
      </c>
      <c r="V12" s="13">
        <f>AVERAGE(E324:E373)</f>
        <v>79.585391040000033</v>
      </c>
      <c r="W12" s="14">
        <f>STDEV(E324:E373)</f>
        <v>0.1137621162689872</v>
      </c>
      <c r="X12" s="15">
        <f>AVERAGE(F324:F373)</f>
        <v>46.346604880000015</v>
      </c>
      <c r="Y12" s="16">
        <f>STDEV(F324:F373)</f>
        <v>0.81237484478248811</v>
      </c>
      <c r="Z12" s="17">
        <f>AVERAGE(G324:G373)</f>
        <v>19.635389959999998</v>
      </c>
      <c r="AA12" s="18">
        <f>AVERAGE(H324:H373)</f>
        <v>22.926243839999998</v>
      </c>
      <c r="AB12" s="6">
        <f t="shared" si="1"/>
        <v>1.0083110063361338</v>
      </c>
      <c r="AC12" s="6">
        <f t="shared" si="23"/>
        <v>-1010.2185880000093</v>
      </c>
      <c r="AD12" s="6">
        <f t="shared" si="2"/>
        <v>39.499546790800359</v>
      </c>
      <c r="AE12" s="6">
        <f t="shared" si="24"/>
        <v>73.524079511999972</v>
      </c>
      <c r="AF12" s="19">
        <v>81</v>
      </c>
      <c r="AG12" s="19">
        <v>57</v>
      </c>
      <c r="AH12" s="6">
        <f t="shared" si="3"/>
        <v>10.653395119999985</v>
      </c>
      <c r="AI12" s="6">
        <f t="shared" si="4"/>
        <v>16.524079511999972</v>
      </c>
      <c r="AJ12" s="6">
        <f t="shared" si="5"/>
        <v>23.904234279504252</v>
      </c>
      <c r="AK12" s="6">
        <f t="shared" si="6"/>
        <v>68.524079511999972</v>
      </c>
      <c r="AL12" s="6">
        <f t="shared" si="7"/>
        <v>436.07499657043604</v>
      </c>
      <c r="AM12" s="6">
        <f t="shared" si="8"/>
        <v>0.15713829054845105</v>
      </c>
      <c r="AN12" s="6">
        <f t="shared" si="9"/>
        <v>3.2908538800000002</v>
      </c>
      <c r="AO12" s="6">
        <f t="shared" si="10"/>
        <v>3.6666666666666667E-2</v>
      </c>
      <c r="AP12" s="6">
        <f t="shared" si="11"/>
        <v>505.22285717053336</v>
      </c>
      <c r="AQ12" s="6">
        <f t="shared" si="12"/>
        <v>3.2708446989160068E-2</v>
      </c>
      <c r="AR12" s="6">
        <f t="shared" si="13"/>
        <v>-10.102185880000093</v>
      </c>
      <c r="AS12" s="6">
        <f t="shared" si="14"/>
        <v>3.1857928270402611E-2</v>
      </c>
      <c r="AT12" s="6">
        <f t="shared" si="15"/>
        <v>4.5659282715837884E-2</v>
      </c>
      <c r="AU12" s="6">
        <f t="shared" si="16"/>
        <v>4.5659282715837888</v>
      </c>
      <c r="AV12" s="6">
        <f t="shared" si="17"/>
        <v>1.8035209740686207</v>
      </c>
      <c r="AW12" s="6">
        <f t="shared" si="0"/>
        <v>19.910871553717577</v>
      </c>
      <c r="AX12" s="20">
        <f t="shared" si="18"/>
        <v>6.2322937214333442E-2</v>
      </c>
      <c r="AY12" s="20">
        <f t="shared" si="19"/>
        <v>5.7480452163350119E-2</v>
      </c>
      <c r="AZ12" s="20">
        <f t="shared" si="20"/>
        <v>0.11980338937768356</v>
      </c>
      <c r="BA12" s="1">
        <f t="shared" si="21"/>
        <v>6.2322937214333442E-2</v>
      </c>
      <c r="BB12" s="1">
        <f t="shared" si="22"/>
        <v>0.182126326592017</v>
      </c>
    </row>
    <row r="13" spans="1:54" x14ac:dyDescent="0.25">
      <c r="O13" s="6">
        <v>8</v>
      </c>
      <c r="P13" s="7">
        <f>AVERAGE(B374:B423)</f>
        <v>129.75664008000001</v>
      </c>
      <c r="Q13" s="8">
        <f>STDEV(B374:B423)</f>
        <v>5.7923186563119393E-2</v>
      </c>
      <c r="R13" s="9">
        <f>AVERAGE(C374:C423)</f>
        <v>136.1125644</v>
      </c>
      <c r="S13" s="10">
        <f>STDEV(C374:C423)</f>
        <v>5.1455447988270085E-2</v>
      </c>
      <c r="T13" s="11">
        <f>AVERAGE(D374:D423)</f>
        <v>142.38148488000007</v>
      </c>
      <c r="U13" s="12">
        <f>STDEV(D374:D423)</f>
        <v>5.0675449842705805E-2</v>
      </c>
      <c r="V13" s="13">
        <f>AVERAGE(E374:E423)</f>
        <v>85.111118079999983</v>
      </c>
      <c r="W13" s="14">
        <f>STDEV(E374:E423)</f>
        <v>0.18767902753543422</v>
      </c>
      <c r="X13" s="15">
        <f>AVERAGE(F374:F423)</f>
        <v>48.624221159999998</v>
      </c>
      <c r="Y13" s="16">
        <f>STDEV(F374:F423)</f>
        <v>0.35667548068073157</v>
      </c>
      <c r="Z13" s="17">
        <f>AVERAGE(G374:G423)</f>
        <v>19.584693000000005</v>
      </c>
      <c r="AA13" s="18">
        <f>AVERAGE(H374:H423)</f>
        <v>23.64842011999999</v>
      </c>
      <c r="AB13" s="6">
        <f t="shared" si="1"/>
        <v>0.98631137886174369</v>
      </c>
      <c r="AC13" s="6">
        <f t="shared" si="23"/>
        <v>-1279.885247999988</v>
      </c>
      <c r="AD13" s="6">
        <f t="shared" si="2"/>
        <v>50.043513196799537</v>
      </c>
      <c r="AE13" s="6">
        <f t="shared" si="24"/>
        <v>77.431806592000058</v>
      </c>
      <c r="AF13" s="19">
        <v>81</v>
      </c>
      <c r="AG13" s="19">
        <v>57</v>
      </c>
      <c r="AH13" s="6">
        <f>AG13-X13</f>
        <v>8.3757788400000024</v>
      </c>
      <c r="AI13" s="6">
        <f>AE13-AG13</f>
        <v>20.431806592000058</v>
      </c>
      <c r="AJ13" s="6">
        <f t="shared" si="5"/>
        <v>24.492945825159559</v>
      </c>
      <c r="AK13" s="6">
        <f>(AE13-AG13)+(AG13-5)</f>
        <v>72.431806592000058</v>
      </c>
      <c r="AL13" s="6">
        <f t="shared" si="7"/>
        <v>552.48038569266691</v>
      </c>
      <c r="AM13" s="6">
        <f t="shared" si="8"/>
        <v>0.13110294676106807</v>
      </c>
      <c r="AN13" s="6">
        <f t="shared" si="9"/>
        <v>4.0637271199999851</v>
      </c>
      <c r="AO13" s="6">
        <f t="shared" si="10"/>
        <v>3.6666666666666667E-2</v>
      </c>
      <c r="AP13" s="6">
        <f t="shared" si="11"/>
        <v>623.87693321946449</v>
      </c>
      <c r="AQ13" s="6">
        <f t="shared" si="12"/>
        <v>2.94578330971298E-2</v>
      </c>
      <c r="AR13" s="6">
        <f t="shared" si="13"/>
        <v>-12.79885247999988</v>
      </c>
      <c r="AS13" s="6">
        <f t="shared" si="14"/>
        <v>3.1503042183726099E-2</v>
      </c>
      <c r="AT13" s="6">
        <f t="shared" si="15"/>
        <v>4.313010083002336E-2</v>
      </c>
      <c r="AU13" s="6">
        <f t="shared" si="16"/>
        <v>4.3130100830023359</v>
      </c>
      <c r="AV13" s="6">
        <f t="shared" si="17"/>
        <v>2.1583817700665686</v>
      </c>
      <c r="AW13" s="6">
        <f t="shared" si="0"/>
        <v>23.82853474153492</v>
      </c>
      <c r="AX13" s="20">
        <f t="shared" si="18"/>
        <v>5.2142277224706955E-2</v>
      </c>
      <c r="AY13" s="20">
        <f t="shared" si="19"/>
        <v>4.8884386304754335E-2</v>
      </c>
      <c r="AZ13" s="20">
        <f t="shared" si="20"/>
        <v>0.1010266635294613</v>
      </c>
      <c r="BA13" s="1">
        <f t="shared" si="21"/>
        <v>5.2142277224706955E-2</v>
      </c>
      <c r="BB13" s="1">
        <f t="shared" si="22"/>
        <v>0.15316894075416826</v>
      </c>
    </row>
    <row r="14" spans="1:54" x14ac:dyDescent="0.25">
      <c r="O14" s="6">
        <v>9</v>
      </c>
      <c r="P14" s="7">
        <f>AVERAGE(B424:B473)</f>
        <v>146.11227756000005</v>
      </c>
      <c r="Q14" s="8">
        <f>STDEV(B424:B473)</f>
        <v>8.4666142056557606E-2</v>
      </c>
      <c r="R14" s="9">
        <f>AVERAGE(C424:C473)</f>
        <v>153.84687405999995</v>
      </c>
      <c r="S14" s="10">
        <f>STDEV(C424:C473)</f>
        <v>7.1705120790981444E-2</v>
      </c>
      <c r="T14" s="11">
        <f>AVERAGE(D424:D473)</f>
        <v>161.40615744000002</v>
      </c>
      <c r="U14" s="12">
        <f>STDEV(D424:D473)</f>
        <v>7.6260814661952669E-2</v>
      </c>
      <c r="V14" s="13">
        <f>AVERAGE(E424:E473)</f>
        <v>91.90009701999999</v>
      </c>
      <c r="W14" s="14">
        <f>STDEV(E424:E473)</f>
        <v>0.14606621071218315</v>
      </c>
      <c r="X14" s="15">
        <f>AVERAGE(F424:F473)</f>
        <v>51.426767560000009</v>
      </c>
      <c r="Y14" s="16">
        <f>STDEV(F424:F473)</f>
        <v>0.628176856694594</v>
      </c>
      <c r="Z14" s="17">
        <f>AVERAGE(G424:G473)</f>
        <v>19.654119600000001</v>
      </c>
      <c r="AA14" s="18">
        <f>AVERAGE(H424:H473)</f>
        <v>24.556347979999995</v>
      </c>
      <c r="AB14" s="6">
        <f t="shared" si="1"/>
        <v>0.97733390229214534</v>
      </c>
      <c r="AC14" s="6">
        <f t="shared" si="23"/>
        <v>-1564.4506119999619</v>
      </c>
      <c r="AD14" s="6">
        <f t="shared" si="2"/>
        <v>61.170018929198513</v>
      </c>
      <c r="AE14" s="6">
        <f t="shared" si="24"/>
        <v>82.513393348000221</v>
      </c>
      <c r="AF14" s="19">
        <v>81</v>
      </c>
      <c r="AG14" s="19">
        <v>57</v>
      </c>
      <c r="AH14" s="6">
        <f t="shared" si="3"/>
        <v>5.5732324399999911</v>
      </c>
      <c r="AI14" s="6">
        <f t="shared" si="4"/>
        <v>25.513393348000221</v>
      </c>
      <c r="AJ14" s="6">
        <f t="shared" si="5"/>
        <v>23.975650002665407</v>
      </c>
      <c r="AK14" s="6">
        <f t="shared" si="6"/>
        <v>77.513393348000221</v>
      </c>
      <c r="AL14" s="6">
        <f t="shared" si="7"/>
        <v>675.31700897835162</v>
      </c>
      <c r="AM14" s="6">
        <f t="shared" si="8"/>
        <v>0.11478075084361608</v>
      </c>
      <c r="AN14" s="6">
        <f t="shared" si="9"/>
        <v>4.9022283799999933</v>
      </c>
      <c r="AO14" s="6">
        <f t="shared" si="10"/>
        <v>3.6666666666666667E-2</v>
      </c>
      <c r="AP14" s="6">
        <f t="shared" si="11"/>
        <v>752.60644165886572</v>
      </c>
      <c r="AQ14" s="6">
        <f t="shared" si="12"/>
        <v>2.7519605252185213E-2</v>
      </c>
      <c r="AR14" s="6">
        <f t="shared" si="13"/>
        <v>-15.644506119999619</v>
      </c>
      <c r="AS14" s="6">
        <f t="shared" si="14"/>
        <v>3.4019157777145127E-2</v>
      </c>
      <c r="AT14" s="6">
        <f t="shared" si="15"/>
        <v>4.3756505448931747E-2</v>
      </c>
      <c r="AU14" s="6">
        <f t="shared" si="16"/>
        <v>4.3756505448931744</v>
      </c>
      <c r="AV14" s="6">
        <f t="shared" si="17"/>
        <v>2.676586266586733</v>
      </c>
      <c r="AW14" s="6">
        <f t="shared" si="0"/>
        <v>29.549512383117531</v>
      </c>
      <c r="AX14" s="20">
        <f t="shared" si="18"/>
        <v>4.6032641521985926E-2</v>
      </c>
      <c r="AY14" s="20">
        <f t="shared" si="19"/>
        <v>4.3418917901029731E-2</v>
      </c>
      <c r="AZ14" s="20">
        <f t="shared" si="20"/>
        <v>8.9451559423015664E-2</v>
      </c>
      <c r="BA14" s="1">
        <f t="shared" si="21"/>
        <v>4.6032641521985926E-2</v>
      </c>
      <c r="BB14" s="1">
        <f t="shared" si="22"/>
        <v>0.13548420094500158</v>
      </c>
    </row>
    <row r="15" spans="1:54" ht="21" x14ac:dyDescent="0.25">
      <c r="A15" s="21" t="s">
        <v>47</v>
      </c>
      <c r="O15" s="6">
        <v>10</v>
      </c>
      <c r="P15" s="7">
        <f>AVERAGE(B474:B523)</f>
        <v>165.05691498000004</v>
      </c>
      <c r="Q15" s="8">
        <f>STDEV(B474:B523)</f>
        <v>0.17744950487915331</v>
      </c>
      <c r="R15" s="9">
        <f>AVERAGE(C474:C523)</f>
        <v>174.33460238000004</v>
      </c>
      <c r="S15" s="10">
        <f>STDEV(C474:C523)</f>
        <v>0.16542359560588268</v>
      </c>
      <c r="T15" s="11">
        <f>AVERAGE(D474:D523)</f>
        <v>183.17049593999988</v>
      </c>
      <c r="U15" s="12">
        <f>STDEV(D474:D523)</f>
        <v>0.14848786651185192</v>
      </c>
      <c r="V15" s="13">
        <f>AVERAGE(E474:E523)</f>
        <v>106.06052683999997</v>
      </c>
      <c r="W15" s="14">
        <f>STDEV(E474:E523)</f>
        <v>0.25316636844809792</v>
      </c>
      <c r="X15" s="15">
        <f>AVERAGE(F474:F523)</f>
        <v>54.682721380000018</v>
      </c>
      <c r="Y15" s="16">
        <f>STDEV(F474:F523)</f>
        <v>0.35675518219727026</v>
      </c>
      <c r="Z15" s="17">
        <f>AVERAGE(G474:G523)</f>
        <v>19.782383939999999</v>
      </c>
      <c r="AA15" s="18">
        <f>AVERAGE(H474:H523)</f>
        <v>25.616717440000006</v>
      </c>
      <c r="AB15" s="6">
        <f t="shared" si="1"/>
        <v>0.952381038404016</v>
      </c>
      <c r="AC15" s="6">
        <f t="shared" si="23"/>
        <v>-1899.7168640000125</v>
      </c>
      <c r="AD15" s="6">
        <f t="shared" si="2"/>
        <v>74.278929382400491</v>
      </c>
      <c r="AE15" s="6">
        <f t="shared" si="24"/>
        <v>94.66222565599989</v>
      </c>
      <c r="AF15" s="19">
        <v>81</v>
      </c>
      <c r="AG15" s="19">
        <v>54</v>
      </c>
      <c r="AH15" s="6">
        <f t="shared" si="3"/>
        <v>-0.68272138000001803</v>
      </c>
      <c r="AI15" s="6">
        <f t="shared" si="4"/>
        <v>40.66222565599989</v>
      </c>
      <c r="AJ15" s="6">
        <f t="shared" si="5"/>
        <v>18.267305388248051</v>
      </c>
      <c r="AK15" s="6">
        <f t="shared" si="6"/>
        <v>89.66222565599989</v>
      </c>
      <c r="AL15" s="6">
        <f t="shared" si="7"/>
        <v>820.03938038170145</v>
      </c>
      <c r="AM15" s="6">
        <f t="shared" si="8"/>
        <v>0.10933892664309007</v>
      </c>
      <c r="AN15" s="6">
        <f t="shared" si="9"/>
        <v>5.8343335000000067</v>
      </c>
      <c r="AO15" s="6">
        <f t="shared" si="10"/>
        <v>3.6666666666666667E-2</v>
      </c>
      <c r="AP15" s="6">
        <f t="shared" si="11"/>
        <v>895.70632669833435</v>
      </c>
      <c r="AQ15" s="6">
        <f t="shared" si="12"/>
        <v>2.618015839084574E-2</v>
      </c>
      <c r="AR15" s="6">
        <f t="shared" si="13"/>
        <v>-18.997168640000126</v>
      </c>
      <c r="AS15" s="6">
        <f t="shared" si="14"/>
        <v>5.0925371206279289E-2</v>
      </c>
      <c r="AT15" s="6">
        <f t="shared" si="15"/>
        <v>5.7260755547469948E-2</v>
      </c>
      <c r="AU15" s="6">
        <f t="shared" si="16"/>
        <v>5.7260755547469948</v>
      </c>
      <c r="AV15" s="6">
        <f t="shared" si="17"/>
        <v>4.2532676176934174</v>
      </c>
      <c r="AW15" s="6">
        <f t="shared" si="0"/>
        <v>46.95607449933533</v>
      </c>
      <c r="AX15" s="20">
        <f t="shared" si="18"/>
        <v>4.8753151656437184E-2</v>
      </c>
      <c r="AY15" s="20">
        <f t="shared" si="19"/>
        <v>3.9001993630004568E-2</v>
      </c>
      <c r="AZ15" s="20">
        <f t="shared" si="20"/>
        <v>8.7755145286441752E-2</v>
      </c>
      <c r="BA15" s="1">
        <f t="shared" si="21"/>
        <v>4.8753151656437184E-2</v>
      </c>
      <c r="BB15" s="1">
        <f t="shared" si="22"/>
        <v>0.13650829694287894</v>
      </c>
    </row>
    <row r="16" spans="1:54" x14ac:dyDescent="0.25">
      <c r="O16" s="6">
        <v>12</v>
      </c>
      <c r="P16" s="7" t="e">
        <f>AVERAGE(B524:B573)</f>
        <v>#DIV/0!</v>
      </c>
      <c r="Q16" s="8" t="e">
        <f>STDEV(B524:B573)</f>
        <v>#DIV/0!</v>
      </c>
      <c r="R16" s="9" t="e">
        <f>AVERAGE(C524:C573)</f>
        <v>#DIV/0!</v>
      </c>
      <c r="S16" s="10" t="e">
        <f>STDEV(C524:C573)</f>
        <v>#DIV/0!</v>
      </c>
      <c r="T16" s="11" t="e">
        <f>AVERAGE(D524:D573)</f>
        <v>#DIV/0!</v>
      </c>
      <c r="U16" s="12" t="e">
        <f>STDEV(D524:D573)</f>
        <v>#DIV/0!</v>
      </c>
      <c r="V16" s="13" t="e">
        <f>AVERAGE(E524:E573)</f>
        <v>#DIV/0!</v>
      </c>
      <c r="W16" s="14" t="e">
        <f>STDEV(E524:E573)</f>
        <v>#DIV/0!</v>
      </c>
      <c r="X16" s="15" t="e">
        <f>AVERAGE(F524:F573)</f>
        <v>#DIV/0!</v>
      </c>
      <c r="Y16" s="16" t="e">
        <f>STDEV(F524:F573)</f>
        <v>#DIV/0!</v>
      </c>
      <c r="Z16" s="17" t="e">
        <f>AVERAGE(G524:G573)</f>
        <v>#DIV/0!</v>
      </c>
      <c r="AA16" s="18" t="e">
        <f>AVERAGE(H524:H573)</f>
        <v>#DIV/0!</v>
      </c>
      <c r="AB16" s="6" t="e">
        <f t="shared" si="1"/>
        <v>#DIV/0!</v>
      </c>
      <c r="AC16" s="6" t="e">
        <f t="shared" si="23"/>
        <v>#DIV/0!</v>
      </c>
      <c r="AD16" s="6" t="e">
        <f t="shared" si="2"/>
        <v>#DIV/0!</v>
      </c>
      <c r="AE16" s="6" t="e">
        <f t="shared" si="24"/>
        <v>#DIV/0!</v>
      </c>
      <c r="AF16" s="19"/>
      <c r="AG16" s="19"/>
      <c r="AH16" s="6" t="e">
        <f t="shared" si="3"/>
        <v>#DIV/0!</v>
      </c>
      <c r="AI16" s="6" t="e">
        <f t="shared" si="4"/>
        <v>#DIV/0!</v>
      </c>
      <c r="AJ16" s="6" t="e">
        <f t="shared" si="5"/>
        <v>#DIV/0!</v>
      </c>
      <c r="AK16" s="6" t="e">
        <f t="shared" si="6"/>
        <v>#DIV/0!</v>
      </c>
      <c r="AL16" s="6" t="e">
        <f t="shared" si="7"/>
        <v>#DIV/0!</v>
      </c>
      <c r="AM16" s="6" t="e">
        <f t="shared" si="8"/>
        <v>#DIV/0!</v>
      </c>
      <c r="AN16" s="6" t="e">
        <f t="shared" si="9"/>
        <v>#DIV/0!</v>
      </c>
      <c r="AO16" s="6">
        <f t="shared" si="10"/>
        <v>3.6666666666666667E-2</v>
      </c>
      <c r="AP16" s="6" t="e">
        <f t="shared" si="11"/>
        <v>#DIV/0!</v>
      </c>
      <c r="AQ16" s="6" t="e">
        <f t="shared" si="12"/>
        <v>#DIV/0!</v>
      </c>
      <c r="AR16" s="6" t="e">
        <f t="shared" si="13"/>
        <v>#DIV/0!</v>
      </c>
      <c r="AS16" s="6" t="e">
        <f t="shared" si="14"/>
        <v>#DIV/0!</v>
      </c>
      <c r="AT16" s="6" t="e">
        <f t="shared" si="15"/>
        <v>#DIV/0!</v>
      </c>
      <c r="AU16" s="6" t="e">
        <f t="shared" si="16"/>
        <v>#DIV/0!</v>
      </c>
      <c r="AV16" s="6" t="e">
        <f t="shared" si="17"/>
        <v>#DIV/0!</v>
      </c>
      <c r="AW16" s="6" t="e">
        <f t="shared" si="0"/>
        <v>#DIV/0!</v>
      </c>
      <c r="AX16" s="20" t="e">
        <f t="shared" si="18"/>
        <v>#DIV/0!</v>
      </c>
      <c r="AY16" s="20" t="e">
        <f t="shared" si="19"/>
        <v>#DIV/0!</v>
      </c>
      <c r="AZ16" s="20" t="e">
        <f t="shared" si="20"/>
        <v>#DIV/0!</v>
      </c>
      <c r="BA16" s="1" t="e">
        <f t="shared" si="21"/>
        <v>#DIV/0!</v>
      </c>
      <c r="BB16" s="1" t="e">
        <f t="shared" si="22"/>
        <v>#DIV/0!</v>
      </c>
    </row>
    <row r="17" spans="1:54" x14ac:dyDescent="0.25">
      <c r="O17" s="6">
        <v>13</v>
      </c>
      <c r="P17" s="7" t="e">
        <f>AVERAGE(B574:B623)</f>
        <v>#DIV/0!</v>
      </c>
      <c r="Q17" s="8" t="e">
        <f>STDEV(B574:B623)</f>
        <v>#DIV/0!</v>
      </c>
      <c r="R17" s="9" t="e">
        <f>AVERAGE(C574:C623)</f>
        <v>#DIV/0!</v>
      </c>
      <c r="S17" s="10" t="e">
        <f>STDEV(C574:C623)</f>
        <v>#DIV/0!</v>
      </c>
      <c r="T17" s="11" t="e">
        <f>AVERAGE(D574:D623)</f>
        <v>#DIV/0!</v>
      </c>
      <c r="U17" s="12" t="e">
        <f>STDEV(D574:D623)</f>
        <v>#DIV/0!</v>
      </c>
      <c r="V17" s="13" t="e">
        <f>AVERAGE(E574:E623)</f>
        <v>#DIV/0!</v>
      </c>
      <c r="W17" s="14" t="e">
        <f>STDEV(E574:E623)</f>
        <v>#DIV/0!</v>
      </c>
      <c r="X17" s="15" t="e">
        <f>AVERAGE(F574:F623)</f>
        <v>#DIV/0!</v>
      </c>
      <c r="Y17" s="16" t="e">
        <f>STDEV(F574:F623)</f>
        <v>#DIV/0!</v>
      </c>
      <c r="Z17" s="17" t="e">
        <f>AVERAGE(G574:G623)</f>
        <v>#DIV/0!</v>
      </c>
      <c r="AA17" s="18" t="e">
        <f>AVERAGE(H574:H623)</f>
        <v>#DIV/0!</v>
      </c>
      <c r="AB17" s="6" t="e">
        <f t="shared" si="1"/>
        <v>#DIV/0!</v>
      </c>
      <c r="AC17" s="6" t="e">
        <f t="shared" si="23"/>
        <v>#DIV/0!</v>
      </c>
      <c r="AD17" s="6" t="e">
        <f>-(E$3)*AC17*(1/10000)</f>
        <v>#DIV/0!</v>
      </c>
      <c r="AE17" s="6" t="e">
        <f t="shared" si="24"/>
        <v>#DIV/0!</v>
      </c>
      <c r="AF17" s="19"/>
      <c r="AG17" s="19"/>
      <c r="AH17" s="6" t="e">
        <f t="shared" si="3"/>
        <v>#DIV/0!</v>
      </c>
      <c r="AI17" s="6" t="e">
        <f t="shared" si="4"/>
        <v>#DIV/0!</v>
      </c>
      <c r="AJ17" s="6" t="e">
        <f t="shared" si="5"/>
        <v>#DIV/0!</v>
      </c>
      <c r="AK17" s="6" t="e">
        <f t="shared" si="6"/>
        <v>#DIV/0!</v>
      </c>
      <c r="AL17" s="6" t="e">
        <f t="shared" si="7"/>
        <v>#DIV/0!</v>
      </c>
      <c r="AM17" s="6" t="e">
        <f t="shared" si="8"/>
        <v>#DIV/0!</v>
      </c>
      <c r="AN17" s="6" t="e">
        <f t="shared" si="9"/>
        <v>#DIV/0!</v>
      </c>
      <c r="AO17" s="6">
        <f t="shared" si="10"/>
        <v>3.6666666666666667E-2</v>
      </c>
      <c r="AP17" s="6" t="e">
        <f t="shared" si="11"/>
        <v>#DIV/0!</v>
      </c>
      <c r="AQ17" s="6" t="e">
        <f t="shared" si="12"/>
        <v>#DIV/0!</v>
      </c>
      <c r="AR17" s="6" t="e">
        <f t="shared" si="13"/>
        <v>#DIV/0!</v>
      </c>
      <c r="AS17" s="6" t="e">
        <f t="shared" si="14"/>
        <v>#DIV/0!</v>
      </c>
      <c r="AT17" s="6" t="e">
        <f t="shared" si="15"/>
        <v>#DIV/0!</v>
      </c>
      <c r="AU17" s="6" t="e">
        <f t="shared" si="16"/>
        <v>#DIV/0!</v>
      </c>
      <c r="AV17" s="6" t="e">
        <f t="shared" si="17"/>
        <v>#DIV/0!</v>
      </c>
      <c r="AW17" s="6" t="e">
        <f t="shared" si="0"/>
        <v>#DIV/0!</v>
      </c>
      <c r="AX17" s="20" t="e">
        <f t="shared" si="18"/>
        <v>#DIV/0!</v>
      </c>
      <c r="AY17" s="20" t="e">
        <f t="shared" si="19"/>
        <v>#DIV/0!</v>
      </c>
      <c r="AZ17" s="20" t="e">
        <f t="shared" si="20"/>
        <v>#DIV/0!</v>
      </c>
      <c r="BA17" s="1" t="e">
        <f t="shared" si="21"/>
        <v>#DIV/0!</v>
      </c>
      <c r="BB17" s="1" t="e">
        <f t="shared" si="22"/>
        <v>#DIV/0!</v>
      </c>
    </row>
    <row r="18" spans="1:54" x14ac:dyDescent="0.25">
      <c r="O18" s="6">
        <v>14</v>
      </c>
      <c r="P18" s="7" t="e">
        <f>AVERAGE(B624:B673)</f>
        <v>#DIV/0!</v>
      </c>
      <c r="Q18" s="8" t="e">
        <f>STDEV(B624:B673)</f>
        <v>#DIV/0!</v>
      </c>
      <c r="R18" s="9" t="e">
        <f>AVERAGE(C624:C673)</f>
        <v>#DIV/0!</v>
      </c>
      <c r="S18" s="10" t="e">
        <f>STDEV(C624:C673)</f>
        <v>#DIV/0!</v>
      </c>
      <c r="T18" s="11" t="e">
        <f>AVERAGE(D624:D673)</f>
        <v>#DIV/0!</v>
      </c>
      <c r="U18" s="12" t="e">
        <f>STDEV(D624:D673)</f>
        <v>#DIV/0!</v>
      </c>
      <c r="V18" s="13" t="e">
        <f>AVERAGE(E624:E673)</f>
        <v>#DIV/0!</v>
      </c>
      <c r="W18" s="14" t="e">
        <f>STDEV(E624:E673)</f>
        <v>#DIV/0!</v>
      </c>
      <c r="X18" s="15" t="e">
        <f>AVERAGE(F624:F673)</f>
        <v>#DIV/0!</v>
      </c>
      <c r="Y18" s="16" t="e">
        <f>STDEV(F624:F673)</f>
        <v>#DIV/0!</v>
      </c>
      <c r="Z18" s="17" t="e">
        <f>AVERAGE(G624:G673)</f>
        <v>#DIV/0!</v>
      </c>
      <c r="AA18" s="18" t="e">
        <f>AVERAGE(H624:H673)</f>
        <v>#DIV/0!</v>
      </c>
      <c r="AB18" s="6" t="e">
        <f t="shared" si="1"/>
        <v>#DIV/0!</v>
      </c>
      <c r="AC18" s="6" t="e">
        <f t="shared" si="23"/>
        <v>#DIV/0!</v>
      </c>
      <c r="AD18" s="6" t="e">
        <f t="shared" si="2"/>
        <v>#DIV/0!</v>
      </c>
      <c r="AE18" s="6" t="e">
        <f t="shared" si="24"/>
        <v>#DIV/0!</v>
      </c>
      <c r="AF18" s="19"/>
      <c r="AG18" s="19"/>
      <c r="AH18" s="6" t="e">
        <f t="shared" si="3"/>
        <v>#DIV/0!</v>
      </c>
      <c r="AI18" s="6" t="e">
        <f t="shared" si="4"/>
        <v>#DIV/0!</v>
      </c>
      <c r="AJ18" s="6" t="e">
        <f t="shared" si="5"/>
        <v>#DIV/0!</v>
      </c>
      <c r="AK18" s="6" t="e">
        <f t="shared" si="6"/>
        <v>#DIV/0!</v>
      </c>
      <c r="AL18" s="6" t="e">
        <f t="shared" si="7"/>
        <v>#DIV/0!</v>
      </c>
      <c r="AM18" s="6" t="e">
        <f t="shared" si="8"/>
        <v>#DIV/0!</v>
      </c>
      <c r="AN18" s="6" t="e">
        <f t="shared" si="9"/>
        <v>#DIV/0!</v>
      </c>
      <c r="AO18" s="6">
        <f t="shared" si="10"/>
        <v>3.6666666666666667E-2</v>
      </c>
      <c r="AP18" s="6" t="e">
        <f t="shared" si="11"/>
        <v>#DIV/0!</v>
      </c>
      <c r="AQ18" s="6" t="e">
        <f t="shared" si="12"/>
        <v>#DIV/0!</v>
      </c>
      <c r="AR18" s="6" t="e">
        <f t="shared" si="13"/>
        <v>#DIV/0!</v>
      </c>
      <c r="AS18" s="6" t="e">
        <f t="shared" si="14"/>
        <v>#DIV/0!</v>
      </c>
      <c r="AT18" s="6" t="e">
        <f t="shared" si="15"/>
        <v>#DIV/0!</v>
      </c>
      <c r="AU18" s="6" t="e">
        <f t="shared" si="16"/>
        <v>#DIV/0!</v>
      </c>
      <c r="AV18" s="6" t="e">
        <f t="shared" si="17"/>
        <v>#DIV/0!</v>
      </c>
      <c r="AW18" s="6" t="e">
        <f t="shared" si="0"/>
        <v>#DIV/0!</v>
      </c>
      <c r="AX18" s="20" t="e">
        <f t="shared" si="18"/>
        <v>#DIV/0!</v>
      </c>
      <c r="AY18" s="20" t="e">
        <f t="shared" si="19"/>
        <v>#DIV/0!</v>
      </c>
      <c r="AZ18" s="20" t="e">
        <f t="shared" si="20"/>
        <v>#DIV/0!</v>
      </c>
      <c r="BA18" s="1" t="e">
        <f t="shared" si="21"/>
        <v>#DIV/0!</v>
      </c>
      <c r="BB18" s="1" t="e">
        <f t="shared" si="22"/>
        <v>#DIV/0!</v>
      </c>
    </row>
    <row r="19" spans="1:54" x14ac:dyDescent="0.25">
      <c r="O19" s="6">
        <v>15</v>
      </c>
      <c r="P19" s="7" t="e">
        <f>AVERAGE(B674:B723)</f>
        <v>#DIV/0!</v>
      </c>
      <c r="Q19" s="8" t="e">
        <f>STDEV(B674:B723)</f>
        <v>#DIV/0!</v>
      </c>
      <c r="R19" s="9" t="e">
        <f>AVERAGE(C674:C723)</f>
        <v>#DIV/0!</v>
      </c>
      <c r="S19" s="10" t="e">
        <f>STDEV(C674:C723)</f>
        <v>#DIV/0!</v>
      </c>
      <c r="T19" s="11" t="e">
        <f>AVERAGE(D674:D723)</f>
        <v>#DIV/0!</v>
      </c>
      <c r="U19" s="12" t="e">
        <f>STDEV(D674:D723)</f>
        <v>#DIV/0!</v>
      </c>
      <c r="V19" s="13" t="e">
        <f>AVERAGE(E674:E723)</f>
        <v>#DIV/0!</v>
      </c>
      <c r="W19" s="14" t="e">
        <f>STDEV(E674:E723)</f>
        <v>#DIV/0!</v>
      </c>
      <c r="X19" s="15" t="e">
        <f>AVERAGE(F674:F723)</f>
        <v>#DIV/0!</v>
      </c>
      <c r="Y19" s="16" t="e">
        <f>STDEV(F674:F723)</f>
        <v>#DIV/0!</v>
      </c>
      <c r="Z19" s="17" t="e">
        <f>AVERAGE(G674:G723)</f>
        <v>#DIV/0!</v>
      </c>
      <c r="AA19" s="18" t="e">
        <f>AVERAGE(H674:H723)</f>
        <v>#DIV/0!</v>
      </c>
      <c r="AB19" s="6" t="e">
        <f t="shared" si="1"/>
        <v>#DIV/0!</v>
      </c>
      <c r="AC19" s="6" t="e">
        <f t="shared" si="23"/>
        <v>#DIV/0!</v>
      </c>
      <c r="AD19" s="6" t="e">
        <f t="shared" si="2"/>
        <v>#DIV/0!</v>
      </c>
      <c r="AE19" s="6" t="e">
        <f t="shared" si="24"/>
        <v>#DIV/0!</v>
      </c>
      <c r="AF19" s="19"/>
      <c r="AG19" s="19"/>
      <c r="AH19" s="6" t="e">
        <f t="shared" si="3"/>
        <v>#DIV/0!</v>
      </c>
      <c r="AI19" s="6" t="e">
        <f t="shared" si="4"/>
        <v>#DIV/0!</v>
      </c>
      <c r="AJ19" s="6" t="e">
        <f t="shared" si="5"/>
        <v>#DIV/0!</v>
      </c>
      <c r="AK19" s="6" t="e">
        <f t="shared" si="6"/>
        <v>#DIV/0!</v>
      </c>
      <c r="AL19" s="6" t="e">
        <f t="shared" si="7"/>
        <v>#DIV/0!</v>
      </c>
      <c r="AM19" s="6" t="e">
        <f t="shared" si="8"/>
        <v>#DIV/0!</v>
      </c>
      <c r="AN19" s="6" t="e">
        <f t="shared" si="9"/>
        <v>#DIV/0!</v>
      </c>
      <c r="AO19" s="6">
        <f t="shared" si="10"/>
        <v>3.6666666666666667E-2</v>
      </c>
      <c r="AP19" s="6" t="e">
        <f t="shared" si="11"/>
        <v>#DIV/0!</v>
      </c>
      <c r="AQ19" s="6" t="e">
        <f t="shared" si="12"/>
        <v>#DIV/0!</v>
      </c>
      <c r="AR19" s="6" t="e">
        <f t="shared" si="13"/>
        <v>#DIV/0!</v>
      </c>
      <c r="AS19" s="6" t="e">
        <f t="shared" si="14"/>
        <v>#DIV/0!</v>
      </c>
      <c r="AT19" s="6" t="e">
        <f t="shared" si="15"/>
        <v>#DIV/0!</v>
      </c>
      <c r="AU19" s="6" t="e">
        <f t="shared" si="16"/>
        <v>#DIV/0!</v>
      </c>
      <c r="AV19" s="6" t="e">
        <f t="shared" si="17"/>
        <v>#DIV/0!</v>
      </c>
      <c r="AW19" s="6" t="e">
        <f t="shared" si="0"/>
        <v>#DIV/0!</v>
      </c>
      <c r="AX19" s="20" t="e">
        <f t="shared" si="18"/>
        <v>#DIV/0!</v>
      </c>
      <c r="AY19" s="20" t="e">
        <f t="shared" si="19"/>
        <v>#DIV/0!</v>
      </c>
      <c r="AZ19" s="20" t="e">
        <f t="shared" si="20"/>
        <v>#DIV/0!</v>
      </c>
      <c r="BA19" s="1" t="e">
        <f t="shared" si="21"/>
        <v>#DIV/0!</v>
      </c>
      <c r="BB19" s="1" t="e">
        <f t="shared" si="22"/>
        <v>#DIV/0!</v>
      </c>
    </row>
    <row r="20" spans="1:54" x14ac:dyDescent="0.25">
      <c r="O20" s="6">
        <v>16</v>
      </c>
      <c r="P20" s="7" t="e">
        <f>AVERAGE(B724:B773)</f>
        <v>#DIV/0!</v>
      </c>
      <c r="Q20" s="8" t="e">
        <f>STDEV(B724:B773)</f>
        <v>#DIV/0!</v>
      </c>
      <c r="R20" s="9" t="e">
        <f>AVERAGE(C724:C773)</f>
        <v>#DIV/0!</v>
      </c>
      <c r="S20" s="10" t="e">
        <f>STDEV(C724:C773)</f>
        <v>#DIV/0!</v>
      </c>
      <c r="T20" s="11" t="e">
        <f>AVERAGE(D724:D773)</f>
        <v>#DIV/0!</v>
      </c>
      <c r="U20" s="12" t="e">
        <f>STDEV(D724:D773)</f>
        <v>#DIV/0!</v>
      </c>
      <c r="V20" s="13" t="e">
        <f>AVERAGE(E724:E773)</f>
        <v>#DIV/0!</v>
      </c>
      <c r="W20" s="14" t="e">
        <f>STDEV(E724:E773)</f>
        <v>#DIV/0!</v>
      </c>
      <c r="X20" s="15" t="e">
        <f>AVERAGE(F724:F773)</f>
        <v>#DIV/0!</v>
      </c>
      <c r="Y20" s="16" t="e">
        <f>STDEV(F724:F773)</f>
        <v>#DIV/0!</v>
      </c>
      <c r="Z20" s="17" t="e">
        <f>AVERAGE(G724:G773)</f>
        <v>#DIV/0!</v>
      </c>
      <c r="AA20" s="18" t="e">
        <f>AVERAGE(H724:H773)</f>
        <v>#DIV/0!</v>
      </c>
      <c r="AB20" s="6" t="e">
        <f t="shared" si="1"/>
        <v>#DIV/0!</v>
      </c>
      <c r="AC20" s="6" t="e">
        <f t="shared" si="23"/>
        <v>#DIV/0!</v>
      </c>
      <c r="AD20" s="6" t="e">
        <f t="shared" si="2"/>
        <v>#DIV/0!</v>
      </c>
      <c r="AE20" s="6" t="e">
        <f t="shared" si="24"/>
        <v>#DIV/0!</v>
      </c>
      <c r="AF20" s="19"/>
      <c r="AG20" s="19"/>
      <c r="AH20" s="6" t="e">
        <f t="shared" si="3"/>
        <v>#DIV/0!</v>
      </c>
      <c r="AI20" s="6" t="e">
        <f t="shared" si="4"/>
        <v>#DIV/0!</v>
      </c>
      <c r="AJ20" s="6" t="e">
        <f t="shared" si="5"/>
        <v>#DIV/0!</v>
      </c>
      <c r="AK20" s="6" t="e">
        <f t="shared" si="6"/>
        <v>#DIV/0!</v>
      </c>
      <c r="AL20" s="6" t="e">
        <f t="shared" si="7"/>
        <v>#DIV/0!</v>
      </c>
      <c r="AM20" s="6" t="e">
        <f t="shared" si="8"/>
        <v>#DIV/0!</v>
      </c>
      <c r="AN20" s="6" t="e">
        <f t="shared" si="9"/>
        <v>#DIV/0!</v>
      </c>
      <c r="AO20" s="6">
        <f t="shared" si="10"/>
        <v>3.6666666666666667E-2</v>
      </c>
      <c r="AP20" s="6" t="e">
        <f t="shared" si="11"/>
        <v>#DIV/0!</v>
      </c>
      <c r="AQ20" s="6" t="e">
        <f t="shared" si="12"/>
        <v>#DIV/0!</v>
      </c>
      <c r="AR20" s="6" t="e">
        <f t="shared" si="13"/>
        <v>#DIV/0!</v>
      </c>
      <c r="AS20" s="6" t="e">
        <f t="shared" si="14"/>
        <v>#DIV/0!</v>
      </c>
      <c r="AT20" s="6" t="e">
        <f t="shared" si="15"/>
        <v>#DIV/0!</v>
      </c>
      <c r="AU20" s="6" t="e">
        <f t="shared" si="16"/>
        <v>#DIV/0!</v>
      </c>
      <c r="AV20" s="6" t="e">
        <f t="shared" si="17"/>
        <v>#DIV/0!</v>
      </c>
      <c r="AW20" s="6" t="e">
        <f t="shared" si="0"/>
        <v>#DIV/0!</v>
      </c>
      <c r="AX20" s="20" t="e">
        <f t="shared" si="18"/>
        <v>#DIV/0!</v>
      </c>
      <c r="AY20" s="20" t="e">
        <f t="shared" si="19"/>
        <v>#DIV/0!</v>
      </c>
      <c r="AZ20" s="20" t="e">
        <f t="shared" si="20"/>
        <v>#DIV/0!</v>
      </c>
      <c r="BA20" s="1" t="e">
        <f t="shared" si="21"/>
        <v>#DIV/0!</v>
      </c>
      <c r="BB20" s="1" t="e">
        <f t="shared" si="22"/>
        <v>#DIV/0!</v>
      </c>
    </row>
    <row r="21" spans="1:54" x14ac:dyDescent="0.25">
      <c r="O21" s="6">
        <v>17</v>
      </c>
      <c r="P21" s="7" t="e">
        <f>AVERAGE(B774:B823)</f>
        <v>#DIV/0!</v>
      </c>
      <c r="Q21" s="8" t="e">
        <f>STDEV(B774:B823)</f>
        <v>#DIV/0!</v>
      </c>
      <c r="R21" s="9" t="e">
        <f>AVERAGE(C774:C823)</f>
        <v>#DIV/0!</v>
      </c>
      <c r="S21" s="10" t="e">
        <f>STDEV(C774:C823)</f>
        <v>#DIV/0!</v>
      </c>
      <c r="T21" s="11" t="e">
        <f>AVERAGE(D774:D823)</f>
        <v>#DIV/0!</v>
      </c>
      <c r="U21" s="12" t="e">
        <f>STDEV(D774:D823)</f>
        <v>#DIV/0!</v>
      </c>
      <c r="V21" s="13" t="e">
        <f>AVERAGE(E774:E823)</f>
        <v>#DIV/0!</v>
      </c>
      <c r="W21" s="14" t="e">
        <f>STDEV(E774:E823)</f>
        <v>#DIV/0!</v>
      </c>
      <c r="X21" s="15" t="e">
        <f>AVERAGE(F774:F823)</f>
        <v>#DIV/0!</v>
      </c>
      <c r="Y21" s="16" t="e">
        <f>STDEV(F774:F823)</f>
        <v>#DIV/0!</v>
      </c>
      <c r="Z21" s="17" t="e">
        <f>AVERAGE(G774:G823)</f>
        <v>#DIV/0!</v>
      </c>
      <c r="AA21" s="18" t="e">
        <f>AVERAGE(H774:H823)</f>
        <v>#DIV/0!</v>
      </c>
      <c r="AB21" s="6" t="e">
        <f t="shared" si="1"/>
        <v>#DIV/0!</v>
      </c>
      <c r="AC21" s="6" t="e">
        <f t="shared" si="23"/>
        <v>#DIV/0!</v>
      </c>
      <c r="AD21" s="6" t="e">
        <f t="shared" si="2"/>
        <v>#DIV/0!</v>
      </c>
      <c r="AE21" s="6" t="e">
        <f t="shared" si="24"/>
        <v>#DIV/0!</v>
      </c>
      <c r="AF21" s="19"/>
      <c r="AG21" s="19"/>
      <c r="AH21" s="6" t="e">
        <f t="shared" si="3"/>
        <v>#DIV/0!</v>
      </c>
      <c r="AI21" s="6" t="e">
        <f t="shared" si="4"/>
        <v>#DIV/0!</v>
      </c>
      <c r="AJ21" s="6" t="e">
        <f t="shared" si="5"/>
        <v>#DIV/0!</v>
      </c>
      <c r="AK21" s="6" t="e">
        <f t="shared" si="6"/>
        <v>#DIV/0!</v>
      </c>
      <c r="AL21" s="6" t="e">
        <f t="shared" si="7"/>
        <v>#DIV/0!</v>
      </c>
      <c r="AM21" s="6" t="e">
        <f t="shared" si="8"/>
        <v>#DIV/0!</v>
      </c>
      <c r="AN21" s="6" t="e">
        <f t="shared" si="9"/>
        <v>#DIV/0!</v>
      </c>
      <c r="AO21" s="6">
        <f t="shared" si="10"/>
        <v>3.6666666666666667E-2</v>
      </c>
      <c r="AP21" s="6" t="e">
        <f t="shared" si="11"/>
        <v>#DIV/0!</v>
      </c>
      <c r="AQ21" s="6" t="e">
        <f t="shared" si="12"/>
        <v>#DIV/0!</v>
      </c>
      <c r="AR21" s="6" t="e">
        <f t="shared" si="13"/>
        <v>#DIV/0!</v>
      </c>
      <c r="AS21" s="6" t="e">
        <f t="shared" si="14"/>
        <v>#DIV/0!</v>
      </c>
      <c r="AT21" s="6" t="e">
        <f t="shared" si="15"/>
        <v>#DIV/0!</v>
      </c>
      <c r="AU21" s="6" t="e">
        <f t="shared" si="16"/>
        <v>#DIV/0!</v>
      </c>
      <c r="AV21" s="6" t="e">
        <f t="shared" si="17"/>
        <v>#DIV/0!</v>
      </c>
      <c r="AW21" s="6" t="e">
        <f t="shared" si="0"/>
        <v>#DIV/0!</v>
      </c>
      <c r="AX21" s="20" t="e">
        <f t="shared" si="18"/>
        <v>#DIV/0!</v>
      </c>
      <c r="AY21" s="20" t="e">
        <f t="shared" si="19"/>
        <v>#DIV/0!</v>
      </c>
      <c r="AZ21" s="20" t="e">
        <f t="shared" si="20"/>
        <v>#DIV/0!</v>
      </c>
      <c r="BA21" s="1" t="e">
        <f t="shared" si="21"/>
        <v>#DIV/0!</v>
      </c>
      <c r="BB21" s="1" t="e">
        <f t="shared" si="22"/>
        <v>#DIV/0!</v>
      </c>
    </row>
    <row r="22" spans="1:54" x14ac:dyDescent="0.25">
      <c r="O22" s="6">
        <v>18</v>
      </c>
      <c r="P22" s="7" t="e">
        <f>AVERAGE(B824:B873)</f>
        <v>#DIV/0!</v>
      </c>
      <c r="Q22" s="8" t="e">
        <f>STDEV(B824:B873)</f>
        <v>#DIV/0!</v>
      </c>
      <c r="R22" s="9" t="e">
        <f>AVERAGE(C824:C873)</f>
        <v>#DIV/0!</v>
      </c>
      <c r="S22" s="10" t="e">
        <f>STDEV(C824:C873)</f>
        <v>#DIV/0!</v>
      </c>
      <c r="T22" s="11" t="e">
        <f>AVERAGE(D824:D873)</f>
        <v>#DIV/0!</v>
      </c>
      <c r="U22" s="12" t="e">
        <f>STDEV(D824:D873)</f>
        <v>#DIV/0!</v>
      </c>
      <c r="V22" s="13" t="e">
        <f>AVERAGE(E824:E873)</f>
        <v>#DIV/0!</v>
      </c>
      <c r="W22" s="14" t="e">
        <f>STDEV(E824:E873)</f>
        <v>#DIV/0!</v>
      </c>
      <c r="X22" s="15" t="e">
        <f>AVERAGE(F824:F873)</f>
        <v>#DIV/0!</v>
      </c>
      <c r="Y22" s="16" t="e">
        <f>STDEV(F824:F873)</f>
        <v>#DIV/0!</v>
      </c>
      <c r="Z22" s="17" t="e">
        <f>AVERAGE(G824:G873)</f>
        <v>#DIV/0!</v>
      </c>
      <c r="AA22" s="18" t="e">
        <f>AVERAGE(H824:H873)</f>
        <v>#DIV/0!</v>
      </c>
      <c r="AB22" s="6" t="e">
        <f t="shared" si="1"/>
        <v>#DIV/0!</v>
      </c>
      <c r="AC22" s="6" t="e">
        <f t="shared" si="23"/>
        <v>#DIV/0!</v>
      </c>
      <c r="AD22" s="6" t="e">
        <f t="shared" si="2"/>
        <v>#DIV/0!</v>
      </c>
      <c r="AE22" s="6" t="e">
        <f t="shared" si="24"/>
        <v>#DIV/0!</v>
      </c>
      <c r="AF22" s="19"/>
      <c r="AG22" s="19"/>
      <c r="AH22" s="6" t="e">
        <f t="shared" si="3"/>
        <v>#DIV/0!</v>
      </c>
      <c r="AI22" s="6" t="e">
        <f t="shared" si="4"/>
        <v>#DIV/0!</v>
      </c>
      <c r="AJ22" s="6" t="e">
        <f t="shared" si="5"/>
        <v>#DIV/0!</v>
      </c>
      <c r="AK22" s="6" t="e">
        <f t="shared" si="6"/>
        <v>#DIV/0!</v>
      </c>
      <c r="AL22" s="6" t="e">
        <f t="shared" si="7"/>
        <v>#DIV/0!</v>
      </c>
      <c r="AM22" s="6" t="e">
        <f t="shared" si="8"/>
        <v>#DIV/0!</v>
      </c>
      <c r="AN22" s="6" t="e">
        <f t="shared" si="9"/>
        <v>#DIV/0!</v>
      </c>
      <c r="AO22" s="6">
        <f t="shared" si="10"/>
        <v>3.6666666666666667E-2</v>
      </c>
      <c r="AP22" s="6" t="e">
        <f t="shared" si="11"/>
        <v>#DIV/0!</v>
      </c>
      <c r="AQ22" s="6" t="e">
        <f t="shared" si="12"/>
        <v>#DIV/0!</v>
      </c>
      <c r="AR22" s="6" t="e">
        <f t="shared" si="13"/>
        <v>#DIV/0!</v>
      </c>
      <c r="AS22" s="6" t="e">
        <f t="shared" si="14"/>
        <v>#DIV/0!</v>
      </c>
      <c r="AT22" s="6" t="e">
        <f t="shared" si="15"/>
        <v>#DIV/0!</v>
      </c>
      <c r="AU22" s="6" t="e">
        <f t="shared" si="16"/>
        <v>#DIV/0!</v>
      </c>
      <c r="AV22" s="6" t="e">
        <f t="shared" si="17"/>
        <v>#DIV/0!</v>
      </c>
      <c r="AW22" s="6" t="e">
        <f t="shared" si="0"/>
        <v>#DIV/0!</v>
      </c>
      <c r="AX22" s="20" t="e">
        <f t="shared" si="18"/>
        <v>#DIV/0!</v>
      </c>
      <c r="AY22" s="20" t="e">
        <f t="shared" si="19"/>
        <v>#DIV/0!</v>
      </c>
      <c r="AZ22" s="20" t="e">
        <f t="shared" si="20"/>
        <v>#DIV/0!</v>
      </c>
      <c r="BA22" s="1" t="e">
        <f t="shared" si="21"/>
        <v>#DIV/0!</v>
      </c>
      <c r="BB22" s="1" t="e">
        <f t="shared" si="22"/>
        <v>#DIV/0!</v>
      </c>
    </row>
    <row r="23" spans="1:54" x14ac:dyDescent="0.25">
      <c r="A23" s="1" t="s">
        <v>48</v>
      </c>
      <c r="B23" s="1" t="s">
        <v>10</v>
      </c>
      <c r="C23" s="1" t="s">
        <v>14</v>
      </c>
      <c r="D23" s="1" t="s">
        <v>15</v>
      </c>
      <c r="E23" s="1" t="s">
        <v>16</v>
      </c>
      <c r="F23" s="1" t="s">
        <v>49</v>
      </c>
      <c r="G23" s="1" t="s">
        <v>50</v>
      </c>
      <c r="H23" s="1" t="s">
        <v>51</v>
      </c>
      <c r="I23" s="1" t="s">
        <v>52</v>
      </c>
      <c r="J23" s="1" t="s">
        <v>53</v>
      </c>
      <c r="K23" s="1" t="s">
        <v>54</v>
      </c>
      <c r="L23" s="1" t="s">
        <v>55</v>
      </c>
      <c r="O23" s="6">
        <v>19</v>
      </c>
      <c r="P23" s="7" t="e">
        <f>AVERAGE(B874:B923)</f>
        <v>#DIV/0!</v>
      </c>
      <c r="Q23" s="8" t="e">
        <f>STDEV(B874:B923)</f>
        <v>#DIV/0!</v>
      </c>
      <c r="R23" s="9" t="e">
        <f>AVERAGE(C874:C923)</f>
        <v>#DIV/0!</v>
      </c>
      <c r="S23" s="10" t="e">
        <f>STDEV(C874:C923)</f>
        <v>#DIV/0!</v>
      </c>
      <c r="T23" s="11" t="e">
        <f>AVERAGE(D874:D923)</f>
        <v>#DIV/0!</v>
      </c>
      <c r="U23" s="12" t="e">
        <f>STDEV(D874:D923)</f>
        <v>#DIV/0!</v>
      </c>
      <c r="V23" s="13" t="e">
        <f>AVERAGE(E874:E923)</f>
        <v>#DIV/0!</v>
      </c>
      <c r="W23" s="14" t="e">
        <f>STDEV(E874:E923)</f>
        <v>#DIV/0!</v>
      </c>
      <c r="X23" s="15" t="e">
        <f>AVERAGE(F874:F923)</f>
        <v>#DIV/0!</v>
      </c>
      <c r="Y23" s="16" t="e">
        <f>STDEV(F874:F923)</f>
        <v>#DIV/0!</v>
      </c>
      <c r="Z23" s="17" t="e">
        <f>AVERAGE(G874:G923)</f>
        <v>#DIV/0!</v>
      </c>
      <c r="AA23" s="18" t="e">
        <f>AVERAGE(H874:H923)</f>
        <v>#DIV/0!</v>
      </c>
      <c r="AB23" s="6" t="e">
        <f t="shared" si="1"/>
        <v>#DIV/0!</v>
      </c>
      <c r="AC23" s="6" t="e">
        <f t="shared" si="23"/>
        <v>#DIV/0!</v>
      </c>
      <c r="AD23" s="6" t="e">
        <f t="shared" si="2"/>
        <v>#DIV/0!</v>
      </c>
      <c r="AE23" s="6" t="e">
        <f t="shared" si="24"/>
        <v>#DIV/0!</v>
      </c>
      <c r="AF23" s="19"/>
      <c r="AG23" s="19"/>
      <c r="AH23" s="6" t="e">
        <f>AG23-X23</f>
        <v>#DIV/0!</v>
      </c>
      <c r="AI23" s="6" t="e">
        <f>AE23-AG23</f>
        <v>#DIV/0!</v>
      </c>
      <c r="AJ23" s="6" t="e">
        <f t="shared" si="5"/>
        <v>#DIV/0!</v>
      </c>
      <c r="AK23" s="6" t="e">
        <f>(AE23-AG23)+(AG23-5)</f>
        <v>#DIV/0!</v>
      </c>
      <c r="AL23" s="6" t="e">
        <f t="shared" si="7"/>
        <v>#DIV/0!</v>
      </c>
      <c r="AM23" s="6" t="e">
        <f t="shared" si="8"/>
        <v>#DIV/0!</v>
      </c>
      <c r="AN23" s="6" t="e">
        <f t="shared" si="9"/>
        <v>#DIV/0!</v>
      </c>
      <c r="AO23" s="6">
        <f t="shared" si="10"/>
        <v>3.6666666666666667E-2</v>
      </c>
      <c r="AP23" s="6" t="e">
        <f t="shared" si="11"/>
        <v>#DIV/0!</v>
      </c>
      <c r="AQ23" s="6" t="e">
        <f t="shared" si="12"/>
        <v>#DIV/0!</v>
      </c>
      <c r="AR23" s="6" t="e">
        <f t="shared" si="13"/>
        <v>#DIV/0!</v>
      </c>
      <c r="AS23" s="6" t="e">
        <f t="shared" si="14"/>
        <v>#DIV/0!</v>
      </c>
      <c r="AT23" s="6" t="e">
        <f t="shared" si="15"/>
        <v>#DIV/0!</v>
      </c>
      <c r="AU23" s="6" t="e">
        <f t="shared" si="16"/>
        <v>#DIV/0!</v>
      </c>
      <c r="AV23" s="6" t="e">
        <f t="shared" si="17"/>
        <v>#DIV/0!</v>
      </c>
      <c r="AW23" s="6" t="e">
        <f t="shared" si="0"/>
        <v>#DIV/0!</v>
      </c>
      <c r="AX23" s="20" t="e">
        <f t="shared" si="18"/>
        <v>#DIV/0!</v>
      </c>
      <c r="AY23" s="20" t="e">
        <f t="shared" si="19"/>
        <v>#DIV/0!</v>
      </c>
      <c r="AZ23" s="20" t="e">
        <f t="shared" si="20"/>
        <v>#DIV/0!</v>
      </c>
      <c r="BA23" s="1" t="e">
        <f t="shared" si="21"/>
        <v>#DIV/0!</v>
      </c>
      <c r="BB23" s="1" t="e">
        <f t="shared" si="22"/>
        <v>#DIV/0!</v>
      </c>
    </row>
    <row r="24" spans="1:54" customFormat="1" x14ac:dyDescent="0.3">
      <c r="A24">
        <v>458</v>
      </c>
      <c r="B24">
        <v>61.858162999999998</v>
      </c>
      <c r="C24">
        <v>62.680413000000001</v>
      </c>
      <c r="D24">
        <v>63.569811999999999</v>
      </c>
      <c r="E24">
        <v>53.609518999999999</v>
      </c>
      <c r="F24">
        <v>27.454622000000001</v>
      </c>
      <c r="G24">
        <v>19.478263999999999</v>
      </c>
      <c r="H24">
        <v>20.050592000000002</v>
      </c>
      <c r="I24" t="s">
        <v>61</v>
      </c>
      <c r="AG24" s="1"/>
      <c r="AX24" s="20" t="e">
        <f t="shared" si="18"/>
        <v>#DIV/0!</v>
      </c>
      <c r="AY24" s="20" t="e">
        <f t="shared" si="19"/>
        <v>#DIV/0!</v>
      </c>
      <c r="AZ24" s="20" t="e">
        <f t="shared" si="20"/>
        <v>#DIV/0!</v>
      </c>
    </row>
    <row r="25" spans="1:54" customFormat="1" x14ac:dyDescent="0.3">
      <c r="A25">
        <v>458.2</v>
      </c>
      <c r="B25">
        <v>61.858162999999998</v>
      </c>
      <c r="C25">
        <v>62.680413000000001</v>
      </c>
      <c r="D25">
        <v>63.569811999999999</v>
      </c>
      <c r="E25">
        <v>53.609518999999999</v>
      </c>
      <c r="F25">
        <v>27.454622000000001</v>
      </c>
      <c r="G25">
        <v>19.478263999999999</v>
      </c>
      <c r="H25">
        <v>20.050592000000002</v>
      </c>
      <c r="AX25" s="20" t="e">
        <f t="shared" si="18"/>
        <v>#DIV/0!</v>
      </c>
      <c r="AY25" s="20" t="e">
        <f t="shared" si="19"/>
        <v>#DIV/0!</v>
      </c>
      <c r="AZ25" s="20" t="e">
        <f t="shared" si="20"/>
        <v>#DIV/0!</v>
      </c>
    </row>
    <row r="26" spans="1:54" customFormat="1" x14ac:dyDescent="0.3">
      <c r="A26">
        <v>458.4</v>
      </c>
      <c r="B26">
        <v>61.879812000000001</v>
      </c>
      <c r="C26">
        <v>62.679166000000002</v>
      </c>
      <c r="D26">
        <v>63.574022999999997</v>
      </c>
      <c r="E26">
        <v>53.600850000000001</v>
      </c>
      <c r="F26">
        <v>27.39348</v>
      </c>
      <c r="G26">
        <v>19.499573999999999</v>
      </c>
      <c r="H26">
        <v>20.048169999999999</v>
      </c>
      <c r="AF26" s="1"/>
      <c r="AX26" s="20" t="e">
        <f t="shared" si="18"/>
        <v>#DIV/0!</v>
      </c>
      <c r="AY26" s="20" t="e">
        <f t="shared" si="19"/>
        <v>#DIV/0!</v>
      </c>
      <c r="AZ26" s="20" t="e">
        <f t="shared" si="20"/>
        <v>#DIV/0!</v>
      </c>
    </row>
    <row r="27" spans="1:54" customFormat="1" x14ac:dyDescent="0.3">
      <c r="A27">
        <v>458.6</v>
      </c>
      <c r="B27">
        <v>61.879812000000001</v>
      </c>
      <c r="C27">
        <v>62.679166000000002</v>
      </c>
      <c r="D27">
        <v>63.574022999999997</v>
      </c>
      <c r="E27">
        <v>53.600850000000001</v>
      </c>
      <c r="F27">
        <v>27.39348</v>
      </c>
      <c r="G27">
        <v>19.499573999999999</v>
      </c>
      <c r="H27">
        <v>20.048169999999999</v>
      </c>
      <c r="AX27" s="20" t="e">
        <f t="shared" si="18"/>
        <v>#DIV/0!</v>
      </c>
      <c r="AY27" s="20" t="e">
        <f t="shared" si="19"/>
        <v>#DIV/0!</v>
      </c>
      <c r="AZ27" s="20" t="e">
        <f t="shared" si="20"/>
        <v>#DIV/0!</v>
      </c>
    </row>
    <row r="28" spans="1:54" customFormat="1" x14ac:dyDescent="0.3">
      <c r="A28">
        <v>458.8</v>
      </c>
      <c r="B28">
        <v>61.862768000000003</v>
      </c>
      <c r="C28">
        <v>62.674509</v>
      </c>
      <c r="D28">
        <v>63.591200000000001</v>
      </c>
      <c r="E28">
        <v>53.622962999999999</v>
      </c>
      <c r="F28">
        <v>27.368770000000001</v>
      </c>
      <c r="G28">
        <v>19.506519999999998</v>
      </c>
      <c r="H28">
        <v>20.039929999999998</v>
      </c>
      <c r="AX28" s="20" t="e">
        <f t="shared" si="18"/>
        <v>#DIV/0!</v>
      </c>
      <c r="AY28" s="20" t="e">
        <f t="shared" si="19"/>
        <v>#DIV/0!</v>
      </c>
      <c r="AZ28" s="20" t="e">
        <f t="shared" si="20"/>
        <v>#DIV/0!</v>
      </c>
    </row>
    <row r="29" spans="1:54" customFormat="1" x14ac:dyDescent="0.3">
      <c r="A29">
        <v>459</v>
      </c>
      <c r="B29">
        <v>61.862768000000003</v>
      </c>
      <c r="C29">
        <v>62.674509</v>
      </c>
      <c r="D29">
        <v>63.591200000000001</v>
      </c>
      <c r="E29">
        <v>53.622962999999999</v>
      </c>
      <c r="F29">
        <v>27.368770000000001</v>
      </c>
      <c r="G29">
        <v>19.506519999999998</v>
      </c>
      <c r="H29">
        <v>20.039929999999998</v>
      </c>
      <c r="I29" t="s">
        <v>61</v>
      </c>
      <c r="AX29" s="20" t="e">
        <f t="shared" si="18"/>
        <v>#DIV/0!</v>
      </c>
      <c r="AY29" s="20" t="e">
        <f t="shared" si="19"/>
        <v>#DIV/0!</v>
      </c>
      <c r="AZ29" s="20" t="e">
        <f t="shared" si="20"/>
        <v>#DIV/0!</v>
      </c>
    </row>
    <row r="30" spans="1:54" customFormat="1" x14ac:dyDescent="0.3">
      <c r="A30">
        <v>459.2</v>
      </c>
      <c r="B30">
        <v>61.872121</v>
      </c>
      <c r="C30">
        <v>62.674244999999999</v>
      </c>
      <c r="D30">
        <v>63.577755000000003</v>
      </c>
      <c r="E30">
        <v>53.616678999999998</v>
      </c>
      <c r="F30">
        <v>27.396138000000001</v>
      </c>
      <c r="G30">
        <v>19.473716</v>
      </c>
      <c r="H30">
        <v>20.036557999999999</v>
      </c>
      <c r="AX30" s="20" t="e">
        <f t="shared" si="18"/>
        <v>#DIV/0!</v>
      </c>
      <c r="AY30" s="20" t="e">
        <f t="shared" si="19"/>
        <v>#DIV/0!</v>
      </c>
      <c r="AZ30" s="20" t="e">
        <f t="shared" si="20"/>
        <v>#DIV/0!</v>
      </c>
    </row>
    <row r="31" spans="1:54" customFormat="1" x14ac:dyDescent="0.3">
      <c r="A31">
        <v>459.4</v>
      </c>
      <c r="B31">
        <v>61.872121</v>
      </c>
      <c r="C31">
        <v>62.674244999999999</v>
      </c>
      <c r="D31">
        <v>63.577755000000003</v>
      </c>
      <c r="E31">
        <v>53.616678999999998</v>
      </c>
      <c r="F31">
        <v>27.396138000000001</v>
      </c>
      <c r="G31">
        <v>19.473716</v>
      </c>
      <c r="H31">
        <v>20.036557999999999</v>
      </c>
    </row>
    <row r="32" spans="1:54" customFormat="1" x14ac:dyDescent="0.3">
      <c r="A32">
        <v>459.6</v>
      </c>
      <c r="B32">
        <v>61.885644999999997</v>
      </c>
      <c r="C32">
        <v>62.682237000000001</v>
      </c>
      <c r="D32">
        <v>63.594357000000002</v>
      </c>
      <c r="E32">
        <v>53.640521</v>
      </c>
      <c r="F32">
        <v>27.439101000000001</v>
      </c>
      <c r="G32">
        <v>19.492851999999999</v>
      </c>
      <c r="H32">
        <v>20.044772999999999</v>
      </c>
    </row>
    <row r="33" spans="1:9" customFormat="1" x14ac:dyDescent="0.3">
      <c r="A33">
        <v>459.8</v>
      </c>
      <c r="B33">
        <v>61.885644999999997</v>
      </c>
      <c r="C33">
        <v>62.682237000000001</v>
      </c>
      <c r="D33">
        <v>63.594357000000002</v>
      </c>
      <c r="E33">
        <v>53.640521</v>
      </c>
      <c r="F33">
        <v>27.439101000000001</v>
      </c>
      <c r="G33">
        <v>19.492851999999999</v>
      </c>
      <c r="H33">
        <v>20.044772999999999</v>
      </c>
    </row>
    <row r="34" spans="1:9" customFormat="1" x14ac:dyDescent="0.3">
      <c r="A34">
        <v>460</v>
      </c>
      <c r="B34">
        <v>61.892780000000002</v>
      </c>
      <c r="C34">
        <v>62.703021</v>
      </c>
      <c r="D34">
        <v>63.624164999999998</v>
      </c>
      <c r="E34">
        <v>53.626443999999999</v>
      </c>
      <c r="F34">
        <v>27.502390999999999</v>
      </c>
      <c r="G34">
        <v>19.49455</v>
      </c>
      <c r="H34">
        <v>20.063549999999999</v>
      </c>
      <c r="I34" t="s">
        <v>61</v>
      </c>
    </row>
    <row r="35" spans="1:9" customFormat="1" x14ac:dyDescent="0.3">
      <c r="A35">
        <v>460.2</v>
      </c>
      <c r="B35">
        <v>61.892780000000002</v>
      </c>
      <c r="C35">
        <v>62.703021</v>
      </c>
      <c r="D35">
        <v>63.624164999999998</v>
      </c>
      <c r="E35">
        <v>53.626443999999999</v>
      </c>
      <c r="F35">
        <v>27.502390999999999</v>
      </c>
      <c r="G35">
        <v>19.49455</v>
      </c>
      <c r="H35">
        <v>20.063549999999999</v>
      </c>
    </row>
    <row r="36" spans="1:9" customFormat="1" x14ac:dyDescent="0.3">
      <c r="A36">
        <v>460.4</v>
      </c>
      <c r="B36">
        <v>61.906184000000003</v>
      </c>
      <c r="C36">
        <v>62.691741</v>
      </c>
      <c r="D36">
        <v>63.594738999999997</v>
      </c>
      <c r="E36">
        <v>53.656641999999998</v>
      </c>
      <c r="F36">
        <v>27.46143</v>
      </c>
      <c r="G36">
        <v>19.505393000000002</v>
      </c>
      <c r="H36">
        <v>20.046395</v>
      </c>
    </row>
    <row r="37" spans="1:9" customFormat="1" x14ac:dyDescent="0.3">
      <c r="A37">
        <v>460.6</v>
      </c>
      <c r="B37">
        <v>61.906184000000003</v>
      </c>
      <c r="C37">
        <v>62.691741</v>
      </c>
      <c r="D37">
        <v>63.594738999999997</v>
      </c>
      <c r="E37">
        <v>53.656641999999998</v>
      </c>
      <c r="F37">
        <v>27.46143</v>
      </c>
      <c r="G37">
        <v>19.505393000000002</v>
      </c>
      <c r="H37">
        <v>20.046395</v>
      </c>
    </row>
    <row r="38" spans="1:9" customFormat="1" x14ac:dyDescent="0.3">
      <c r="A38">
        <v>460.8</v>
      </c>
      <c r="B38">
        <v>61.889429</v>
      </c>
      <c r="C38">
        <v>62.687372000000003</v>
      </c>
      <c r="D38">
        <v>63.616748000000001</v>
      </c>
      <c r="E38">
        <v>53.630924999999998</v>
      </c>
      <c r="F38">
        <v>27.457782999999999</v>
      </c>
      <c r="G38">
        <v>19.508914999999998</v>
      </c>
      <c r="H38">
        <v>20.051812999999999</v>
      </c>
    </row>
    <row r="39" spans="1:9" customFormat="1" x14ac:dyDescent="0.3">
      <c r="A39">
        <v>461</v>
      </c>
      <c r="B39">
        <v>61.889429</v>
      </c>
      <c r="C39">
        <v>62.687372000000003</v>
      </c>
      <c r="D39">
        <v>63.616748000000001</v>
      </c>
      <c r="E39">
        <v>53.630924999999998</v>
      </c>
      <c r="F39">
        <v>27.457782999999999</v>
      </c>
      <c r="G39">
        <v>19.508914999999998</v>
      </c>
      <c r="H39">
        <v>20.051812999999999</v>
      </c>
      <c r="I39" t="s">
        <v>61</v>
      </c>
    </row>
    <row r="40" spans="1:9" customFormat="1" x14ac:dyDescent="0.3">
      <c r="A40">
        <v>461.2</v>
      </c>
      <c r="B40">
        <v>61.902182000000003</v>
      </c>
      <c r="C40">
        <v>62.740653999999999</v>
      </c>
      <c r="D40">
        <v>63.617131000000001</v>
      </c>
      <c r="E40">
        <v>53.677585999999998</v>
      </c>
      <c r="F40">
        <v>27.450313999999999</v>
      </c>
      <c r="G40">
        <v>19.508664</v>
      </c>
      <c r="H40">
        <v>20.054884000000001</v>
      </c>
    </row>
    <row r="41" spans="1:9" customFormat="1" x14ac:dyDescent="0.3">
      <c r="A41">
        <v>461.4</v>
      </c>
      <c r="B41">
        <v>61.902182000000003</v>
      </c>
      <c r="C41">
        <v>62.740653999999999</v>
      </c>
      <c r="D41">
        <v>63.617131000000001</v>
      </c>
      <c r="E41">
        <v>53.677585999999998</v>
      </c>
      <c r="F41">
        <v>27.450313999999999</v>
      </c>
      <c r="G41">
        <v>19.508664</v>
      </c>
      <c r="H41">
        <v>20.054884000000001</v>
      </c>
    </row>
    <row r="42" spans="1:9" customFormat="1" x14ac:dyDescent="0.3">
      <c r="A42">
        <v>461.6</v>
      </c>
      <c r="B42">
        <v>61.882607</v>
      </c>
      <c r="C42">
        <v>62.706116999999999</v>
      </c>
      <c r="D42">
        <v>63.617251000000003</v>
      </c>
      <c r="E42">
        <v>53.659661999999997</v>
      </c>
      <c r="F42">
        <v>27.459733</v>
      </c>
      <c r="G42">
        <v>19.476186999999999</v>
      </c>
      <c r="H42">
        <v>20.054684999999999</v>
      </c>
    </row>
    <row r="43" spans="1:9" customFormat="1" x14ac:dyDescent="0.3">
      <c r="A43">
        <v>461.8</v>
      </c>
      <c r="B43">
        <v>61.882607</v>
      </c>
      <c r="C43">
        <v>62.706116999999999</v>
      </c>
      <c r="D43">
        <v>63.617251000000003</v>
      </c>
      <c r="E43">
        <v>53.659661999999997</v>
      </c>
      <c r="F43">
        <v>27.459733</v>
      </c>
      <c r="G43">
        <v>19.476186999999999</v>
      </c>
      <c r="H43">
        <v>20.054684999999999</v>
      </c>
    </row>
    <row r="44" spans="1:9" customFormat="1" x14ac:dyDescent="0.3">
      <c r="A44">
        <v>462</v>
      </c>
      <c r="B44">
        <v>61.892007999999997</v>
      </c>
      <c r="C44">
        <v>62.701796999999999</v>
      </c>
      <c r="D44">
        <v>63.614308000000001</v>
      </c>
      <c r="E44">
        <v>53.677487999999997</v>
      </c>
      <c r="F44">
        <v>27.481731</v>
      </c>
      <c r="G44">
        <v>19.495522999999999</v>
      </c>
      <c r="H44">
        <v>20.059777</v>
      </c>
      <c r="I44" t="s">
        <v>61</v>
      </c>
    </row>
    <row r="45" spans="1:9" customFormat="1" x14ac:dyDescent="0.3">
      <c r="A45">
        <v>462.2</v>
      </c>
      <c r="B45">
        <v>61.892007999999997</v>
      </c>
      <c r="C45">
        <v>62.701796999999999</v>
      </c>
      <c r="D45">
        <v>63.614308000000001</v>
      </c>
      <c r="E45">
        <v>53.677487999999997</v>
      </c>
      <c r="F45">
        <v>27.481731</v>
      </c>
      <c r="G45">
        <v>19.495522999999999</v>
      </c>
      <c r="H45">
        <v>20.059777</v>
      </c>
    </row>
    <row r="46" spans="1:9" customFormat="1" x14ac:dyDescent="0.3">
      <c r="A46">
        <v>462.4</v>
      </c>
      <c r="B46">
        <v>61.921418000000003</v>
      </c>
      <c r="C46">
        <v>62.712381000000001</v>
      </c>
      <c r="D46">
        <v>63.635311999999999</v>
      </c>
      <c r="E46">
        <v>53.666943000000003</v>
      </c>
      <c r="F46">
        <v>27.457376</v>
      </c>
      <c r="G46">
        <v>19.504715999999998</v>
      </c>
      <c r="H46">
        <v>20.047141</v>
      </c>
    </row>
    <row r="47" spans="1:9" customFormat="1" x14ac:dyDescent="0.3">
      <c r="A47">
        <v>462.6</v>
      </c>
      <c r="B47">
        <v>61.921418000000003</v>
      </c>
      <c r="C47">
        <v>62.712381000000001</v>
      </c>
      <c r="D47">
        <v>63.635311999999999</v>
      </c>
      <c r="E47">
        <v>53.666943000000003</v>
      </c>
      <c r="F47">
        <v>27.457376</v>
      </c>
      <c r="G47">
        <v>19.504715999999998</v>
      </c>
      <c r="H47">
        <v>20.047141</v>
      </c>
    </row>
    <row r="48" spans="1:9" customFormat="1" x14ac:dyDescent="0.3">
      <c r="A48">
        <v>462.8</v>
      </c>
      <c r="B48">
        <v>61.907991000000003</v>
      </c>
      <c r="C48">
        <v>62.724094000000001</v>
      </c>
      <c r="D48">
        <v>63.630623</v>
      </c>
      <c r="E48">
        <v>53.686692999999998</v>
      </c>
      <c r="F48">
        <v>27.427071999999999</v>
      </c>
      <c r="G48">
        <v>19.485254000000001</v>
      </c>
      <c r="H48">
        <v>20.051886</v>
      </c>
    </row>
    <row r="49" spans="1:9" customFormat="1" x14ac:dyDescent="0.3">
      <c r="A49">
        <v>463</v>
      </c>
      <c r="B49">
        <v>61.907991000000003</v>
      </c>
      <c r="C49">
        <v>62.724094000000001</v>
      </c>
      <c r="D49">
        <v>63.630623</v>
      </c>
      <c r="E49">
        <v>53.686692999999998</v>
      </c>
      <c r="F49">
        <v>27.427071999999999</v>
      </c>
      <c r="G49">
        <v>19.485254000000001</v>
      </c>
      <c r="H49">
        <v>20.051886</v>
      </c>
      <c r="I49" t="s">
        <v>61</v>
      </c>
    </row>
    <row r="50" spans="1:9" customFormat="1" x14ac:dyDescent="0.3">
      <c r="A50">
        <v>463.2</v>
      </c>
      <c r="B50">
        <v>61.914667999999999</v>
      </c>
      <c r="C50">
        <v>62.734845999999997</v>
      </c>
      <c r="D50">
        <v>63.640886000000002</v>
      </c>
      <c r="E50">
        <v>53.681407999999998</v>
      </c>
      <c r="F50">
        <v>27.365801000000001</v>
      </c>
      <c r="G50">
        <v>19.498843999999998</v>
      </c>
      <c r="H50">
        <v>20.045068000000001</v>
      </c>
    </row>
    <row r="51" spans="1:9" customFormat="1" x14ac:dyDescent="0.3">
      <c r="A51">
        <v>463.4</v>
      </c>
      <c r="B51">
        <v>61.914667999999999</v>
      </c>
      <c r="C51">
        <v>62.734845999999997</v>
      </c>
      <c r="D51">
        <v>63.640886000000002</v>
      </c>
      <c r="E51">
        <v>53.681407999999998</v>
      </c>
      <c r="F51">
        <v>27.365801000000001</v>
      </c>
      <c r="G51">
        <v>19.498843999999998</v>
      </c>
      <c r="H51">
        <v>20.045068000000001</v>
      </c>
    </row>
    <row r="52" spans="1:9" customFormat="1" x14ac:dyDescent="0.3">
      <c r="A52">
        <v>463.6</v>
      </c>
      <c r="B52">
        <v>61.934725999999998</v>
      </c>
      <c r="C52">
        <v>62.737941999999997</v>
      </c>
      <c r="D52">
        <v>63.635336000000002</v>
      </c>
      <c r="E52">
        <v>53.695191999999999</v>
      </c>
      <c r="F52">
        <v>27.235681</v>
      </c>
      <c r="G52">
        <v>19.482955</v>
      </c>
      <c r="H52">
        <v>20.080901999999998</v>
      </c>
    </row>
    <row r="53" spans="1:9" customFormat="1" x14ac:dyDescent="0.3">
      <c r="A53">
        <v>463.8</v>
      </c>
      <c r="B53">
        <v>61.934725999999998</v>
      </c>
      <c r="C53">
        <v>62.737941999999997</v>
      </c>
      <c r="D53">
        <v>63.635336000000002</v>
      </c>
      <c r="E53">
        <v>53.695191999999999</v>
      </c>
      <c r="F53">
        <v>27.235681</v>
      </c>
      <c r="G53">
        <v>19.482955</v>
      </c>
      <c r="H53">
        <v>20.080901999999998</v>
      </c>
    </row>
    <row r="54" spans="1:9" customFormat="1" x14ac:dyDescent="0.3">
      <c r="A54">
        <v>464</v>
      </c>
      <c r="B54">
        <v>61.932217999999999</v>
      </c>
      <c r="C54">
        <v>62.740462000000001</v>
      </c>
      <c r="D54">
        <v>63.654210999999997</v>
      </c>
      <c r="E54">
        <v>53.707928000000003</v>
      </c>
      <c r="F54">
        <v>27.101949000000001</v>
      </c>
      <c r="G54">
        <v>19.491050000000001</v>
      </c>
      <c r="H54">
        <v>20.063372000000001</v>
      </c>
      <c r="I54" t="s">
        <v>61</v>
      </c>
    </row>
    <row r="55" spans="1:9" customFormat="1" x14ac:dyDescent="0.3">
      <c r="A55">
        <v>464.2</v>
      </c>
      <c r="B55">
        <v>61.932217999999999</v>
      </c>
      <c r="C55">
        <v>62.740462000000001</v>
      </c>
      <c r="D55">
        <v>63.654210999999997</v>
      </c>
      <c r="E55">
        <v>53.707928000000003</v>
      </c>
      <c r="F55">
        <v>27.101949000000001</v>
      </c>
      <c r="G55">
        <v>19.491050000000001</v>
      </c>
      <c r="H55">
        <v>20.063372000000001</v>
      </c>
    </row>
    <row r="56" spans="1:9" customFormat="1" x14ac:dyDescent="0.3">
      <c r="A56">
        <v>464.4</v>
      </c>
      <c r="B56">
        <v>61.953263</v>
      </c>
      <c r="C56">
        <v>62.740893999999997</v>
      </c>
      <c r="D56">
        <v>63.676003999999999</v>
      </c>
      <c r="E56">
        <v>53.712068000000002</v>
      </c>
      <c r="F56">
        <v>26.917162000000001</v>
      </c>
      <c r="G56">
        <v>19.492474000000001</v>
      </c>
      <c r="H56">
        <v>20.060524999999998</v>
      </c>
    </row>
    <row r="57" spans="1:9" customFormat="1" x14ac:dyDescent="0.3">
      <c r="A57">
        <v>464.6</v>
      </c>
      <c r="B57">
        <v>61.953263</v>
      </c>
      <c r="C57">
        <v>62.740893999999997</v>
      </c>
      <c r="D57">
        <v>63.676003999999999</v>
      </c>
      <c r="E57">
        <v>53.712068000000002</v>
      </c>
      <c r="F57">
        <v>26.917162000000001</v>
      </c>
      <c r="G57">
        <v>19.492474000000001</v>
      </c>
      <c r="H57">
        <v>20.060524999999998</v>
      </c>
    </row>
    <row r="58" spans="1:9" customFormat="1" x14ac:dyDescent="0.3">
      <c r="A58">
        <v>464.8</v>
      </c>
      <c r="B58">
        <v>61.945428</v>
      </c>
      <c r="C58">
        <v>62.763190000000002</v>
      </c>
      <c r="D58">
        <v>63.662320000000001</v>
      </c>
      <c r="E58">
        <v>53.710630999999999</v>
      </c>
      <c r="F58">
        <v>26.744351000000002</v>
      </c>
      <c r="G58">
        <v>19.489598999999998</v>
      </c>
      <c r="H58">
        <v>20.035353000000001</v>
      </c>
    </row>
    <row r="59" spans="1:9" customFormat="1" x14ac:dyDescent="0.3">
      <c r="A59">
        <v>465</v>
      </c>
      <c r="B59">
        <v>61.945428</v>
      </c>
      <c r="C59">
        <v>62.763190000000002</v>
      </c>
      <c r="D59">
        <v>63.662320000000001</v>
      </c>
      <c r="E59">
        <v>53.710630999999999</v>
      </c>
      <c r="F59">
        <v>26.744351000000002</v>
      </c>
      <c r="G59">
        <v>19.489598999999998</v>
      </c>
      <c r="H59">
        <v>20.035353000000001</v>
      </c>
      <c r="I59" t="s">
        <v>61</v>
      </c>
    </row>
    <row r="60" spans="1:9" customFormat="1" x14ac:dyDescent="0.3">
      <c r="A60">
        <v>465.2</v>
      </c>
      <c r="B60">
        <v>61.975825</v>
      </c>
      <c r="C60">
        <v>62.782966000000002</v>
      </c>
      <c r="D60">
        <v>63.659759999999999</v>
      </c>
      <c r="E60">
        <v>53.699696000000003</v>
      </c>
      <c r="F60">
        <v>26.602499999999999</v>
      </c>
      <c r="G60">
        <v>19.465540000000001</v>
      </c>
      <c r="H60">
        <v>20.074407000000001</v>
      </c>
    </row>
    <row r="61" spans="1:9" customFormat="1" x14ac:dyDescent="0.3">
      <c r="A61">
        <v>465.4</v>
      </c>
      <c r="B61">
        <v>61.975825</v>
      </c>
      <c r="C61">
        <v>62.782966000000002</v>
      </c>
      <c r="D61">
        <v>63.659759999999999</v>
      </c>
      <c r="E61">
        <v>53.699696000000003</v>
      </c>
      <c r="F61">
        <v>26.602499999999999</v>
      </c>
      <c r="G61">
        <v>19.465540000000001</v>
      </c>
      <c r="H61">
        <v>20.074407000000001</v>
      </c>
    </row>
    <row r="62" spans="1:9" customFormat="1" x14ac:dyDescent="0.3">
      <c r="A62">
        <v>465.6</v>
      </c>
      <c r="B62">
        <v>61.961989000000003</v>
      </c>
      <c r="C62">
        <v>62.763717999999997</v>
      </c>
      <c r="D62">
        <v>63.662846000000002</v>
      </c>
      <c r="E62">
        <v>53.705151000000001</v>
      </c>
      <c r="F62">
        <v>26.539460999999999</v>
      </c>
      <c r="G62">
        <v>19.489298999999999</v>
      </c>
      <c r="H62">
        <v>20.048812000000002</v>
      </c>
    </row>
    <row r="63" spans="1:9" customFormat="1" x14ac:dyDescent="0.3">
      <c r="A63">
        <v>465.8</v>
      </c>
      <c r="B63">
        <v>61.961989000000003</v>
      </c>
      <c r="C63">
        <v>62.763717999999997</v>
      </c>
      <c r="D63">
        <v>63.662846000000002</v>
      </c>
      <c r="E63">
        <v>53.705151000000001</v>
      </c>
      <c r="F63">
        <v>26.539460999999999</v>
      </c>
      <c r="G63">
        <v>19.489298999999999</v>
      </c>
      <c r="H63">
        <v>20.048812000000002</v>
      </c>
    </row>
    <row r="64" spans="1:9" customFormat="1" x14ac:dyDescent="0.3">
      <c r="A64">
        <v>466</v>
      </c>
      <c r="B64">
        <v>61.951887999999997</v>
      </c>
      <c r="C64">
        <v>62.777374000000002</v>
      </c>
      <c r="D64">
        <v>63.679639000000002</v>
      </c>
      <c r="E64">
        <v>53.713918</v>
      </c>
      <c r="F64">
        <v>26.472515999999999</v>
      </c>
      <c r="G64">
        <v>19.494969999999999</v>
      </c>
      <c r="H64">
        <v>20.065393</v>
      </c>
      <c r="I64" t="s">
        <v>61</v>
      </c>
    </row>
    <row r="65" spans="1:9" customFormat="1" x14ac:dyDescent="0.3">
      <c r="A65">
        <v>466.2</v>
      </c>
      <c r="B65">
        <v>61.951887999999997</v>
      </c>
      <c r="C65">
        <v>62.777374000000002</v>
      </c>
      <c r="D65">
        <v>63.679639000000002</v>
      </c>
      <c r="E65">
        <v>53.713918</v>
      </c>
      <c r="F65">
        <v>26.472515999999999</v>
      </c>
      <c r="G65">
        <v>19.494969999999999</v>
      </c>
      <c r="H65">
        <v>20.065393</v>
      </c>
    </row>
    <row r="66" spans="1:9" customFormat="1" x14ac:dyDescent="0.3">
      <c r="A66">
        <v>466.4</v>
      </c>
      <c r="B66">
        <v>61.977344000000002</v>
      </c>
      <c r="C66">
        <v>62.775357</v>
      </c>
      <c r="D66">
        <v>63.677174999999998</v>
      </c>
      <c r="E66">
        <v>53.705393999999998</v>
      </c>
      <c r="F66">
        <v>26.501985000000001</v>
      </c>
      <c r="G66">
        <v>19.495543999999999</v>
      </c>
      <c r="H66">
        <v>20.055053999999998</v>
      </c>
    </row>
    <row r="67" spans="1:9" customFormat="1" x14ac:dyDescent="0.3">
      <c r="A67">
        <v>466.6</v>
      </c>
      <c r="B67">
        <v>61.977344000000002</v>
      </c>
      <c r="C67">
        <v>62.775357</v>
      </c>
      <c r="D67">
        <v>63.677174999999998</v>
      </c>
      <c r="E67">
        <v>53.705393999999998</v>
      </c>
      <c r="F67">
        <v>26.501985000000001</v>
      </c>
      <c r="G67">
        <v>19.495543999999999</v>
      </c>
      <c r="H67">
        <v>20.055053999999998</v>
      </c>
    </row>
    <row r="68" spans="1:9" customFormat="1" x14ac:dyDescent="0.3">
      <c r="A68">
        <v>466.8</v>
      </c>
      <c r="B68">
        <v>61.952226000000003</v>
      </c>
      <c r="C68">
        <v>62.797317999999997</v>
      </c>
      <c r="D68">
        <v>63.679065000000001</v>
      </c>
      <c r="E68">
        <v>53.711483000000001</v>
      </c>
      <c r="F68">
        <v>26.549240999999999</v>
      </c>
      <c r="G68">
        <v>19.496092999999998</v>
      </c>
      <c r="H68">
        <v>20.062245999999998</v>
      </c>
    </row>
    <row r="69" spans="1:9" customFormat="1" x14ac:dyDescent="0.3">
      <c r="A69">
        <v>467</v>
      </c>
      <c r="B69">
        <v>61.952226000000003</v>
      </c>
      <c r="C69">
        <v>62.797317999999997</v>
      </c>
      <c r="D69">
        <v>63.679065000000001</v>
      </c>
      <c r="E69">
        <v>53.711483000000001</v>
      </c>
      <c r="F69">
        <v>26.549240999999999</v>
      </c>
      <c r="G69">
        <v>19.496092999999998</v>
      </c>
      <c r="H69">
        <v>20.062245999999998</v>
      </c>
      <c r="I69" t="s">
        <v>61</v>
      </c>
    </row>
    <row r="70" spans="1:9" customFormat="1" x14ac:dyDescent="0.3">
      <c r="A70">
        <v>467.2</v>
      </c>
      <c r="B70">
        <v>61.985709</v>
      </c>
      <c r="C70">
        <v>62.764077</v>
      </c>
      <c r="D70">
        <v>63.679113000000001</v>
      </c>
      <c r="E70">
        <v>53.729576000000002</v>
      </c>
      <c r="F70">
        <v>26.554461</v>
      </c>
      <c r="G70">
        <v>19.496019</v>
      </c>
      <c r="H70">
        <v>20.054580000000001</v>
      </c>
    </row>
    <row r="71" spans="1:9" customFormat="1" x14ac:dyDescent="0.3">
      <c r="A71">
        <v>467.4</v>
      </c>
      <c r="B71">
        <v>61.985709</v>
      </c>
      <c r="C71">
        <v>62.764077</v>
      </c>
      <c r="D71">
        <v>63.679113000000001</v>
      </c>
      <c r="E71">
        <v>53.729576000000002</v>
      </c>
      <c r="F71">
        <v>26.554461</v>
      </c>
      <c r="G71">
        <v>19.496019</v>
      </c>
      <c r="H71">
        <v>20.054580000000001</v>
      </c>
    </row>
    <row r="72" spans="1:9" customFormat="1" x14ac:dyDescent="0.3">
      <c r="A72">
        <v>467.6</v>
      </c>
      <c r="B72">
        <v>61.975245999999999</v>
      </c>
      <c r="C72">
        <v>62.785125000000001</v>
      </c>
      <c r="D72">
        <v>63.694184</v>
      </c>
      <c r="E72">
        <v>53.743991999999999</v>
      </c>
      <c r="F72">
        <v>26.537179999999999</v>
      </c>
      <c r="G72">
        <v>19.483252</v>
      </c>
      <c r="H72">
        <v>20.062221000000001</v>
      </c>
    </row>
    <row r="73" spans="1:9" customFormat="1" x14ac:dyDescent="0.3">
      <c r="A73">
        <v>467.8</v>
      </c>
      <c r="B73">
        <v>61.975245999999999</v>
      </c>
      <c r="C73">
        <v>62.785125000000001</v>
      </c>
      <c r="D73">
        <v>63.694184</v>
      </c>
      <c r="E73">
        <v>53.743991999999999</v>
      </c>
      <c r="F73">
        <v>26.537179999999999</v>
      </c>
      <c r="G73">
        <v>19.483252</v>
      </c>
      <c r="H73">
        <v>20.062221000000001</v>
      </c>
    </row>
    <row r="74" spans="1:9" customFormat="1" x14ac:dyDescent="0.3">
      <c r="A74">
        <v>868</v>
      </c>
      <c r="B74">
        <v>74.205305999999993</v>
      </c>
      <c r="C74">
        <v>75.323438999999993</v>
      </c>
      <c r="D74">
        <v>76.693340000000006</v>
      </c>
      <c r="E74">
        <v>62.613804000000002</v>
      </c>
      <c r="F74">
        <v>27.239947999999998</v>
      </c>
      <c r="G74">
        <v>19.512796999999999</v>
      </c>
      <c r="H74">
        <v>20.354085999999999</v>
      </c>
      <c r="I74" t="s">
        <v>61</v>
      </c>
    </row>
    <row r="75" spans="1:9" customFormat="1" x14ac:dyDescent="0.3">
      <c r="A75">
        <v>868.2</v>
      </c>
      <c r="B75">
        <v>74.205305999999993</v>
      </c>
      <c r="C75">
        <v>75.323438999999993</v>
      </c>
      <c r="D75">
        <v>76.693340000000006</v>
      </c>
      <c r="E75">
        <v>62.613804000000002</v>
      </c>
      <c r="F75">
        <v>27.239947999999998</v>
      </c>
      <c r="G75">
        <v>19.512796999999999</v>
      </c>
      <c r="H75">
        <v>20.354085999999999</v>
      </c>
    </row>
    <row r="76" spans="1:9" customFormat="1" x14ac:dyDescent="0.3">
      <c r="A76">
        <v>868.4</v>
      </c>
      <c r="B76">
        <v>74.197901000000002</v>
      </c>
      <c r="C76">
        <v>75.320614000000006</v>
      </c>
      <c r="D76">
        <v>76.653323</v>
      </c>
      <c r="E76">
        <v>62.621079000000002</v>
      </c>
      <c r="F76">
        <v>27.224551999999999</v>
      </c>
      <c r="G76">
        <v>19.517068999999999</v>
      </c>
      <c r="H76">
        <v>20.387288999999999</v>
      </c>
    </row>
    <row r="77" spans="1:9" customFormat="1" x14ac:dyDescent="0.3">
      <c r="A77">
        <v>868.6</v>
      </c>
      <c r="B77">
        <v>74.197901000000002</v>
      </c>
      <c r="C77">
        <v>75.320614000000006</v>
      </c>
      <c r="D77">
        <v>76.653323</v>
      </c>
      <c r="E77">
        <v>62.621079000000002</v>
      </c>
      <c r="F77">
        <v>27.224551999999999</v>
      </c>
      <c r="G77">
        <v>19.517068999999999</v>
      </c>
      <c r="H77">
        <v>20.387288999999999</v>
      </c>
    </row>
    <row r="78" spans="1:9" customFormat="1" x14ac:dyDescent="0.3">
      <c r="A78">
        <v>868.8</v>
      </c>
      <c r="B78">
        <v>74.209444000000005</v>
      </c>
      <c r="C78">
        <v>75.336658999999997</v>
      </c>
      <c r="D78">
        <v>76.674766000000005</v>
      </c>
      <c r="E78">
        <v>62.637095000000002</v>
      </c>
      <c r="F78">
        <v>27.272891000000001</v>
      </c>
      <c r="G78">
        <v>19.508275000000001</v>
      </c>
      <c r="H78">
        <v>20.380399000000001</v>
      </c>
    </row>
    <row r="79" spans="1:9" customFormat="1" x14ac:dyDescent="0.3">
      <c r="A79">
        <v>869</v>
      </c>
      <c r="B79">
        <v>74.209444000000005</v>
      </c>
      <c r="C79">
        <v>75.336658999999997</v>
      </c>
      <c r="D79">
        <v>76.674766000000005</v>
      </c>
      <c r="E79">
        <v>62.637095000000002</v>
      </c>
      <c r="F79">
        <v>27.272891000000001</v>
      </c>
      <c r="G79">
        <v>19.508275000000001</v>
      </c>
      <c r="H79">
        <v>20.380399000000001</v>
      </c>
      <c r="I79" t="s">
        <v>61</v>
      </c>
    </row>
    <row r="80" spans="1:9" customFormat="1" x14ac:dyDescent="0.3">
      <c r="A80">
        <v>869.2</v>
      </c>
      <c r="B80">
        <v>74.168156999999994</v>
      </c>
      <c r="C80">
        <v>75.350595999999996</v>
      </c>
      <c r="D80">
        <v>76.665071999999995</v>
      </c>
      <c r="E80">
        <v>62.624256000000003</v>
      </c>
      <c r="F80">
        <v>27.322998999999999</v>
      </c>
      <c r="G80">
        <v>19.494584</v>
      </c>
      <c r="H80">
        <v>20.392806</v>
      </c>
    </row>
    <row r="81" spans="1:9" customFormat="1" x14ac:dyDescent="0.3">
      <c r="A81">
        <v>869.4</v>
      </c>
      <c r="B81">
        <v>74.168156999999994</v>
      </c>
      <c r="C81">
        <v>75.350595999999996</v>
      </c>
      <c r="D81">
        <v>76.665071999999995</v>
      </c>
      <c r="E81">
        <v>62.624256000000003</v>
      </c>
      <c r="F81">
        <v>27.322998999999999</v>
      </c>
      <c r="G81">
        <v>19.494584</v>
      </c>
      <c r="H81">
        <v>20.392806</v>
      </c>
    </row>
    <row r="82" spans="1:9" customFormat="1" x14ac:dyDescent="0.3">
      <c r="A82">
        <v>869.6</v>
      </c>
      <c r="B82">
        <v>74.184725999999998</v>
      </c>
      <c r="C82">
        <v>75.338431999999997</v>
      </c>
      <c r="D82">
        <v>76.667913999999996</v>
      </c>
      <c r="E82">
        <v>62.623457000000002</v>
      </c>
      <c r="F82">
        <v>27.378018000000001</v>
      </c>
      <c r="G82">
        <v>19.513746000000001</v>
      </c>
      <c r="H82">
        <v>20.396775000000002</v>
      </c>
    </row>
    <row r="83" spans="1:9" customFormat="1" x14ac:dyDescent="0.3">
      <c r="A83">
        <v>869.8</v>
      </c>
      <c r="B83">
        <v>74.184725999999998</v>
      </c>
      <c r="C83">
        <v>75.338431999999997</v>
      </c>
      <c r="D83">
        <v>76.667913999999996</v>
      </c>
      <c r="E83">
        <v>62.623457000000002</v>
      </c>
      <c r="F83">
        <v>27.378018000000001</v>
      </c>
      <c r="G83">
        <v>19.513746000000001</v>
      </c>
      <c r="H83">
        <v>20.396775000000002</v>
      </c>
    </row>
    <row r="84" spans="1:9" customFormat="1" x14ac:dyDescent="0.3">
      <c r="A84">
        <v>870</v>
      </c>
      <c r="B84">
        <v>74.194992999999997</v>
      </c>
      <c r="C84">
        <v>75.354117000000002</v>
      </c>
      <c r="D84">
        <v>76.681737999999996</v>
      </c>
      <c r="E84">
        <v>62.584975</v>
      </c>
      <c r="F84">
        <v>27.582090000000001</v>
      </c>
      <c r="G84">
        <v>19.526686999999999</v>
      </c>
      <c r="H84">
        <v>20.396899999999999</v>
      </c>
      <c r="I84" t="s">
        <v>61</v>
      </c>
    </row>
    <row r="85" spans="1:9" customFormat="1" x14ac:dyDescent="0.3">
      <c r="A85">
        <v>870.2</v>
      </c>
      <c r="B85">
        <v>74.194992999999997</v>
      </c>
      <c r="C85">
        <v>75.354117000000002</v>
      </c>
      <c r="D85">
        <v>76.681737999999996</v>
      </c>
      <c r="E85">
        <v>62.584975</v>
      </c>
      <c r="F85">
        <v>27.582090000000001</v>
      </c>
      <c r="G85">
        <v>19.526686999999999</v>
      </c>
      <c r="H85">
        <v>20.396899999999999</v>
      </c>
    </row>
    <row r="86" spans="1:9" customFormat="1" x14ac:dyDescent="0.3">
      <c r="A86">
        <v>870.4</v>
      </c>
      <c r="B86">
        <v>74.180036999999999</v>
      </c>
      <c r="C86">
        <v>75.323752999999996</v>
      </c>
      <c r="D86">
        <v>76.685034000000002</v>
      </c>
      <c r="E86">
        <v>62.575882999999997</v>
      </c>
      <c r="F86">
        <v>27.757145000000001</v>
      </c>
      <c r="G86">
        <v>19.498681000000001</v>
      </c>
      <c r="H86">
        <v>20.379823999999999</v>
      </c>
    </row>
    <row r="87" spans="1:9" customFormat="1" x14ac:dyDescent="0.3">
      <c r="A87">
        <v>870.6</v>
      </c>
      <c r="B87">
        <v>74.180036999999999</v>
      </c>
      <c r="C87">
        <v>75.323752999999996</v>
      </c>
      <c r="D87">
        <v>76.685034000000002</v>
      </c>
      <c r="E87">
        <v>62.575882999999997</v>
      </c>
      <c r="F87">
        <v>27.757145000000001</v>
      </c>
      <c r="G87">
        <v>19.498681000000001</v>
      </c>
      <c r="H87">
        <v>20.379823999999999</v>
      </c>
    </row>
    <row r="88" spans="1:9" customFormat="1" x14ac:dyDescent="0.3">
      <c r="A88">
        <v>870.8</v>
      </c>
      <c r="B88">
        <v>74.17013</v>
      </c>
      <c r="C88">
        <v>75.336635999999999</v>
      </c>
      <c r="D88">
        <v>76.656595999999993</v>
      </c>
      <c r="E88">
        <v>62.582017</v>
      </c>
      <c r="F88">
        <v>27.900489</v>
      </c>
      <c r="G88">
        <v>19.515819</v>
      </c>
      <c r="H88">
        <v>20.389834</v>
      </c>
    </row>
    <row r="89" spans="1:9" customFormat="1" x14ac:dyDescent="0.3">
      <c r="A89">
        <v>871</v>
      </c>
      <c r="B89">
        <v>74.17013</v>
      </c>
      <c r="C89">
        <v>75.336635999999999</v>
      </c>
      <c r="D89">
        <v>76.656595999999993</v>
      </c>
      <c r="E89">
        <v>62.582017</v>
      </c>
      <c r="F89">
        <v>27.900489</v>
      </c>
      <c r="G89">
        <v>19.515819</v>
      </c>
      <c r="H89">
        <v>20.389834</v>
      </c>
      <c r="I89" t="s">
        <v>61</v>
      </c>
    </row>
    <row r="90" spans="1:9" customFormat="1" x14ac:dyDescent="0.3">
      <c r="A90">
        <v>871.2</v>
      </c>
      <c r="B90">
        <v>74.146973000000003</v>
      </c>
      <c r="C90">
        <v>75.334050000000005</v>
      </c>
      <c r="D90">
        <v>76.659008</v>
      </c>
      <c r="E90">
        <v>62.566958999999997</v>
      </c>
      <c r="F90">
        <v>27.998065</v>
      </c>
      <c r="G90">
        <v>19.505825999999999</v>
      </c>
      <c r="H90">
        <v>20.381271999999999</v>
      </c>
    </row>
    <row r="91" spans="1:9" customFormat="1" x14ac:dyDescent="0.3">
      <c r="A91">
        <v>871.4</v>
      </c>
      <c r="B91">
        <v>74.146973000000003</v>
      </c>
      <c r="C91">
        <v>75.334050000000005</v>
      </c>
      <c r="D91">
        <v>76.659008</v>
      </c>
      <c r="E91">
        <v>62.566958999999997</v>
      </c>
      <c r="F91">
        <v>27.998065</v>
      </c>
      <c r="G91">
        <v>19.505825999999999</v>
      </c>
      <c r="H91">
        <v>20.381271999999999</v>
      </c>
    </row>
    <row r="92" spans="1:9" customFormat="1" x14ac:dyDescent="0.3">
      <c r="A92">
        <v>871.6</v>
      </c>
      <c r="B92">
        <v>74.180194</v>
      </c>
      <c r="C92">
        <v>75.339833999999996</v>
      </c>
      <c r="D92">
        <v>76.661146000000002</v>
      </c>
      <c r="E92">
        <v>62.600459000000001</v>
      </c>
      <c r="F92">
        <v>28.079287000000001</v>
      </c>
      <c r="G92">
        <v>19.512920999999999</v>
      </c>
      <c r="H92">
        <v>20.381246000000001</v>
      </c>
    </row>
    <row r="93" spans="1:9" customFormat="1" x14ac:dyDescent="0.3">
      <c r="A93">
        <v>871.8</v>
      </c>
      <c r="B93">
        <v>74.180194</v>
      </c>
      <c r="C93">
        <v>75.339833999999996</v>
      </c>
      <c r="D93">
        <v>76.661146000000002</v>
      </c>
      <c r="E93">
        <v>62.600459000000001</v>
      </c>
      <c r="F93">
        <v>28.079287000000001</v>
      </c>
      <c r="G93">
        <v>19.512920999999999</v>
      </c>
      <c r="H93">
        <v>20.381246000000001</v>
      </c>
    </row>
    <row r="94" spans="1:9" customFormat="1" x14ac:dyDescent="0.3">
      <c r="A94">
        <v>872</v>
      </c>
      <c r="B94">
        <v>74.176142999999996</v>
      </c>
      <c r="C94">
        <v>75.346718999999993</v>
      </c>
      <c r="D94">
        <v>76.660298999999995</v>
      </c>
      <c r="E94">
        <v>62.588081000000003</v>
      </c>
      <c r="F94">
        <v>28.065321000000001</v>
      </c>
      <c r="G94">
        <v>19.516693</v>
      </c>
      <c r="H94">
        <v>20.384542</v>
      </c>
      <c r="I94" t="s">
        <v>61</v>
      </c>
    </row>
    <row r="95" spans="1:9" customFormat="1" x14ac:dyDescent="0.3">
      <c r="A95">
        <v>872.2</v>
      </c>
      <c r="B95">
        <v>74.176142999999996</v>
      </c>
      <c r="C95">
        <v>75.346718999999993</v>
      </c>
      <c r="D95">
        <v>76.660298999999995</v>
      </c>
      <c r="E95">
        <v>62.588081000000003</v>
      </c>
      <c r="F95">
        <v>28.065321000000001</v>
      </c>
      <c r="G95">
        <v>19.516693</v>
      </c>
      <c r="H95">
        <v>20.384542</v>
      </c>
    </row>
    <row r="96" spans="1:9" customFormat="1" x14ac:dyDescent="0.3">
      <c r="A96">
        <v>872.4</v>
      </c>
      <c r="B96">
        <v>74.177225000000007</v>
      </c>
      <c r="C96">
        <v>75.319587999999996</v>
      </c>
      <c r="D96">
        <v>76.672715999999994</v>
      </c>
      <c r="E96">
        <v>62.607601000000003</v>
      </c>
      <c r="F96">
        <v>28.010943999999999</v>
      </c>
      <c r="G96">
        <v>19.515694</v>
      </c>
      <c r="H96">
        <v>20.365044000000001</v>
      </c>
    </row>
    <row r="97" spans="1:9" customFormat="1" x14ac:dyDescent="0.3">
      <c r="A97">
        <v>872.6</v>
      </c>
      <c r="B97">
        <v>74.177225000000007</v>
      </c>
      <c r="C97">
        <v>75.319587999999996</v>
      </c>
      <c r="D97">
        <v>76.672715999999994</v>
      </c>
      <c r="E97">
        <v>62.607601000000003</v>
      </c>
      <c r="F97">
        <v>28.010943999999999</v>
      </c>
      <c r="G97">
        <v>19.515694</v>
      </c>
      <c r="H97">
        <v>20.365044000000001</v>
      </c>
    </row>
    <row r="98" spans="1:9" customFormat="1" x14ac:dyDescent="0.3">
      <c r="A98">
        <v>872.8</v>
      </c>
      <c r="B98">
        <v>74.157532000000003</v>
      </c>
      <c r="C98">
        <v>75.327730000000003</v>
      </c>
      <c r="D98">
        <v>76.688091999999997</v>
      </c>
      <c r="E98">
        <v>62.592348999999999</v>
      </c>
      <c r="F98">
        <v>27.925059999999998</v>
      </c>
      <c r="G98">
        <v>19.524412000000002</v>
      </c>
      <c r="H98">
        <v>20.378973999999999</v>
      </c>
    </row>
    <row r="99" spans="1:9" customFormat="1" x14ac:dyDescent="0.3">
      <c r="A99">
        <v>873</v>
      </c>
      <c r="B99">
        <v>74.157532000000003</v>
      </c>
      <c r="C99">
        <v>75.327730000000003</v>
      </c>
      <c r="D99">
        <v>76.688091999999997</v>
      </c>
      <c r="E99">
        <v>62.592348999999999</v>
      </c>
      <c r="F99">
        <v>27.925059999999998</v>
      </c>
      <c r="G99">
        <v>19.524412000000002</v>
      </c>
      <c r="H99">
        <v>20.378973999999999</v>
      </c>
      <c r="I99" t="s">
        <v>61</v>
      </c>
    </row>
    <row r="100" spans="1:9" customFormat="1" x14ac:dyDescent="0.3">
      <c r="A100">
        <v>873.2</v>
      </c>
      <c r="B100">
        <v>74.181120000000007</v>
      </c>
      <c r="C100">
        <v>75.344397000000001</v>
      </c>
      <c r="D100">
        <v>76.668417000000005</v>
      </c>
      <c r="E100">
        <v>62.582504</v>
      </c>
      <c r="F100">
        <v>27.854884999999999</v>
      </c>
      <c r="G100">
        <v>19.504975999999999</v>
      </c>
      <c r="H100">
        <v>20.373307</v>
      </c>
    </row>
    <row r="101" spans="1:9" customFormat="1" x14ac:dyDescent="0.3">
      <c r="A101">
        <v>873.4</v>
      </c>
      <c r="B101">
        <v>74.181120000000007</v>
      </c>
      <c r="C101">
        <v>75.344397000000001</v>
      </c>
      <c r="D101">
        <v>76.668417000000005</v>
      </c>
      <c r="E101">
        <v>62.582504</v>
      </c>
      <c r="F101">
        <v>27.854884999999999</v>
      </c>
      <c r="G101">
        <v>19.504975999999999</v>
      </c>
      <c r="H101">
        <v>20.373307</v>
      </c>
    </row>
    <row r="102" spans="1:9" customFormat="1" x14ac:dyDescent="0.3">
      <c r="A102">
        <v>873.6</v>
      </c>
      <c r="B102">
        <v>74.185450000000003</v>
      </c>
      <c r="C102">
        <v>75.356898000000001</v>
      </c>
      <c r="D102">
        <v>76.689502000000005</v>
      </c>
      <c r="E102">
        <v>62.570745000000002</v>
      </c>
      <c r="F102">
        <v>27.761952999999998</v>
      </c>
      <c r="G102">
        <v>19.510546999999999</v>
      </c>
      <c r="H102">
        <v>20.364643999999998</v>
      </c>
    </row>
    <row r="103" spans="1:9" customFormat="1" x14ac:dyDescent="0.3">
      <c r="A103">
        <v>873.8</v>
      </c>
      <c r="B103">
        <v>74.185450000000003</v>
      </c>
      <c r="C103">
        <v>75.356898000000001</v>
      </c>
      <c r="D103">
        <v>76.689502000000005</v>
      </c>
      <c r="E103">
        <v>62.570745000000002</v>
      </c>
      <c r="F103">
        <v>27.761952999999998</v>
      </c>
      <c r="G103">
        <v>19.510546999999999</v>
      </c>
      <c r="H103">
        <v>20.364643999999998</v>
      </c>
    </row>
    <row r="104" spans="1:9" customFormat="1" x14ac:dyDescent="0.3">
      <c r="A104">
        <v>874</v>
      </c>
      <c r="B104">
        <v>74.159216000000001</v>
      </c>
      <c r="C104">
        <v>75.335778000000005</v>
      </c>
      <c r="D104">
        <v>76.689311000000004</v>
      </c>
      <c r="E104">
        <v>62.560415999999996</v>
      </c>
      <c r="F104">
        <v>27.699386000000001</v>
      </c>
      <c r="G104">
        <v>19.512395999999999</v>
      </c>
      <c r="H104">
        <v>20.357479999999999</v>
      </c>
      <c r="I104" t="s">
        <v>61</v>
      </c>
    </row>
    <row r="105" spans="1:9" customFormat="1" x14ac:dyDescent="0.3">
      <c r="A105">
        <v>874.2</v>
      </c>
      <c r="B105">
        <v>74.159216000000001</v>
      </c>
      <c r="C105">
        <v>75.335778000000005</v>
      </c>
      <c r="D105">
        <v>76.689311000000004</v>
      </c>
      <c r="E105">
        <v>62.560415999999996</v>
      </c>
      <c r="F105">
        <v>27.699386000000001</v>
      </c>
      <c r="G105">
        <v>19.512395999999999</v>
      </c>
      <c r="H105">
        <v>20.357479999999999</v>
      </c>
    </row>
    <row r="106" spans="1:9" customFormat="1" x14ac:dyDescent="0.3">
      <c r="A106">
        <v>874.4</v>
      </c>
      <c r="B106">
        <v>74.163905</v>
      </c>
      <c r="C106">
        <v>75.358645999999993</v>
      </c>
      <c r="D106">
        <v>76.673552000000001</v>
      </c>
      <c r="E106">
        <v>62.547175000000003</v>
      </c>
      <c r="F106">
        <v>27.718267999999998</v>
      </c>
      <c r="G106">
        <v>19.512995</v>
      </c>
      <c r="H106">
        <v>20.399345</v>
      </c>
    </row>
    <row r="107" spans="1:9" customFormat="1" x14ac:dyDescent="0.3">
      <c r="A107">
        <v>874.6</v>
      </c>
      <c r="B107">
        <v>74.163905</v>
      </c>
      <c r="C107">
        <v>75.358645999999993</v>
      </c>
      <c r="D107">
        <v>76.673552000000001</v>
      </c>
      <c r="E107">
        <v>62.547175000000003</v>
      </c>
      <c r="F107">
        <v>27.718267999999998</v>
      </c>
      <c r="G107">
        <v>19.512995</v>
      </c>
      <c r="H107">
        <v>20.399345</v>
      </c>
    </row>
    <row r="108" spans="1:9" customFormat="1" x14ac:dyDescent="0.3">
      <c r="A108">
        <v>874.8</v>
      </c>
      <c r="B108">
        <v>74.180017000000007</v>
      </c>
      <c r="C108">
        <v>75.357856999999996</v>
      </c>
      <c r="D108">
        <v>76.678208999999995</v>
      </c>
      <c r="E108">
        <v>62.557434000000001</v>
      </c>
      <c r="F108">
        <v>27.773747</v>
      </c>
      <c r="G108">
        <v>19.511271000000001</v>
      </c>
      <c r="H108">
        <v>20.389084</v>
      </c>
    </row>
    <row r="109" spans="1:9" customFormat="1" x14ac:dyDescent="0.3">
      <c r="A109">
        <v>875</v>
      </c>
      <c r="B109">
        <v>74.180017000000007</v>
      </c>
      <c r="C109">
        <v>75.357856999999996</v>
      </c>
      <c r="D109">
        <v>76.678208999999995</v>
      </c>
      <c r="E109">
        <v>62.557434000000001</v>
      </c>
      <c r="F109">
        <v>27.773747</v>
      </c>
      <c r="G109">
        <v>19.511271000000001</v>
      </c>
      <c r="H109">
        <v>20.389084</v>
      </c>
      <c r="I109" t="s">
        <v>61</v>
      </c>
    </row>
    <row r="110" spans="1:9" customFormat="1" x14ac:dyDescent="0.3">
      <c r="A110">
        <v>875.2</v>
      </c>
      <c r="B110">
        <v>74.163954000000004</v>
      </c>
      <c r="C110">
        <v>75.336400999999995</v>
      </c>
      <c r="D110">
        <v>76.681313000000003</v>
      </c>
      <c r="E110">
        <v>62.539392999999997</v>
      </c>
      <c r="F110">
        <v>27.891251</v>
      </c>
      <c r="G110">
        <v>19.51904</v>
      </c>
      <c r="H110">
        <v>20.397797000000001</v>
      </c>
    </row>
    <row r="111" spans="1:9" customFormat="1" x14ac:dyDescent="0.3">
      <c r="A111">
        <v>875.4</v>
      </c>
      <c r="B111">
        <v>74.163954000000004</v>
      </c>
      <c r="C111">
        <v>75.336400999999995</v>
      </c>
      <c r="D111">
        <v>76.681313000000003</v>
      </c>
      <c r="E111">
        <v>62.539392999999997</v>
      </c>
      <c r="F111">
        <v>27.891251</v>
      </c>
      <c r="G111">
        <v>19.51904</v>
      </c>
      <c r="H111">
        <v>20.397797000000001</v>
      </c>
    </row>
    <row r="112" spans="1:9" customFormat="1" x14ac:dyDescent="0.3">
      <c r="A112">
        <v>875.6</v>
      </c>
      <c r="B112">
        <v>74.148298999999994</v>
      </c>
      <c r="C112">
        <v>75.352204999999998</v>
      </c>
      <c r="D112">
        <v>76.691174000000004</v>
      </c>
      <c r="E112">
        <v>62.535125000000001</v>
      </c>
      <c r="F112">
        <v>27.993458</v>
      </c>
      <c r="G112">
        <v>19.508872</v>
      </c>
      <c r="H112">
        <v>20.397122</v>
      </c>
    </row>
    <row r="113" spans="1:9" customFormat="1" x14ac:dyDescent="0.3">
      <c r="A113">
        <v>875.8</v>
      </c>
      <c r="B113">
        <v>74.148298999999994</v>
      </c>
      <c r="C113">
        <v>75.352204999999998</v>
      </c>
      <c r="D113">
        <v>76.691174000000004</v>
      </c>
      <c r="E113">
        <v>62.535125000000001</v>
      </c>
      <c r="F113">
        <v>27.993458</v>
      </c>
      <c r="G113">
        <v>19.508872</v>
      </c>
      <c r="H113">
        <v>20.397122</v>
      </c>
    </row>
    <row r="114" spans="1:9" customFormat="1" x14ac:dyDescent="0.3">
      <c r="A114">
        <v>876</v>
      </c>
      <c r="B114">
        <v>74.172586999999993</v>
      </c>
      <c r="C114">
        <v>75.351367999999994</v>
      </c>
      <c r="D114">
        <v>76.673553999999996</v>
      </c>
      <c r="E114">
        <v>62.567909</v>
      </c>
      <c r="F114">
        <v>28.082348</v>
      </c>
      <c r="G114">
        <v>19.502652000000001</v>
      </c>
      <c r="H114">
        <v>20.398021</v>
      </c>
      <c r="I114" t="s">
        <v>61</v>
      </c>
    </row>
    <row r="115" spans="1:9" customFormat="1" x14ac:dyDescent="0.3">
      <c r="A115">
        <v>876.2</v>
      </c>
      <c r="B115">
        <v>74.172586999999993</v>
      </c>
      <c r="C115">
        <v>75.351367999999994</v>
      </c>
      <c r="D115">
        <v>76.673553999999996</v>
      </c>
      <c r="E115">
        <v>62.567909</v>
      </c>
      <c r="F115">
        <v>28.082348</v>
      </c>
      <c r="G115">
        <v>19.502652000000001</v>
      </c>
      <c r="H115">
        <v>20.398021</v>
      </c>
    </row>
    <row r="116" spans="1:9" customFormat="1" x14ac:dyDescent="0.3">
      <c r="A116">
        <v>876.4</v>
      </c>
      <c r="B116">
        <v>74.180739000000003</v>
      </c>
      <c r="C116">
        <v>75.354026000000005</v>
      </c>
      <c r="D116">
        <v>76.692536000000004</v>
      </c>
      <c r="E116">
        <v>62.600087000000002</v>
      </c>
      <c r="F116">
        <v>28.159288</v>
      </c>
      <c r="G116">
        <v>19.529731999999999</v>
      </c>
      <c r="H116">
        <v>20.390930999999998</v>
      </c>
    </row>
    <row r="117" spans="1:9" customFormat="1" x14ac:dyDescent="0.3">
      <c r="A117">
        <v>876.6</v>
      </c>
      <c r="B117">
        <v>74.180739000000003</v>
      </c>
      <c r="C117">
        <v>75.354026000000005</v>
      </c>
      <c r="D117">
        <v>76.692536000000004</v>
      </c>
      <c r="E117">
        <v>62.600087000000002</v>
      </c>
      <c r="F117">
        <v>28.159288</v>
      </c>
      <c r="G117">
        <v>19.529731999999999</v>
      </c>
      <c r="H117">
        <v>20.390930999999998</v>
      </c>
    </row>
    <row r="118" spans="1:9" customFormat="1" x14ac:dyDescent="0.3">
      <c r="A118">
        <v>876.8</v>
      </c>
      <c r="B118">
        <v>74.177901000000006</v>
      </c>
      <c r="C118">
        <v>75.359845000000007</v>
      </c>
      <c r="D118">
        <v>76.691079000000002</v>
      </c>
      <c r="E118">
        <v>62.604596999999998</v>
      </c>
      <c r="F118">
        <v>28.170141999999998</v>
      </c>
      <c r="G118">
        <v>19.511970000000002</v>
      </c>
      <c r="H118">
        <v>20.376027000000001</v>
      </c>
    </row>
    <row r="119" spans="1:9" customFormat="1" x14ac:dyDescent="0.3">
      <c r="A119">
        <v>877</v>
      </c>
      <c r="B119">
        <v>74.177901000000006</v>
      </c>
      <c r="C119">
        <v>75.359845000000007</v>
      </c>
      <c r="D119">
        <v>76.691079000000002</v>
      </c>
      <c r="E119">
        <v>62.604596999999998</v>
      </c>
      <c r="F119">
        <v>28.170141999999998</v>
      </c>
      <c r="G119">
        <v>19.511970000000002</v>
      </c>
      <c r="H119">
        <v>20.376027000000001</v>
      </c>
      <c r="I119" t="s">
        <v>61</v>
      </c>
    </row>
    <row r="120" spans="1:9" customFormat="1" x14ac:dyDescent="0.3">
      <c r="A120">
        <v>877.2</v>
      </c>
      <c r="B120">
        <v>74.212023000000002</v>
      </c>
      <c r="C120">
        <v>75.359246999999996</v>
      </c>
      <c r="D120">
        <v>76.682316999999998</v>
      </c>
      <c r="E120">
        <v>62.581415999999997</v>
      </c>
      <c r="F120">
        <v>28.149394999999998</v>
      </c>
      <c r="G120">
        <v>19.522811999999998</v>
      </c>
      <c r="H120">
        <v>20.381644000000001</v>
      </c>
    </row>
    <row r="121" spans="1:9" customFormat="1" x14ac:dyDescent="0.3">
      <c r="A121">
        <v>877.4</v>
      </c>
      <c r="B121">
        <v>74.212023000000002</v>
      </c>
      <c r="C121">
        <v>75.359246999999996</v>
      </c>
      <c r="D121">
        <v>76.682316999999998</v>
      </c>
      <c r="E121">
        <v>62.581415999999997</v>
      </c>
      <c r="F121">
        <v>28.149394999999998</v>
      </c>
      <c r="G121">
        <v>19.522811999999998</v>
      </c>
      <c r="H121">
        <v>20.381644000000001</v>
      </c>
    </row>
    <row r="122" spans="1:9" customFormat="1" x14ac:dyDescent="0.3">
      <c r="A122">
        <v>877.6</v>
      </c>
      <c r="B122">
        <v>74.172011999999995</v>
      </c>
      <c r="C122">
        <v>75.363989000000004</v>
      </c>
      <c r="D122">
        <v>76.690674999999999</v>
      </c>
      <c r="E122">
        <v>62.509739000000003</v>
      </c>
      <c r="F122">
        <v>28.157997999999999</v>
      </c>
      <c r="G122">
        <v>19.497129999999999</v>
      </c>
      <c r="H122">
        <v>20.384914999999999</v>
      </c>
    </row>
    <row r="123" spans="1:9" customFormat="1" x14ac:dyDescent="0.3">
      <c r="A123">
        <v>877.8</v>
      </c>
      <c r="B123">
        <v>74.172011999999995</v>
      </c>
      <c r="C123">
        <v>75.363989000000004</v>
      </c>
      <c r="D123">
        <v>76.690674999999999</v>
      </c>
      <c r="E123">
        <v>62.509739000000003</v>
      </c>
      <c r="F123">
        <v>28.157997999999999</v>
      </c>
      <c r="G123">
        <v>19.497129999999999</v>
      </c>
      <c r="H123">
        <v>20.384914999999999</v>
      </c>
    </row>
    <row r="124" spans="1:9" customFormat="1" x14ac:dyDescent="0.3">
      <c r="A124">
        <v>1087</v>
      </c>
      <c r="B124">
        <v>81.620700999999997</v>
      </c>
      <c r="C124">
        <v>83.401650000000004</v>
      </c>
      <c r="D124">
        <v>85.291071000000002</v>
      </c>
      <c r="E124">
        <v>66.098754</v>
      </c>
      <c r="F124">
        <v>30.857793999999998</v>
      </c>
      <c r="G124">
        <v>19.551898999999999</v>
      </c>
      <c r="H124">
        <v>20.828503000000001</v>
      </c>
      <c r="I124" t="s">
        <v>61</v>
      </c>
    </row>
    <row r="125" spans="1:9" customFormat="1" x14ac:dyDescent="0.3">
      <c r="A125">
        <v>1087.2</v>
      </c>
      <c r="B125">
        <v>81.639476000000002</v>
      </c>
      <c r="C125">
        <v>83.356607999999994</v>
      </c>
      <c r="D125">
        <v>85.274529000000001</v>
      </c>
      <c r="E125">
        <v>66.232938000000004</v>
      </c>
      <c r="F125">
        <v>30.780794</v>
      </c>
      <c r="G125">
        <v>19.567762999999999</v>
      </c>
      <c r="H125">
        <v>20.807839999999999</v>
      </c>
    </row>
    <row r="126" spans="1:9" customFormat="1" x14ac:dyDescent="0.3">
      <c r="A126">
        <v>1087.4000000000001</v>
      </c>
      <c r="B126">
        <v>81.639476000000002</v>
      </c>
      <c r="C126">
        <v>83.356607999999994</v>
      </c>
      <c r="D126">
        <v>85.274529000000001</v>
      </c>
      <c r="E126">
        <v>66.232938000000004</v>
      </c>
      <c r="F126">
        <v>30.780794</v>
      </c>
      <c r="G126">
        <v>19.567762999999999</v>
      </c>
      <c r="H126">
        <v>20.807839999999999</v>
      </c>
    </row>
    <row r="127" spans="1:9" customFormat="1" x14ac:dyDescent="0.3">
      <c r="A127">
        <v>1087.5999999999999</v>
      </c>
      <c r="B127">
        <v>81.646527000000006</v>
      </c>
      <c r="C127">
        <v>83.377064000000004</v>
      </c>
      <c r="D127">
        <v>85.255193000000006</v>
      </c>
      <c r="E127">
        <v>66.406852000000001</v>
      </c>
      <c r="F127">
        <v>30.691925000000001</v>
      </c>
      <c r="G127">
        <v>19.552424999999999</v>
      </c>
      <c r="H127">
        <v>20.798207999999999</v>
      </c>
    </row>
    <row r="128" spans="1:9" customFormat="1" x14ac:dyDescent="0.3">
      <c r="A128">
        <v>1087.8</v>
      </c>
      <c r="B128">
        <v>81.646527000000006</v>
      </c>
      <c r="C128">
        <v>83.377064000000004</v>
      </c>
      <c r="D128">
        <v>85.255193000000006</v>
      </c>
      <c r="E128">
        <v>66.406852000000001</v>
      </c>
      <c r="F128">
        <v>30.691925000000001</v>
      </c>
      <c r="G128">
        <v>19.552424999999999</v>
      </c>
      <c r="H128">
        <v>20.798207999999999</v>
      </c>
    </row>
    <row r="129" spans="1:9" customFormat="1" x14ac:dyDescent="0.3">
      <c r="A129">
        <v>1088</v>
      </c>
      <c r="B129">
        <v>81.674096000000006</v>
      </c>
      <c r="C129">
        <v>83.402251000000007</v>
      </c>
      <c r="D129">
        <v>85.277818999999994</v>
      </c>
      <c r="E129">
        <v>66.572425999999993</v>
      </c>
      <c r="F129">
        <v>30.612514999999998</v>
      </c>
      <c r="G129">
        <v>19.544556</v>
      </c>
      <c r="H129">
        <v>20.762371999999999</v>
      </c>
      <c r="I129" t="s">
        <v>61</v>
      </c>
    </row>
    <row r="130" spans="1:9" customFormat="1" x14ac:dyDescent="0.3">
      <c r="A130">
        <v>1088.2</v>
      </c>
      <c r="B130">
        <v>81.674096000000006</v>
      </c>
      <c r="C130">
        <v>83.402251000000007</v>
      </c>
      <c r="D130">
        <v>85.277818999999994</v>
      </c>
      <c r="E130">
        <v>66.572425999999993</v>
      </c>
      <c r="F130">
        <v>30.612514999999998</v>
      </c>
      <c r="G130">
        <v>19.544556</v>
      </c>
      <c r="H130">
        <v>20.762371999999999</v>
      </c>
    </row>
    <row r="131" spans="1:9" customFormat="1" x14ac:dyDescent="0.3">
      <c r="A131">
        <v>1088.4000000000001</v>
      </c>
      <c r="B131">
        <v>81.712477000000007</v>
      </c>
      <c r="C131">
        <v>83.396546999999998</v>
      </c>
      <c r="D131">
        <v>85.300060999999999</v>
      </c>
      <c r="E131">
        <v>66.693201000000002</v>
      </c>
      <c r="F131">
        <v>30.543803</v>
      </c>
      <c r="G131">
        <v>19.544905</v>
      </c>
      <c r="H131">
        <v>20.751341</v>
      </c>
    </row>
    <row r="132" spans="1:9" customFormat="1" x14ac:dyDescent="0.3">
      <c r="A132">
        <v>1088.5999999999999</v>
      </c>
      <c r="B132">
        <v>81.712477000000007</v>
      </c>
      <c r="C132">
        <v>83.396546999999998</v>
      </c>
      <c r="D132">
        <v>85.300060999999999</v>
      </c>
      <c r="E132">
        <v>66.693201000000002</v>
      </c>
      <c r="F132">
        <v>30.543803</v>
      </c>
      <c r="G132">
        <v>19.544905</v>
      </c>
      <c r="H132">
        <v>20.751341</v>
      </c>
    </row>
    <row r="133" spans="1:9" customFormat="1" x14ac:dyDescent="0.3">
      <c r="A133">
        <v>1088.8</v>
      </c>
      <c r="B133">
        <v>81.780558999999997</v>
      </c>
      <c r="C133">
        <v>83.426575999999997</v>
      </c>
      <c r="D133">
        <v>85.311166</v>
      </c>
      <c r="E133">
        <v>66.776002000000005</v>
      </c>
      <c r="F133">
        <v>30.428505999999999</v>
      </c>
      <c r="G133">
        <v>19.563715999999999</v>
      </c>
      <c r="H133">
        <v>20.773451999999999</v>
      </c>
    </row>
    <row r="134" spans="1:9" customFormat="1" x14ac:dyDescent="0.3">
      <c r="A134">
        <v>1089</v>
      </c>
      <c r="B134">
        <v>81.780558999999997</v>
      </c>
      <c r="C134">
        <v>83.426575999999997</v>
      </c>
      <c r="D134">
        <v>85.311166</v>
      </c>
      <c r="E134">
        <v>66.776002000000005</v>
      </c>
      <c r="F134">
        <v>30.428505999999999</v>
      </c>
      <c r="G134">
        <v>19.563715999999999</v>
      </c>
      <c r="H134">
        <v>20.773451999999999</v>
      </c>
      <c r="I134" t="s">
        <v>61</v>
      </c>
    </row>
    <row r="135" spans="1:9" customFormat="1" x14ac:dyDescent="0.3">
      <c r="A135">
        <v>1089.2</v>
      </c>
      <c r="B135">
        <v>81.808790000000002</v>
      </c>
      <c r="C135">
        <v>83.464715999999996</v>
      </c>
      <c r="D135">
        <v>85.317871999999994</v>
      </c>
      <c r="E135">
        <v>66.854344999999995</v>
      </c>
      <c r="F135">
        <v>30.269717</v>
      </c>
      <c r="G135">
        <v>19.560393999999999</v>
      </c>
      <c r="H135">
        <v>20.770606999999998</v>
      </c>
    </row>
    <row r="136" spans="1:9" customFormat="1" x14ac:dyDescent="0.3">
      <c r="A136">
        <v>1089.4000000000001</v>
      </c>
      <c r="B136">
        <v>81.808790000000002</v>
      </c>
      <c r="C136">
        <v>83.464715999999996</v>
      </c>
      <c r="D136">
        <v>85.317871999999994</v>
      </c>
      <c r="E136">
        <v>66.854344999999995</v>
      </c>
      <c r="F136">
        <v>30.269717</v>
      </c>
      <c r="G136">
        <v>19.560393999999999</v>
      </c>
      <c r="H136">
        <v>20.770606999999998</v>
      </c>
    </row>
    <row r="137" spans="1:9" customFormat="1" x14ac:dyDescent="0.3">
      <c r="A137">
        <v>1089.5999999999999</v>
      </c>
      <c r="B137">
        <v>81.852030999999997</v>
      </c>
      <c r="C137">
        <v>83.489350999999999</v>
      </c>
      <c r="D137">
        <v>85.327684000000005</v>
      </c>
      <c r="E137">
        <v>66.757766000000004</v>
      </c>
      <c r="F137">
        <v>30.126712999999999</v>
      </c>
      <c r="G137">
        <v>19.548504000000001</v>
      </c>
      <c r="H137">
        <v>20.768211999999998</v>
      </c>
    </row>
    <row r="138" spans="1:9" customFormat="1" x14ac:dyDescent="0.3">
      <c r="A138">
        <v>1089.8</v>
      </c>
      <c r="B138">
        <v>81.852030999999997</v>
      </c>
      <c r="C138">
        <v>83.489350999999999</v>
      </c>
      <c r="D138">
        <v>85.327684000000005</v>
      </c>
      <c r="E138">
        <v>66.757766000000004</v>
      </c>
      <c r="F138">
        <v>30.126712999999999</v>
      </c>
      <c r="G138">
        <v>19.548504000000001</v>
      </c>
      <c r="H138">
        <v>20.768211999999998</v>
      </c>
    </row>
    <row r="139" spans="1:9" customFormat="1" x14ac:dyDescent="0.3">
      <c r="A139">
        <v>1090</v>
      </c>
      <c r="B139">
        <v>81.867851000000002</v>
      </c>
      <c r="C139">
        <v>83.494865000000004</v>
      </c>
      <c r="D139">
        <v>85.352260000000001</v>
      </c>
      <c r="E139">
        <v>66.253713000000005</v>
      </c>
      <c r="F139">
        <v>30.161210000000001</v>
      </c>
      <c r="G139">
        <v>19.560320000000001</v>
      </c>
      <c r="H139">
        <v>20.788077000000001</v>
      </c>
      <c r="I139" t="s">
        <v>61</v>
      </c>
    </row>
    <row r="140" spans="1:9" customFormat="1" x14ac:dyDescent="0.3">
      <c r="A140">
        <v>1090.2</v>
      </c>
      <c r="B140">
        <v>81.867851000000002</v>
      </c>
      <c r="C140">
        <v>83.494865000000004</v>
      </c>
      <c r="D140">
        <v>85.352260000000001</v>
      </c>
      <c r="E140">
        <v>66.253713000000005</v>
      </c>
      <c r="F140">
        <v>30.161210000000001</v>
      </c>
      <c r="G140">
        <v>19.560320000000001</v>
      </c>
      <c r="H140">
        <v>20.788077000000001</v>
      </c>
    </row>
    <row r="141" spans="1:9" customFormat="1" x14ac:dyDescent="0.3">
      <c r="A141">
        <v>1090.4000000000001</v>
      </c>
      <c r="B141">
        <v>81.801226999999997</v>
      </c>
      <c r="C141">
        <v>83.497251000000006</v>
      </c>
      <c r="D141">
        <v>85.368719999999996</v>
      </c>
      <c r="E141">
        <v>66.110932000000005</v>
      </c>
      <c r="F141">
        <v>30.221539</v>
      </c>
      <c r="G141">
        <v>19.568739999999998</v>
      </c>
      <c r="H141">
        <v>20.802651999999998</v>
      </c>
    </row>
    <row r="142" spans="1:9" customFormat="1" x14ac:dyDescent="0.3">
      <c r="A142">
        <v>1090.5999999999999</v>
      </c>
      <c r="B142">
        <v>81.801226999999997</v>
      </c>
      <c r="C142">
        <v>83.497251000000006</v>
      </c>
      <c r="D142">
        <v>85.368719999999996</v>
      </c>
      <c r="E142">
        <v>66.110932000000005</v>
      </c>
      <c r="F142">
        <v>30.221539</v>
      </c>
      <c r="G142">
        <v>19.568739999999998</v>
      </c>
      <c r="H142">
        <v>20.802651999999998</v>
      </c>
    </row>
    <row r="143" spans="1:9" customFormat="1" x14ac:dyDescent="0.3">
      <c r="A143">
        <v>1090.8</v>
      </c>
      <c r="B143">
        <v>81.735720999999998</v>
      </c>
      <c r="C143">
        <v>83.459997999999999</v>
      </c>
      <c r="D143">
        <v>85.340871000000007</v>
      </c>
      <c r="E143">
        <v>66.080642999999995</v>
      </c>
      <c r="F143">
        <v>30.461352999999999</v>
      </c>
      <c r="G143">
        <v>19.554924</v>
      </c>
      <c r="H143">
        <v>20.773204</v>
      </c>
    </row>
    <row r="144" spans="1:9" customFormat="1" x14ac:dyDescent="0.3">
      <c r="A144">
        <v>1091</v>
      </c>
      <c r="B144">
        <v>81.735720999999998</v>
      </c>
      <c r="C144">
        <v>83.459997999999999</v>
      </c>
      <c r="D144">
        <v>85.340871000000007</v>
      </c>
      <c r="E144">
        <v>66.080642999999995</v>
      </c>
      <c r="F144">
        <v>30.461352999999999</v>
      </c>
      <c r="G144">
        <v>19.554924</v>
      </c>
      <c r="H144">
        <v>20.773204</v>
      </c>
      <c r="I144" t="s">
        <v>61</v>
      </c>
    </row>
    <row r="145" spans="1:9" customFormat="1" x14ac:dyDescent="0.3">
      <c r="A145">
        <v>1091.2</v>
      </c>
      <c r="B145">
        <v>81.704195999999996</v>
      </c>
      <c r="C145">
        <v>83.448856000000006</v>
      </c>
      <c r="D145">
        <v>85.348832999999999</v>
      </c>
      <c r="E145">
        <v>66.228841000000003</v>
      </c>
      <c r="F145">
        <v>31.078824000000001</v>
      </c>
      <c r="G145">
        <v>19.561395000000001</v>
      </c>
      <c r="H145">
        <v>20.768761999999999</v>
      </c>
    </row>
    <row r="146" spans="1:9" customFormat="1" x14ac:dyDescent="0.3">
      <c r="A146">
        <v>1091.4000000000001</v>
      </c>
      <c r="B146">
        <v>81.704195999999996</v>
      </c>
      <c r="C146">
        <v>83.448856000000006</v>
      </c>
      <c r="D146">
        <v>85.348832999999999</v>
      </c>
      <c r="E146">
        <v>66.228841000000003</v>
      </c>
      <c r="F146">
        <v>31.078824000000001</v>
      </c>
      <c r="G146">
        <v>19.561395000000001</v>
      </c>
      <c r="H146">
        <v>20.768761999999999</v>
      </c>
    </row>
    <row r="147" spans="1:9" customFormat="1" x14ac:dyDescent="0.3">
      <c r="A147">
        <v>1091.5999999999999</v>
      </c>
      <c r="B147">
        <v>81.715732000000003</v>
      </c>
      <c r="C147">
        <v>83.435531999999995</v>
      </c>
      <c r="D147">
        <v>85.331682000000001</v>
      </c>
      <c r="E147">
        <v>66.411411999999999</v>
      </c>
      <c r="F147">
        <v>31.484096000000001</v>
      </c>
      <c r="G147">
        <v>19.558796999999998</v>
      </c>
      <c r="H147">
        <v>20.773754</v>
      </c>
    </row>
    <row r="148" spans="1:9" customFormat="1" x14ac:dyDescent="0.3">
      <c r="A148">
        <v>1091.8</v>
      </c>
      <c r="B148">
        <v>81.715732000000003</v>
      </c>
      <c r="C148">
        <v>83.435531999999995</v>
      </c>
      <c r="D148">
        <v>85.331682000000001</v>
      </c>
      <c r="E148">
        <v>66.411411999999999</v>
      </c>
      <c r="F148">
        <v>31.484096000000001</v>
      </c>
      <c r="G148">
        <v>19.558796999999998</v>
      </c>
      <c r="H148">
        <v>20.773754</v>
      </c>
    </row>
    <row r="149" spans="1:9" customFormat="1" x14ac:dyDescent="0.3">
      <c r="A149">
        <v>1092</v>
      </c>
      <c r="B149">
        <v>81.740474000000006</v>
      </c>
      <c r="C149">
        <v>83.441056000000003</v>
      </c>
      <c r="D149">
        <v>85.351725999999999</v>
      </c>
      <c r="E149">
        <v>66.576440000000005</v>
      </c>
      <c r="F149">
        <v>31.574036</v>
      </c>
      <c r="G149">
        <v>19.556273999999998</v>
      </c>
      <c r="H149">
        <v>20.758904999999999</v>
      </c>
      <c r="I149" t="s">
        <v>61</v>
      </c>
    </row>
    <row r="150" spans="1:9" customFormat="1" x14ac:dyDescent="0.3">
      <c r="A150">
        <v>1092.2</v>
      </c>
      <c r="B150">
        <v>81.740474000000006</v>
      </c>
      <c r="C150">
        <v>83.441056000000003</v>
      </c>
      <c r="D150">
        <v>85.351725999999999</v>
      </c>
      <c r="E150">
        <v>66.576440000000005</v>
      </c>
      <c r="F150">
        <v>31.574036</v>
      </c>
      <c r="G150">
        <v>19.556273999999998</v>
      </c>
      <c r="H150">
        <v>20.758904999999999</v>
      </c>
    </row>
    <row r="151" spans="1:9" customFormat="1" x14ac:dyDescent="0.3">
      <c r="A151">
        <v>1092.4000000000001</v>
      </c>
      <c r="B151">
        <v>81.796514999999999</v>
      </c>
      <c r="C151">
        <v>83.461366999999996</v>
      </c>
      <c r="D151">
        <v>85.343827000000005</v>
      </c>
      <c r="E151">
        <v>66.699348000000001</v>
      </c>
      <c r="F151">
        <v>31.510276999999999</v>
      </c>
      <c r="G151">
        <v>19.576184999999999</v>
      </c>
      <c r="H151">
        <v>20.761724999999998</v>
      </c>
    </row>
    <row r="152" spans="1:9" customFormat="1" x14ac:dyDescent="0.3">
      <c r="A152">
        <v>1092.5999999999999</v>
      </c>
      <c r="B152">
        <v>81.796514999999999</v>
      </c>
      <c r="C152">
        <v>83.461366999999996</v>
      </c>
      <c r="D152">
        <v>85.343827000000005</v>
      </c>
      <c r="E152">
        <v>66.699348000000001</v>
      </c>
      <c r="F152">
        <v>31.510276999999999</v>
      </c>
      <c r="G152">
        <v>19.576184999999999</v>
      </c>
      <c r="H152">
        <v>20.761724999999998</v>
      </c>
    </row>
    <row r="153" spans="1:9" customFormat="1" x14ac:dyDescent="0.3">
      <c r="A153">
        <v>1092.8</v>
      </c>
      <c r="B153">
        <v>81.829305000000005</v>
      </c>
      <c r="C153">
        <v>83.469671000000005</v>
      </c>
      <c r="D153">
        <v>85.348022</v>
      </c>
      <c r="E153">
        <v>66.840716999999998</v>
      </c>
      <c r="F153">
        <v>31.278970000000001</v>
      </c>
      <c r="G153">
        <v>19.56307</v>
      </c>
      <c r="H153">
        <v>20.747675000000001</v>
      </c>
    </row>
    <row r="154" spans="1:9" customFormat="1" x14ac:dyDescent="0.3">
      <c r="A154">
        <v>1093</v>
      </c>
      <c r="B154">
        <v>81.829305000000005</v>
      </c>
      <c r="C154">
        <v>83.469671000000005</v>
      </c>
      <c r="D154">
        <v>85.348022</v>
      </c>
      <c r="E154">
        <v>66.840716999999998</v>
      </c>
      <c r="F154">
        <v>31.278970000000001</v>
      </c>
      <c r="G154">
        <v>19.56307</v>
      </c>
      <c r="H154">
        <v>20.747675000000001</v>
      </c>
      <c r="I154" t="s">
        <v>61</v>
      </c>
    </row>
    <row r="155" spans="1:9" customFormat="1" x14ac:dyDescent="0.3">
      <c r="A155">
        <v>1093.2</v>
      </c>
      <c r="B155">
        <v>81.866895</v>
      </c>
      <c r="C155">
        <v>83.491409000000004</v>
      </c>
      <c r="D155">
        <v>85.356533999999996</v>
      </c>
      <c r="E155">
        <v>66.877407000000005</v>
      </c>
      <c r="F155">
        <v>30.991015999999998</v>
      </c>
      <c r="G155">
        <v>19.573187000000001</v>
      </c>
      <c r="H155">
        <v>20.746403000000001</v>
      </c>
    </row>
    <row r="156" spans="1:9" customFormat="1" x14ac:dyDescent="0.3">
      <c r="A156">
        <v>1093.4000000000001</v>
      </c>
      <c r="B156">
        <v>81.866895</v>
      </c>
      <c r="C156">
        <v>83.491409000000004</v>
      </c>
      <c r="D156">
        <v>85.356533999999996</v>
      </c>
      <c r="E156">
        <v>66.877407000000005</v>
      </c>
      <c r="F156">
        <v>30.991015999999998</v>
      </c>
      <c r="G156">
        <v>19.573187000000001</v>
      </c>
      <c r="H156">
        <v>20.746403000000001</v>
      </c>
    </row>
    <row r="157" spans="1:9" customFormat="1" x14ac:dyDescent="0.3">
      <c r="A157">
        <v>1093.5999999999999</v>
      </c>
      <c r="B157">
        <v>81.905614</v>
      </c>
      <c r="C157">
        <v>83.545006000000001</v>
      </c>
      <c r="D157">
        <v>85.378657000000004</v>
      </c>
      <c r="E157">
        <v>66.961242999999996</v>
      </c>
      <c r="F157">
        <v>30.690591000000001</v>
      </c>
      <c r="G157">
        <v>19.566766999999999</v>
      </c>
      <c r="H157">
        <v>20.739989000000001</v>
      </c>
    </row>
    <row r="158" spans="1:9" customFormat="1" x14ac:dyDescent="0.3">
      <c r="A158">
        <v>1093.8</v>
      </c>
      <c r="B158">
        <v>81.905614</v>
      </c>
      <c r="C158">
        <v>83.545006000000001</v>
      </c>
      <c r="D158">
        <v>85.378657000000004</v>
      </c>
      <c r="E158">
        <v>66.961242999999996</v>
      </c>
      <c r="F158">
        <v>30.690591000000001</v>
      </c>
      <c r="G158">
        <v>19.566766999999999</v>
      </c>
      <c r="H158">
        <v>20.739989000000001</v>
      </c>
    </row>
    <row r="159" spans="1:9" customFormat="1" x14ac:dyDescent="0.3">
      <c r="A159">
        <v>1094</v>
      </c>
      <c r="B159">
        <v>81.930587000000003</v>
      </c>
      <c r="C159">
        <v>83.527080999999995</v>
      </c>
      <c r="D159">
        <v>85.428453000000005</v>
      </c>
      <c r="E159">
        <v>66.833393999999998</v>
      </c>
      <c r="F159">
        <v>30.432725999999999</v>
      </c>
      <c r="G159">
        <v>19.568366000000001</v>
      </c>
      <c r="H159">
        <v>20.764347000000001</v>
      </c>
      <c r="I159" t="s">
        <v>61</v>
      </c>
    </row>
    <row r="160" spans="1:9" customFormat="1" x14ac:dyDescent="0.3">
      <c r="A160">
        <v>1094.2</v>
      </c>
      <c r="B160">
        <v>81.930587000000003</v>
      </c>
      <c r="C160">
        <v>83.527080999999995</v>
      </c>
      <c r="D160">
        <v>85.428453000000005</v>
      </c>
      <c r="E160">
        <v>66.833393999999998</v>
      </c>
      <c r="F160">
        <v>30.432725999999999</v>
      </c>
      <c r="G160">
        <v>19.568366000000001</v>
      </c>
      <c r="H160">
        <v>20.764347000000001</v>
      </c>
    </row>
    <row r="161" spans="1:9" customFormat="1" x14ac:dyDescent="0.3">
      <c r="A161">
        <v>1094.4000000000001</v>
      </c>
      <c r="B161">
        <v>81.923115999999993</v>
      </c>
      <c r="C161">
        <v>83.561985000000007</v>
      </c>
      <c r="D161">
        <v>85.436926999999997</v>
      </c>
      <c r="E161">
        <v>66.597185999999994</v>
      </c>
      <c r="F161">
        <v>30.162299000000001</v>
      </c>
      <c r="G161">
        <v>19.562346999999999</v>
      </c>
      <c r="H161">
        <v>20.737469999999998</v>
      </c>
    </row>
    <row r="162" spans="1:9" customFormat="1" x14ac:dyDescent="0.3">
      <c r="A162">
        <v>1094.5999999999999</v>
      </c>
      <c r="B162">
        <v>81.923115999999993</v>
      </c>
      <c r="C162">
        <v>83.561985000000007</v>
      </c>
      <c r="D162">
        <v>85.436926999999997</v>
      </c>
      <c r="E162">
        <v>66.597185999999994</v>
      </c>
      <c r="F162">
        <v>30.162299000000001</v>
      </c>
      <c r="G162">
        <v>19.562346999999999</v>
      </c>
      <c r="H162">
        <v>20.737469999999998</v>
      </c>
    </row>
    <row r="163" spans="1:9" customFormat="1" x14ac:dyDescent="0.3">
      <c r="A163">
        <v>1094.8</v>
      </c>
      <c r="B163">
        <v>81.881559999999993</v>
      </c>
      <c r="C163">
        <v>83.553371999999996</v>
      </c>
      <c r="D163">
        <v>85.406306000000001</v>
      </c>
      <c r="E163">
        <v>66.547528999999997</v>
      </c>
      <c r="F163">
        <v>30.079187999999998</v>
      </c>
      <c r="G163">
        <v>19.568417</v>
      </c>
      <c r="H163">
        <v>20.773406000000001</v>
      </c>
    </row>
    <row r="164" spans="1:9" customFormat="1" x14ac:dyDescent="0.3">
      <c r="A164">
        <v>1095</v>
      </c>
      <c r="B164">
        <v>81.881559999999993</v>
      </c>
      <c r="C164">
        <v>83.553371999999996</v>
      </c>
      <c r="D164">
        <v>85.406306000000001</v>
      </c>
      <c r="E164">
        <v>66.547528999999997</v>
      </c>
      <c r="F164">
        <v>30.079187999999998</v>
      </c>
      <c r="G164">
        <v>19.568417</v>
      </c>
      <c r="H164">
        <v>20.773406000000001</v>
      </c>
      <c r="I164" t="s">
        <v>61</v>
      </c>
    </row>
    <row r="165" spans="1:9" customFormat="1" x14ac:dyDescent="0.3">
      <c r="A165">
        <v>1095.2</v>
      </c>
      <c r="B165">
        <v>81.841144</v>
      </c>
      <c r="C165">
        <v>83.536105000000006</v>
      </c>
      <c r="D165">
        <v>85.408385999999993</v>
      </c>
      <c r="E165">
        <v>66.542502999999996</v>
      </c>
      <c r="F165">
        <v>30.313427999999998</v>
      </c>
      <c r="G165">
        <v>19.565194000000002</v>
      </c>
      <c r="H165">
        <v>20.791998</v>
      </c>
    </row>
    <row r="166" spans="1:9" customFormat="1" x14ac:dyDescent="0.3">
      <c r="A166">
        <v>1095.4000000000001</v>
      </c>
      <c r="B166">
        <v>81.841144</v>
      </c>
      <c r="C166">
        <v>83.536105000000006</v>
      </c>
      <c r="D166">
        <v>85.408385999999993</v>
      </c>
      <c r="E166">
        <v>66.542502999999996</v>
      </c>
      <c r="F166">
        <v>30.313427999999998</v>
      </c>
      <c r="G166">
        <v>19.565194000000002</v>
      </c>
      <c r="H166">
        <v>20.791998</v>
      </c>
    </row>
    <row r="167" spans="1:9" customFormat="1" x14ac:dyDescent="0.3">
      <c r="A167">
        <v>1095.5999999999999</v>
      </c>
      <c r="B167">
        <v>81.843467000000004</v>
      </c>
      <c r="C167">
        <v>83.555493999999996</v>
      </c>
      <c r="D167">
        <v>85.420231999999999</v>
      </c>
      <c r="E167">
        <v>66.653666000000001</v>
      </c>
      <c r="F167">
        <v>30.536866</v>
      </c>
      <c r="G167">
        <v>19.564146000000001</v>
      </c>
      <c r="H167">
        <v>20.779571000000001</v>
      </c>
    </row>
    <row r="168" spans="1:9" customFormat="1" x14ac:dyDescent="0.3">
      <c r="A168">
        <v>1095.8</v>
      </c>
      <c r="B168">
        <v>81.843467000000004</v>
      </c>
      <c r="C168">
        <v>83.555493999999996</v>
      </c>
      <c r="D168">
        <v>85.420231999999999</v>
      </c>
      <c r="E168">
        <v>66.653666000000001</v>
      </c>
      <c r="F168">
        <v>30.536866</v>
      </c>
      <c r="G168">
        <v>19.564146000000001</v>
      </c>
      <c r="H168">
        <v>20.779571000000001</v>
      </c>
    </row>
    <row r="169" spans="1:9" customFormat="1" x14ac:dyDescent="0.3">
      <c r="A169">
        <v>1096</v>
      </c>
      <c r="B169">
        <v>81.864637999999999</v>
      </c>
      <c r="C169">
        <v>83.538791000000003</v>
      </c>
      <c r="D169">
        <v>85.428779000000006</v>
      </c>
      <c r="E169">
        <v>66.746300000000005</v>
      </c>
      <c r="F169">
        <v>30.593057999999999</v>
      </c>
      <c r="G169">
        <v>19.560898999999999</v>
      </c>
      <c r="H169">
        <v>20.774429999999999</v>
      </c>
      <c r="I169" t="s">
        <v>61</v>
      </c>
    </row>
    <row r="170" spans="1:9" customFormat="1" x14ac:dyDescent="0.3">
      <c r="A170">
        <v>1096.2</v>
      </c>
      <c r="B170">
        <v>81.864637999999999</v>
      </c>
      <c r="C170">
        <v>83.538791000000003</v>
      </c>
      <c r="D170">
        <v>85.428779000000006</v>
      </c>
      <c r="E170">
        <v>66.746300000000005</v>
      </c>
      <c r="F170">
        <v>30.593057999999999</v>
      </c>
      <c r="G170">
        <v>19.560898999999999</v>
      </c>
      <c r="H170">
        <v>20.774429999999999</v>
      </c>
    </row>
    <row r="171" spans="1:9" customFormat="1" x14ac:dyDescent="0.3">
      <c r="A171">
        <v>1096.4000000000001</v>
      </c>
      <c r="B171">
        <v>81.917275000000004</v>
      </c>
      <c r="C171">
        <v>83.566638999999995</v>
      </c>
      <c r="D171">
        <v>85.441568000000004</v>
      </c>
      <c r="E171">
        <v>66.792615999999995</v>
      </c>
      <c r="F171">
        <v>30.636223000000001</v>
      </c>
      <c r="G171">
        <v>19.535741999999999</v>
      </c>
      <c r="H171">
        <v>20.758309000000001</v>
      </c>
    </row>
    <row r="172" spans="1:9" customFormat="1" x14ac:dyDescent="0.3">
      <c r="A172">
        <v>1096.5999999999999</v>
      </c>
      <c r="B172">
        <v>81.917275000000004</v>
      </c>
      <c r="C172">
        <v>83.566638999999995</v>
      </c>
      <c r="D172">
        <v>85.441568000000004</v>
      </c>
      <c r="E172">
        <v>66.792615999999995</v>
      </c>
      <c r="F172">
        <v>30.636223000000001</v>
      </c>
      <c r="G172">
        <v>19.535741999999999</v>
      </c>
      <c r="H172">
        <v>20.758309000000001</v>
      </c>
    </row>
    <row r="173" spans="1:9" customFormat="1" x14ac:dyDescent="0.3">
      <c r="A173">
        <v>1096.8</v>
      </c>
      <c r="B173">
        <v>81.934730000000002</v>
      </c>
      <c r="C173">
        <v>83.569001999999998</v>
      </c>
      <c r="D173">
        <v>85.437567000000001</v>
      </c>
      <c r="E173">
        <v>66.871153000000007</v>
      </c>
      <c r="F173">
        <v>30.836047000000001</v>
      </c>
      <c r="G173">
        <v>19.571666</v>
      </c>
      <c r="H173">
        <v>20.763850000000001</v>
      </c>
    </row>
    <row r="174" spans="1:9" customFormat="1" x14ac:dyDescent="0.3">
      <c r="A174">
        <v>1326</v>
      </c>
      <c r="B174">
        <v>89.408542999999995</v>
      </c>
      <c r="C174">
        <v>91.733194999999995</v>
      </c>
      <c r="D174">
        <v>94.234190999999996</v>
      </c>
      <c r="E174">
        <v>69.661766</v>
      </c>
      <c r="F174">
        <v>35.623550000000002</v>
      </c>
      <c r="G174">
        <v>19.635346999999999</v>
      </c>
      <c r="H174">
        <v>21.298666999999998</v>
      </c>
      <c r="I174" t="s">
        <v>61</v>
      </c>
    </row>
    <row r="175" spans="1:9" customFormat="1" x14ac:dyDescent="0.3">
      <c r="A175">
        <v>1326.2</v>
      </c>
      <c r="B175">
        <v>89.408542999999995</v>
      </c>
      <c r="C175">
        <v>91.733194999999995</v>
      </c>
      <c r="D175">
        <v>94.234190999999996</v>
      </c>
      <c r="E175">
        <v>69.661766</v>
      </c>
      <c r="F175">
        <v>35.623550000000002</v>
      </c>
      <c r="G175">
        <v>19.635346999999999</v>
      </c>
      <c r="H175">
        <v>21.298666999999998</v>
      </c>
    </row>
    <row r="176" spans="1:9" customFormat="1" x14ac:dyDescent="0.3">
      <c r="A176">
        <v>1326.4</v>
      </c>
      <c r="B176">
        <v>89.401042000000004</v>
      </c>
      <c r="C176">
        <v>91.747168000000002</v>
      </c>
      <c r="D176">
        <v>94.255881000000002</v>
      </c>
      <c r="E176">
        <v>69.108361000000002</v>
      </c>
      <c r="F176">
        <v>35.923602000000002</v>
      </c>
      <c r="G176">
        <v>19.635622999999999</v>
      </c>
      <c r="H176">
        <v>21.286145999999999</v>
      </c>
    </row>
    <row r="177" spans="1:9" customFormat="1" x14ac:dyDescent="0.3">
      <c r="A177">
        <v>1326.6</v>
      </c>
      <c r="B177">
        <v>89.401042000000004</v>
      </c>
      <c r="C177">
        <v>91.747168000000002</v>
      </c>
      <c r="D177">
        <v>94.255881000000002</v>
      </c>
      <c r="E177">
        <v>69.108361000000002</v>
      </c>
      <c r="F177">
        <v>35.923602000000002</v>
      </c>
      <c r="G177">
        <v>19.635622999999999</v>
      </c>
      <c r="H177">
        <v>21.286145999999999</v>
      </c>
    </row>
    <row r="178" spans="1:9" customFormat="1" x14ac:dyDescent="0.3">
      <c r="A178">
        <v>1326.8</v>
      </c>
      <c r="B178">
        <v>89.279608999999994</v>
      </c>
      <c r="C178">
        <v>91.727676000000002</v>
      </c>
      <c r="D178">
        <v>94.254644999999996</v>
      </c>
      <c r="E178">
        <v>69.011684000000002</v>
      </c>
      <c r="F178">
        <v>35.86786</v>
      </c>
      <c r="G178">
        <v>19.624807000000001</v>
      </c>
      <c r="H178">
        <v>21.294302999999999</v>
      </c>
    </row>
    <row r="179" spans="1:9" customFormat="1" x14ac:dyDescent="0.3">
      <c r="A179">
        <v>1327</v>
      </c>
      <c r="B179">
        <v>89.279608999999994</v>
      </c>
      <c r="C179">
        <v>91.727676000000002</v>
      </c>
      <c r="D179">
        <v>94.254644999999996</v>
      </c>
      <c r="E179">
        <v>69.011684000000002</v>
      </c>
      <c r="F179">
        <v>35.86786</v>
      </c>
      <c r="G179">
        <v>19.624807000000001</v>
      </c>
      <c r="H179">
        <v>21.294302999999999</v>
      </c>
      <c r="I179" t="s">
        <v>61</v>
      </c>
    </row>
    <row r="180" spans="1:9" customFormat="1" x14ac:dyDescent="0.3">
      <c r="A180">
        <v>1327.2</v>
      </c>
      <c r="B180">
        <v>89.202977000000004</v>
      </c>
      <c r="C180">
        <v>91.684152999999995</v>
      </c>
      <c r="D180">
        <v>94.257436999999996</v>
      </c>
      <c r="E180">
        <v>69.140286000000003</v>
      </c>
      <c r="F180">
        <v>35.879592000000002</v>
      </c>
      <c r="G180">
        <v>19.642168999999999</v>
      </c>
      <c r="H180">
        <v>21.266141000000001</v>
      </c>
    </row>
    <row r="181" spans="1:9" customFormat="1" x14ac:dyDescent="0.3">
      <c r="A181">
        <v>1327.4</v>
      </c>
      <c r="B181">
        <v>89.202977000000004</v>
      </c>
      <c r="C181">
        <v>91.684152999999995</v>
      </c>
      <c r="D181">
        <v>94.257436999999996</v>
      </c>
      <c r="E181">
        <v>69.140286000000003</v>
      </c>
      <c r="F181">
        <v>35.879592000000002</v>
      </c>
      <c r="G181">
        <v>19.642168999999999</v>
      </c>
      <c r="H181">
        <v>21.266141000000001</v>
      </c>
    </row>
    <row r="182" spans="1:9" customFormat="1" x14ac:dyDescent="0.3">
      <c r="A182">
        <v>1327.6</v>
      </c>
      <c r="B182">
        <v>89.179758000000007</v>
      </c>
      <c r="C182">
        <v>91.685424999999995</v>
      </c>
      <c r="D182">
        <v>94.239576999999997</v>
      </c>
      <c r="E182">
        <v>69.248952000000003</v>
      </c>
      <c r="F182">
        <v>35.988638999999999</v>
      </c>
      <c r="G182">
        <v>19.623884</v>
      </c>
      <c r="H182">
        <v>21.254517</v>
      </c>
    </row>
    <row r="183" spans="1:9" customFormat="1" x14ac:dyDescent="0.3">
      <c r="A183">
        <v>1327.8</v>
      </c>
      <c r="B183">
        <v>89.179758000000007</v>
      </c>
      <c r="C183">
        <v>91.685424999999995</v>
      </c>
      <c r="D183">
        <v>94.239576999999997</v>
      </c>
      <c r="E183">
        <v>69.248952000000003</v>
      </c>
      <c r="F183">
        <v>35.988638999999999</v>
      </c>
      <c r="G183">
        <v>19.623884</v>
      </c>
      <c r="H183">
        <v>21.254517</v>
      </c>
    </row>
    <row r="184" spans="1:9" customFormat="1" x14ac:dyDescent="0.3">
      <c r="A184">
        <v>1328</v>
      </c>
      <c r="B184">
        <v>89.193847000000005</v>
      </c>
      <c r="C184">
        <v>91.682125999999997</v>
      </c>
      <c r="D184">
        <v>94.224670000000003</v>
      </c>
      <c r="E184">
        <v>69.348871000000003</v>
      </c>
      <c r="F184">
        <v>35.870902000000001</v>
      </c>
      <c r="G184">
        <v>19.648714999999999</v>
      </c>
      <c r="H184">
        <v>21.252770999999999</v>
      </c>
      <c r="I184" t="s">
        <v>61</v>
      </c>
    </row>
    <row r="185" spans="1:9" customFormat="1" x14ac:dyDescent="0.3">
      <c r="A185">
        <v>1328.2</v>
      </c>
      <c r="B185">
        <v>89.193847000000005</v>
      </c>
      <c r="C185">
        <v>91.682125999999997</v>
      </c>
      <c r="D185">
        <v>94.224670000000003</v>
      </c>
      <c r="E185">
        <v>69.348871000000003</v>
      </c>
      <c r="F185">
        <v>35.870902000000001</v>
      </c>
      <c r="G185">
        <v>19.648714999999999</v>
      </c>
      <c r="H185">
        <v>21.252770999999999</v>
      </c>
    </row>
    <row r="186" spans="1:9" customFormat="1" x14ac:dyDescent="0.3">
      <c r="A186">
        <v>1328.4</v>
      </c>
      <c r="B186">
        <v>89.226834999999994</v>
      </c>
      <c r="C186">
        <v>91.673706999999993</v>
      </c>
      <c r="D186">
        <v>94.212621999999996</v>
      </c>
      <c r="E186">
        <v>69.499043</v>
      </c>
      <c r="F186">
        <v>35.681595999999999</v>
      </c>
      <c r="G186">
        <v>19.644644</v>
      </c>
      <c r="H186">
        <v>21.259132999999999</v>
      </c>
    </row>
    <row r="187" spans="1:9" customFormat="1" x14ac:dyDescent="0.3">
      <c r="A187">
        <v>1328.6</v>
      </c>
      <c r="B187">
        <v>89.226834999999994</v>
      </c>
      <c r="C187">
        <v>91.673706999999993</v>
      </c>
      <c r="D187">
        <v>94.212621999999996</v>
      </c>
      <c r="E187">
        <v>69.499043</v>
      </c>
      <c r="F187">
        <v>35.681595999999999</v>
      </c>
      <c r="G187">
        <v>19.644644</v>
      </c>
      <c r="H187">
        <v>21.259132999999999</v>
      </c>
    </row>
    <row r="188" spans="1:9" customFormat="1" x14ac:dyDescent="0.3">
      <c r="A188">
        <v>1328.8</v>
      </c>
      <c r="B188">
        <v>89.234960000000001</v>
      </c>
      <c r="C188">
        <v>91.680435000000003</v>
      </c>
      <c r="D188">
        <v>94.213644000000002</v>
      </c>
      <c r="E188">
        <v>69.454087999999999</v>
      </c>
      <c r="F188">
        <v>35.624811000000001</v>
      </c>
      <c r="G188">
        <v>19.635650999999999</v>
      </c>
      <c r="H188">
        <v>21.286173999999999</v>
      </c>
    </row>
    <row r="189" spans="1:9" customFormat="1" x14ac:dyDescent="0.3">
      <c r="A189">
        <v>1329</v>
      </c>
      <c r="B189">
        <v>89.234960000000001</v>
      </c>
      <c r="C189">
        <v>91.680435000000003</v>
      </c>
      <c r="D189">
        <v>94.213644000000002</v>
      </c>
      <c r="E189">
        <v>69.454087999999999</v>
      </c>
      <c r="F189">
        <v>35.624811000000001</v>
      </c>
      <c r="G189">
        <v>19.635650999999999</v>
      </c>
      <c r="H189">
        <v>21.286173999999999</v>
      </c>
      <c r="I189" t="s">
        <v>61</v>
      </c>
    </row>
    <row r="190" spans="1:9" customFormat="1" x14ac:dyDescent="0.3">
      <c r="A190">
        <v>1329.2</v>
      </c>
      <c r="B190">
        <v>89.277238999999994</v>
      </c>
      <c r="C190">
        <v>91.685383000000002</v>
      </c>
      <c r="D190">
        <v>94.196946999999994</v>
      </c>
      <c r="E190">
        <v>69.405497999999994</v>
      </c>
      <c r="F190">
        <v>35.575887999999999</v>
      </c>
      <c r="G190">
        <v>19.634951999999998</v>
      </c>
      <c r="H190">
        <v>21.275523</v>
      </c>
    </row>
    <row r="191" spans="1:9" customFormat="1" x14ac:dyDescent="0.3">
      <c r="A191">
        <v>1329.4</v>
      </c>
      <c r="B191">
        <v>89.277238999999994</v>
      </c>
      <c r="C191">
        <v>91.685383000000002</v>
      </c>
      <c r="D191">
        <v>94.196946999999994</v>
      </c>
      <c r="E191">
        <v>69.405497999999994</v>
      </c>
      <c r="F191">
        <v>35.575887999999999</v>
      </c>
      <c r="G191">
        <v>19.634951999999998</v>
      </c>
      <c r="H191">
        <v>21.275523</v>
      </c>
    </row>
    <row r="192" spans="1:9" customFormat="1" x14ac:dyDescent="0.3">
      <c r="A192">
        <v>1329.6</v>
      </c>
      <c r="B192">
        <v>89.244719000000003</v>
      </c>
      <c r="C192">
        <v>91.679665999999997</v>
      </c>
      <c r="D192">
        <v>94.237016999999994</v>
      </c>
      <c r="E192">
        <v>69.259934000000001</v>
      </c>
      <c r="F192">
        <v>35.913684000000003</v>
      </c>
      <c r="G192">
        <v>19.627658</v>
      </c>
      <c r="H192">
        <v>21.293358000000001</v>
      </c>
    </row>
    <row r="193" spans="1:9" customFormat="1" x14ac:dyDescent="0.3">
      <c r="A193">
        <v>1329.8</v>
      </c>
      <c r="B193">
        <v>89.244719000000003</v>
      </c>
      <c r="C193">
        <v>91.679665999999997</v>
      </c>
      <c r="D193">
        <v>94.237016999999994</v>
      </c>
      <c r="E193">
        <v>69.259934000000001</v>
      </c>
      <c r="F193">
        <v>35.913684000000003</v>
      </c>
      <c r="G193">
        <v>19.627658</v>
      </c>
      <c r="H193">
        <v>21.293358000000001</v>
      </c>
    </row>
    <row r="194" spans="1:9" customFormat="1" x14ac:dyDescent="0.3">
      <c r="A194">
        <v>1330</v>
      </c>
      <c r="B194">
        <v>89.198802999999998</v>
      </c>
      <c r="C194">
        <v>91.697789999999998</v>
      </c>
      <c r="D194">
        <v>94.222312000000002</v>
      </c>
      <c r="E194">
        <v>69.241408000000007</v>
      </c>
      <c r="F194">
        <v>36.14723</v>
      </c>
      <c r="G194">
        <v>19.615967999999999</v>
      </c>
      <c r="H194">
        <v>21.271258</v>
      </c>
      <c r="I194" t="s">
        <v>61</v>
      </c>
    </row>
    <row r="195" spans="1:9" customFormat="1" x14ac:dyDescent="0.3">
      <c r="A195">
        <v>1330.2</v>
      </c>
      <c r="B195">
        <v>89.198802999999998</v>
      </c>
      <c r="C195">
        <v>91.697789999999998</v>
      </c>
      <c r="D195">
        <v>94.222312000000002</v>
      </c>
      <c r="E195">
        <v>69.241408000000007</v>
      </c>
      <c r="F195">
        <v>36.14723</v>
      </c>
      <c r="G195">
        <v>19.615967999999999</v>
      </c>
      <c r="H195">
        <v>21.271258</v>
      </c>
    </row>
    <row r="196" spans="1:9" customFormat="1" x14ac:dyDescent="0.3">
      <c r="A196">
        <v>1330.4</v>
      </c>
      <c r="B196">
        <v>89.192583999999997</v>
      </c>
      <c r="C196">
        <v>91.654398999999998</v>
      </c>
      <c r="D196">
        <v>94.198817000000005</v>
      </c>
      <c r="E196">
        <v>69.188253000000003</v>
      </c>
      <c r="F196">
        <v>36.357878999999997</v>
      </c>
      <c r="G196">
        <v>19.649892999999999</v>
      </c>
      <c r="H196">
        <v>21.287125</v>
      </c>
    </row>
    <row r="197" spans="1:9" customFormat="1" x14ac:dyDescent="0.3">
      <c r="A197">
        <v>1330.6</v>
      </c>
      <c r="B197">
        <v>89.192583999999997</v>
      </c>
      <c r="C197">
        <v>91.654398999999998</v>
      </c>
      <c r="D197">
        <v>94.198817000000005</v>
      </c>
      <c r="E197">
        <v>69.188253000000003</v>
      </c>
      <c r="F197">
        <v>36.357878999999997</v>
      </c>
      <c r="G197">
        <v>19.649892999999999</v>
      </c>
      <c r="H197">
        <v>21.287125</v>
      </c>
    </row>
    <row r="198" spans="1:9" customFormat="1" x14ac:dyDescent="0.3">
      <c r="A198">
        <v>1330.8</v>
      </c>
      <c r="B198">
        <v>89.190190999999999</v>
      </c>
      <c r="C198">
        <v>91.654752999999999</v>
      </c>
      <c r="D198">
        <v>94.204408000000001</v>
      </c>
      <c r="E198">
        <v>69.333703</v>
      </c>
      <c r="F198">
        <v>36.364859000000003</v>
      </c>
      <c r="G198">
        <v>19.641173999999999</v>
      </c>
      <c r="H198">
        <v>21.258512</v>
      </c>
    </row>
    <row r="199" spans="1:9" customFormat="1" x14ac:dyDescent="0.3">
      <c r="A199">
        <v>1331</v>
      </c>
      <c r="B199">
        <v>89.190190999999999</v>
      </c>
      <c r="C199">
        <v>91.654752999999999</v>
      </c>
      <c r="D199">
        <v>94.204408000000001</v>
      </c>
      <c r="E199">
        <v>69.333703</v>
      </c>
      <c r="F199">
        <v>36.364859000000003</v>
      </c>
      <c r="G199">
        <v>19.641173999999999</v>
      </c>
      <c r="H199">
        <v>21.258512</v>
      </c>
      <c r="I199" t="s">
        <v>61</v>
      </c>
    </row>
    <row r="200" spans="1:9" customFormat="1" x14ac:dyDescent="0.3">
      <c r="A200">
        <v>1331.2</v>
      </c>
      <c r="B200">
        <v>89.182790999999995</v>
      </c>
      <c r="C200">
        <v>91.658786000000006</v>
      </c>
      <c r="D200">
        <v>94.177233999999999</v>
      </c>
      <c r="E200">
        <v>69.528154000000001</v>
      </c>
      <c r="F200">
        <v>36.311473999999997</v>
      </c>
      <c r="G200">
        <v>19.657361000000002</v>
      </c>
      <c r="H200">
        <v>21.268042000000001</v>
      </c>
    </row>
    <row r="201" spans="1:9" customFormat="1" x14ac:dyDescent="0.3">
      <c r="A201">
        <v>1331.4</v>
      </c>
      <c r="B201">
        <v>89.182790999999995</v>
      </c>
      <c r="C201">
        <v>91.658786000000006</v>
      </c>
      <c r="D201">
        <v>94.177233999999999</v>
      </c>
      <c r="E201">
        <v>69.528154000000001</v>
      </c>
      <c r="F201">
        <v>36.311473999999997</v>
      </c>
      <c r="G201">
        <v>19.657361000000002</v>
      </c>
      <c r="H201">
        <v>21.268042000000001</v>
      </c>
    </row>
    <row r="202" spans="1:9" customFormat="1" x14ac:dyDescent="0.3">
      <c r="A202">
        <v>1331.6</v>
      </c>
      <c r="B202">
        <v>89.202973</v>
      </c>
      <c r="C202">
        <v>91.659505999999993</v>
      </c>
      <c r="D202">
        <v>94.184101999999996</v>
      </c>
      <c r="E202">
        <v>69.716960999999998</v>
      </c>
      <c r="F202">
        <v>36.142209000000001</v>
      </c>
      <c r="G202">
        <v>19.636129</v>
      </c>
      <c r="H202">
        <v>21.265796999999999</v>
      </c>
    </row>
    <row r="203" spans="1:9" customFormat="1" x14ac:dyDescent="0.3">
      <c r="A203">
        <v>1331.8</v>
      </c>
      <c r="B203">
        <v>89.202973</v>
      </c>
      <c r="C203">
        <v>91.659505999999993</v>
      </c>
      <c r="D203">
        <v>94.184101999999996</v>
      </c>
      <c r="E203">
        <v>69.716960999999998</v>
      </c>
      <c r="F203">
        <v>36.142209000000001</v>
      </c>
      <c r="G203">
        <v>19.636129</v>
      </c>
      <c r="H203">
        <v>21.265796999999999</v>
      </c>
    </row>
    <row r="204" spans="1:9" customFormat="1" x14ac:dyDescent="0.3">
      <c r="A204">
        <v>1332</v>
      </c>
      <c r="B204">
        <v>89.259437000000005</v>
      </c>
      <c r="C204">
        <v>91.654633000000004</v>
      </c>
      <c r="D204">
        <v>94.185841999999994</v>
      </c>
      <c r="E204">
        <v>69.804019999999994</v>
      </c>
      <c r="F204">
        <v>35.938707000000001</v>
      </c>
      <c r="G204">
        <v>19.654914999999999</v>
      </c>
      <c r="H204">
        <v>21.267968</v>
      </c>
      <c r="I204" t="s">
        <v>61</v>
      </c>
    </row>
    <row r="205" spans="1:9" customFormat="1" x14ac:dyDescent="0.3">
      <c r="A205">
        <v>1332.2</v>
      </c>
      <c r="B205">
        <v>89.259437000000005</v>
      </c>
      <c r="C205">
        <v>91.654633000000004</v>
      </c>
      <c r="D205">
        <v>94.185841999999994</v>
      </c>
      <c r="E205">
        <v>69.804019999999994</v>
      </c>
      <c r="F205">
        <v>35.938707000000001</v>
      </c>
      <c r="G205">
        <v>19.654914999999999</v>
      </c>
      <c r="H205">
        <v>21.267968</v>
      </c>
    </row>
    <row r="206" spans="1:9" customFormat="1" x14ac:dyDescent="0.3">
      <c r="A206">
        <v>1332.4</v>
      </c>
      <c r="B206">
        <v>89.285883999999996</v>
      </c>
      <c r="C206">
        <v>91.698334000000003</v>
      </c>
      <c r="D206">
        <v>94.196664999999996</v>
      </c>
      <c r="E206">
        <v>69.866219000000001</v>
      </c>
      <c r="F206">
        <v>35.747276999999997</v>
      </c>
      <c r="G206">
        <v>19.627362000000002</v>
      </c>
      <c r="H206">
        <v>21.270313000000002</v>
      </c>
    </row>
    <row r="207" spans="1:9" customFormat="1" x14ac:dyDescent="0.3">
      <c r="A207">
        <v>1332.6</v>
      </c>
      <c r="B207">
        <v>89.285883999999996</v>
      </c>
      <c r="C207">
        <v>91.698334000000003</v>
      </c>
      <c r="D207">
        <v>94.196664999999996</v>
      </c>
      <c r="E207">
        <v>69.866219000000001</v>
      </c>
      <c r="F207">
        <v>35.747276999999997</v>
      </c>
      <c r="G207">
        <v>19.627362000000002</v>
      </c>
      <c r="H207">
        <v>21.270313000000002</v>
      </c>
    </row>
    <row r="208" spans="1:9" customFormat="1" x14ac:dyDescent="0.3">
      <c r="A208">
        <v>1332.8</v>
      </c>
      <c r="B208">
        <v>89.360482000000005</v>
      </c>
      <c r="C208">
        <v>91.720889</v>
      </c>
      <c r="D208">
        <v>94.226236</v>
      </c>
      <c r="E208">
        <v>69.785940999999994</v>
      </c>
      <c r="F208">
        <v>35.75376</v>
      </c>
      <c r="G208">
        <v>19.628587</v>
      </c>
      <c r="H208">
        <v>21.282437000000002</v>
      </c>
    </row>
    <row r="209" spans="1:9" customFormat="1" x14ac:dyDescent="0.3">
      <c r="A209">
        <v>1333</v>
      </c>
      <c r="B209">
        <v>89.360482000000005</v>
      </c>
      <c r="C209">
        <v>91.720889</v>
      </c>
      <c r="D209">
        <v>94.226236</v>
      </c>
      <c r="E209">
        <v>69.785940999999994</v>
      </c>
      <c r="F209">
        <v>35.75376</v>
      </c>
      <c r="G209">
        <v>19.628587</v>
      </c>
      <c r="H209">
        <v>21.282437000000002</v>
      </c>
      <c r="I209" t="s">
        <v>61</v>
      </c>
    </row>
    <row r="210" spans="1:9" customFormat="1" x14ac:dyDescent="0.3">
      <c r="A210">
        <v>1333.2</v>
      </c>
      <c r="B210">
        <v>89.351011999999997</v>
      </c>
      <c r="C210">
        <v>91.735636999999997</v>
      </c>
      <c r="D210">
        <v>94.213399999999993</v>
      </c>
      <c r="E210">
        <v>69.701015999999996</v>
      </c>
      <c r="F210">
        <v>36.022731999999998</v>
      </c>
      <c r="G210">
        <v>19.623142000000001</v>
      </c>
      <c r="H210">
        <v>21.304016000000001</v>
      </c>
    </row>
    <row r="211" spans="1:9" customFormat="1" x14ac:dyDescent="0.3">
      <c r="A211">
        <v>1333.4</v>
      </c>
      <c r="B211">
        <v>89.351011999999997</v>
      </c>
      <c r="C211">
        <v>91.735636999999997</v>
      </c>
      <c r="D211">
        <v>94.213399999999993</v>
      </c>
      <c r="E211">
        <v>69.701015999999996</v>
      </c>
      <c r="F211">
        <v>36.022731999999998</v>
      </c>
      <c r="G211">
        <v>19.623142000000001</v>
      </c>
      <c r="H211">
        <v>21.304016000000001</v>
      </c>
    </row>
    <row r="212" spans="1:9" customFormat="1" x14ac:dyDescent="0.3">
      <c r="A212">
        <v>1333.6</v>
      </c>
      <c r="B212">
        <v>89.342202999999998</v>
      </c>
      <c r="C212">
        <v>91.752414000000002</v>
      </c>
      <c r="D212">
        <v>94.258156</v>
      </c>
      <c r="E212">
        <v>69.461089000000001</v>
      </c>
      <c r="F212">
        <v>36.099114</v>
      </c>
      <c r="G212">
        <v>19.649270999999999</v>
      </c>
      <c r="H212">
        <v>21.300249000000001</v>
      </c>
    </row>
    <row r="213" spans="1:9" customFormat="1" x14ac:dyDescent="0.3">
      <c r="A213">
        <v>1333.8</v>
      </c>
      <c r="B213">
        <v>89.342202999999998</v>
      </c>
      <c r="C213">
        <v>91.752414000000002</v>
      </c>
      <c r="D213">
        <v>94.258156</v>
      </c>
      <c r="E213">
        <v>69.461089000000001</v>
      </c>
      <c r="F213">
        <v>36.099114</v>
      </c>
      <c r="G213">
        <v>19.649270999999999</v>
      </c>
      <c r="H213">
        <v>21.300249000000001</v>
      </c>
    </row>
    <row r="214" spans="1:9" customFormat="1" x14ac:dyDescent="0.3">
      <c r="A214">
        <v>1334</v>
      </c>
      <c r="B214">
        <v>89.348061000000001</v>
      </c>
      <c r="C214">
        <v>91.751636000000005</v>
      </c>
      <c r="D214">
        <v>94.274460000000005</v>
      </c>
      <c r="E214">
        <v>69.298198999999997</v>
      </c>
      <c r="F214">
        <v>36.021600999999997</v>
      </c>
      <c r="G214">
        <v>19.635307000000001</v>
      </c>
      <c r="H214">
        <v>21.316163</v>
      </c>
      <c r="I214" t="s">
        <v>61</v>
      </c>
    </row>
    <row r="215" spans="1:9" customFormat="1" x14ac:dyDescent="0.3">
      <c r="A215">
        <v>1334.2</v>
      </c>
      <c r="B215">
        <v>89.348061000000001</v>
      </c>
      <c r="C215">
        <v>91.751636000000005</v>
      </c>
      <c r="D215">
        <v>94.274460000000005</v>
      </c>
      <c r="E215">
        <v>69.298198999999997</v>
      </c>
      <c r="F215">
        <v>36.021600999999997</v>
      </c>
      <c r="G215">
        <v>19.635307000000001</v>
      </c>
      <c r="H215">
        <v>21.316163</v>
      </c>
    </row>
    <row r="216" spans="1:9" customFormat="1" x14ac:dyDescent="0.3">
      <c r="A216">
        <v>1334.4</v>
      </c>
      <c r="B216">
        <v>89.309071000000003</v>
      </c>
      <c r="C216">
        <v>91.750879999999995</v>
      </c>
      <c r="D216">
        <v>94.283499000000006</v>
      </c>
      <c r="E216">
        <v>69.445746999999997</v>
      </c>
      <c r="F216">
        <v>36.214391999999997</v>
      </c>
      <c r="G216">
        <v>19.646699000000002</v>
      </c>
      <c r="H216">
        <v>21.336069999999999</v>
      </c>
    </row>
    <row r="217" spans="1:9" customFormat="1" x14ac:dyDescent="0.3">
      <c r="A217">
        <v>1334.6</v>
      </c>
      <c r="B217">
        <v>89.309071000000003</v>
      </c>
      <c r="C217">
        <v>91.750879999999995</v>
      </c>
      <c r="D217">
        <v>94.283499000000006</v>
      </c>
      <c r="E217">
        <v>69.445746999999997</v>
      </c>
      <c r="F217">
        <v>36.214391999999997</v>
      </c>
      <c r="G217">
        <v>19.646699000000002</v>
      </c>
      <c r="H217">
        <v>21.336069999999999</v>
      </c>
    </row>
    <row r="218" spans="1:9" customFormat="1" x14ac:dyDescent="0.3">
      <c r="A218">
        <v>1334.8</v>
      </c>
      <c r="B218">
        <v>89.287456000000006</v>
      </c>
      <c r="C218">
        <v>91.743482999999998</v>
      </c>
      <c r="D218">
        <v>94.286136999999997</v>
      </c>
      <c r="E218">
        <v>69.695586000000006</v>
      </c>
      <c r="F218">
        <v>36.192518</v>
      </c>
      <c r="G218">
        <v>19.625890999999999</v>
      </c>
      <c r="H218">
        <v>21.330458</v>
      </c>
    </row>
    <row r="219" spans="1:9" customFormat="1" x14ac:dyDescent="0.3">
      <c r="A219">
        <v>1335</v>
      </c>
      <c r="B219">
        <v>89.287456000000006</v>
      </c>
      <c r="C219">
        <v>91.743482999999998</v>
      </c>
      <c r="D219">
        <v>94.286136999999997</v>
      </c>
      <c r="E219">
        <v>69.695586000000006</v>
      </c>
      <c r="F219">
        <v>36.192518</v>
      </c>
      <c r="G219">
        <v>19.625890999999999</v>
      </c>
      <c r="H219">
        <v>21.330458</v>
      </c>
      <c r="I219" t="s">
        <v>61</v>
      </c>
    </row>
    <row r="220" spans="1:9" customFormat="1" x14ac:dyDescent="0.3">
      <c r="A220">
        <v>1335.2</v>
      </c>
      <c r="B220">
        <v>89.359701999999999</v>
      </c>
      <c r="C220">
        <v>91.744984000000002</v>
      </c>
      <c r="D220">
        <v>94.244135999999997</v>
      </c>
      <c r="E220">
        <v>70.006338999999997</v>
      </c>
      <c r="F220">
        <v>36.000101999999998</v>
      </c>
      <c r="G220">
        <v>19.626740000000002</v>
      </c>
      <c r="H220">
        <v>21.315192</v>
      </c>
    </row>
    <row r="221" spans="1:9" customFormat="1" x14ac:dyDescent="0.3">
      <c r="A221">
        <v>1335.4</v>
      </c>
      <c r="B221">
        <v>89.359701999999999</v>
      </c>
      <c r="C221">
        <v>91.744984000000002</v>
      </c>
      <c r="D221">
        <v>94.244135999999997</v>
      </c>
      <c r="E221">
        <v>70.006338999999997</v>
      </c>
      <c r="F221">
        <v>36.000101999999998</v>
      </c>
      <c r="G221">
        <v>19.626740000000002</v>
      </c>
      <c r="H221">
        <v>21.315192</v>
      </c>
    </row>
    <row r="222" spans="1:9" customFormat="1" x14ac:dyDescent="0.3">
      <c r="A222">
        <v>1335.6</v>
      </c>
      <c r="B222">
        <v>89.414878999999999</v>
      </c>
      <c r="C222">
        <v>91.764381999999998</v>
      </c>
      <c r="D222">
        <v>94.289004000000006</v>
      </c>
      <c r="E222">
        <v>70.057613000000003</v>
      </c>
      <c r="F222">
        <v>35.942329000000001</v>
      </c>
      <c r="G222">
        <v>19.636209000000001</v>
      </c>
      <c r="H222">
        <v>21.306163000000002</v>
      </c>
    </row>
    <row r="223" spans="1:9" customFormat="1" x14ac:dyDescent="0.3">
      <c r="A223">
        <v>1335.8</v>
      </c>
      <c r="B223">
        <v>89.414878999999999</v>
      </c>
      <c r="C223">
        <v>91.764381999999998</v>
      </c>
      <c r="D223">
        <v>94.289004000000006</v>
      </c>
      <c r="E223">
        <v>70.057613000000003</v>
      </c>
      <c r="F223">
        <v>35.942329000000001</v>
      </c>
      <c r="G223">
        <v>19.636209000000001</v>
      </c>
      <c r="H223">
        <v>21.306163000000002</v>
      </c>
    </row>
    <row r="224" spans="1:9" customFormat="1" x14ac:dyDescent="0.3">
      <c r="A224">
        <v>1586</v>
      </c>
      <c r="B224">
        <v>98.099006000000003</v>
      </c>
      <c r="C224">
        <v>101.364937</v>
      </c>
      <c r="D224">
        <v>104.688402</v>
      </c>
      <c r="E224">
        <v>73.040550999999994</v>
      </c>
      <c r="F224">
        <v>41.193244</v>
      </c>
      <c r="G224">
        <v>19.713649</v>
      </c>
      <c r="H224">
        <v>21.898994999999999</v>
      </c>
      <c r="I224" t="s">
        <v>61</v>
      </c>
    </row>
    <row r="225" spans="1:9" customFormat="1" x14ac:dyDescent="0.3">
      <c r="A225">
        <v>1586.2</v>
      </c>
      <c r="B225">
        <v>98.099006000000003</v>
      </c>
      <c r="C225">
        <v>101.364937</v>
      </c>
      <c r="D225">
        <v>104.688402</v>
      </c>
      <c r="E225">
        <v>73.040550999999994</v>
      </c>
      <c r="F225">
        <v>41.193244</v>
      </c>
      <c r="G225">
        <v>19.713649</v>
      </c>
      <c r="H225">
        <v>21.898994999999999</v>
      </c>
    </row>
    <row r="226" spans="1:9" customFormat="1" x14ac:dyDescent="0.3">
      <c r="A226">
        <v>1586.4</v>
      </c>
      <c r="B226">
        <v>98.146458999999993</v>
      </c>
      <c r="C226">
        <v>101.37950499999999</v>
      </c>
      <c r="D226">
        <v>104.70432700000001</v>
      </c>
      <c r="E226">
        <v>72.916574999999995</v>
      </c>
      <c r="F226">
        <v>41.632846999999998</v>
      </c>
      <c r="G226">
        <v>19.716697</v>
      </c>
      <c r="H226">
        <v>21.879774000000001</v>
      </c>
    </row>
    <row r="227" spans="1:9" customFormat="1" x14ac:dyDescent="0.3">
      <c r="A227">
        <v>1586.6</v>
      </c>
      <c r="B227">
        <v>98.146458999999993</v>
      </c>
      <c r="C227">
        <v>101.37950499999999</v>
      </c>
      <c r="D227">
        <v>104.70432700000001</v>
      </c>
      <c r="E227">
        <v>72.916574999999995</v>
      </c>
      <c r="F227">
        <v>41.632846999999998</v>
      </c>
      <c r="G227">
        <v>19.716697</v>
      </c>
      <c r="H227">
        <v>21.879774000000001</v>
      </c>
    </row>
    <row r="228" spans="1:9" customFormat="1" x14ac:dyDescent="0.3">
      <c r="A228">
        <v>1586.8</v>
      </c>
      <c r="B228">
        <v>98.129470999999995</v>
      </c>
      <c r="C228">
        <v>101.355687</v>
      </c>
      <c r="D228">
        <v>104.722874</v>
      </c>
      <c r="E228">
        <v>72.696861999999996</v>
      </c>
      <c r="F228">
        <v>41.964289000000001</v>
      </c>
      <c r="G228">
        <v>19.710979999999999</v>
      </c>
      <c r="H228">
        <v>21.888752</v>
      </c>
    </row>
    <row r="229" spans="1:9" customFormat="1" x14ac:dyDescent="0.3">
      <c r="A229">
        <v>1587</v>
      </c>
      <c r="B229">
        <v>98.129470999999995</v>
      </c>
      <c r="C229">
        <v>101.355687</v>
      </c>
      <c r="D229">
        <v>104.722874</v>
      </c>
      <c r="E229">
        <v>72.696861999999996</v>
      </c>
      <c r="F229">
        <v>41.964289000000001</v>
      </c>
      <c r="G229">
        <v>19.710979999999999</v>
      </c>
      <c r="H229">
        <v>21.888752</v>
      </c>
      <c r="I229" t="s">
        <v>61</v>
      </c>
    </row>
    <row r="230" spans="1:9" customFormat="1" x14ac:dyDescent="0.3">
      <c r="A230">
        <v>1587.2</v>
      </c>
      <c r="B230">
        <v>98.077393999999998</v>
      </c>
      <c r="C230">
        <v>101.35346</v>
      </c>
      <c r="D230">
        <v>104.726829</v>
      </c>
      <c r="E230">
        <v>72.701293000000007</v>
      </c>
      <c r="F230">
        <v>42.208067</v>
      </c>
      <c r="G230">
        <v>19.726865</v>
      </c>
      <c r="H230">
        <v>21.889921999999999</v>
      </c>
    </row>
    <row r="231" spans="1:9" customFormat="1" x14ac:dyDescent="0.3">
      <c r="A231">
        <v>1587.4</v>
      </c>
      <c r="B231">
        <v>98.077393999999998</v>
      </c>
      <c r="C231">
        <v>101.35346</v>
      </c>
      <c r="D231">
        <v>104.726829</v>
      </c>
      <c r="E231">
        <v>72.701293000000007</v>
      </c>
      <c r="F231">
        <v>42.208067</v>
      </c>
      <c r="G231">
        <v>19.726865</v>
      </c>
      <c r="H231">
        <v>21.889921999999999</v>
      </c>
    </row>
    <row r="232" spans="1:9" customFormat="1" x14ac:dyDescent="0.3">
      <c r="A232">
        <v>1587.6</v>
      </c>
      <c r="B232">
        <v>98.093256999999994</v>
      </c>
      <c r="C232">
        <v>101.328501</v>
      </c>
      <c r="D232">
        <v>104.70487300000001</v>
      </c>
      <c r="E232">
        <v>72.802666000000002</v>
      </c>
      <c r="F232">
        <v>42.128512999999998</v>
      </c>
      <c r="G232">
        <v>19.718048</v>
      </c>
      <c r="H232">
        <v>21.868805999999999</v>
      </c>
    </row>
    <row r="233" spans="1:9" customFormat="1" x14ac:dyDescent="0.3">
      <c r="A233">
        <v>1587.8</v>
      </c>
      <c r="B233">
        <v>98.093256999999994</v>
      </c>
      <c r="C233">
        <v>101.328501</v>
      </c>
      <c r="D233">
        <v>104.70487300000001</v>
      </c>
      <c r="E233">
        <v>72.802666000000002</v>
      </c>
      <c r="F233">
        <v>42.128512999999998</v>
      </c>
      <c r="G233">
        <v>19.718048</v>
      </c>
      <c r="H233">
        <v>21.868805999999999</v>
      </c>
    </row>
    <row r="234" spans="1:9" customFormat="1" x14ac:dyDescent="0.3">
      <c r="A234">
        <v>1588</v>
      </c>
      <c r="B234">
        <v>98.085087000000001</v>
      </c>
      <c r="C234">
        <v>101.345783</v>
      </c>
      <c r="D234">
        <v>104.696504</v>
      </c>
      <c r="E234">
        <v>72.744157000000001</v>
      </c>
      <c r="F234">
        <v>41.539382000000003</v>
      </c>
      <c r="G234">
        <v>19.705884999999999</v>
      </c>
      <c r="H234">
        <v>21.850505999999999</v>
      </c>
      <c r="I234" t="s">
        <v>61</v>
      </c>
    </row>
    <row r="235" spans="1:9" customFormat="1" x14ac:dyDescent="0.3">
      <c r="A235">
        <v>1588.2</v>
      </c>
      <c r="B235">
        <v>98.085087000000001</v>
      </c>
      <c r="C235">
        <v>101.345783</v>
      </c>
      <c r="D235">
        <v>104.696504</v>
      </c>
      <c r="E235">
        <v>72.744157000000001</v>
      </c>
      <c r="F235">
        <v>41.539382000000003</v>
      </c>
      <c r="G235">
        <v>19.705884999999999</v>
      </c>
      <c r="H235">
        <v>21.850505999999999</v>
      </c>
    </row>
    <row r="236" spans="1:9" customFormat="1" x14ac:dyDescent="0.3">
      <c r="A236">
        <v>1588.4</v>
      </c>
      <c r="B236">
        <v>98.098674000000003</v>
      </c>
      <c r="C236">
        <v>101.332759</v>
      </c>
      <c r="D236">
        <v>104.703176</v>
      </c>
      <c r="E236">
        <v>72.630420999999998</v>
      </c>
      <c r="F236">
        <v>41.285468000000002</v>
      </c>
      <c r="G236">
        <v>19.717026000000001</v>
      </c>
      <c r="H236">
        <v>21.872997000000002</v>
      </c>
    </row>
    <row r="237" spans="1:9" customFormat="1" x14ac:dyDescent="0.3">
      <c r="A237">
        <v>1588.6</v>
      </c>
      <c r="B237">
        <v>98.098674000000003</v>
      </c>
      <c r="C237">
        <v>101.332759</v>
      </c>
      <c r="D237">
        <v>104.703176</v>
      </c>
      <c r="E237">
        <v>72.630420999999998</v>
      </c>
      <c r="F237">
        <v>41.285468000000002</v>
      </c>
      <c r="G237">
        <v>19.717026000000001</v>
      </c>
      <c r="H237">
        <v>21.872997000000002</v>
      </c>
    </row>
    <row r="238" spans="1:9" customFormat="1" x14ac:dyDescent="0.3">
      <c r="A238">
        <v>1588.8</v>
      </c>
      <c r="B238">
        <v>98.035702999999998</v>
      </c>
      <c r="C238">
        <v>101.30019</v>
      </c>
      <c r="D238">
        <v>104.676823</v>
      </c>
      <c r="E238">
        <v>72.604415000000003</v>
      </c>
      <c r="F238">
        <v>41.600403999999997</v>
      </c>
      <c r="G238">
        <v>19.712755000000001</v>
      </c>
      <c r="H238">
        <v>21.895734999999998</v>
      </c>
    </row>
    <row r="239" spans="1:9" customFormat="1" x14ac:dyDescent="0.3">
      <c r="A239">
        <v>1589</v>
      </c>
      <c r="B239">
        <v>98.035702999999998</v>
      </c>
      <c r="C239">
        <v>101.30019</v>
      </c>
      <c r="D239">
        <v>104.676823</v>
      </c>
      <c r="E239">
        <v>72.604415000000003</v>
      </c>
      <c r="F239">
        <v>41.600403999999997</v>
      </c>
      <c r="G239">
        <v>19.712755000000001</v>
      </c>
      <c r="H239">
        <v>21.895734999999998</v>
      </c>
      <c r="I239" t="s">
        <v>61</v>
      </c>
    </row>
    <row r="240" spans="1:9" customFormat="1" x14ac:dyDescent="0.3">
      <c r="A240">
        <v>1589.2</v>
      </c>
      <c r="B240">
        <v>98.020758999999998</v>
      </c>
      <c r="C240">
        <v>101.316214</v>
      </c>
      <c r="D240">
        <v>104.679326</v>
      </c>
      <c r="E240">
        <v>72.910774000000004</v>
      </c>
      <c r="F240">
        <v>41.04513</v>
      </c>
      <c r="G240">
        <v>19.715202999999999</v>
      </c>
      <c r="H240">
        <v>21.896757000000001</v>
      </c>
    </row>
    <row r="241" spans="1:9" customFormat="1" x14ac:dyDescent="0.3">
      <c r="A241">
        <v>1589.4</v>
      </c>
      <c r="B241">
        <v>98.020758999999998</v>
      </c>
      <c r="C241">
        <v>101.316214</v>
      </c>
      <c r="D241">
        <v>104.679326</v>
      </c>
      <c r="E241">
        <v>72.910774000000004</v>
      </c>
      <c r="F241">
        <v>41.04513</v>
      </c>
      <c r="G241">
        <v>19.715202999999999</v>
      </c>
      <c r="H241">
        <v>21.896757000000001</v>
      </c>
    </row>
    <row r="242" spans="1:9" customFormat="1" x14ac:dyDescent="0.3">
      <c r="A242">
        <v>1589.6</v>
      </c>
      <c r="B242">
        <v>98.080955000000003</v>
      </c>
      <c r="C242">
        <v>101.320583</v>
      </c>
      <c r="D242">
        <v>104.671561</v>
      </c>
      <c r="E242">
        <v>73.159468000000004</v>
      </c>
      <c r="F242">
        <v>40.581448000000002</v>
      </c>
      <c r="G242">
        <v>19.703989</v>
      </c>
      <c r="H242">
        <v>21.904512</v>
      </c>
    </row>
    <row r="243" spans="1:9" customFormat="1" x14ac:dyDescent="0.3">
      <c r="A243">
        <v>1589.8</v>
      </c>
      <c r="B243">
        <v>98.080955000000003</v>
      </c>
      <c r="C243">
        <v>101.320583</v>
      </c>
      <c r="D243">
        <v>104.671561</v>
      </c>
      <c r="E243">
        <v>73.159468000000004</v>
      </c>
      <c r="F243">
        <v>40.581448000000002</v>
      </c>
      <c r="G243">
        <v>19.703989</v>
      </c>
      <c r="H243">
        <v>21.904512</v>
      </c>
    </row>
    <row r="244" spans="1:9" customFormat="1" x14ac:dyDescent="0.3">
      <c r="A244">
        <v>1590</v>
      </c>
      <c r="B244">
        <v>98.131563999999997</v>
      </c>
      <c r="C244">
        <v>101.31493</v>
      </c>
      <c r="D244">
        <v>104.697954</v>
      </c>
      <c r="E244">
        <v>73.149889999999999</v>
      </c>
      <c r="F244">
        <v>40.501088000000003</v>
      </c>
      <c r="G244">
        <v>19.703966000000001</v>
      </c>
      <c r="H244">
        <v>21.926753000000001</v>
      </c>
      <c r="I244" t="s">
        <v>61</v>
      </c>
    </row>
    <row r="245" spans="1:9" customFormat="1" x14ac:dyDescent="0.3">
      <c r="A245">
        <v>1590.2</v>
      </c>
      <c r="B245">
        <v>98.131563999999997</v>
      </c>
      <c r="C245">
        <v>101.31493</v>
      </c>
      <c r="D245">
        <v>104.697954</v>
      </c>
      <c r="E245">
        <v>73.149889999999999</v>
      </c>
      <c r="F245">
        <v>40.501088000000003</v>
      </c>
      <c r="G245">
        <v>19.703966000000001</v>
      </c>
      <c r="H245">
        <v>21.926753000000001</v>
      </c>
    </row>
    <row r="246" spans="1:9" customFormat="1" x14ac:dyDescent="0.3">
      <c r="A246">
        <v>1590.4</v>
      </c>
      <c r="B246">
        <v>98.171432999999993</v>
      </c>
      <c r="C246">
        <v>101.34782300000001</v>
      </c>
      <c r="D246">
        <v>104.707009</v>
      </c>
      <c r="E246">
        <v>73.258041000000006</v>
      </c>
      <c r="F246">
        <v>40.935687000000001</v>
      </c>
      <c r="G246">
        <v>19.716004000000002</v>
      </c>
      <c r="H246">
        <v>21.936872999999999</v>
      </c>
    </row>
    <row r="247" spans="1:9" customFormat="1" x14ac:dyDescent="0.3">
      <c r="A247">
        <v>1590.6</v>
      </c>
      <c r="B247">
        <v>98.171432999999993</v>
      </c>
      <c r="C247">
        <v>101.34782300000001</v>
      </c>
      <c r="D247">
        <v>104.707009</v>
      </c>
      <c r="E247">
        <v>73.258041000000006</v>
      </c>
      <c r="F247">
        <v>40.935687000000001</v>
      </c>
      <c r="G247">
        <v>19.716004000000002</v>
      </c>
      <c r="H247">
        <v>21.936872999999999</v>
      </c>
    </row>
    <row r="248" spans="1:9" customFormat="1" x14ac:dyDescent="0.3">
      <c r="A248">
        <v>1590.8</v>
      </c>
      <c r="B248">
        <v>98.174808999999996</v>
      </c>
      <c r="C248">
        <v>101.355315</v>
      </c>
      <c r="D248">
        <v>104.719069</v>
      </c>
      <c r="E248">
        <v>73.153398999999993</v>
      </c>
      <c r="F248">
        <v>41.404387999999997</v>
      </c>
      <c r="G248">
        <v>19.711487000000002</v>
      </c>
      <c r="H248">
        <v>21.921469999999999</v>
      </c>
    </row>
    <row r="249" spans="1:9" customFormat="1" x14ac:dyDescent="0.3">
      <c r="A249">
        <v>1591</v>
      </c>
      <c r="B249">
        <v>98.174808999999996</v>
      </c>
      <c r="C249">
        <v>101.355315</v>
      </c>
      <c r="D249">
        <v>104.719069</v>
      </c>
      <c r="E249">
        <v>73.153398999999993</v>
      </c>
      <c r="F249">
        <v>41.404387999999997</v>
      </c>
      <c r="G249">
        <v>19.711487000000002</v>
      </c>
      <c r="H249">
        <v>21.921469999999999</v>
      </c>
      <c r="I249" t="s">
        <v>61</v>
      </c>
    </row>
    <row r="250" spans="1:9" customFormat="1" x14ac:dyDescent="0.3">
      <c r="A250">
        <v>1591.2</v>
      </c>
      <c r="B250">
        <v>98.179126999999994</v>
      </c>
      <c r="C250">
        <v>101.369702</v>
      </c>
      <c r="D250">
        <v>104.724058</v>
      </c>
      <c r="E250">
        <v>73.030851999999996</v>
      </c>
      <c r="F250">
        <v>41.460563999999998</v>
      </c>
      <c r="G250">
        <v>19.71161</v>
      </c>
      <c r="H250">
        <v>21.910223999999999</v>
      </c>
    </row>
    <row r="251" spans="1:9" customFormat="1" x14ac:dyDescent="0.3">
      <c r="A251">
        <v>1591.4</v>
      </c>
      <c r="B251">
        <v>98.179126999999994</v>
      </c>
      <c r="C251">
        <v>101.369702</v>
      </c>
      <c r="D251">
        <v>104.724058</v>
      </c>
      <c r="E251">
        <v>73.030851999999996</v>
      </c>
      <c r="F251">
        <v>41.460563999999998</v>
      </c>
      <c r="G251">
        <v>19.71161</v>
      </c>
      <c r="H251">
        <v>21.910223999999999</v>
      </c>
    </row>
    <row r="252" spans="1:9" customFormat="1" x14ac:dyDescent="0.3">
      <c r="A252">
        <v>1591.6</v>
      </c>
      <c r="B252">
        <v>98.153059999999996</v>
      </c>
      <c r="C252">
        <v>101.366614</v>
      </c>
      <c r="D252">
        <v>104.73974</v>
      </c>
      <c r="E252">
        <v>72.967997999999994</v>
      </c>
      <c r="F252">
        <v>41.457014999999998</v>
      </c>
      <c r="G252">
        <v>19.715658000000001</v>
      </c>
      <c r="H252">
        <v>21.907632</v>
      </c>
    </row>
    <row r="253" spans="1:9" customFormat="1" x14ac:dyDescent="0.3">
      <c r="A253">
        <v>1591.8</v>
      </c>
      <c r="B253">
        <v>98.153059999999996</v>
      </c>
      <c r="C253">
        <v>101.366614</v>
      </c>
      <c r="D253">
        <v>104.73974</v>
      </c>
      <c r="E253">
        <v>72.967997999999994</v>
      </c>
      <c r="F253">
        <v>41.457014999999998</v>
      </c>
      <c r="G253">
        <v>19.715658000000001</v>
      </c>
      <c r="H253">
        <v>21.907632</v>
      </c>
    </row>
    <row r="254" spans="1:9" customFormat="1" x14ac:dyDescent="0.3">
      <c r="A254">
        <v>1592</v>
      </c>
      <c r="B254">
        <v>98.145651999999998</v>
      </c>
      <c r="C254">
        <v>101.400238</v>
      </c>
      <c r="D254">
        <v>104.71817</v>
      </c>
      <c r="E254">
        <v>72.856470999999999</v>
      </c>
      <c r="F254">
        <v>41.706121000000003</v>
      </c>
      <c r="G254">
        <v>19.727274000000001</v>
      </c>
      <c r="H254">
        <v>21.901226000000001</v>
      </c>
      <c r="I254" t="s">
        <v>61</v>
      </c>
    </row>
    <row r="255" spans="1:9" customFormat="1" x14ac:dyDescent="0.3">
      <c r="A255">
        <v>1592.2</v>
      </c>
      <c r="B255">
        <v>98.145651999999998</v>
      </c>
      <c r="C255">
        <v>101.400238</v>
      </c>
      <c r="D255">
        <v>104.71817</v>
      </c>
      <c r="E255">
        <v>72.856470999999999</v>
      </c>
      <c r="F255">
        <v>41.706121000000003</v>
      </c>
      <c r="G255">
        <v>19.727274000000001</v>
      </c>
      <c r="H255">
        <v>21.901226000000001</v>
      </c>
    </row>
    <row r="256" spans="1:9" customFormat="1" x14ac:dyDescent="0.3">
      <c r="A256">
        <v>1592.4</v>
      </c>
      <c r="B256">
        <v>98.143150000000006</v>
      </c>
      <c r="C256">
        <v>101.350543</v>
      </c>
      <c r="D256">
        <v>104.722314</v>
      </c>
      <c r="E256">
        <v>72.951187000000004</v>
      </c>
      <c r="F256">
        <v>42.111904000000003</v>
      </c>
      <c r="G256">
        <v>19.709987999999999</v>
      </c>
      <c r="H256">
        <v>21.901026000000002</v>
      </c>
    </row>
    <row r="257" spans="1:9" customFormat="1" x14ac:dyDescent="0.3">
      <c r="A257">
        <v>1592.6</v>
      </c>
      <c r="B257">
        <v>98.143150000000006</v>
      </c>
      <c r="C257">
        <v>101.350543</v>
      </c>
      <c r="D257">
        <v>104.722314</v>
      </c>
      <c r="E257">
        <v>72.951187000000004</v>
      </c>
      <c r="F257">
        <v>42.111904000000003</v>
      </c>
      <c r="G257">
        <v>19.709987999999999</v>
      </c>
      <c r="H257">
        <v>21.901026000000002</v>
      </c>
    </row>
    <row r="258" spans="1:9" customFormat="1" x14ac:dyDescent="0.3">
      <c r="A258">
        <v>1592.8</v>
      </c>
      <c r="B258">
        <v>98.138704000000004</v>
      </c>
      <c r="C258">
        <v>101.382997</v>
      </c>
      <c r="D258">
        <v>104.722919</v>
      </c>
      <c r="E258">
        <v>72.872501999999997</v>
      </c>
      <c r="F258">
        <v>42.115003999999999</v>
      </c>
      <c r="G258">
        <v>19.706917000000001</v>
      </c>
      <c r="H258">
        <v>21.924486999999999</v>
      </c>
    </row>
    <row r="259" spans="1:9" customFormat="1" x14ac:dyDescent="0.3">
      <c r="A259">
        <v>1593</v>
      </c>
      <c r="B259">
        <v>98.138704000000004</v>
      </c>
      <c r="C259">
        <v>101.382997</v>
      </c>
      <c r="D259">
        <v>104.722919</v>
      </c>
      <c r="E259">
        <v>72.872501999999997</v>
      </c>
      <c r="F259">
        <v>42.115003999999999</v>
      </c>
      <c r="G259">
        <v>19.706917000000001</v>
      </c>
      <c r="H259">
        <v>21.924486999999999</v>
      </c>
      <c r="I259" t="s">
        <v>61</v>
      </c>
    </row>
    <row r="260" spans="1:9" customFormat="1" x14ac:dyDescent="0.3">
      <c r="A260">
        <v>1593.2</v>
      </c>
      <c r="B260">
        <v>98.147238000000002</v>
      </c>
      <c r="C260">
        <v>101.363556</v>
      </c>
      <c r="D260">
        <v>104.749272</v>
      </c>
      <c r="E260">
        <v>72.934821999999997</v>
      </c>
      <c r="F260">
        <v>42.225642000000001</v>
      </c>
      <c r="G260">
        <v>19.700772000000001</v>
      </c>
      <c r="H260">
        <v>21.912669999999999</v>
      </c>
    </row>
    <row r="261" spans="1:9" customFormat="1" x14ac:dyDescent="0.3">
      <c r="A261">
        <v>1593.4</v>
      </c>
      <c r="B261">
        <v>98.147238000000002</v>
      </c>
      <c r="C261">
        <v>101.363556</v>
      </c>
      <c r="D261">
        <v>104.749272</v>
      </c>
      <c r="E261">
        <v>72.934821999999997</v>
      </c>
      <c r="F261">
        <v>42.225642000000001</v>
      </c>
      <c r="G261">
        <v>19.700772000000001</v>
      </c>
      <c r="H261">
        <v>21.912669999999999</v>
      </c>
    </row>
    <row r="262" spans="1:9" customFormat="1" x14ac:dyDescent="0.3">
      <c r="A262">
        <v>1593.6</v>
      </c>
      <c r="B262">
        <v>98.160365999999996</v>
      </c>
      <c r="C262">
        <v>101.397729</v>
      </c>
      <c r="D262">
        <v>104.731685</v>
      </c>
      <c r="E262">
        <v>72.878546999999998</v>
      </c>
      <c r="F262">
        <v>42.248654000000002</v>
      </c>
      <c r="G262">
        <v>19.714286999999999</v>
      </c>
      <c r="H262">
        <v>21.910526999999998</v>
      </c>
    </row>
    <row r="263" spans="1:9" customFormat="1" x14ac:dyDescent="0.3">
      <c r="A263">
        <v>1593.8</v>
      </c>
      <c r="B263">
        <v>98.160365999999996</v>
      </c>
      <c r="C263">
        <v>101.397729</v>
      </c>
      <c r="D263">
        <v>104.731685</v>
      </c>
      <c r="E263">
        <v>72.878546999999998</v>
      </c>
      <c r="F263">
        <v>42.248654000000002</v>
      </c>
      <c r="G263">
        <v>19.714286999999999</v>
      </c>
      <c r="H263">
        <v>21.910526999999998</v>
      </c>
    </row>
    <row r="264" spans="1:9" customFormat="1" x14ac:dyDescent="0.3">
      <c r="A264">
        <v>1594</v>
      </c>
      <c r="B264">
        <v>98.138752999999994</v>
      </c>
      <c r="C264">
        <v>101.401146</v>
      </c>
      <c r="D264">
        <v>104.76599299999999</v>
      </c>
      <c r="E264">
        <v>72.743612999999996</v>
      </c>
      <c r="F264">
        <v>41.954903000000002</v>
      </c>
      <c r="G264">
        <v>19.692107</v>
      </c>
      <c r="H264">
        <v>21.9116</v>
      </c>
      <c r="I264" t="s">
        <v>61</v>
      </c>
    </row>
    <row r="265" spans="1:9" customFormat="1" x14ac:dyDescent="0.3">
      <c r="A265">
        <v>1594.2</v>
      </c>
      <c r="B265">
        <v>98.138752999999994</v>
      </c>
      <c r="C265">
        <v>101.401146</v>
      </c>
      <c r="D265">
        <v>104.76599299999999</v>
      </c>
      <c r="E265">
        <v>72.743612999999996</v>
      </c>
      <c r="F265">
        <v>41.954903000000002</v>
      </c>
      <c r="G265">
        <v>19.692107</v>
      </c>
      <c r="H265">
        <v>21.9116</v>
      </c>
    </row>
    <row r="266" spans="1:9" customFormat="1" x14ac:dyDescent="0.3">
      <c r="A266">
        <v>1594.4</v>
      </c>
      <c r="B266">
        <v>98.122057999999996</v>
      </c>
      <c r="C266">
        <v>101.399615</v>
      </c>
      <c r="D266">
        <v>104.75645400000001</v>
      </c>
      <c r="E266">
        <v>72.727136999999999</v>
      </c>
      <c r="F266">
        <v>41.384667999999998</v>
      </c>
      <c r="G266">
        <v>19.697005999999998</v>
      </c>
      <c r="H266">
        <v>21.914121000000002</v>
      </c>
    </row>
    <row r="267" spans="1:9" customFormat="1" x14ac:dyDescent="0.3">
      <c r="A267">
        <v>1594.6</v>
      </c>
      <c r="B267">
        <v>98.122057999999996</v>
      </c>
      <c r="C267">
        <v>101.399615</v>
      </c>
      <c r="D267">
        <v>104.75645400000001</v>
      </c>
      <c r="E267">
        <v>72.727136999999999</v>
      </c>
      <c r="F267">
        <v>41.384667999999998</v>
      </c>
      <c r="G267">
        <v>19.697005999999998</v>
      </c>
      <c r="H267">
        <v>21.914121000000002</v>
      </c>
    </row>
    <row r="268" spans="1:9" customFormat="1" x14ac:dyDescent="0.3">
      <c r="A268">
        <v>1594.8</v>
      </c>
      <c r="B268">
        <v>98.119760999999997</v>
      </c>
      <c r="C268">
        <v>101.39549100000001</v>
      </c>
      <c r="D268">
        <v>104.72761800000001</v>
      </c>
      <c r="E268">
        <v>72.681859000000003</v>
      </c>
      <c r="F268">
        <v>41.608165</v>
      </c>
      <c r="G268">
        <v>19.710068</v>
      </c>
      <c r="H268">
        <v>21.912001</v>
      </c>
    </row>
    <row r="269" spans="1:9" customFormat="1" x14ac:dyDescent="0.3">
      <c r="A269">
        <v>1595</v>
      </c>
      <c r="B269">
        <v>98.119760999999997</v>
      </c>
      <c r="C269">
        <v>101.39549100000001</v>
      </c>
      <c r="D269">
        <v>104.72761800000001</v>
      </c>
      <c r="E269">
        <v>72.681859000000003</v>
      </c>
      <c r="F269">
        <v>41.608165</v>
      </c>
      <c r="G269">
        <v>19.710068</v>
      </c>
      <c r="H269">
        <v>21.912001</v>
      </c>
      <c r="I269" t="s">
        <v>61</v>
      </c>
    </row>
    <row r="270" spans="1:9" customFormat="1" x14ac:dyDescent="0.3">
      <c r="A270">
        <v>1595.2</v>
      </c>
      <c r="B270">
        <v>98.068720999999996</v>
      </c>
      <c r="C270">
        <v>101.37871800000001</v>
      </c>
      <c r="D270">
        <v>104.741302</v>
      </c>
      <c r="E270">
        <v>72.916704999999993</v>
      </c>
      <c r="F270">
        <v>41.964402</v>
      </c>
      <c r="G270">
        <v>19.707295999999999</v>
      </c>
      <c r="H270">
        <v>21.897864999999999</v>
      </c>
    </row>
    <row r="271" spans="1:9" customFormat="1" x14ac:dyDescent="0.3">
      <c r="A271">
        <v>1595.4</v>
      </c>
      <c r="B271">
        <v>98.068720999999996</v>
      </c>
      <c r="C271">
        <v>101.37871800000001</v>
      </c>
      <c r="D271">
        <v>104.741302</v>
      </c>
      <c r="E271">
        <v>72.916704999999993</v>
      </c>
      <c r="F271">
        <v>41.964402</v>
      </c>
      <c r="G271">
        <v>19.707295999999999</v>
      </c>
      <c r="H271">
        <v>21.897864999999999</v>
      </c>
    </row>
    <row r="272" spans="1:9" customFormat="1" x14ac:dyDescent="0.3">
      <c r="A272">
        <v>1595.6</v>
      </c>
      <c r="B272">
        <v>98.091003000000001</v>
      </c>
      <c r="C272">
        <v>101.38651</v>
      </c>
      <c r="D272">
        <v>104.74244899999999</v>
      </c>
      <c r="E272">
        <v>73.239620000000002</v>
      </c>
      <c r="F272">
        <v>42.324455999999998</v>
      </c>
      <c r="G272">
        <v>19.690408999999999</v>
      </c>
      <c r="H272">
        <v>21.907537000000001</v>
      </c>
    </row>
    <row r="273" spans="1:9" customFormat="1" x14ac:dyDescent="0.3">
      <c r="A273">
        <v>1595.8</v>
      </c>
      <c r="B273">
        <v>98.091003000000001</v>
      </c>
      <c r="C273">
        <v>101.38651</v>
      </c>
      <c r="D273">
        <v>104.74244899999999</v>
      </c>
      <c r="E273">
        <v>73.239620000000002</v>
      </c>
      <c r="F273">
        <v>42.324455999999998</v>
      </c>
      <c r="G273">
        <v>19.690408999999999</v>
      </c>
      <c r="H273">
        <v>21.907537000000001</v>
      </c>
    </row>
    <row r="274" spans="1:9" customFormat="1" x14ac:dyDescent="0.3">
      <c r="A274">
        <v>1769</v>
      </c>
      <c r="B274">
        <v>107.08266</v>
      </c>
      <c r="C274">
        <v>111.246414</v>
      </c>
      <c r="D274">
        <v>115.456964</v>
      </c>
      <c r="E274">
        <v>75.923833000000002</v>
      </c>
      <c r="F274">
        <v>44.389566000000002</v>
      </c>
      <c r="G274">
        <v>19.720388</v>
      </c>
      <c r="H274">
        <v>22.391631</v>
      </c>
      <c r="I274" t="s">
        <v>61</v>
      </c>
    </row>
    <row r="275" spans="1:9" customFormat="1" x14ac:dyDescent="0.3">
      <c r="A275">
        <v>1769.2</v>
      </c>
      <c r="B275">
        <v>107.087508</v>
      </c>
      <c r="C275">
        <v>111.271061</v>
      </c>
      <c r="D275">
        <v>115.48896999999999</v>
      </c>
      <c r="E275">
        <v>75.841793999999993</v>
      </c>
      <c r="F275">
        <v>44.348784999999999</v>
      </c>
      <c r="G275">
        <v>19.715142</v>
      </c>
      <c r="H275">
        <v>22.391133</v>
      </c>
    </row>
    <row r="276" spans="1:9" customFormat="1" x14ac:dyDescent="0.3">
      <c r="A276">
        <v>1769.4</v>
      </c>
      <c r="B276">
        <v>107.087508</v>
      </c>
      <c r="C276">
        <v>111.271061</v>
      </c>
      <c r="D276">
        <v>115.48896999999999</v>
      </c>
      <c r="E276">
        <v>75.841793999999993</v>
      </c>
      <c r="F276">
        <v>44.348784999999999</v>
      </c>
      <c r="G276">
        <v>19.715142</v>
      </c>
      <c r="H276">
        <v>22.391133</v>
      </c>
    </row>
    <row r="277" spans="1:9" customFormat="1" x14ac:dyDescent="0.3">
      <c r="A277">
        <v>1769.6</v>
      </c>
      <c r="B277">
        <v>107.072648</v>
      </c>
      <c r="C277">
        <v>111.259451</v>
      </c>
      <c r="D277">
        <v>115.47506199999999</v>
      </c>
      <c r="E277">
        <v>75.788846000000007</v>
      </c>
      <c r="F277">
        <v>44.617989999999999</v>
      </c>
      <c r="G277">
        <v>19.713294000000001</v>
      </c>
      <c r="H277">
        <v>22.387868000000001</v>
      </c>
    </row>
    <row r="278" spans="1:9" customFormat="1" x14ac:dyDescent="0.3">
      <c r="A278">
        <v>1769.8</v>
      </c>
      <c r="B278">
        <v>107.072648</v>
      </c>
      <c r="C278">
        <v>111.259451</v>
      </c>
      <c r="D278">
        <v>115.47506199999999</v>
      </c>
      <c r="E278">
        <v>75.788846000000007</v>
      </c>
      <c r="F278">
        <v>44.617989999999999</v>
      </c>
      <c r="G278">
        <v>19.713294000000001</v>
      </c>
      <c r="H278">
        <v>22.387868000000001</v>
      </c>
    </row>
    <row r="279" spans="1:9" customFormat="1" x14ac:dyDescent="0.3">
      <c r="A279">
        <v>1770</v>
      </c>
      <c r="B279">
        <v>107.07752499999999</v>
      </c>
      <c r="C279">
        <v>111.27860099999999</v>
      </c>
      <c r="D279">
        <v>115.492823</v>
      </c>
      <c r="E279">
        <v>75.858050000000006</v>
      </c>
      <c r="F279">
        <v>44.395902</v>
      </c>
      <c r="G279">
        <v>19.70158</v>
      </c>
      <c r="H279">
        <v>22.389438999999999</v>
      </c>
      <c r="I279" t="s">
        <v>61</v>
      </c>
    </row>
    <row r="280" spans="1:9" customFormat="1" x14ac:dyDescent="0.3">
      <c r="A280">
        <v>1770.2</v>
      </c>
      <c r="B280">
        <v>107.07752499999999</v>
      </c>
      <c r="C280">
        <v>111.27860099999999</v>
      </c>
      <c r="D280">
        <v>115.492823</v>
      </c>
      <c r="E280">
        <v>75.858050000000006</v>
      </c>
      <c r="F280">
        <v>44.395902</v>
      </c>
      <c r="G280">
        <v>19.70158</v>
      </c>
      <c r="H280">
        <v>22.389438999999999</v>
      </c>
    </row>
    <row r="281" spans="1:9" customFormat="1" x14ac:dyDescent="0.3">
      <c r="A281">
        <v>1770.4</v>
      </c>
      <c r="B281">
        <v>107.08264</v>
      </c>
      <c r="C281">
        <v>111.271269</v>
      </c>
      <c r="D281">
        <v>115.495164</v>
      </c>
      <c r="E281">
        <v>75.885204999999999</v>
      </c>
      <c r="F281">
        <v>44.011116000000001</v>
      </c>
      <c r="G281">
        <v>19.693587999999998</v>
      </c>
      <c r="H281">
        <v>22.393303</v>
      </c>
    </row>
    <row r="282" spans="1:9" customFormat="1" x14ac:dyDescent="0.3">
      <c r="A282">
        <v>1770.6</v>
      </c>
      <c r="B282">
        <v>107.08264</v>
      </c>
      <c r="C282">
        <v>111.271269</v>
      </c>
      <c r="D282">
        <v>115.495164</v>
      </c>
      <c r="E282">
        <v>75.885204999999999</v>
      </c>
      <c r="F282">
        <v>44.011116000000001</v>
      </c>
      <c r="G282">
        <v>19.693587999999998</v>
      </c>
      <c r="H282">
        <v>22.393303</v>
      </c>
    </row>
    <row r="283" spans="1:9" customFormat="1" x14ac:dyDescent="0.3">
      <c r="A283">
        <v>1770.8</v>
      </c>
      <c r="B283">
        <v>107.090232</v>
      </c>
      <c r="C283">
        <v>111.279769</v>
      </c>
      <c r="D283">
        <v>115.49882599999999</v>
      </c>
      <c r="E283">
        <v>75.939188000000001</v>
      </c>
      <c r="F283">
        <v>43.668368999999998</v>
      </c>
      <c r="G283">
        <v>19.725888000000001</v>
      </c>
      <c r="H283">
        <v>22.405168</v>
      </c>
    </row>
    <row r="284" spans="1:9" customFormat="1" x14ac:dyDescent="0.3">
      <c r="A284">
        <v>1771</v>
      </c>
      <c r="B284">
        <v>107.090232</v>
      </c>
      <c r="C284">
        <v>111.279769</v>
      </c>
      <c r="D284">
        <v>115.49882599999999</v>
      </c>
      <c r="E284">
        <v>75.939188000000001</v>
      </c>
      <c r="F284">
        <v>43.668368999999998</v>
      </c>
      <c r="G284">
        <v>19.725888000000001</v>
      </c>
      <c r="H284">
        <v>22.405168</v>
      </c>
      <c r="I284" t="s">
        <v>61</v>
      </c>
    </row>
    <row r="285" spans="1:9" customFormat="1" x14ac:dyDescent="0.3">
      <c r="A285">
        <v>1771.2</v>
      </c>
      <c r="B285">
        <v>107.11012599999999</v>
      </c>
      <c r="C285">
        <v>111.279129</v>
      </c>
      <c r="D285">
        <v>115.52374399999999</v>
      </c>
      <c r="E285">
        <v>75.845708000000002</v>
      </c>
      <c r="F285">
        <v>43.890058000000003</v>
      </c>
      <c r="G285">
        <v>19.720465999999998</v>
      </c>
      <c r="H285">
        <v>22.431956</v>
      </c>
    </row>
    <row r="286" spans="1:9" customFormat="1" x14ac:dyDescent="0.3">
      <c r="A286">
        <v>1771.4</v>
      </c>
      <c r="B286">
        <v>107.11012599999999</v>
      </c>
      <c r="C286">
        <v>111.279129</v>
      </c>
      <c r="D286">
        <v>115.52374399999999</v>
      </c>
      <c r="E286">
        <v>75.845708000000002</v>
      </c>
      <c r="F286">
        <v>43.890058000000003</v>
      </c>
      <c r="G286">
        <v>19.720465999999998</v>
      </c>
      <c r="H286">
        <v>22.431956</v>
      </c>
    </row>
    <row r="287" spans="1:9" customFormat="1" x14ac:dyDescent="0.3">
      <c r="A287">
        <v>1771.6</v>
      </c>
      <c r="B287">
        <v>107.133088</v>
      </c>
      <c r="C287">
        <v>111.285929</v>
      </c>
      <c r="D287">
        <v>115.48287999999999</v>
      </c>
      <c r="E287">
        <v>75.761258999999995</v>
      </c>
      <c r="F287">
        <v>43.809339000000001</v>
      </c>
      <c r="G287">
        <v>19.705632000000001</v>
      </c>
      <c r="H287">
        <v>22.444617999999998</v>
      </c>
    </row>
    <row r="288" spans="1:9" customFormat="1" x14ac:dyDescent="0.3">
      <c r="A288">
        <v>1771.8</v>
      </c>
      <c r="B288">
        <v>107.133088</v>
      </c>
      <c r="C288">
        <v>111.285929</v>
      </c>
      <c r="D288">
        <v>115.48287999999999</v>
      </c>
      <c r="E288">
        <v>75.761258999999995</v>
      </c>
      <c r="F288">
        <v>43.809339000000001</v>
      </c>
      <c r="G288">
        <v>19.705632000000001</v>
      </c>
      <c r="H288">
        <v>22.444617999999998</v>
      </c>
    </row>
    <row r="289" spans="1:9" customFormat="1" x14ac:dyDescent="0.3">
      <c r="A289">
        <v>1772</v>
      </c>
      <c r="B289">
        <v>107.109448</v>
      </c>
      <c r="C289">
        <v>111.29756999999999</v>
      </c>
      <c r="D289">
        <v>115.533889</v>
      </c>
      <c r="E289">
        <v>75.887776000000002</v>
      </c>
      <c r="F289">
        <v>43.920650000000002</v>
      </c>
      <c r="G289">
        <v>19.708379000000001</v>
      </c>
      <c r="H289">
        <v>22.432206999999998</v>
      </c>
      <c r="I289" t="s">
        <v>61</v>
      </c>
    </row>
    <row r="290" spans="1:9" customFormat="1" x14ac:dyDescent="0.3">
      <c r="A290">
        <v>1772.2</v>
      </c>
      <c r="B290">
        <v>107.109448</v>
      </c>
      <c r="C290">
        <v>111.29756999999999</v>
      </c>
      <c r="D290">
        <v>115.533889</v>
      </c>
      <c r="E290">
        <v>75.887776000000002</v>
      </c>
      <c r="F290">
        <v>43.920650000000002</v>
      </c>
      <c r="G290">
        <v>19.708379000000001</v>
      </c>
      <c r="H290">
        <v>22.432206999999998</v>
      </c>
    </row>
    <row r="291" spans="1:9" customFormat="1" x14ac:dyDescent="0.3">
      <c r="A291">
        <v>1772.4</v>
      </c>
      <c r="B291">
        <v>107.09889099999999</v>
      </c>
      <c r="C291">
        <v>111.284959</v>
      </c>
      <c r="D291">
        <v>115.51046100000001</v>
      </c>
      <c r="E291">
        <v>76.157396000000006</v>
      </c>
      <c r="F291">
        <v>44.251609999999999</v>
      </c>
      <c r="G291">
        <v>19.725563999999999</v>
      </c>
      <c r="H291">
        <v>22.445564000000001</v>
      </c>
    </row>
    <row r="292" spans="1:9" customFormat="1" x14ac:dyDescent="0.3">
      <c r="A292">
        <v>1772.6</v>
      </c>
      <c r="B292">
        <v>107.09889099999999</v>
      </c>
      <c r="C292">
        <v>111.284959</v>
      </c>
      <c r="D292">
        <v>115.51046100000001</v>
      </c>
      <c r="E292">
        <v>76.157396000000006</v>
      </c>
      <c r="F292">
        <v>44.251609999999999</v>
      </c>
      <c r="G292">
        <v>19.725563999999999</v>
      </c>
      <c r="H292">
        <v>22.445564000000001</v>
      </c>
    </row>
    <row r="293" spans="1:9" customFormat="1" x14ac:dyDescent="0.3">
      <c r="A293">
        <v>1772.8</v>
      </c>
      <c r="B293">
        <v>107.15595999999999</v>
      </c>
      <c r="C293">
        <v>111.296323</v>
      </c>
      <c r="D293">
        <v>115.534024</v>
      </c>
      <c r="E293">
        <v>76.417154999999994</v>
      </c>
      <c r="F293">
        <v>43.844275000000003</v>
      </c>
      <c r="G293">
        <v>19.722569</v>
      </c>
      <c r="H293">
        <v>22.456306999999999</v>
      </c>
    </row>
    <row r="294" spans="1:9" customFormat="1" x14ac:dyDescent="0.3">
      <c r="A294">
        <v>1773</v>
      </c>
      <c r="B294">
        <v>107.15595999999999</v>
      </c>
      <c r="C294">
        <v>111.296323</v>
      </c>
      <c r="D294">
        <v>115.534024</v>
      </c>
      <c r="E294">
        <v>76.417154999999994</v>
      </c>
      <c r="F294">
        <v>43.844275000000003</v>
      </c>
      <c r="G294">
        <v>19.722569</v>
      </c>
      <c r="H294">
        <v>22.456306999999999</v>
      </c>
      <c r="I294" t="s">
        <v>61</v>
      </c>
    </row>
    <row r="295" spans="1:9" customFormat="1" x14ac:dyDescent="0.3">
      <c r="A295">
        <v>1773.2</v>
      </c>
      <c r="B295">
        <v>107.197784</v>
      </c>
      <c r="C295">
        <v>111.328631</v>
      </c>
      <c r="D295">
        <v>115.526026</v>
      </c>
      <c r="E295">
        <v>76.443642999999994</v>
      </c>
      <c r="F295">
        <v>43.407280999999998</v>
      </c>
      <c r="G295">
        <v>19.704260999999999</v>
      </c>
      <c r="H295">
        <v>22.460768999999999</v>
      </c>
    </row>
    <row r="296" spans="1:9" customFormat="1" x14ac:dyDescent="0.3">
      <c r="A296">
        <v>1773.4</v>
      </c>
      <c r="B296">
        <v>107.197784</v>
      </c>
      <c r="C296">
        <v>111.328631</v>
      </c>
      <c r="D296">
        <v>115.526026</v>
      </c>
      <c r="E296">
        <v>76.443642999999994</v>
      </c>
      <c r="F296">
        <v>43.407280999999998</v>
      </c>
      <c r="G296">
        <v>19.704260999999999</v>
      </c>
      <c r="H296">
        <v>22.460768999999999</v>
      </c>
    </row>
    <row r="297" spans="1:9" customFormat="1" x14ac:dyDescent="0.3">
      <c r="A297">
        <v>1773.6</v>
      </c>
      <c r="B297">
        <v>107.26545400000001</v>
      </c>
      <c r="C297">
        <v>111.33445</v>
      </c>
      <c r="D297">
        <v>115.57444</v>
      </c>
      <c r="E297">
        <v>76.162420999999995</v>
      </c>
      <c r="F297">
        <v>43.388508000000002</v>
      </c>
      <c r="G297">
        <v>19.743849999999998</v>
      </c>
      <c r="H297">
        <v>22.458126</v>
      </c>
    </row>
    <row r="298" spans="1:9" customFormat="1" x14ac:dyDescent="0.3">
      <c r="A298">
        <v>1773.8</v>
      </c>
      <c r="B298">
        <v>107.26545400000001</v>
      </c>
      <c r="C298">
        <v>111.33445</v>
      </c>
      <c r="D298">
        <v>115.57444</v>
      </c>
      <c r="E298">
        <v>76.162420999999995</v>
      </c>
      <c r="F298">
        <v>43.388508000000002</v>
      </c>
      <c r="G298">
        <v>19.743849999999998</v>
      </c>
      <c r="H298">
        <v>22.458126</v>
      </c>
    </row>
    <row r="299" spans="1:9" customFormat="1" x14ac:dyDescent="0.3">
      <c r="A299">
        <v>1774</v>
      </c>
      <c r="B299">
        <v>107.24595100000001</v>
      </c>
      <c r="C299">
        <v>111.362431</v>
      </c>
      <c r="D299">
        <v>115.58007600000001</v>
      </c>
      <c r="E299">
        <v>76.144605999999996</v>
      </c>
      <c r="F299">
        <v>43.422159000000001</v>
      </c>
      <c r="G299">
        <v>19.719624</v>
      </c>
      <c r="H299">
        <v>22.476095000000001</v>
      </c>
      <c r="I299" t="s">
        <v>61</v>
      </c>
    </row>
    <row r="300" spans="1:9" customFormat="1" x14ac:dyDescent="0.3">
      <c r="A300">
        <v>1774.2</v>
      </c>
      <c r="B300">
        <v>107.24595100000001</v>
      </c>
      <c r="C300">
        <v>111.362431</v>
      </c>
      <c r="D300">
        <v>115.58007600000001</v>
      </c>
      <c r="E300">
        <v>76.144605999999996</v>
      </c>
      <c r="F300">
        <v>43.422159000000001</v>
      </c>
      <c r="G300">
        <v>19.719624</v>
      </c>
      <c r="H300">
        <v>22.476095000000001</v>
      </c>
    </row>
    <row r="301" spans="1:9" customFormat="1" x14ac:dyDescent="0.3">
      <c r="A301">
        <v>1774.4</v>
      </c>
      <c r="B301">
        <v>107.23192400000001</v>
      </c>
      <c r="C301">
        <v>111.36225</v>
      </c>
      <c r="D301">
        <v>115.596243</v>
      </c>
      <c r="E301">
        <v>76.038484999999994</v>
      </c>
      <c r="F301">
        <v>42.995679000000003</v>
      </c>
      <c r="G301">
        <v>19.741879000000001</v>
      </c>
      <c r="H301">
        <v>22.465154999999999</v>
      </c>
    </row>
    <row r="302" spans="1:9" customFormat="1" x14ac:dyDescent="0.3">
      <c r="A302">
        <v>1774.6</v>
      </c>
      <c r="B302">
        <v>107.23192400000001</v>
      </c>
      <c r="C302">
        <v>111.36225</v>
      </c>
      <c r="D302">
        <v>115.596243</v>
      </c>
      <c r="E302">
        <v>76.038484999999994</v>
      </c>
      <c r="F302">
        <v>42.995679000000003</v>
      </c>
      <c r="G302">
        <v>19.741879000000001</v>
      </c>
      <c r="H302">
        <v>22.465154999999999</v>
      </c>
    </row>
    <row r="303" spans="1:9" customFormat="1" x14ac:dyDescent="0.3">
      <c r="A303">
        <v>1774.8</v>
      </c>
      <c r="B303">
        <v>107.22789299999999</v>
      </c>
      <c r="C303">
        <v>111.365827</v>
      </c>
      <c r="D303">
        <v>115.595905</v>
      </c>
      <c r="E303">
        <v>75.949442000000005</v>
      </c>
      <c r="F303">
        <v>42.843581999999998</v>
      </c>
      <c r="G303">
        <v>19.718826</v>
      </c>
      <c r="H303">
        <v>22.471985</v>
      </c>
    </row>
    <row r="304" spans="1:9" customFormat="1" x14ac:dyDescent="0.3">
      <c r="A304">
        <v>1775</v>
      </c>
      <c r="B304">
        <v>107.22789299999999</v>
      </c>
      <c r="C304">
        <v>111.365827</v>
      </c>
      <c r="D304">
        <v>115.595905</v>
      </c>
      <c r="E304">
        <v>75.949442000000005</v>
      </c>
      <c r="F304">
        <v>42.843581999999998</v>
      </c>
      <c r="G304">
        <v>19.718826</v>
      </c>
      <c r="H304">
        <v>22.471985</v>
      </c>
      <c r="I304" t="s">
        <v>61</v>
      </c>
    </row>
    <row r="305" spans="1:9" customFormat="1" x14ac:dyDescent="0.3">
      <c r="A305">
        <v>1775.2</v>
      </c>
      <c r="B305">
        <v>107.21468</v>
      </c>
      <c r="C305">
        <v>111.360468</v>
      </c>
      <c r="D305">
        <v>115.586403</v>
      </c>
      <c r="E305">
        <v>75.913531000000006</v>
      </c>
      <c r="F305">
        <v>42.823604000000003</v>
      </c>
      <c r="G305">
        <v>19.706436</v>
      </c>
      <c r="H305">
        <v>22.474775000000001</v>
      </c>
    </row>
    <row r="306" spans="1:9" customFormat="1" x14ac:dyDescent="0.3">
      <c r="A306">
        <v>1775.4</v>
      </c>
      <c r="B306">
        <v>107.21468</v>
      </c>
      <c r="C306">
        <v>111.360468</v>
      </c>
      <c r="D306">
        <v>115.586403</v>
      </c>
      <c r="E306">
        <v>75.913531000000006</v>
      </c>
      <c r="F306">
        <v>42.823604000000003</v>
      </c>
      <c r="G306">
        <v>19.706436</v>
      </c>
      <c r="H306">
        <v>22.474775000000001</v>
      </c>
    </row>
    <row r="307" spans="1:9" customFormat="1" x14ac:dyDescent="0.3">
      <c r="A307">
        <v>1775.6</v>
      </c>
      <c r="B307">
        <v>107.19435199999999</v>
      </c>
      <c r="C307">
        <v>111.36297999999999</v>
      </c>
      <c r="D307">
        <v>115.60226900000001</v>
      </c>
      <c r="E307">
        <v>75.979462999999996</v>
      </c>
      <c r="F307">
        <v>42.829675000000002</v>
      </c>
      <c r="G307">
        <v>19.731967000000001</v>
      </c>
      <c r="H307">
        <v>22.469943000000001</v>
      </c>
    </row>
    <row r="308" spans="1:9" customFormat="1" x14ac:dyDescent="0.3">
      <c r="A308">
        <v>1775.8</v>
      </c>
      <c r="B308">
        <v>107.19435199999999</v>
      </c>
      <c r="C308">
        <v>111.36297999999999</v>
      </c>
      <c r="D308">
        <v>115.60226900000001</v>
      </c>
      <c r="E308">
        <v>75.979462999999996</v>
      </c>
      <c r="F308">
        <v>42.829675000000002</v>
      </c>
      <c r="G308">
        <v>19.731967000000001</v>
      </c>
      <c r="H308">
        <v>22.469943000000001</v>
      </c>
    </row>
    <row r="309" spans="1:9" customFormat="1" x14ac:dyDescent="0.3">
      <c r="A309">
        <v>1776</v>
      </c>
      <c r="B309">
        <v>107.21167199999999</v>
      </c>
      <c r="C309">
        <v>111.37036500000001</v>
      </c>
      <c r="D309">
        <v>115.600672</v>
      </c>
      <c r="E309">
        <v>76.242835999999997</v>
      </c>
      <c r="F309">
        <v>43.203636000000003</v>
      </c>
      <c r="G309">
        <v>19.716906000000002</v>
      </c>
      <c r="H309">
        <v>22.440714</v>
      </c>
      <c r="I309" t="s">
        <v>61</v>
      </c>
    </row>
    <row r="310" spans="1:9" customFormat="1" x14ac:dyDescent="0.3">
      <c r="A310">
        <v>1776.2</v>
      </c>
      <c r="B310">
        <v>107.21167199999999</v>
      </c>
      <c r="C310">
        <v>111.37036500000001</v>
      </c>
      <c r="D310">
        <v>115.600672</v>
      </c>
      <c r="E310">
        <v>76.242835999999997</v>
      </c>
      <c r="F310">
        <v>43.203636000000003</v>
      </c>
      <c r="G310">
        <v>19.716906000000002</v>
      </c>
      <c r="H310">
        <v>22.440714</v>
      </c>
    </row>
    <row r="311" spans="1:9" customFormat="1" x14ac:dyDescent="0.3">
      <c r="A311">
        <v>1776.4</v>
      </c>
      <c r="B311">
        <v>107.260251</v>
      </c>
      <c r="C311">
        <v>111.388454</v>
      </c>
      <c r="D311">
        <v>115.60033300000001</v>
      </c>
      <c r="E311">
        <v>76.262260999999995</v>
      </c>
      <c r="F311">
        <v>43.789783999999997</v>
      </c>
      <c r="G311">
        <v>19.724499000000002</v>
      </c>
      <c r="H311">
        <v>22.408991</v>
      </c>
    </row>
    <row r="312" spans="1:9" customFormat="1" x14ac:dyDescent="0.3">
      <c r="A312">
        <v>1776.6</v>
      </c>
      <c r="B312">
        <v>107.260251</v>
      </c>
      <c r="C312">
        <v>111.388454</v>
      </c>
      <c r="D312">
        <v>115.60033300000001</v>
      </c>
      <c r="E312">
        <v>76.262260999999995</v>
      </c>
      <c r="F312">
        <v>43.789783999999997</v>
      </c>
      <c r="G312">
        <v>19.724499000000002</v>
      </c>
      <c r="H312">
        <v>22.408991</v>
      </c>
    </row>
    <row r="313" spans="1:9" customFormat="1" x14ac:dyDescent="0.3">
      <c r="A313">
        <v>1776.8</v>
      </c>
      <c r="B313">
        <v>107.279599</v>
      </c>
      <c r="C313">
        <v>111.387038</v>
      </c>
      <c r="D313">
        <v>115.626318</v>
      </c>
      <c r="E313">
        <v>76.285437000000002</v>
      </c>
      <c r="F313">
        <v>44.175185999999997</v>
      </c>
      <c r="G313">
        <v>19.717855</v>
      </c>
      <c r="H313">
        <v>22.435979</v>
      </c>
    </row>
    <row r="314" spans="1:9" customFormat="1" x14ac:dyDescent="0.3">
      <c r="A314">
        <v>1777</v>
      </c>
      <c r="B314">
        <v>107.279599</v>
      </c>
      <c r="C314">
        <v>111.387038</v>
      </c>
      <c r="D314">
        <v>115.626318</v>
      </c>
      <c r="E314">
        <v>76.285437000000002</v>
      </c>
      <c r="F314">
        <v>44.175185999999997</v>
      </c>
      <c r="G314">
        <v>19.717855</v>
      </c>
      <c r="H314">
        <v>22.435979</v>
      </c>
      <c r="I314" t="s">
        <v>61</v>
      </c>
    </row>
    <row r="315" spans="1:9" customFormat="1" x14ac:dyDescent="0.3">
      <c r="A315">
        <v>1777.2</v>
      </c>
      <c r="B315">
        <v>107.326346</v>
      </c>
      <c r="C315">
        <v>111.424719</v>
      </c>
      <c r="D315">
        <v>115.62438</v>
      </c>
      <c r="E315">
        <v>76.166991999999993</v>
      </c>
      <c r="F315">
        <v>43.843060000000001</v>
      </c>
      <c r="G315">
        <v>19.739861999999999</v>
      </c>
      <c r="H315">
        <v>22.451305999999999</v>
      </c>
    </row>
    <row r="316" spans="1:9" customFormat="1" x14ac:dyDescent="0.3">
      <c r="A316">
        <v>1777.4</v>
      </c>
      <c r="B316">
        <v>107.326346</v>
      </c>
      <c r="C316">
        <v>111.424719</v>
      </c>
      <c r="D316">
        <v>115.62438</v>
      </c>
      <c r="E316">
        <v>76.166991999999993</v>
      </c>
      <c r="F316">
        <v>43.843060000000001</v>
      </c>
      <c r="G316">
        <v>19.739861999999999</v>
      </c>
      <c r="H316">
        <v>22.451305999999999</v>
      </c>
    </row>
    <row r="317" spans="1:9" customFormat="1" x14ac:dyDescent="0.3">
      <c r="A317">
        <v>1777.6</v>
      </c>
      <c r="B317">
        <v>107.31518199999999</v>
      </c>
      <c r="C317">
        <v>111.437991</v>
      </c>
      <c r="D317">
        <v>115.675872</v>
      </c>
      <c r="E317">
        <v>76.067397999999997</v>
      </c>
      <c r="F317">
        <v>43.344383999999998</v>
      </c>
      <c r="G317">
        <v>19.712036999999999</v>
      </c>
      <c r="H317">
        <v>22.461424000000001</v>
      </c>
    </row>
    <row r="318" spans="1:9" customFormat="1" x14ac:dyDescent="0.3">
      <c r="A318">
        <v>1777.8</v>
      </c>
      <c r="B318">
        <v>107.31518199999999</v>
      </c>
      <c r="C318">
        <v>111.437991</v>
      </c>
      <c r="D318">
        <v>115.675872</v>
      </c>
      <c r="E318">
        <v>76.067397999999997</v>
      </c>
      <c r="F318">
        <v>43.344383999999998</v>
      </c>
      <c r="G318">
        <v>19.712036999999999</v>
      </c>
      <c r="H318">
        <v>22.461424000000001</v>
      </c>
    </row>
    <row r="319" spans="1:9" customFormat="1" x14ac:dyDescent="0.3">
      <c r="A319">
        <v>1778</v>
      </c>
      <c r="B319">
        <v>107.32535</v>
      </c>
      <c r="C319">
        <v>111.436393</v>
      </c>
      <c r="D319">
        <v>115.681183</v>
      </c>
      <c r="E319">
        <v>76.151981000000006</v>
      </c>
      <c r="F319">
        <v>44.226075999999999</v>
      </c>
      <c r="G319">
        <v>19.723251000000001</v>
      </c>
      <c r="H319">
        <v>22.443256999999999</v>
      </c>
      <c r="I319" t="s">
        <v>61</v>
      </c>
    </row>
    <row r="320" spans="1:9" customFormat="1" x14ac:dyDescent="0.3">
      <c r="A320">
        <v>1778.2</v>
      </c>
      <c r="B320">
        <v>107.32535</v>
      </c>
      <c r="C320">
        <v>111.436393</v>
      </c>
      <c r="D320">
        <v>115.681183</v>
      </c>
      <c r="E320">
        <v>76.151981000000006</v>
      </c>
      <c r="F320">
        <v>44.226075999999999</v>
      </c>
      <c r="G320">
        <v>19.723251000000001</v>
      </c>
      <c r="H320">
        <v>22.443256999999999</v>
      </c>
    </row>
    <row r="321" spans="1:9" customFormat="1" x14ac:dyDescent="0.3">
      <c r="A321">
        <v>1778.4</v>
      </c>
      <c r="B321">
        <v>107.29285299999999</v>
      </c>
      <c r="C321">
        <v>111.445876</v>
      </c>
      <c r="D321">
        <v>115.678228</v>
      </c>
      <c r="E321">
        <v>76.089972000000003</v>
      </c>
      <c r="F321">
        <v>43.573867999999997</v>
      </c>
      <c r="G321">
        <v>19.721004000000001</v>
      </c>
      <c r="H321">
        <v>22.461373999999999</v>
      </c>
    </row>
    <row r="322" spans="1:9" customFormat="1" x14ac:dyDescent="0.3">
      <c r="A322">
        <v>1778.6</v>
      </c>
      <c r="B322">
        <v>107.29285299999999</v>
      </c>
      <c r="C322">
        <v>111.445876</v>
      </c>
      <c r="D322">
        <v>115.678228</v>
      </c>
      <c r="E322">
        <v>76.089972000000003</v>
      </c>
      <c r="F322">
        <v>43.573867999999997</v>
      </c>
      <c r="G322">
        <v>19.721004000000001</v>
      </c>
      <c r="H322">
        <v>22.461373999999999</v>
      </c>
    </row>
    <row r="323" spans="1:9" customFormat="1" x14ac:dyDescent="0.3">
      <c r="A323">
        <v>1778.8</v>
      </c>
      <c r="B323">
        <v>107.301393</v>
      </c>
      <c r="C323">
        <v>111.45209800000001</v>
      </c>
      <c r="D323">
        <v>115.667638</v>
      </c>
      <c r="E323">
        <v>76.140302000000005</v>
      </c>
      <c r="F323">
        <v>42.761505</v>
      </c>
      <c r="G323">
        <v>19.710767000000001</v>
      </c>
      <c r="H323">
        <v>22.468205999999999</v>
      </c>
    </row>
    <row r="324" spans="1:9" customFormat="1" x14ac:dyDescent="0.3">
      <c r="A324">
        <v>1934</v>
      </c>
      <c r="B324">
        <v>116.47840100000001</v>
      </c>
      <c r="C324">
        <v>121.518591</v>
      </c>
      <c r="D324">
        <v>126.636821</v>
      </c>
      <c r="E324">
        <v>79.848059000000006</v>
      </c>
      <c r="F324">
        <v>47.012946999999997</v>
      </c>
      <c r="G324">
        <v>19.642188000000001</v>
      </c>
      <c r="H324">
        <v>22.931394000000001</v>
      </c>
      <c r="I324" t="s">
        <v>61</v>
      </c>
    </row>
    <row r="325" spans="1:9" customFormat="1" x14ac:dyDescent="0.3">
      <c r="A325">
        <v>1934.2</v>
      </c>
      <c r="B325">
        <v>116.47840100000001</v>
      </c>
      <c r="C325">
        <v>121.518591</v>
      </c>
      <c r="D325">
        <v>126.636821</v>
      </c>
      <c r="E325">
        <v>79.848059000000006</v>
      </c>
      <c r="F325">
        <v>47.012946999999997</v>
      </c>
      <c r="G325">
        <v>19.642188000000001</v>
      </c>
      <c r="H325">
        <v>22.931394000000001</v>
      </c>
    </row>
    <row r="326" spans="1:9" customFormat="1" x14ac:dyDescent="0.3">
      <c r="A326">
        <v>1934.4</v>
      </c>
      <c r="B326">
        <v>116.49199299999999</v>
      </c>
      <c r="C326">
        <v>121.51177800000001</v>
      </c>
      <c r="D326">
        <v>126.640899</v>
      </c>
      <c r="E326">
        <v>79.876926999999995</v>
      </c>
      <c r="F326">
        <v>47.010511000000001</v>
      </c>
      <c r="G326">
        <v>19.653507000000001</v>
      </c>
      <c r="H326">
        <v>22.955932000000001</v>
      </c>
    </row>
    <row r="327" spans="1:9" customFormat="1" x14ac:dyDescent="0.3">
      <c r="A327">
        <v>1934.6</v>
      </c>
      <c r="B327">
        <v>116.49199299999999</v>
      </c>
      <c r="C327">
        <v>121.51177800000001</v>
      </c>
      <c r="D327">
        <v>126.640899</v>
      </c>
      <c r="E327">
        <v>79.876926999999995</v>
      </c>
      <c r="F327">
        <v>47.010511000000001</v>
      </c>
      <c r="G327">
        <v>19.653507000000001</v>
      </c>
      <c r="H327">
        <v>22.955932000000001</v>
      </c>
    </row>
    <row r="328" spans="1:9" customFormat="1" x14ac:dyDescent="0.3">
      <c r="A328">
        <v>1934.8</v>
      </c>
      <c r="B328">
        <v>116.497535</v>
      </c>
      <c r="C328">
        <v>121.561339</v>
      </c>
      <c r="D328">
        <v>126.625578</v>
      </c>
      <c r="E328">
        <v>79.667742000000004</v>
      </c>
      <c r="F328">
        <v>47.615285999999998</v>
      </c>
      <c r="G328">
        <v>19.655380000000001</v>
      </c>
      <c r="H328">
        <v>22.953067999999998</v>
      </c>
    </row>
    <row r="329" spans="1:9" customFormat="1" x14ac:dyDescent="0.3">
      <c r="A329">
        <v>1935</v>
      </c>
      <c r="B329">
        <v>116.497535</v>
      </c>
      <c r="C329">
        <v>121.561339</v>
      </c>
      <c r="D329">
        <v>126.625578</v>
      </c>
      <c r="E329">
        <v>79.667742000000004</v>
      </c>
      <c r="F329">
        <v>47.615285999999998</v>
      </c>
      <c r="G329">
        <v>19.655380000000001</v>
      </c>
      <c r="H329">
        <v>22.953067999999998</v>
      </c>
      <c r="I329" t="s">
        <v>61</v>
      </c>
    </row>
    <row r="330" spans="1:9" customFormat="1" x14ac:dyDescent="0.3">
      <c r="A330">
        <v>1935.2</v>
      </c>
      <c r="B330">
        <v>116.487206</v>
      </c>
      <c r="C330">
        <v>121.549167</v>
      </c>
      <c r="D330">
        <v>126.654888</v>
      </c>
      <c r="E330">
        <v>79.565798999999998</v>
      </c>
      <c r="F330">
        <v>47.826822999999997</v>
      </c>
      <c r="G330">
        <v>19.662725999999999</v>
      </c>
      <c r="H330">
        <v>22.946667999999999</v>
      </c>
    </row>
    <row r="331" spans="1:9" customFormat="1" x14ac:dyDescent="0.3">
      <c r="A331">
        <v>1935.4</v>
      </c>
      <c r="B331">
        <v>116.487206</v>
      </c>
      <c r="C331">
        <v>121.549167</v>
      </c>
      <c r="D331">
        <v>126.654888</v>
      </c>
      <c r="E331">
        <v>79.565798999999998</v>
      </c>
      <c r="F331">
        <v>47.826822999999997</v>
      </c>
      <c r="G331">
        <v>19.662725999999999</v>
      </c>
      <c r="H331">
        <v>22.946667999999999</v>
      </c>
    </row>
    <row r="332" spans="1:9" customFormat="1" x14ac:dyDescent="0.3">
      <c r="A332">
        <v>1935.6</v>
      </c>
      <c r="B332">
        <v>116.480543</v>
      </c>
      <c r="C332">
        <v>121.56012200000001</v>
      </c>
      <c r="D332">
        <v>126.661905</v>
      </c>
      <c r="E332">
        <v>79.646538000000007</v>
      </c>
      <c r="F332">
        <v>47.828338000000002</v>
      </c>
      <c r="G332">
        <v>19.638617</v>
      </c>
      <c r="H332">
        <v>22.939665999999999</v>
      </c>
    </row>
    <row r="333" spans="1:9" customFormat="1" x14ac:dyDescent="0.3">
      <c r="A333">
        <v>1935.8</v>
      </c>
      <c r="B333">
        <v>116.480543</v>
      </c>
      <c r="C333">
        <v>121.56012200000001</v>
      </c>
      <c r="D333">
        <v>126.661905</v>
      </c>
      <c r="E333">
        <v>79.646538000000007</v>
      </c>
      <c r="F333">
        <v>47.828338000000002</v>
      </c>
      <c r="G333">
        <v>19.638617</v>
      </c>
      <c r="H333">
        <v>22.939665999999999</v>
      </c>
    </row>
    <row r="334" spans="1:9" customFormat="1" x14ac:dyDescent="0.3">
      <c r="A334">
        <v>1936</v>
      </c>
      <c r="B334">
        <v>116.47714999999999</v>
      </c>
      <c r="C334">
        <v>121.55441500000001</v>
      </c>
      <c r="D334">
        <v>126.666858</v>
      </c>
      <c r="E334">
        <v>79.602034000000003</v>
      </c>
      <c r="F334">
        <v>47.364348999999997</v>
      </c>
      <c r="G334">
        <v>19.6313</v>
      </c>
      <c r="H334">
        <v>22.942308000000001</v>
      </c>
      <c r="I334" t="s">
        <v>61</v>
      </c>
    </row>
    <row r="335" spans="1:9" customFormat="1" x14ac:dyDescent="0.3">
      <c r="A335">
        <v>1936.2</v>
      </c>
      <c r="B335">
        <v>116.47714999999999</v>
      </c>
      <c r="C335">
        <v>121.55441500000001</v>
      </c>
      <c r="D335">
        <v>126.666858</v>
      </c>
      <c r="E335">
        <v>79.602034000000003</v>
      </c>
      <c r="F335">
        <v>47.364348999999997</v>
      </c>
      <c r="G335">
        <v>19.6313</v>
      </c>
      <c r="H335">
        <v>22.942308000000001</v>
      </c>
    </row>
    <row r="336" spans="1:9" customFormat="1" x14ac:dyDescent="0.3">
      <c r="A336">
        <v>1936.4</v>
      </c>
      <c r="B336">
        <v>116.47981</v>
      </c>
      <c r="C336">
        <v>121.54710900000001</v>
      </c>
      <c r="D336">
        <v>126.672529</v>
      </c>
      <c r="E336">
        <v>79.536406999999997</v>
      </c>
      <c r="F336">
        <v>47.282919999999997</v>
      </c>
      <c r="G336">
        <v>19.645441999999999</v>
      </c>
      <c r="H336">
        <v>22.937006</v>
      </c>
    </row>
    <row r="337" spans="1:9" customFormat="1" x14ac:dyDescent="0.3">
      <c r="A337">
        <v>1936.6</v>
      </c>
      <c r="B337">
        <v>116.47981</v>
      </c>
      <c r="C337">
        <v>121.54710900000001</v>
      </c>
      <c r="D337">
        <v>126.672529</v>
      </c>
      <c r="E337">
        <v>79.536406999999997</v>
      </c>
      <c r="F337">
        <v>47.282919999999997</v>
      </c>
      <c r="G337">
        <v>19.645441999999999</v>
      </c>
      <c r="H337">
        <v>22.937006</v>
      </c>
    </row>
    <row r="338" spans="1:9" customFormat="1" x14ac:dyDescent="0.3">
      <c r="A338">
        <v>1936.8</v>
      </c>
      <c r="B338">
        <v>116.48383200000001</v>
      </c>
      <c r="C338">
        <v>121.57499300000001</v>
      </c>
      <c r="D338">
        <v>126.664496</v>
      </c>
      <c r="E338">
        <v>79.700132999999994</v>
      </c>
      <c r="F338">
        <v>46.912182999999999</v>
      </c>
      <c r="G338">
        <v>19.652137</v>
      </c>
      <c r="H338">
        <v>22.931850000000001</v>
      </c>
    </row>
    <row r="339" spans="1:9" customFormat="1" x14ac:dyDescent="0.3">
      <c r="A339">
        <v>1937</v>
      </c>
      <c r="B339">
        <v>116.48383200000001</v>
      </c>
      <c r="C339">
        <v>121.57499300000001</v>
      </c>
      <c r="D339">
        <v>126.664496</v>
      </c>
      <c r="E339">
        <v>79.700132999999994</v>
      </c>
      <c r="F339">
        <v>46.912182999999999</v>
      </c>
      <c r="G339">
        <v>19.652137</v>
      </c>
      <c r="H339">
        <v>22.931850000000001</v>
      </c>
      <c r="I339" t="s">
        <v>61</v>
      </c>
    </row>
    <row r="340" spans="1:9" customFormat="1" x14ac:dyDescent="0.3">
      <c r="A340">
        <v>1937.2</v>
      </c>
      <c r="B340">
        <v>116.518441</v>
      </c>
      <c r="C340">
        <v>121.582455</v>
      </c>
      <c r="D340">
        <v>126.70672399999999</v>
      </c>
      <c r="E340">
        <v>79.587556000000006</v>
      </c>
      <c r="F340">
        <v>45.706358000000002</v>
      </c>
      <c r="G340">
        <v>19.653010999999999</v>
      </c>
      <c r="H340">
        <v>22.939347000000001</v>
      </c>
    </row>
    <row r="341" spans="1:9" customFormat="1" x14ac:dyDescent="0.3">
      <c r="A341">
        <v>1937.4</v>
      </c>
      <c r="B341">
        <v>116.518441</v>
      </c>
      <c r="C341">
        <v>121.582455</v>
      </c>
      <c r="D341">
        <v>126.70672399999999</v>
      </c>
      <c r="E341">
        <v>79.587556000000006</v>
      </c>
      <c r="F341">
        <v>45.706358000000002</v>
      </c>
      <c r="G341">
        <v>19.653010999999999</v>
      </c>
      <c r="H341">
        <v>22.939347000000001</v>
      </c>
    </row>
    <row r="342" spans="1:9" customFormat="1" x14ac:dyDescent="0.3">
      <c r="A342">
        <v>1937.6</v>
      </c>
      <c r="B342">
        <v>116.534392</v>
      </c>
      <c r="C342">
        <v>121.588194</v>
      </c>
      <c r="D342">
        <v>126.699021</v>
      </c>
      <c r="E342">
        <v>79.440634000000003</v>
      </c>
      <c r="F342">
        <v>45.152037999999997</v>
      </c>
      <c r="G342">
        <v>19.627558000000001</v>
      </c>
      <c r="H342">
        <v>22.936209999999999</v>
      </c>
    </row>
    <row r="343" spans="1:9" customFormat="1" x14ac:dyDescent="0.3">
      <c r="A343">
        <v>1937.8</v>
      </c>
      <c r="B343">
        <v>116.534392</v>
      </c>
      <c r="C343">
        <v>121.588194</v>
      </c>
      <c r="D343">
        <v>126.699021</v>
      </c>
      <c r="E343">
        <v>79.440634000000003</v>
      </c>
      <c r="F343">
        <v>45.152037999999997</v>
      </c>
      <c r="G343">
        <v>19.627558000000001</v>
      </c>
      <c r="H343">
        <v>22.936209999999999</v>
      </c>
    </row>
    <row r="344" spans="1:9" customFormat="1" x14ac:dyDescent="0.3">
      <c r="A344">
        <v>1938</v>
      </c>
      <c r="B344">
        <v>116.511911</v>
      </c>
      <c r="C344">
        <v>121.588677</v>
      </c>
      <c r="D344">
        <v>126.706226</v>
      </c>
      <c r="E344">
        <v>79.404338999999993</v>
      </c>
      <c r="F344">
        <v>45.099964</v>
      </c>
      <c r="G344">
        <v>19.618565</v>
      </c>
      <c r="H344">
        <v>22.936235</v>
      </c>
      <c r="I344" t="s">
        <v>61</v>
      </c>
    </row>
    <row r="345" spans="1:9" customFormat="1" x14ac:dyDescent="0.3">
      <c r="A345">
        <v>1938.2</v>
      </c>
      <c r="B345">
        <v>116.511911</v>
      </c>
      <c r="C345">
        <v>121.588677</v>
      </c>
      <c r="D345">
        <v>126.706226</v>
      </c>
      <c r="E345">
        <v>79.404338999999993</v>
      </c>
      <c r="F345">
        <v>45.099964</v>
      </c>
      <c r="G345">
        <v>19.618565</v>
      </c>
      <c r="H345">
        <v>22.936235</v>
      </c>
    </row>
    <row r="346" spans="1:9" customFormat="1" x14ac:dyDescent="0.3">
      <c r="A346">
        <v>1938.4</v>
      </c>
      <c r="B346">
        <v>116.48906100000001</v>
      </c>
      <c r="C346">
        <v>121.57929</v>
      </c>
      <c r="D346">
        <v>126.702399</v>
      </c>
      <c r="E346">
        <v>79.623720000000006</v>
      </c>
      <c r="F346">
        <v>45.879598999999999</v>
      </c>
      <c r="G346">
        <v>19.629258</v>
      </c>
      <c r="H346">
        <v>22.910928999999999</v>
      </c>
    </row>
    <row r="347" spans="1:9" customFormat="1" x14ac:dyDescent="0.3">
      <c r="A347">
        <v>1938.6</v>
      </c>
      <c r="B347">
        <v>116.48906100000001</v>
      </c>
      <c r="C347">
        <v>121.57929</v>
      </c>
      <c r="D347">
        <v>126.702399</v>
      </c>
      <c r="E347">
        <v>79.623720000000006</v>
      </c>
      <c r="F347">
        <v>45.879598999999999</v>
      </c>
      <c r="G347">
        <v>19.629258</v>
      </c>
      <c r="H347">
        <v>22.910928999999999</v>
      </c>
    </row>
    <row r="348" spans="1:9" customFormat="1" x14ac:dyDescent="0.3">
      <c r="A348">
        <v>1938.8</v>
      </c>
      <c r="B348">
        <v>116.52097500000001</v>
      </c>
      <c r="C348">
        <v>121.603292</v>
      </c>
      <c r="D348">
        <v>126.720844</v>
      </c>
      <c r="E348">
        <v>79.621786</v>
      </c>
      <c r="F348">
        <v>46.667817999999997</v>
      </c>
      <c r="G348">
        <v>19.624336</v>
      </c>
      <c r="H348">
        <v>22.914065999999998</v>
      </c>
    </row>
    <row r="349" spans="1:9" customFormat="1" x14ac:dyDescent="0.3">
      <c r="A349">
        <v>1939</v>
      </c>
      <c r="B349">
        <v>116.52097500000001</v>
      </c>
      <c r="C349">
        <v>121.603292</v>
      </c>
      <c r="D349">
        <v>126.720844</v>
      </c>
      <c r="E349">
        <v>79.621786</v>
      </c>
      <c r="F349">
        <v>46.667817999999997</v>
      </c>
      <c r="G349">
        <v>19.624336</v>
      </c>
      <c r="H349">
        <v>22.914065999999998</v>
      </c>
      <c r="I349" t="s">
        <v>61</v>
      </c>
    </row>
    <row r="350" spans="1:9" customFormat="1" x14ac:dyDescent="0.3">
      <c r="A350">
        <v>1939.2</v>
      </c>
      <c r="B350">
        <v>116.553802</v>
      </c>
      <c r="C350">
        <v>121.627049</v>
      </c>
      <c r="D350">
        <v>126.71586600000001</v>
      </c>
      <c r="E350">
        <v>79.621675999999994</v>
      </c>
      <c r="F350">
        <v>46.103434999999998</v>
      </c>
      <c r="G350">
        <v>19.651043999999999</v>
      </c>
      <c r="H350">
        <v>22.946377999999999</v>
      </c>
    </row>
    <row r="351" spans="1:9" customFormat="1" x14ac:dyDescent="0.3">
      <c r="A351">
        <v>1939.4</v>
      </c>
      <c r="B351">
        <v>116.553802</v>
      </c>
      <c r="C351">
        <v>121.627049</v>
      </c>
      <c r="D351">
        <v>126.71586600000001</v>
      </c>
      <c r="E351">
        <v>79.621675999999994</v>
      </c>
      <c r="F351">
        <v>46.103434999999998</v>
      </c>
      <c r="G351">
        <v>19.651043999999999</v>
      </c>
      <c r="H351">
        <v>22.946377999999999</v>
      </c>
    </row>
    <row r="352" spans="1:9" customFormat="1" x14ac:dyDescent="0.3">
      <c r="A352">
        <v>1939.6</v>
      </c>
      <c r="B352">
        <v>116.54002800000001</v>
      </c>
      <c r="C352">
        <v>121.596141</v>
      </c>
      <c r="D352">
        <v>126.735478</v>
      </c>
      <c r="E352">
        <v>79.637217000000007</v>
      </c>
      <c r="F352">
        <v>45.738582999999998</v>
      </c>
      <c r="G352">
        <v>19.632159999999999</v>
      </c>
      <c r="H352">
        <v>22.929914</v>
      </c>
    </row>
    <row r="353" spans="1:9" customFormat="1" x14ac:dyDescent="0.3">
      <c r="A353">
        <v>1939.8</v>
      </c>
      <c r="B353">
        <v>116.54002800000001</v>
      </c>
      <c r="C353">
        <v>121.596141</v>
      </c>
      <c r="D353">
        <v>126.735478</v>
      </c>
      <c r="E353">
        <v>79.637217000000007</v>
      </c>
      <c r="F353">
        <v>45.738582999999998</v>
      </c>
      <c r="G353">
        <v>19.632159999999999</v>
      </c>
      <c r="H353">
        <v>22.929914</v>
      </c>
    </row>
    <row r="354" spans="1:9" customFormat="1" x14ac:dyDescent="0.3">
      <c r="A354">
        <v>1940</v>
      </c>
      <c r="B354">
        <v>116.56667400000001</v>
      </c>
      <c r="C354">
        <v>121.618357</v>
      </c>
      <c r="D354">
        <v>126.73266700000001</v>
      </c>
      <c r="E354">
        <v>79.483653000000004</v>
      </c>
      <c r="F354">
        <v>45.731579000000004</v>
      </c>
      <c r="G354">
        <v>19.640799999999999</v>
      </c>
      <c r="H354">
        <v>22.886469000000002</v>
      </c>
      <c r="I354" t="s">
        <v>61</v>
      </c>
    </row>
    <row r="355" spans="1:9" customFormat="1" x14ac:dyDescent="0.3">
      <c r="A355">
        <v>1940.2</v>
      </c>
      <c r="B355">
        <v>116.56667400000001</v>
      </c>
      <c r="C355">
        <v>121.618357</v>
      </c>
      <c r="D355">
        <v>126.73266700000001</v>
      </c>
      <c r="E355">
        <v>79.483653000000004</v>
      </c>
      <c r="F355">
        <v>45.731579000000004</v>
      </c>
      <c r="G355">
        <v>19.640799999999999</v>
      </c>
      <c r="H355">
        <v>22.886469000000002</v>
      </c>
    </row>
    <row r="356" spans="1:9" customFormat="1" x14ac:dyDescent="0.3">
      <c r="A356">
        <v>1940.4</v>
      </c>
      <c r="B356">
        <v>116.566777</v>
      </c>
      <c r="C356">
        <v>121.62332600000001</v>
      </c>
      <c r="D356">
        <v>126.733234</v>
      </c>
      <c r="E356">
        <v>79.385384999999999</v>
      </c>
      <c r="F356">
        <v>45.797088000000002</v>
      </c>
      <c r="G356">
        <v>19.623894</v>
      </c>
      <c r="H356">
        <v>22.910312999999999</v>
      </c>
    </row>
    <row r="357" spans="1:9" customFormat="1" x14ac:dyDescent="0.3">
      <c r="A357">
        <v>1940.6</v>
      </c>
      <c r="B357">
        <v>116.566777</v>
      </c>
      <c r="C357">
        <v>121.62332600000001</v>
      </c>
      <c r="D357">
        <v>126.733234</v>
      </c>
      <c r="E357">
        <v>79.385384999999999</v>
      </c>
      <c r="F357">
        <v>45.797088000000002</v>
      </c>
      <c r="G357">
        <v>19.623894</v>
      </c>
      <c r="H357">
        <v>22.910312999999999</v>
      </c>
    </row>
    <row r="358" spans="1:9" customFormat="1" x14ac:dyDescent="0.3">
      <c r="A358">
        <v>1940.8</v>
      </c>
      <c r="B358">
        <v>116.558133</v>
      </c>
      <c r="C358">
        <v>121.63114299999999</v>
      </c>
      <c r="D358">
        <v>126.765157</v>
      </c>
      <c r="E358">
        <v>79.526214999999993</v>
      </c>
      <c r="F358">
        <v>45.710630000000002</v>
      </c>
      <c r="G358">
        <v>19.611730000000001</v>
      </c>
      <c r="H358">
        <v>22.893923999999998</v>
      </c>
    </row>
    <row r="359" spans="1:9" customFormat="1" x14ac:dyDescent="0.3">
      <c r="A359">
        <v>1941</v>
      </c>
      <c r="B359">
        <v>116.558133</v>
      </c>
      <c r="C359">
        <v>121.63114299999999</v>
      </c>
      <c r="D359">
        <v>126.765157</v>
      </c>
      <c r="E359">
        <v>79.526214999999993</v>
      </c>
      <c r="F359">
        <v>45.710630000000002</v>
      </c>
      <c r="G359">
        <v>19.611730000000001</v>
      </c>
      <c r="H359">
        <v>22.893923999999998</v>
      </c>
      <c r="I359" t="s">
        <v>61</v>
      </c>
    </row>
    <row r="360" spans="1:9" customFormat="1" x14ac:dyDescent="0.3">
      <c r="A360">
        <v>1941.2</v>
      </c>
      <c r="B360">
        <v>116.56368999999999</v>
      </c>
      <c r="C360">
        <v>121.646427</v>
      </c>
      <c r="D360">
        <v>126.754717</v>
      </c>
      <c r="E360">
        <v>79.529882999999998</v>
      </c>
      <c r="F360">
        <v>46.128447999999999</v>
      </c>
      <c r="G360">
        <v>19.638632999999999</v>
      </c>
      <c r="H360">
        <v>22.916491000000001</v>
      </c>
    </row>
    <row r="361" spans="1:9" customFormat="1" x14ac:dyDescent="0.3">
      <c r="A361">
        <v>1941.4</v>
      </c>
      <c r="B361">
        <v>116.56368999999999</v>
      </c>
      <c r="C361">
        <v>121.646427</v>
      </c>
      <c r="D361">
        <v>126.754717</v>
      </c>
      <c r="E361">
        <v>79.529882999999998</v>
      </c>
      <c r="F361">
        <v>46.128447999999999</v>
      </c>
      <c r="G361">
        <v>19.638632999999999</v>
      </c>
      <c r="H361">
        <v>22.916491000000001</v>
      </c>
    </row>
    <row r="362" spans="1:9" customFormat="1" x14ac:dyDescent="0.3">
      <c r="A362">
        <v>1941.6</v>
      </c>
      <c r="B362">
        <v>116.545158</v>
      </c>
      <c r="C362">
        <v>121.645061</v>
      </c>
      <c r="D362">
        <v>126.767489</v>
      </c>
      <c r="E362">
        <v>79.567372000000006</v>
      </c>
      <c r="F362">
        <v>46.381777999999997</v>
      </c>
      <c r="G362">
        <v>19.625969000000001</v>
      </c>
      <c r="H362">
        <v>22.906229</v>
      </c>
    </row>
    <row r="363" spans="1:9" customFormat="1" x14ac:dyDescent="0.3">
      <c r="A363">
        <v>1941.8</v>
      </c>
      <c r="B363">
        <v>116.545158</v>
      </c>
      <c r="C363">
        <v>121.645061</v>
      </c>
      <c r="D363">
        <v>126.767489</v>
      </c>
      <c r="E363">
        <v>79.567372000000006</v>
      </c>
      <c r="F363">
        <v>46.381777999999997</v>
      </c>
      <c r="G363">
        <v>19.625969000000001</v>
      </c>
      <c r="H363">
        <v>22.906229</v>
      </c>
    </row>
    <row r="364" spans="1:9" customFormat="1" x14ac:dyDescent="0.3">
      <c r="A364">
        <v>1942</v>
      </c>
      <c r="B364">
        <v>116.56541</v>
      </c>
      <c r="C364">
        <v>121.645365</v>
      </c>
      <c r="D364">
        <v>126.760839</v>
      </c>
      <c r="E364">
        <v>79.595023999999995</v>
      </c>
      <c r="F364">
        <v>46.601197999999997</v>
      </c>
      <c r="G364">
        <v>19.619202000000001</v>
      </c>
      <c r="H364">
        <v>22.914626999999999</v>
      </c>
      <c r="I364" t="s">
        <v>61</v>
      </c>
    </row>
    <row r="365" spans="1:9" customFormat="1" x14ac:dyDescent="0.3">
      <c r="A365">
        <v>1942.2</v>
      </c>
      <c r="B365">
        <v>116.56541</v>
      </c>
      <c r="C365">
        <v>121.645365</v>
      </c>
      <c r="D365">
        <v>126.760839</v>
      </c>
      <c r="E365">
        <v>79.595023999999995</v>
      </c>
      <c r="F365">
        <v>46.601197999999997</v>
      </c>
      <c r="G365">
        <v>19.619202000000001</v>
      </c>
      <c r="H365">
        <v>22.914626999999999</v>
      </c>
    </row>
    <row r="366" spans="1:9" customFormat="1" x14ac:dyDescent="0.3">
      <c r="A366">
        <v>1942.4</v>
      </c>
      <c r="B366">
        <v>116.553425</v>
      </c>
      <c r="C366">
        <v>121.663284</v>
      </c>
      <c r="D366">
        <v>126.778531</v>
      </c>
      <c r="E366">
        <v>79.609809999999996</v>
      </c>
      <c r="F366">
        <v>46.331572000000001</v>
      </c>
      <c r="G366">
        <v>19.641110000000001</v>
      </c>
      <c r="H366">
        <v>22.899557000000001</v>
      </c>
    </row>
    <row r="367" spans="1:9" customFormat="1" x14ac:dyDescent="0.3">
      <c r="A367">
        <v>1942.6</v>
      </c>
      <c r="B367">
        <v>116.553425</v>
      </c>
      <c r="C367">
        <v>121.663284</v>
      </c>
      <c r="D367">
        <v>126.778531</v>
      </c>
      <c r="E367">
        <v>79.609809999999996</v>
      </c>
      <c r="F367">
        <v>46.331572000000001</v>
      </c>
      <c r="G367">
        <v>19.641110000000001</v>
      </c>
      <c r="H367">
        <v>22.899557000000001</v>
      </c>
    </row>
    <row r="368" spans="1:9" customFormat="1" x14ac:dyDescent="0.3">
      <c r="A368">
        <v>1942.8</v>
      </c>
      <c r="B368">
        <v>116.556808</v>
      </c>
      <c r="C368">
        <v>121.642101</v>
      </c>
      <c r="D368">
        <v>126.777276</v>
      </c>
      <c r="E368">
        <v>79.572939000000005</v>
      </c>
      <c r="F368">
        <v>45.688806</v>
      </c>
      <c r="G368">
        <v>19.625447999999999</v>
      </c>
      <c r="H368">
        <v>22.914701999999998</v>
      </c>
    </row>
    <row r="369" spans="1:9" customFormat="1" x14ac:dyDescent="0.3">
      <c r="A369">
        <v>1943</v>
      </c>
      <c r="B369">
        <v>116.556808</v>
      </c>
      <c r="C369">
        <v>121.642101</v>
      </c>
      <c r="D369">
        <v>126.777276</v>
      </c>
      <c r="E369">
        <v>79.572939000000005</v>
      </c>
      <c r="F369">
        <v>45.688806</v>
      </c>
      <c r="G369">
        <v>19.625447999999999</v>
      </c>
      <c r="H369">
        <v>22.914701999999998</v>
      </c>
      <c r="I369" t="s">
        <v>61</v>
      </c>
    </row>
    <row r="370" spans="1:9" customFormat="1" x14ac:dyDescent="0.3">
      <c r="A370">
        <v>1943.2</v>
      </c>
      <c r="B370">
        <v>116.59641499999999</v>
      </c>
      <c r="C370">
        <v>121.67541</v>
      </c>
      <c r="D370">
        <v>126.774203</v>
      </c>
      <c r="E370">
        <v>79.480943999999994</v>
      </c>
      <c r="F370">
        <v>45.510063000000002</v>
      </c>
      <c r="G370">
        <v>19.617131000000001</v>
      </c>
      <c r="H370">
        <v>22.940010999999998</v>
      </c>
    </row>
    <row r="371" spans="1:9" customFormat="1" x14ac:dyDescent="0.3">
      <c r="A371">
        <v>1943.4</v>
      </c>
      <c r="B371">
        <v>116.59641499999999</v>
      </c>
      <c r="C371">
        <v>121.67541</v>
      </c>
      <c r="D371">
        <v>126.774203</v>
      </c>
      <c r="E371">
        <v>79.480943999999994</v>
      </c>
      <c r="F371">
        <v>45.510063000000002</v>
      </c>
      <c r="G371">
        <v>19.617131000000001</v>
      </c>
      <c r="H371">
        <v>22.940010999999998</v>
      </c>
    </row>
    <row r="372" spans="1:9" customFormat="1" x14ac:dyDescent="0.3">
      <c r="A372">
        <v>1943.6</v>
      </c>
      <c r="B372">
        <v>116.582472</v>
      </c>
      <c r="C372">
        <v>121.671215</v>
      </c>
      <c r="D372">
        <v>126.80778599999999</v>
      </c>
      <c r="E372">
        <v>79.502983999999998</v>
      </c>
      <c r="F372">
        <v>45.582808</v>
      </c>
      <c r="G372">
        <v>19.623602999999999</v>
      </c>
      <c r="H372">
        <v>22.922802000000001</v>
      </c>
    </row>
    <row r="373" spans="1:9" customFormat="1" x14ac:dyDescent="0.3">
      <c r="A373">
        <v>1943.8</v>
      </c>
      <c r="B373">
        <v>116.582472</v>
      </c>
      <c r="C373">
        <v>121.671215</v>
      </c>
      <c r="D373">
        <v>126.80778599999999</v>
      </c>
      <c r="E373">
        <v>79.502983999999998</v>
      </c>
      <c r="F373">
        <v>45.582808</v>
      </c>
      <c r="G373">
        <v>19.623602999999999</v>
      </c>
      <c r="H373">
        <v>22.922802000000001</v>
      </c>
    </row>
    <row r="374" spans="1:9" customFormat="1" x14ac:dyDescent="0.3">
      <c r="A374">
        <v>2174</v>
      </c>
      <c r="B374">
        <v>129.660011</v>
      </c>
      <c r="C374">
        <v>136.02676600000001</v>
      </c>
      <c r="D374">
        <v>142.294408</v>
      </c>
      <c r="E374">
        <v>84.823165000000003</v>
      </c>
      <c r="F374">
        <v>48.696466999999998</v>
      </c>
      <c r="G374">
        <v>19.605440999999999</v>
      </c>
      <c r="H374">
        <v>23.649854999999999</v>
      </c>
      <c r="I374" t="s">
        <v>61</v>
      </c>
    </row>
    <row r="375" spans="1:9" customFormat="1" x14ac:dyDescent="0.3">
      <c r="A375">
        <v>2174.1999999999998</v>
      </c>
      <c r="B375">
        <v>129.660011</v>
      </c>
      <c r="C375">
        <v>136.02676600000001</v>
      </c>
      <c r="D375">
        <v>142.294408</v>
      </c>
      <c r="E375">
        <v>84.823165000000003</v>
      </c>
      <c r="F375">
        <v>48.696466999999998</v>
      </c>
      <c r="G375">
        <v>19.605440999999999</v>
      </c>
      <c r="H375">
        <v>23.649854999999999</v>
      </c>
    </row>
    <row r="376" spans="1:9" customFormat="1" x14ac:dyDescent="0.3">
      <c r="A376">
        <v>2174.4</v>
      </c>
      <c r="B376">
        <v>129.661562</v>
      </c>
      <c r="C376">
        <v>136.01149599999999</v>
      </c>
      <c r="D376">
        <v>142.30671100000001</v>
      </c>
      <c r="E376">
        <v>84.857585</v>
      </c>
      <c r="F376">
        <v>49.022123000000001</v>
      </c>
      <c r="G376">
        <v>19.578589000000001</v>
      </c>
      <c r="H376">
        <v>23.651001999999998</v>
      </c>
    </row>
    <row r="377" spans="1:9" customFormat="1" x14ac:dyDescent="0.3">
      <c r="A377">
        <v>2174.6</v>
      </c>
      <c r="B377">
        <v>129.661562</v>
      </c>
      <c r="C377">
        <v>136.01149599999999</v>
      </c>
      <c r="D377">
        <v>142.30671100000001</v>
      </c>
      <c r="E377">
        <v>84.857585</v>
      </c>
      <c r="F377">
        <v>49.022123000000001</v>
      </c>
      <c r="G377">
        <v>19.578589000000001</v>
      </c>
      <c r="H377">
        <v>23.651001999999998</v>
      </c>
    </row>
    <row r="378" spans="1:9" customFormat="1" x14ac:dyDescent="0.3">
      <c r="A378">
        <v>2174.8000000000002</v>
      </c>
      <c r="B378">
        <v>129.67642799999999</v>
      </c>
      <c r="C378">
        <v>136.04691399999999</v>
      </c>
      <c r="D378">
        <v>142.31035700000001</v>
      </c>
      <c r="E378">
        <v>84.784807000000001</v>
      </c>
      <c r="F378">
        <v>48.940536999999999</v>
      </c>
      <c r="G378">
        <v>19.584410999999999</v>
      </c>
      <c r="H378">
        <v>23.669101000000001</v>
      </c>
    </row>
    <row r="379" spans="1:9" customFormat="1" x14ac:dyDescent="0.3">
      <c r="A379">
        <v>2175</v>
      </c>
      <c r="B379">
        <v>129.67642799999999</v>
      </c>
      <c r="C379">
        <v>136.04691399999999</v>
      </c>
      <c r="D379">
        <v>142.31035700000001</v>
      </c>
      <c r="E379">
        <v>84.784807000000001</v>
      </c>
      <c r="F379">
        <v>48.940536999999999</v>
      </c>
      <c r="G379">
        <v>19.584410999999999</v>
      </c>
      <c r="H379">
        <v>23.669101000000001</v>
      </c>
      <c r="I379" t="s">
        <v>61</v>
      </c>
    </row>
    <row r="380" spans="1:9" customFormat="1" x14ac:dyDescent="0.3">
      <c r="A380">
        <v>2175.1999999999998</v>
      </c>
      <c r="B380">
        <v>129.65548200000001</v>
      </c>
      <c r="C380">
        <v>136.040696</v>
      </c>
      <c r="D380">
        <v>142.302267</v>
      </c>
      <c r="E380">
        <v>84.932569999999998</v>
      </c>
      <c r="F380">
        <v>48.455325000000002</v>
      </c>
      <c r="G380">
        <v>19.572025</v>
      </c>
      <c r="H380">
        <v>23.663853</v>
      </c>
    </row>
    <row r="381" spans="1:9" customFormat="1" x14ac:dyDescent="0.3">
      <c r="A381">
        <v>2175.4</v>
      </c>
      <c r="B381">
        <v>129.65548200000001</v>
      </c>
      <c r="C381">
        <v>136.040696</v>
      </c>
      <c r="D381">
        <v>142.302267</v>
      </c>
      <c r="E381">
        <v>84.932569999999998</v>
      </c>
      <c r="F381">
        <v>48.455325000000002</v>
      </c>
      <c r="G381">
        <v>19.572025</v>
      </c>
      <c r="H381">
        <v>23.663853</v>
      </c>
    </row>
    <row r="382" spans="1:9" customFormat="1" x14ac:dyDescent="0.3">
      <c r="A382">
        <v>2175.6</v>
      </c>
      <c r="B382">
        <v>129.68572700000001</v>
      </c>
      <c r="C382">
        <v>136.05130299999999</v>
      </c>
      <c r="D382">
        <v>142.33928800000001</v>
      </c>
      <c r="E382">
        <v>85.038706000000005</v>
      </c>
      <c r="F382">
        <v>48.324765999999997</v>
      </c>
      <c r="G382">
        <v>19.583269000000001</v>
      </c>
      <c r="H382">
        <v>23.658504000000001</v>
      </c>
    </row>
    <row r="383" spans="1:9" customFormat="1" x14ac:dyDescent="0.3">
      <c r="A383">
        <v>2175.8000000000002</v>
      </c>
      <c r="B383">
        <v>129.68572700000001</v>
      </c>
      <c r="C383">
        <v>136.05130299999999</v>
      </c>
      <c r="D383">
        <v>142.33928800000001</v>
      </c>
      <c r="E383">
        <v>85.038706000000005</v>
      </c>
      <c r="F383">
        <v>48.324765999999997</v>
      </c>
      <c r="G383">
        <v>19.583269000000001</v>
      </c>
      <c r="H383">
        <v>23.658504000000001</v>
      </c>
    </row>
    <row r="384" spans="1:9" customFormat="1" x14ac:dyDescent="0.3">
      <c r="A384">
        <v>2176</v>
      </c>
      <c r="B384">
        <v>129.73072099999999</v>
      </c>
      <c r="C384">
        <v>136.072678</v>
      </c>
      <c r="D384">
        <v>142.332626</v>
      </c>
      <c r="E384">
        <v>84.981542000000005</v>
      </c>
      <c r="F384">
        <v>48.252738000000001</v>
      </c>
      <c r="G384">
        <v>19.601103999999999</v>
      </c>
      <c r="H384">
        <v>23.646951999999999</v>
      </c>
      <c r="I384" t="s">
        <v>61</v>
      </c>
    </row>
    <row r="385" spans="1:9" customFormat="1" x14ac:dyDescent="0.3">
      <c r="A385">
        <v>2176.1999999999998</v>
      </c>
      <c r="B385">
        <v>129.73072099999999</v>
      </c>
      <c r="C385">
        <v>136.072678</v>
      </c>
      <c r="D385">
        <v>142.332626</v>
      </c>
      <c r="E385">
        <v>84.981542000000005</v>
      </c>
      <c r="F385">
        <v>48.252738000000001</v>
      </c>
      <c r="G385">
        <v>19.601103999999999</v>
      </c>
      <c r="H385">
        <v>23.646951999999999</v>
      </c>
    </row>
    <row r="386" spans="1:9" customFormat="1" x14ac:dyDescent="0.3">
      <c r="A386">
        <v>2176.4</v>
      </c>
      <c r="B386">
        <v>129.71924300000001</v>
      </c>
      <c r="C386">
        <v>136.08900700000001</v>
      </c>
      <c r="D386">
        <v>142.34849399999999</v>
      </c>
      <c r="E386">
        <v>85.156571999999997</v>
      </c>
      <c r="F386">
        <v>48.049182000000002</v>
      </c>
      <c r="G386">
        <v>19.597438</v>
      </c>
      <c r="H386">
        <v>23.654177000000001</v>
      </c>
    </row>
    <row r="387" spans="1:9" customFormat="1" x14ac:dyDescent="0.3">
      <c r="A387">
        <v>2176.6</v>
      </c>
      <c r="B387">
        <v>129.71924300000001</v>
      </c>
      <c r="C387">
        <v>136.08900700000001</v>
      </c>
      <c r="D387">
        <v>142.34849399999999</v>
      </c>
      <c r="E387">
        <v>85.156571999999997</v>
      </c>
      <c r="F387">
        <v>48.049182000000002</v>
      </c>
      <c r="G387">
        <v>19.597438</v>
      </c>
      <c r="H387">
        <v>23.654177000000001</v>
      </c>
    </row>
    <row r="388" spans="1:9" customFormat="1" x14ac:dyDescent="0.3">
      <c r="A388">
        <v>2176.8000000000002</v>
      </c>
      <c r="B388">
        <v>129.732924</v>
      </c>
      <c r="C388">
        <v>136.07347799999999</v>
      </c>
      <c r="D388">
        <v>142.341139</v>
      </c>
      <c r="E388">
        <v>85.188900000000004</v>
      </c>
      <c r="F388">
        <v>48.068384000000002</v>
      </c>
      <c r="G388">
        <v>19.591090999999999</v>
      </c>
      <c r="H388">
        <v>23.670081</v>
      </c>
    </row>
    <row r="389" spans="1:9" customFormat="1" x14ac:dyDescent="0.3">
      <c r="A389">
        <v>2177</v>
      </c>
      <c r="B389">
        <v>129.732924</v>
      </c>
      <c r="C389">
        <v>136.07347799999999</v>
      </c>
      <c r="D389">
        <v>142.341139</v>
      </c>
      <c r="E389">
        <v>85.188900000000004</v>
      </c>
      <c r="F389">
        <v>48.068384000000002</v>
      </c>
      <c r="G389">
        <v>19.591090999999999</v>
      </c>
      <c r="H389">
        <v>23.670081</v>
      </c>
      <c r="I389" t="s">
        <v>61</v>
      </c>
    </row>
    <row r="390" spans="1:9" customFormat="1" x14ac:dyDescent="0.3">
      <c r="A390">
        <v>2177.1999999999998</v>
      </c>
      <c r="B390">
        <v>129.77400800000001</v>
      </c>
      <c r="C390">
        <v>136.07412299999999</v>
      </c>
      <c r="D390">
        <v>142.35463899999999</v>
      </c>
      <c r="E390">
        <v>85.018388999999999</v>
      </c>
      <c r="F390">
        <v>47.801032999999997</v>
      </c>
      <c r="G390">
        <v>19.573231</v>
      </c>
      <c r="H390">
        <v>23.623906999999999</v>
      </c>
    </row>
    <row r="391" spans="1:9" customFormat="1" x14ac:dyDescent="0.3">
      <c r="A391">
        <v>2177.4</v>
      </c>
      <c r="B391">
        <v>129.77400800000001</v>
      </c>
      <c r="C391">
        <v>136.07412299999999</v>
      </c>
      <c r="D391">
        <v>142.35463899999999</v>
      </c>
      <c r="E391">
        <v>85.018388999999999</v>
      </c>
      <c r="F391">
        <v>47.801032999999997</v>
      </c>
      <c r="G391">
        <v>19.573231</v>
      </c>
      <c r="H391">
        <v>23.623906999999999</v>
      </c>
    </row>
    <row r="392" spans="1:9" customFormat="1" x14ac:dyDescent="0.3">
      <c r="A392">
        <v>2177.6</v>
      </c>
      <c r="B392">
        <v>129.72497999999999</v>
      </c>
      <c r="C392">
        <v>136.08749900000001</v>
      </c>
      <c r="D392">
        <v>142.347219</v>
      </c>
      <c r="E392">
        <v>85.078024999999997</v>
      </c>
      <c r="F392">
        <v>48.227828000000002</v>
      </c>
      <c r="G392">
        <v>19.585577000000001</v>
      </c>
      <c r="H392">
        <v>23.653708999999999</v>
      </c>
    </row>
    <row r="393" spans="1:9" customFormat="1" x14ac:dyDescent="0.3">
      <c r="A393">
        <v>2177.8000000000002</v>
      </c>
      <c r="B393">
        <v>129.72497999999999</v>
      </c>
      <c r="C393">
        <v>136.08749900000001</v>
      </c>
      <c r="D393">
        <v>142.347219</v>
      </c>
      <c r="E393">
        <v>85.078024999999997</v>
      </c>
      <c r="F393">
        <v>48.227828000000002</v>
      </c>
      <c r="G393">
        <v>19.585577000000001</v>
      </c>
      <c r="H393">
        <v>23.653708999999999</v>
      </c>
    </row>
    <row r="394" spans="1:9" customFormat="1" x14ac:dyDescent="0.3">
      <c r="A394">
        <v>2178</v>
      </c>
      <c r="B394">
        <v>129.73507799999999</v>
      </c>
      <c r="C394">
        <v>136.10296500000001</v>
      </c>
      <c r="D394">
        <v>142.35801699999999</v>
      </c>
      <c r="E394">
        <v>85.172156000000001</v>
      </c>
      <c r="F394">
        <v>48.455837000000002</v>
      </c>
      <c r="G394">
        <v>19.567318</v>
      </c>
      <c r="H394">
        <v>23.657271000000001</v>
      </c>
      <c r="I394" t="s">
        <v>61</v>
      </c>
    </row>
    <row r="395" spans="1:9" customFormat="1" x14ac:dyDescent="0.3">
      <c r="A395">
        <v>2178.1999999999998</v>
      </c>
      <c r="B395">
        <v>129.73507799999999</v>
      </c>
      <c r="C395">
        <v>136.10296500000001</v>
      </c>
      <c r="D395">
        <v>142.35801699999999</v>
      </c>
      <c r="E395">
        <v>85.172156000000001</v>
      </c>
      <c r="F395">
        <v>48.455837000000002</v>
      </c>
      <c r="G395">
        <v>19.567318</v>
      </c>
      <c r="H395">
        <v>23.657271000000001</v>
      </c>
    </row>
    <row r="396" spans="1:9" customFormat="1" x14ac:dyDescent="0.3">
      <c r="A396">
        <v>2178.4</v>
      </c>
      <c r="B396">
        <v>129.785922</v>
      </c>
      <c r="C396">
        <v>136.10986199999999</v>
      </c>
      <c r="D396">
        <v>142.386887</v>
      </c>
      <c r="E396">
        <v>85.309381000000002</v>
      </c>
      <c r="F396">
        <v>48.843131999999997</v>
      </c>
      <c r="G396">
        <v>19.589054999999998</v>
      </c>
      <c r="H396">
        <v>23.651026999999999</v>
      </c>
    </row>
    <row r="397" spans="1:9" customFormat="1" x14ac:dyDescent="0.3">
      <c r="A397">
        <v>2178.6</v>
      </c>
      <c r="B397">
        <v>129.785922</v>
      </c>
      <c r="C397">
        <v>136.10986199999999</v>
      </c>
      <c r="D397">
        <v>142.386887</v>
      </c>
      <c r="E397">
        <v>85.309381000000002</v>
      </c>
      <c r="F397">
        <v>48.843131999999997</v>
      </c>
      <c r="G397">
        <v>19.589054999999998</v>
      </c>
      <c r="H397">
        <v>23.651026999999999</v>
      </c>
    </row>
    <row r="398" spans="1:9" customFormat="1" x14ac:dyDescent="0.3">
      <c r="A398">
        <v>2178.8000000000002</v>
      </c>
      <c r="B398">
        <v>129.79638800000001</v>
      </c>
      <c r="C398">
        <v>136.13270499999999</v>
      </c>
      <c r="D398">
        <v>142.38075799999999</v>
      </c>
      <c r="E398">
        <v>85.297595999999999</v>
      </c>
      <c r="F398">
        <v>48.793709</v>
      </c>
      <c r="G398">
        <v>19.576891</v>
      </c>
      <c r="H398">
        <v>23.647891999999999</v>
      </c>
    </row>
    <row r="399" spans="1:9" customFormat="1" x14ac:dyDescent="0.3">
      <c r="A399">
        <v>2179</v>
      </c>
      <c r="B399">
        <v>129.79638800000001</v>
      </c>
      <c r="C399">
        <v>136.13270499999999</v>
      </c>
      <c r="D399">
        <v>142.38075799999999</v>
      </c>
      <c r="E399">
        <v>85.297595999999999</v>
      </c>
      <c r="F399">
        <v>48.793709</v>
      </c>
      <c r="G399">
        <v>19.576891</v>
      </c>
      <c r="H399">
        <v>23.647891999999999</v>
      </c>
      <c r="I399" t="s">
        <v>61</v>
      </c>
    </row>
    <row r="400" spans="1:9" customFormat="1" x14ac:dyDescent="0.3">
      <c r="A400">
        <v>2179.1999999999998</v>
      </c>
      <c r="B400">
        <v>129.810868</v>
      </c>
      <c r="C400">
        <v>136.14764500000001</v>
      </c>
      <c r="D400">
        <v>142.39757299999999</v>
      </c>
      <c r="E400">
        <v>85.384540999999999</v>
      </c>
      <c r="F400">
        <v>48.550587999999998</v>
      </c>
      <c r="G400">
        <v>19.575644</v>
      </c>
      <c r="H400">
        <v>23.655635</v>
      </c>
    </row>
    <row r="401" spans="1:9" customFormat="1" x14ac:dyDescent="0.3">
      <c r="A401">
        <v>2179.4</v>
      </c>
      <c r="B401">
        <v>129.810868</v>
      </c>
      <c r="C401">
        <v>136.14764500000001</v>
      </c>
      <c r="D401">
        <v>142.39757299999999</v>
      </c>
      <c r="E401">
        <v>85.384540999999999</v>
      </c>
      <c r="F401">
        <v>48.550587999999998</v>
      </c>
      <c r="G401">
        <v>19.575644</v>
      </c>
      <c r="H401">
        <v>23.655635</v>
      </c>
    </row>
    <row r="402" spans="1:9" customFormat="1" x14ac:dyDescent="0.3">
      <c r="A402">
        <v>2179.6</v>
      </c>
      <c r="B402">
        <v>129.82640799999999</v>
      </c>
      <c r="C402">
        <v>136.14308500000001</v>
      </c>
      <c r="D402">
        <v>142.41521499999999</v>
      </c>
      <c r="E402">
        <v>85.412257999999994</v>
      </c>
      <c r="F402">
        <v>48.610518999999996</v>
      </c>
      <c r="G402">
        <v>19.606424000000001</v>
      </c>
      <c r="H402">
        <v>23.658401999999999</v>
      </c>
    </row>
    <row r="403" spans="1:9" customFormat="1" x14ac:dyDescent="0.3">
      <c r="A403">
        <v>2179.8000000000002</v>
      </c>
      <c r="B403">
        <v>129.82640799999999</v>
      </c>
      <c r="C403">
        <v>136.14308500000001</v>
      </c>
      <c r="D403">
        <v>142.41521499999999</v>
      </c>
      <c r="E403">
        <v>85.412257999999994</v>
      </c>
      <c r="F403">
        <v>48.610518999999996</v>
      </c>
      <c r="G403">
        <v>19.606424000000001</v>
      </c>
      <c r="H403">
        <v>23.658401999999999</v>
      </c>
    </row>
    <row r="404" spans="1:9" customFormat="1" x14ac:dyDescent="0.3">
      <c r="A404">
        <v>2180</v>
      </c>
      <c r="B404">
        <v>129.82585399999999</v>
      </c>
      <c r="C404">
        <v>136.19206199999999</v>
      </c>
      <c r="D404">
        <v>142.413025</v>
      </c>
      <c r="E404">
        <v>85.184888000000001</v>
      </c>
      <c r="F404">
        <v>48.576054999999997</v>
      </c>
      <c r="G404">
        <v>19.572751</v>
      </c>
      <c r="H404">
        <v>23.652752</v>
      </c>
      <c r="I404" t="s">
        <v>61</v>
      </c>
    </row>
    <row r="405" spans="1:9" customFormat="1" x14ac:dyDescent="0.3">
      <c r="A405">
        <v>2180.1999999999998</v>
      </c>
      <c r="B405">
        <v>129.82585399999999</v>
      </c>
      <c r="C405">
        <v>136.19206199999999</v>
      </c>
      <c r="D405">
        <v>142.413025</v>
      </c>
      <c r="E405">
        <v>85.184888000000001</v>
      </c>
      <c r="F405">
        <v>48.576054999999997</v>
      </c>
      <c r="G405">
        <v>19.572751</v>
      </c>
      <c r="H405">
        <v>23.652752</v>
      </c>
    </row>
    <row r="406" spans="1:9" customFormat="1" x14ac:dyDescent="0.3">
      <c r="A406">
        <v>2180.4</v>
      </c>
      <c r="B406">
        <v>129.82806299999999</v>
      </c>
      <c r="C406">
        <v>136.16670099999999</v>
      </c>
      <c r="D406">
        <v>142.41313</v>
      </c>
      <c r="E406">
        <v>85.049730999999994</v>
      </c>
      <c r="F406">
        <v>48.742001999999999</v>
      </c>
      <c r="G406">
        <v>19.584743</v>
      </c>
      <c r="H406">
        <v>23.656661</v>
      </c>
    </row>
    <row r="407" spans="1:9" customFormat="1" x14ac:dyDescent="0.3">
      <c r="A407">
        <v>2180.6</v>
      </c>
      <c r="B407">
        <v>129.82806299999999</v>
      </c>
      <c r="C407">
        <v>136.16670099999999</v>
      </c>
      <c r="D407">
        <v>142.41313</v>
      </c>
      <c r="E407">
        <v>85.049730999999994</v>
      </c>
      <c r="F407">
        <v>48.742001999999999</v>
      </c>
      <c r="G407">
        <v>19.584743</v>
      </c>
      <c r="H407">
        <v>23.656661</v>
      </c>
    </row>
    <row r="408" spans="1:9" customFormat="1" x14ac:dyDescent="0.3">
      <c r="A408">
        <v>2180.8000000000002</v>
      </c>
      <c r="B408">
        <v>129.784336</v>
      </c>
      <c r="C408">
        <v>136.161779</v>
      </c>
      <c r="D408">
        <v>142.435553</v>
      </c>
      <c r="E408">
        <v>84.934471000000002</v>
      </c>
      <c r="F408">
        <v>48.815322000000002</v>
      </c>
      <c r="G408">
        <v>19.599557000000001</v>
      </c>
      <c r="H408">
        <v>23.638316</v>
      </c>
    </row>
    <row r="409" spans="1:9" customFormat="1" x14ac:dyDescent="0.3">
      <c r="A409">
        <v>2181</v>
      </c>
      <c r="B409">
        <v>129.784336</v>
      </c>
      <c r="C409">
        <v>136.161779</v>
      </c>
      <c r="D409">
        <v>142.435553</v>
      </c>
      <c r="E409">
        <v>84.934471000000002</v>
      </c>
      <c r="F409">
        <v>48.815322000000002</v>
      </c>
      <c r="G409">
        <v>19.599557000000001</v>
      </c>
      <c r="H409">
        <v>23.638316</v>
      </c>
      <c r="I409" t="s">
        <v>61</v>
      </c>
    </row>
    <row r="410" spans="1:9" customFormat="1" x14ac:dyDescent="0.3">
      <c r="A410">
        <v>2181.1999999999998</v>
      </c>
      <c r="B410">
        <v>129.77388500000001</v>
      </c>
      <c r="C410">
        <v>136.15624</v>
      </c>
      <c r="D410">
        <v>142.433752</v>
      </c>
      <c r="E410">
        <v>85.001017000000004</v>
      </c>
      <c r="F410">
        <v>48.826664000000001</v>
      </c>
      <c r="G410">
        <v>19.592917</v>
      </c>
      <c r="H410">
        <v>23.651091000000001</v>
      </c>
    </row>
    <row r="411" spans="1:9" customFormat="1" x14ac:dyDescent="0.3">
      <c r="A411">
        <v>2181.4</v>
      </c>
      <c r="B411">
        <v>129.77388500000001</v>
      </c>
      <c r="C411">
        <v>136.15624</v>
      </c>
      <c r="D411">
        <v>142.433752</v>
      </c>
      <c r="E411">
        <v>85.001017000000004</v>
      </c>
      <c r="F411">
        <v>48.826664000000001</v>
      </c>
      <c r="G411">
        <v>19.592917</v>
      </c>
      <c r="H411">
        <v>23.651091000000001</v>
      </c>
    </row>
    <row r="412" spans="1:9" customFormat="1" x14ac:dyDescent="0.3">
      <c r="A412">
        <v>2181.6</v>
      </c>
      <c r="B412">
        <v>129.76943499999999</v>
      </c>
      <c r="C412">
        <v>136.12445600000001</v>
      </c>
      <c r="D412">
        <v>142.430938</v>
      </c>
      <c r="E412">
        <v>84.894734999999997</v>
      </c>
      <c r="F412">
        <v>48.474604999999997</v>
      </c>
      <c r="G412">
        <v>19.580000999999999</v>
      </c>
      <c r="H412">
        <v>23.645315</v>
      </c>
    </row>
    <row r="413" spans="1:9" customFormat="1" x14ac:dyDescent="0.3">
      <c r="A413">
        <v>2181.8000000000002</v>
      </c>
      <c r="B413">
        <v>129.76943499999999</v>
      </c>
      <c r="C413">
        <v>136.12445600000001</v>
      </c>
      <c r="D413">
        <v>142.430938</v>
      </c>
      <c r="E413">
        <v>84.894734999999997</v>
      </c>
      <c r="F413">
        <v>48.474604999999997</v>
      </c>
      <c r="G413">
        <v>19.580000999999999</v>
      </c>
      <c r="H413">
        <v>23.645315</v>
      </c>
    </row>
    <row r="414" spans="1:9" customFormat="1" x14ac:dyDescent="0.3">
      <c r="A414">
        <v>2182</v>
      </c>
      <c r="B414">
        <v>129.74342999999999</v>
      </c>
      <c r="C414">
        <v>136.15313399999999</v>
      </c>
      <c r="D414">
        <v>142.42550199999999</v>
      </c>
      <c r="E414">
        <v>85.072029000000001</v>
      </c>
      <c r="F414">
        <v>48.773637000000001</v>
      </c>
      <c r="G414">
        <v>19.578081999999998</v>
      </c>
      <c r="H414">
        <v>23.633471</v>
      </c>
      <c r="I414" t="s">
        <v>61</v>
      </c>
    </row>
    <row r="415" spans="1:9" customFormat="1" x14ac:dyDescent="0.3">
      <c r="A415">
        <v>2182.1999999999998</v>
      </c>
      <c r="B415">
        <v>129.74342999999999</v>
      </c>
      <c r="C415">
        <v>136.15313399999999</v>
      </c>
      <c r="D415">
        <v>142.42550199999999</v>
      </c>
      <c r="E415">
        <v>85.072029000000001</v>
      </c>
      <c r="F415">
        <v>48.773637000000001</v>
      </c>
      <c r="G415">
        <v>19.578081999999998</v>
      </c>
      <c r="H415">
        <v>23.633471</v>
      </c>
    </row>
    <row r="416" spans="1:9" customFormat="1" x14ac:dyDescent="0.3">
      <c r="A416">
        <v>2182.4</v>
      </c>
      <c r="B416">
        <v>129.74619100000001</v>
      </c>
      <c r="C416">
        <v>136.15028699999999</v>
      </c>
      <c r="D416">
        <v>142.45514299999999</v>
      </c>
      <c r="E416">
        <v>85.128574</v>
      </c>
      <c r="F416">
        <v>48.873533000000002</v>
      </c>
      <c r="G416">
        <v>19.571190000000001</v>
      </c>
      <c r="H416">
        <v>23.615724</v>
      </c>
    </row>
    <row r="417" spans="1:19" customFormat="1" x14ac:dyDescent="0.3">
      <c r="A417">
        <v>2182.6</v>
      </c>
      <c r="B417">
        <v>129.74619100000001</v>
      </c>
      <c r="C417">
        <v>136.15028699999999</v>
      </c>
      <c r="D417">
        <v>142.45514299999999</v>
      </c>
      <c r="E417">
        <v>85.128574</v>
      </c>
      <c r="F417">
        <v>48.873533000000002</v>
      </c>
      <c r="G417">
        <v>19.571190000000001</v>
      </c>
      <c r="H417">
        <v>23.615724</v>
      </c>
    </row>
    <row r="418" spans="1:19" customFormat="1" x14ac:dyDescent="0.3">
      <c r="A418">
        <v>2182.8000000000002</v>
      </c>
      <c r="B418">
        <v>129.78063599999999</v>
      </c>
      <c r="C418">
        <v>136.15808100000001</v>
      </c>
      <c r="D418">
        <v>142.421336</v>
      </c>
      <c r="E418">
        <v>85.327181999999993</v>
      </c>
      <c r="F418">
        <v>49.118589999999998</v>
      </c>
      <c r="G418">
        <v>19.591524</v>
      </c>
      <c r="H418">
        <v>23.624161999999998</v>
      </c>
    </row>
    <row r="419" spans="1:19" customFormat="1" x14ac:dyDescent="0.3">
      <c r="A419">
        <v>2183</v>
      </c>
      <c r="B419">
        <v>129.78063599999999</v>
      </c>
      <c r="C419">
        <v>136.15808100000001</v>
      </c>
      <c r="D419">
        <v>142.421336</v>
      </c>
      <c r="E419">
        <v>85.327181999999993</v>
      </c>
      <c r="F419">
        <v>49.118589999999998</v>
      </c>
      <c r="G419">
        <v>19.591524</v>
      </c>
      <c r="H419">
        <v>23.624161999999998</v>
      </c>
      <c r="I419" t="s">
        <v>61</v>
      </c>
    </row>
    <row r="420" spans="1:19" customFormat="1" x14ac:dyDescent="0.3">
      <c r="A420">
        <v>2183.1999999999998</v>
      </c>
      <c r="B420">
        <v>129.83517900000001</v>
      </c>
      <c r="C420">
        <v>136.174046</v>
      </c>
      <c r="D420">
        <v>142.43847600000001</v>
      </c>
      <c r="E420">
        <v>85.312765999999996</v>
      </c>
      <c r="F420">
        <v>49.141137999999998</v>
      </c>
      <c r="G420">
        <v>19.582384000000001</v>
      </c>
      <c r="H420">
        <v>23.618366000000002</v>
      </c>
    </row>
    <row r="421" spans="1:19" customFormat="1" x14ac:dyDescent="0.3">
      <c r="A421">
        <v>2183.4</v>
      </c>
      <c r="B421">
        <v>129.83517900000001</v>
      </c>
      <c r="C421">
        <v>136.174046</v>
      </c>
      <c r="D421">
        <v>142.43847600000001</v>
      </c>
      <c r="E421">
        <v>85.312765999999996</v>
      </c>
      <c r="F421">
        <v>49.141137999999998</v>
      </c>
      <c r="G421">
        <v>19.582384000000001</v>
      </c>
      <c r="H421">
        <v>23.618366000000002</v>
      </c>
    </row>
    <row r="422" spans="1:19" customFormat="1" x14ac:dyDescent="0.3">
      <c r="A422">
        <v>2183.6</v>
      </c>
      <c r="B422">
        <v>129.85324299999999</v>
      </c>
      <c r="C422">
        <v>136.167102</v>
      </c>
      <c r="D422">
        <v>142.454669</v>
      </c>
      <c r="E422">
        <v>85.436366000000007</v>
      </c>
      <c r="F422">
        <v>49.171815000000002</v>
      </c>
      <c r="G422">
        <v>19.576668000000002</v>
      </c>
      <c r="H422">
        <v>23.663277000000001</v>
      </c>
    </row>
    <row r="423" spans="1:19" customFormat="1" x14ac:dyDescent="0.3">
      <c r="A423">
        <v>2183.8000000000002</v>
      </c>
      <c r="B423">
        <v>129.85324299999999</v>
      </c>
      <c r="C423">
        <v>136.167102</v>
      </c>
      <c r="D423">
        <v>142.454669</v>
      </c>
      <c r="E423">
        <v>85.436366000000007</v>
      </c>
      <c r="F423">
        <v>49.171815000000002</v>
      </c>
      <c r="G423">
        <v>19.576668000000002</v>
      </c>
      <c r="H423">
        <v>23.663277000000001</v>
      </c>
    </row>
    <row r="424" spans="1:19" x14ac:dyDescent="0.3">
      <c r="A424">
        <v>2367</v>
      </c>
      <c r="B424">
        <v>145.99876499999999</v>
      </c>
      <c r="C424">
        <v>153.73827900000001</v>
      </c>
      <c r="D424">
        <v>161.273934</v>
      </c>
      <c r="E424">
        <v>91.867677999999998</v>
      </c>
      <c r="F424">
        <v>51.956451999999999</v>
      </c>
      <c r="G424">
        <v>19.668634999999998</v>
      </c>
      <c r="H424">
        <v>24.543458999999999</v>
      </c>
      <c r="I424" t="s">
        <v>61</v>
      </c>
      <c r="N424"/>
      <c r="O424"/>
      <c r="P424" s="1" t="e">
        <f t="shared" ref="P424:P487" si="25">(B406+Q$35)/P$35</f>
        <v>#DIV/0!</v>
      </c>
      <c r="Q424" s="1" t="e">
        <f t="shared" ref="Q424:Q487" si="26">(C406+Q$35)/P$35</f>
        <v>#DIV/0!</v>
      </c>
      <c r="R424" s="1" t="e">
        <f t="shared" ref="R424:R487" si="27">(D406+Q$37)/P$37</f>
        <v>#DIV/0!</v>
      </c>
      <c r="S424" s="1" t="e">
        <f t="shared" ref="S424:S487" si="28">(E406+Q$38)/P$38</f>
        <v>#DIV/0!</v>
      </c>
    </row>
    <row r="425" spans="1:19" x14ac:dyDescent="0.3">
      <c r="A425">
        <v>2367.1999999999998</v>
      </c>
      <c r="B425">
        <v>146.02597299999999</v>
      </c>
      <c r="C425">
        <v>153.74850799999999</v>
      </c>
      <c r="D425">
        <v>161.29499000000001</v>
      </c>
      <c r="E425">
        <v>91.814768999999998</v>
      </c>
      <c r="F425">
        <v>51.019753000000001</v>
      </c>
      <c r="G425">
        <v>19.650877999999999</v>
      </c>
      <c r="H425">
        <v>24.537592</v>
      </c>
      <c r="I425"/>
      <c r="N425"/>
      <c r="O425"/>
      <c r="P425" s="1" t="e">
        <f t="shared" si="25"/>
        <v>#DIV/0!</v>
      </c>
      <c r="Q425" s="1" t="e">
        <f t="shared" si="26"/>
        <v>#DIV/0!</v>
      </c>
      <c r="R425" s="1" t="e">
        <f t="shared" si="27"/>
        <v>#DIV/0!</v>
      </c>
      <c r="S425" s="1" t="e">
        <f t="shared" si="28"/>
        <v>#DIV/0!</v>
      </c>
    </row>
    <row r="426" spans="1:19" x14ac:dyDescent="0.3">
      <c r="A426">
        <v>2367.4</v>
      </c>
      <c r="B426">
        <v>146.02597299999999</v>
      </c>
      <c r="C426">
        <v>153.74850799999999</v>
      </c>
      <c r="D426">
        <v>161.29499000000001</v>
      </c>
      <c r="E426">
        <v>91.814768999999998</v>
      </c>
      <c r="F426">
        <v>51.019753000000001</v>
      </c>
      <c r="G426">
        <v>19.650877999999999</v>
      </c>
      <c r="H426">
        <v>24.537592</v>
      </c>
      <c r="I426"/>
      <c r="N426"/>
      <c r="O426"/>
      <c r="P426" s="1" t="e">
        <f t="shared" si="25"/>
        <v>#DIV/0!</v>
      </c>
      <c r="Q426" s="1" t="e">
        <f t="shared" si="26"/>
        <v>#DIV/0!</v>
      </c>
      <c r="R426" s="1" t="e">
        <f t="shared" si="27"/>
        <v>#DIV/0!</v>
      </c>
      <c r="S426" s="1" t="e">
        <f t="shared" si="28"/>
        <v>#DIV/0!</v>
      </c>
    </row>
    <row r="427" spans="1:19" x14ac:dyDescent="0.3">
      <c r="A427">
        <v>2367.6</v>
      </c>
      <c r="B427">
        <v>146.00766200000001</v>
      </c>
      <c r="C427">
        <v>153.76577700000001</v>
      </c>
      <c r="D427">
        <v>161.28894399999999</v>
      </c>
      <c r="E427">
        <v>91.722196999999994</v>
      </c>
      <c r="F427">
        <v>50.826027000000003</v>
      </c>
      <c r="G427">
        <v>19.642012000000001</v>
      </c>
      <c r="H427">
        <v>24.527346000000001</v>
      </c>
      <c r="I427"/>
      <c r="N427"/>
      <c r="O427"/>
      <c r="P427" s="1" t="e">
        <f t="shared" si="25"/>
        <v>#DIV/0!</v>
      </c>
      <c r="Q427" s="1" t="e">
        <f t="shared" si="26"/>
        <v>#DIV/0!</v>
      </c>
      <c r="R427" s="1" t="e">
        <f t="shared" si="27"/>
        <v>#DIV/0!</v>
      </c>
      <c r="S427" s="1" t="e">
        <f t="shared" si="28"/>
        <v>#DIV/0!</v>
      </c>
    </row>
    <row r="428" spans="1:19" x14ac:dyDescent="0.3">
      <c r="A428">
        <v>2367.8000000000002</v>
      </c>
      <c r="B428">
        <v>146.00766200000001</v>
      </c>
      <c r="C428">
        <v>153.76577700000001</v>
      </c>
      <c r="D428">
        <v>161.28894399999999</v>
      </c>
      <c r="E428">
        <v>91.722196999999994</v>
      </c>
      <c r="F428">
        <v>50.826027000000003</v>
      </c>
      <c r="G428">
        <v>19.642012000000001</v>
      </c>
      <c r="H428">
        <v>24.527346000000001</v>
      </c>
      <c r="I428"/>
      <c r="N428"/>
      <c r="O428"/>
      <c r="P428" s="1" t="e">
        <f t="shared" si="25"/>
        <v>#DIV/0!</v>
      </c>
      <c r="Q428" s="1" t="e">
        <f t="shared" si="26"/>
        <v>#DIV/0!</v>
      </c>
      <c r="R428" s="1" t="e">
        <f t="shared" si="27"/>
        <v>#DIV/0!</v>
      </c>
      <c r="S428" s="1" t="e">
        <f t="shared" si="28"/>
        <v>#DIV/0!</v>
      </c>
    </row>
    <row r="429" spans="1:19" x14ac:dyDescent="0.3">
      <c r="A429">
        <v>2368</v>
      </c>
      <c r="B429">
        <v>146.01967500000001</v>
      </c>
      <c r="C429">
        <v>153.765062</v>
      </c>
      <c r="D429">
        <v>161.33155300000001</v>
      </c>
      <c r="E429">
        <v>91.621249000000006</v>
      </c>
      <c r="F429">
        <v>50.533766999999997</v>
      </c>
      <c r="G429">
        <v>19.638468</v>
      </c>
      <c r="H429">
        <v>24.573910000000001</v>
      </c>
      <c r="I429" t="s">
        <v>61</v>
      </c>
      <c r="N429"/>
      <c r="O429"/>
      <c r="P429" s="1" t="e">
        <f t="shared" si="25"/>
        <v>#DIV/0!</v>
      </c>
      <c r="Q429" s="1" t="e">
        <f t="shared" si="26"/>
        <v>#DIV/0!</v>
      </c>
      <c r="R429" s="1" t="e">
        <f t="shared" si="27"/>
        <v>#DIV/0!</v>
      </c>
      <c r="S429" s="1" t="e">
        <f t="shared" si="28"/>
        <v>#DIV/0!</v>
      </c>
    </row>
    <row r="430" spans="1:19" x14ac:dyDescent="0.3">
      <c r="A430">
        <v>2368.1999999999998</v>
      </c>
      <c r="B430">
        <v>146.01967500000001</v>
      </c>
      <c r="C430">
        <v>153.765062</v>
      </c>
      <c r="D430">
        <v>161.33155300000001</v>
      </c>
      <c r="E430">
        <v>91.621249000000006</v>
      </c>
      <c r="F430">
        <v>50.533766999999997</v>
      </c>
      <c r="G430">
        <v>19.638468</v>
      </c>
      <c r="H430">
        <v>24.573910000000001</v>
      </c>
      <c r="I430"/>
      <c r="N430"/>
      <c r="O430"/>
      <c r="P430" s="1" t="e">
        <f t="shared" si="25"/>
        <v>#DIV/0!</v>
      </c>
      <c r="Q430" s="1" t="e">
        <f t="shared" si="26"/>
        <v>#DIV/0!</v>
      </c>
      <c r="R430" s="1" t="e">
        <f t="shared" si="27"/>
        <v>#DIV/0!</v>
      </c>
      <c r="S430" s="1" t="e">
        <f t="shared" si="28"/>
        <v>#DIV/0!</v>
      </c>
    </row>
    <row r="431" spans="1:19" x14ac:dyDescent="0.3">
      <c r="A431">
        <v>2368.4</v>
      </c>
      <c r="B431">
        <v>146.01907700000001</v>
      </c>
      <c r="C431">
        <v>153.764465</v>
      </c>
      <c r="D431">
        <v>161.323421</v>
      </c>
      <c r="E431">
        <v>91.606607999999994</v>
      </c>
      <c r="F431">
        <v>50.880087000000003</v>
      </c>
      <c r="G431">
        <v>19.655584999999999</v>
      </c>
      <c r="H431">
        <v>24.555983000000001</v>
      </c>
      <c r="I431"/>
      <c r="N431"/>
      <c r="O431"/>
      <c r="P431" s="1" t="e">
        <f t="shared" si="25"/>
        <v>#DIV/0!</v>
      </c>
      <c r="Q431" s="1" t="e">
        <f t="shared" si="26"/>
        <v>#DIV/0!</v>
      </c>
      <c r="R431" s="1" t="e">
        <f t="shared" si="27"/>
        <v>#DIV/0!</v>
      </c>
      <c r="S431" s="1" t="e">
        <f t="shared" si="28"/>
        <v>#DIV/0!</v>
      </c>
    </row>
    <row r="432" spans="1:19" x14ac:dyDescent="0.3">
      <c r="A432">
        <v>2368.6</v>
      </c>
      <c r="B432">
        <v>146.01907700000001</v>
      </c>
      <c r="C432">
        <v>153.764465</v>
      </c>
      <c r="D432">
        <v>161.323421</v>
      </c>
      <c r="E432">
        <v>91.606607999999994</v>
      </c>
      <c r="F432">
        <v>50.880087000000003</v>
      </c>
      <c r="G432">
        <v>19.655584999999999</v>
      </c>
      <c r="H432">
        <v>24.555983000000001</v>
      </c>
      <c r="I432"/>
      <c r="N432"/>
      <c r="O432"/>
      <c r="P432" s="1" t="e">
        <f t="shared" si="25"/>
        <v>#DIV/0!</v>
      </c>
      <c r="Q432" s="1" t="e">
        <f t="shared" si="26"/>
        <v>#DIV/0!</v>
      </c>
      <c r="R432" s="1" t="e">
        <f t="shared" si="27"/>
        <v>#DIV/0!</v>
      </c>
      <c r="S432" s="1" t="e">
        <f t="shared" si="28"/>
        <v>#DIV/0!</v>
      </c>
    </row>
    <row r="433" spans="1:19" x14ac:dyDescent="0.3">
      <c r="A433">
        <v>2368.8000000000002</v>
      </c>
      <c r="B433">
        <v>146.00037800000001</v>
      </c>
      <c r="C433">
        <v>153.779697</v>
      </c>
      <c r="D433">
        <v>161.349951</v>
      </c>
      <c r="E433">
        <v>91.651009000000002</v>
      </c>
      <c r="F433">
        <v>50.45532</v>
      </c>
      <c r="G433">
        <v>19.656383000000002</v>
      </c>
      <c r="H433">
        <v>24.521334</v>
      </c>
      <c r="I433"/>
      <c r="N433"/>
      <c r="O433"/>
      <c r="P433" s="1" t="e">
        <f t="shared" si="25"/>
        <v>#DIV/0!</v>
      </c>
      <c r="Q433" s="1" t="e">
        <f t="shared" si="26"/>
        <v>#DIV/0!</v>
      </c>
      <c r="R433" s="1" t="e">
        <f t="shared" si="27"/>
        <v>#DIV/0!</v>
      </c>
      <c r="S433" s="1" t="e">
        <f t="shared" si="28"/>
        <v>#DIV/0!</v>
      </c>
    </row>
    <row r="434" spans="1:19" x14ac:dyDescent="0.3">
      <c r="A434">
        <v>2369</v>
      </c>
      <c r="B434">
        <v>146.00037800000001</v>
      </c>
      <c r="C434">
        <v>153.779697</v>
      </c>
      <c r="D434">
        <v>161.349951</v>
      </c>
      <c r="E434">
        <v>91.651009000000002</v>
      </c>
      <c r="F434">
        <v>50.45532</v>
      </c>
      <c r="G434">
        <v>19.656383000000002</v>
      </c>
      <c r="H434">
        <v>24.521334</v>
      </c>
      <c r="I434" t="s">
        <v>61</v>
      </c>
      <c r="N434"/>
      <c r="O434"/>
      <c r="P434" s="1" t="e">
        <f t="shared" si="25"/>
        <v>#DIV/0!</v>
      </c>
      <c r="Q434" s="1" t="e">
        <f t="shared" si="26"/>
        <v>#DIV/0!</v>
      </c>
      <c r="R434" s="1" t="e">
        <f t="shared" si="27"/>
        <v>#DIV/0!</v>
      </c>
      <c r="S434" s="1" t="e">
        <f t="shared" si="28"/>
        <v>#DIV/0!</v>
      </c>
    </row>
    <row r="435" spans="1:19" x14ac:dyDescent="0.3">
      <c r="A435">
        <v>2369.1999999999998</v>
      </c>
      <c r="B435">
        <v>146.02300700000001</v>
      </c>
      <c r="C435">
        <v>153.75944100000001</v>
      </c>
      <c r="D435">
        <v>161.335352</v>
      </c>
      <c r="E435">
        <v>91.733051000000003</v>
      </c>
      <c r="F435">
        <v>50.403640000000003</v>
      </c>
      <c r="G435">
        <v>19.664204000000002</v>
      </c>
      <c r="H435">
        <v>24.560784000000002</v>
      </c>
      <c r="I435"/>
      <c r="N435"/>
      <c r="O435"/>
      <c r="P435" s="1" t="e">
        <f t="shared" si="25"/>
        <v>#DIV/0!</v>
      </c>
      <c r="Q435" s="1" t="e">
        <f t="shared" si="26"/>
        <v>#DIV/0!</v>
      </c>
      <c r="R435" s="1" t="e">
        <f t="shared" si="27"/>
        <v>#DIV/0!</v>
      </c>
      <c r="S435" s="1" t="e">
        <f t="shared" si="28"/>
        <v>#DIV/0!</v>
      </c>
    </row>
    <row r="436" spans="1:19" x14ac:dyDescent="0.3">
      <c r="A436">
        <v>2369.4</v>
      </c>
      <c r="B436">
        <v>146.02300700000001</v>
      </c>
      <c r="C436">
        <v>153.75944100000001</v>
      </c>
      <c r="D436">
        <v>161.335352</v>
      </c>
      <c r="E436">
        <v>91.733051000000003</v>
      </c>
      <c r="F436">
        <v>50.403640000000003</v>
      </c>
      <c r="G436">
        <v>19.664204000000002</v>
      </c>
      <c r="H436">
        <v>24.560784000000002</v>
      </c>
      <c r="I436"/>
      <c r="N436"/>
      <c r="O436"/>
      <c r="P436" s="1" t="e">
        <f t="shared" si="25"/>
        <v>#DIV/0!</v>
      </c>
      <c r="Q436" s="1" t="e">
        <f t="shared" si="26"/>
        <v>#DIV/0!</v>
      </c>
      <c r="R436" s="1" t="e">
        <f t="shared" si="27"/>
        <v>#DIV/0!</v>
      </c>
      <c r="S436" s="1" t="e">
        <f t="shared" si="28"/>
        <v>#DIV/0!</v>
      </c>
    </row>
    <row r="437" spans="1:19" x14ac:dyDescent="0.3">
      <c r="A437">
        <v>2369.6</v>
      </c>
      <c r="B437">
        <v>146.036946</v>
      </c>
      <c r="C437">
        <v>153.782084</v>
      </c>
      <c r="D437">
        <v>161.329262</v>
      </c>
      <c r="E437">
        <v>91.723403000000005</v>
      </c>
      <c r="F437">
        <v>51.103748000000003</v>
      </c>
      <c r="G437">
        <v>19.663254999999999</v>
      </c>
      <c r="H437">
        <v>24.551333</v>
      </c>
      <c r="I437"/>
      <c r="N437"/>
      <c r="O437"/>
      <c r="P437" s="1" t="e">
        <f t="shared" si="25"/>
        <v>#DIV/0!</v>
      </c>
      <c r="Q437" s="1" t="e">
        <f t="shared" si="26"/>
        <v>#DIV/0!</v>
      </c>
      <c r="R437" s="1" t="e">
        <f t="shared" si="27"/>
        <v>#DIV/0!</v>
      </c>
      <c r="S437" s="1" t="e">
        <f t="shared" si="28"/>
        <v>#DIV/0!</v>
      </c>
    </row>
    <row r="438" spans="1:19" x14ac:dyDescent="0.3">
      <c r="A438">
        <v>2369.8000000000002</v>
      </c>
      <c r="B438">
        <v>146.036946</v>
      </c>
      <c r="C438">
        <v>153.782084</v>
      </c>
      <c r="D438">
        <v>161.329262</v>
      </c>
      <c r="E438">
        <v>91.723403000000005</v>
      </c>
      <c r="F438">
        <v>51.103748000000003</v>
      </c>
      <c r="G438">
        <v>19.663254999999999</v>
      </c>
      <c r="H438">
        <v>24.551333</v>
      </c>
      <c r="I438"/>
      <c r="N438"/>
      <c r="O438"/>
      <c r="P438" s="1" t="e">
        <f t="shared" si="25"/>
        <v>#DIV/0!</v>
      </c>
      <c r="Q438" s="1" t="e">
        <f t="shared" si="26"/>
        <v>#DIV/0!</v>
      </c>
      <c r="R438" s="1" t="e">
        <f t="shared" si="27"/>
        <v>#DIV/0!</v>
      </c>
      <c r="S438" s="1" t="e">
        <f t="shared" si="28"/>
        <v>#DIV/0!</v>
      </c>
    </row>
    <row r="439" spans="1:19" x14ac:dyDescent="0.3">
      <c r="A439">
        <v>2370</v>
      </c>
      <c r="B439">
        <v>146.00378599999999</v>
      </c>
      <c r="C439">
        <v>153.78404399999999</v>
      </c>
      <c r="D439">
        <v>161.34464299999999</v>
      </c>
      <c r="E439">
        <v>91.891255000000001</v>
      </c>
      <c r="F439">
        <v>51.187185999999997</v>
      </c>
      <c r="G439">
        <v>19.649920999999999</v>
      </c>
      <c r="H439">
        <v>24.54609</v>
      </c>
      <c r="I439" t="s">
        <v>61</v>
      </c>
      <c r="N439"/>
      <c r="O439"/>
      <c r="P439" s="1" t="e">
        <f t="shared" si="25"/>
        <v>#DIV/0!</v>
      </c>
      <c r="Q439" s="1" t="e">
        <f t="shared" si="26"/>
        <v>#DIV/0!</v>
      </c>
      <c r="R439" s="1" t="e">
        <f t="shared" si="27"/>
        <v>#DIV/0!</v>
      </c>
      <c r="S439" s="1" t="e">
        <f t="shared" si="28"/>
        <v>#DIV/0!</v>
      </c>
    </row>
    <row r="440" spans="1:19" x14ac:dyDescent="0.3">
      <c r="A440">
        <v>2370.1999999999998</v>
      </c>
      <c r="B440">
        <v>146.00378599999999</v>
      </c>
      <c r="C440">
        <v>153.78404399999999</v>
      </c>
      <c r="D440">
        <v>161.34464299999999</v>
      </c>
      <c r="E440">
        <v>91.891255000000001</v>
      </c>
      <c r="F440">
        <v>51.187185999999997</v>
      </c>
      <c r="G440">
        <v>19.649920999999999</v>
      </c>
      <c r="H440">
        <v>24.54609</v>
      </c>
      <c r="I440"/>
      <c r="N440"/>
      <c r="O440"/>
      <c r="P440" s="1" t="e">
        <f t="shared" si="25"/>
        <v>#DIV/0!</v>
      </c>
      <c r="Q440" s="1" t="e">
        <f t="shared" si="26"/>
        <v>#DIV/0!</v>
      </c>
      <c r="R440" s="1" t="e">
        <f t="shared" si="27"/>
        <v>#DIV/0!</v>
      </c>
      <c r="S440" s="1" t="e">
        <f t="shared" si="28"/>
        <v>#DIV/0!</v>
      </c>
    </row>
    <row r="441" spans="1:19" x14ac:dyDescent="0.3">
      <c r="A441">
        <v>2370.4</v>
      </c>
      <c r="B441">
        <v>146.05185399999999</v>
      </c>
      <c r="C441">
        <v>153.812997</v>
      </c>
      <c r="D441">
        <v>161.341092</v>
      </c>
      <c r="E441">
        <v>91.886167</v>
      </c>
      <c r="F441">
        <v>51.161918</v>
      </c>
      <c r="G441">
        <v>19.653445000000001</v>
      </c>
      <c r="H441">
        <v>24.560468</v>
      </c>
      <c r="I441"/>
      <c r="N441"/>
      <c r="O441"/>
      <c r="P441" s="1" t="e">
        <f t="shared" si="25"/>
        <v>#DIV/0!</v>
      </c>
      <c r="Q441" s="1" t="e">
        <f t="shared" si="26"/>
        <v>#DIV/0!</v>
      </c>
      <c r="R441" s="1" t="e">
        <f t="shared" si="27"/>
        <v>#DIV/0!</v>
      </c>
      <c r="S441" s="1" t="e">
        <f t="shared" si="28"/>
        <v>#DIV/0!</v>
      </c>
    </row>
    <row r="442" spans="1:19" x14ac:dyDescent="0.3">
      <c r="A442">
        <v>2370.6</v>
      </c>
      <c r="B442">
        <v>146.05185399999999</v>
      </c>
      <c r="C442">
        <v>153.812997</v>
      </c>
      <c r="D442">
        <v>161.341092</v>
      </c>
      <c r="E442">
        <v>91.886167</v>
      </c>
      <c r="F442">
        <v>51.161918</v>
      </c>
      <c r="G442">
        <v>19.653445000000001</v>
      </c>
      <c r="H442">
        <v>24.560468</v>
      </c>
      <c r="I442"/>
      <c r="N442"/>
      <c r="O442"/>
      <c r="P442" s="1" t="e">
        <f t="shared" si="25"/>
        <v>#DIV/0!</v>
      </c>
      <c r="Q442" s="1" t="e">
        <f t="shared" si="26"/>
        <v>#DIV/0!</v>
      </c>
      <c r="R442" s="1" t="e">
        <f t="shared" si="27"/>
        <v>#DIV/0!</v>
      </c>
      <c r="S442" s="1" t="e">
        <f t="shared" si="28"/>
        <v>#DIV/0!</v>
      </c>
    </row>
    <row r="443" spans="1:19" x14ac:dyDescent="0.3">
      <c r="A443">
        <v>2370.8000000000002</v>
      </c>
      <c r="B443">
        <v>146.05686399999999</v>
      </c>
      <c r="C443">
        <v>153.79374200000001</v>
      </c>
      <c r="D443">
        <v>161.38282899999999</v>
      </c>
      <c r="E443">
        <v>91.987864999999999</v>
      </c>
      <c r="F443">
        <v>51.564008000000001</v>
      </c>
      <c r="G443">
        <v>19.635707</v>
      </c>
      <c r="H443">
        <v>24.554148999999999</v>
      </c>
      <c r="I443"/>
      <c r="N443"/>
      <c r="O443"/>
      <c r="P443" s="1" t="e">
        <f t="shared" si="25"/>
        <v>#DIV/0!</v>
      </c>
      <c r="Q443" s="1" t="e">
        <f t="shared" si="26"/>
        <v>#DIV/0!</v>
      </c>
      <c r="R443" s="1" t="e">
        <f t="shared" si="27"/>
        <v>#DIV/0!</v>
      </c>
      <c r="S443" s="1" t="e">
        <f t="shared" si="28"/>
        <v>#DIV/0!</v>
      </c>
    </row>
    <row r="444" spans="1:19" x14ac:dyDescent="0.3">
      <c r="A444">
        <v>2371</v>
      </c>
      <c r="B444">
        <v>146.05686399999999</v>
      </c>
      <c r="C444">
        <v>153.79374200000001</v>
      </c>
      <c r="D444">
        <v>161.38282899999999</v>
      </c>
      <c r="E444">
        <v>91.987864999999999</v>
      </c>
      <c r="F444">
        <v>51.564008000000001</v>
      </c>
      <c r="G444">
        <v>19.635707</v>
      </c>
      <c r="H444">
        <v>24.554148999999999</v>
      </c>
      <c r="I444" t="s">
        <v>61</v>
      </c>
      <c r="N444"/>
      <c r="O444"/>
      <c r="P444" s="1" t="e">
        <f t="shared" si="25"/>
        <v>#DIV/0!</v>
      </c>
      <c r="Q444" s="1" t="e">
        <f t="shared" si="26"/>
        <v>#DIV/0!</v>
      </c>
      <c r="R444" s="1" t="e">
        <f t="shared" si="27"/>
        <v>#DIV/0!</v>
      </c>
      <c r="S444" s="1" t="e">
        <f t="shared" si="28"/>
        <v>#DIV/0!</v>
      </c>
    </row>
    <row r="445" spans="1:19" x14ac:dyDescent="0.3">
      <c r="A445">
        <v>2371.1999999999998</v>
      </c>
      <c r="B445">
        <v>146.085587</v>
      </c>
      <c r="C445">
        <v>153.83068700000001</v>
      </c>
      <c r="D445">
        <v>161.394803</v>
      </c>
      <c r="E445">
        <v>91.917997</v>
      </c>
      <c r="F445">
        <v>51.881618000000003</v>
      </c>
      <c r="G445">
        <v>19.673030000000001</v>
      </c>
      <c r="H445">
        <v>24.539328000000001</v>
      </c>
      <c r="I445"/>
      <c r="N445"/>
      <c r="O445"/>
      <c r="P445" s="1" t="e">
        <f t="shared" si="25"/>
        <v>#DIV/0!</v>
      </c>
      <c r="Q445" s="1" t="e">
        <f t="shared" si="26"/>
        <v>#DIV/0!</v>
      </c>
      <c r="R445" s="1" t="e">
        <f t="shared" si="27"/>
        <v>#DIV/0!</v>
      </c>
      <c r="S445" s="1" t="e">
        <f t="shared" si="28"/>
        <v>#DIV/0!</v>
      </c>
    </row>
    <row r="446" spans="1:19" x14ac:dyDescent="0.3">
      <c r="A446">
        <v>2371.4</v>
      </c>
      <c r="B446">
        <v>146.085587</v>
      </c>
      <c r="C446">
        <v>153.83068700000001</v>
      </c>
      <c r="D446">
        <v>161.394803</v>
      </c>
      <c r="E446">
        <v>91.917997</v>
      </c>
      <c r="F446">
        <v>51.881618000000003</v>
      </c>
      <c r="G446">
        <v>19.673030000000001</v>
      </c>
      <c r="H446">
        <v>24.539328000000001</v>
      </c>
      <c r="I446"/>
      <c r="N446"/>
      <c r="O446"/>
      <c r="P446" s="1" t="e">
        <f t="shared" si="25"/>
        <v>#DIV/0!</v>
      </c>
      <c r="Q446" s="1" t="e">
        <f t="shared" si="26"/>
        <v>#DIV/0!</v>
      </c>
      <c r="R446" s="1" t="e">
        <f t="shared" si="27"/>
        <v>#DIV/0!</v>
      </c>
      <c r="S446" s="1" t="e">
        <f t="shared" si="28"/>
        <v>#DIV/0!</v>
      </c>
    </row>
    <row r="447" spans="1:19" x14ac:dyDescent="0.3">
      <c r="A447">
        <v>2371.6</v>
      </c>
      <c r="B447">
        <v>146.097509</v>
      </c>
      <c r="C447">
        <v>153.817868</v>
      </c>
      <c r="D447">
        <v>161.39446699999999</v>
      </c>
      <c r="E447">
        <v>91.938641000000004</v>
      </c>
      <c r="F447">
        <v>51.824207000000001</v>
      </c>
      <c r="G447">
        <v>19.649881000000001</v>
      </c>
      <c r="H447">
        <v>24.538017</v>
      </c>
      <c r="I447"/>
      <c r="N447"/>
      <c r="O447"/>
      <c r="P447" s="1" t="e">
        <f t="shared" si="25"/>
        <v>#DIV/0!</v>
      </c>
      <c r="Q447" s="1" t="e">
        <f t="shared" si="26"/>
        <v>#DIV/0!</v>
      </c>
      <c r="R447" s="1" t="e">
        <f t="shared" si="27"/>
        <v>#DIV/0!</v>
      </c>
      <c r="S447" s="1" t="e">
        <f t="shared" si="28"/>
        <v>#DIV/0!</v>
      </c>
    </row>
    <row r="448" spans="1:19" x14ac:dyDescent="0.3">
      <c r="A448">
        <v>2371.8000000000002</v>
      </c>
      <c r="B448">
        <v>146.097509</v>
      </c>
      <c r="C448">
        <v>153.817868</v>
      </c>
      <c r="D448">
        <v>161.39446699999999</v>
      </c>
      <c r="E448">
        <v>91.938641000000004</v>
      </c>
      <c r="F448">
        <v>51.824207000000001</v>
      </c>
      <c r="G448">
        <v>19.649881000000001</v>
      </c>
      <c r="H448">
        <v>24.538017</v>
      </c>
      <c r="I448"/>
      <c r="N448"/>
      <c r="O448"/>
      <c r="P448" s="1" t="e">
        <f t="shared" si="25"/>
        <v>#DIV/0!</v>
      </c>
      <c r="Q448" s="1" t="e">
        <f t="shared" si="26"/>
        <v>#DIV/0!</v>
      </c>
      <c r="R448" s="1" t="e">
        <f t="shared" si="27"/>
        <v>#DIV/0!</v>
      </c>
      <c r="S448" s="1" t="e">
        <f t="shared" si="28"/>
        <v>#DIV/0!</v>
      </c>
    </row>
    <row r="449" spans="1:19" x14ac:dyDescent="0.3">
      <c r="A449">
        <v>2372</v>
      </c>
      <c r="B449">
        <v>146.14021700000001</v>
      </c>
      <c r="C449">
        <v>153.868314</v>
      </c>
      <c r="D449">
        <v>161.40698800000001</v>
      </c>
      <c r="E449">
        <v>92.044010999999998</v>
      </c>
      <c r="F449">
        <v>51.987247000000004</v>
      </c>
      <c r="G449">
        <v>19.667366000000001</v>
      </c>
      <c r="H449">
        <v>24.528016999999998</v>
      </c>
      <c r="I449" t="s">
        <v>61</v>
      </c>
      <c r="N449"/>
      <c r="O449"/>
      <c r="P449" s="1" t="e">
        <f t="shared" si="25"/>
        <v>#DIV/0!</v>
      </c>
      <c r="Q449" s="1" t="e">
        <f t="shared" si="26"/>
        <v>#DIV/0!</v>
      </c>
      <c r="R449" s="1" t="e">
        <f t="shared" si="27"/>
        <v>#DIV/0!</v>
      </c>
      <c r="S449" s="1" t="e">
        <f t="shared" si="28"/>
        <v>#DIV/0!</v>
      </c>
    </row>
    <row r="450" spans="1:19" x14ac:dyDescent="0.3">
      <c r="A450">
        <v>2372.1999999999998</v>
      </c>
      <c r="B450">
        <v>146.14021700000001</v>
      </c>
      <c r="C450">
        <v>153.868314</v>
      </c>
      <c r="D450">
        <v>161.40698800000001</v>
      </c>
      <c r="E450">
        <v>92.044010999999998</v>
      </c>
      <c r="F450">
        <v>51.987247000000004</v>
      </c>
      <c r="G450">
        <v>19.667366000000001</v>
      </c>
      <c r="H450">
        <v>24.528016999999998</v>
      </c>
      <c r="I450"/>
      <c r="N450"/>
      <c r="O450"/>
      <c r="P450" s="1" t="e">
        <f t="shared" si="25"/>
        <v>#DIV/0!</v>
      </c>
      <c r="Q450" s="1" t="e">
        <f t="shared" si="26"/>
        <v>#DIV/0!</v>
      </c>
      <c r="R450" s="1" t="e">
        <f t="shared" si="27"/>
        <v>#DIV/0!</v>
      </c>
      <c r="S450" s="1" t="e">
        <f t="shared" si="28"/>
        <v>#DIV/0!</v>
      </c>
    </row>
    <row r="451" spans="1:19" x14ac:dyDescent="0.3">
      <c r="A451">
        <v>2372.4</v>
      </c>
      <c r="B451">
        <v>146.15595099999999</v>
      </c>
      <c r="C451">
        <v>153.865193</v>
      </c>
      <c r="D451">
        <v>161.40975399999999</v>
      </c>
      <c r="E451">
        <v>91.963976000000002</v>
      </c>
      <c r="F451">
        <v>51.659610999999998</v>
      </c>
      <c r="G451">
        <v>19.64461</v>
      </c>
      <c r="H451">
        <v>24.566320999999999</v>
      </c>
      <c r="I451"/>
      <c r="N451"/>
      <c r="O451"/>
      <c r="P451" s="1" t="e">
        <f t="shared" si="25"/>
        <v>#DIV/0!</v>
      </c>
      <c r="Q451" s="1" t="e">
        <f t="shared" si="26"/>
        <v>#DIV/0!</v>
      </c>
      <c r="R451" s="1" t="e">
        <f t="shared" si="27"/>
        <v>#DIV/0!</v>
      </c>
      <c r="S451" s="1" t="e">
        <f t="shared" si="28"/>
        <v>#DIV/0!</v>
      </c>
    </row>
    <row r="452" spans="1:19" x14ac:dyDescent="0.3">
      <c r="A452">
        <v>2372.6</v>
      </c>
      <c r="B452">
        <v>146.15595099999999</v>
      </c>
      <c r="C452">
        <v>153.865193</v>
      </c>
      <c r="D452">
        <v>161.40975399999999</v>
      </c>
      <c r="E452">
        <v>91.963976000000002</v>
      </c>
      <c r="F452">
        <v>51.659610999999998</v>
      </c>
      <c r="G452">
        <v>19.64461</v>
      </c>
      <c r="H452">
        <v>24.566320999999999</v>
      </c>
      <c r="I452"/>
      <c r="N452"/>
      <c r="O452"/>
      <c r="P452" s="1" t="e">
        <f t="shared" si="25"/>
        <v>#DIV/0!</v>
      </c>
      <c r="Q452" s="1" t="e">
        <f t="shared" si="26"/>
        <v>#DIV/0!</v>
      </c>
      <c r="R452" s="1" t="e">
        <f t="shared" si="27"/>
        <v>#DIV/0!</v>
      </c>
      <c r="S452" s="1" t="e">
        <f t="shared" si="28"/>
        <v>#DIV/0!</v>
      </c>
    </row>
    <row r="453" spans="1:19" x14ac:dyDescent="0.3">
      <c r="A453">
        <v>2372.8000000000002</v>
      </c>
      <c r="B453">
        <v>146.13816199999999</v>
      </c>
      <c r="C453">
        <v>153.87591800000001</v>
      </c>
      <c r="D453">
        <v>161.436723</v>
      </c>
      <c r="E453">
        <v>92.020797000000002</v>
      </c>
      <c r="F453">
        <v>51.302700000000002</v>
      </c>
      <c r="G453">
        <v>19.654633</v>
      </c>
      <c r="H453">
        <v>24.579135999999998</v>
      </c>
      <c r="I453"/>
      <c r="N453"/>
      <c r="O453"/>
      <c r="P453" s="1" t="e">
        <f t="shared" si="25"/>
        <v>#DIV/0!</v>
      </c>
      <c r="Q453" s="1" t="e">
        <f t="shared" si="26"/>
        <v>#DIV/0!</v>
      </c>
      <c r="R453" s="1" t="e">
        <f t="shared" si="27"/>
        <v>#DIV/0!</v>
      </c>
      <c r="S453" s="1" t="e">
        <f t="shared" si="28"/>
        <v>#DIV/0!</v>
      </c>
    </row>
    <row r="454" spans="1:19" x14ac:dyDescent="0.3">
      <c r="A454">
        <v>2373</v>
      </c>
      <c r="B454">
        <v>146.13816199999999</v>
      </c>
      <c r="C454">
        <v>153.87591800000001</v>
      </c>
      <c r="D454">
        <v>161.436723</v>
      </c>
      <c r="E454">
        <v>92.020797000000002</v>
      </c>
      <c r="F454">
        <v>51.302700000000002</v>
      </c>
      <c r="G454">
        <v>19.654633</v>
      </c>
      <c r="H454">
        <v>24.579135999999998</v>
      </c>
      <c r="I454" t="s">
        <v>61</v>
      </c>
      <c r="N454"/>
      <c r="O454"/>
      <c r="P454" s="1" t="e">
        <f t="shared" si="25"/>
        <v>#DIV/0!</v>
      </c>
      <c r="Q454" s="1" t="e">
        <f t="shared" si="26"/>
        <v>#DIV/0!</v>
      </c>
      <c r="R454" s="1" t="e">
        <f t="shared" si="27"/>
        <v>#DIV/0!</v>
      </c>
      <c r="S454" s="1" t="e">
        <f t="shared" si="28"/>
        <v>#DIV/0!</v>
      </c>
    </row>
    <row r="455" spans="1:19" x14ac:dyDescent="0.3">
      <c r="A455">
        <v>2373.1999999999998</v>
      </c>
      <c r="B455">
        <v>146.16621699999999</v>
      </c>
      <c r="C455">
        <v>153.89264499999999</v>
      </c>
      <c r="D455">
        <v>161.440729</v>
      </c>
      <c r="E455">
        <v>92.112302999999997</v>
      </c>
      <c r="F455">
        <v>51.031357999999997</v>
      </c>
      <c r="G455">
        <v>19.659233</v>
      </c>
      <c r="H455">
        <v>24.562450999999999</v>
      </c>
      <c r="I455"/>
      <c r="N455"/>
      <c r="O455"/>
      <c r="P455" s="1" t="e">
        <f t="shared" si="25"/>
        <v>#DIV/0!</v>
      </c>
      <c r="Q455" s="1" t="e">
        <f t="shared" si="26"/>
        <v>#DIV/0!</v>
      </c>
      <c r="R455" s="1" t="e">
        <f t="shared" si="27"/>
        <v>#DIV/0!</v>
      </c>
      <c r="S455" s="1" t="e">
        <f t="shared" si="28"/>
        <v>#DIV/0!</v>
      </c>
    </row>
    <row r="456" spans="1:19" x14ac:dyDescent="0.3">
      <c r="A456">
        <v>2373.4</v>
      </c>
      <c r="B456">
        <v>146.16621699999999</v>
      </c>
      <c r="C456">
        <v>153.89264499999999</v>
      </c>
      <c r="D456">
        <v>161.440729</v>
      </c>
      <c r="E456">
        <v>92.112302999999997</v>
      </c>
      <c r="F456">
        <v>51.031357999999997</v>
      </c>
      <c r="G456">
        <v>19.659233</v>
      </c>
      <c r="H456">
        <v>24.562450999999999</v>
      </c>
      <c r="I456"/>
      <c r="N456"/>
      <c r="O456"/>
      <c r="P456" s="1" t="e">
        <f t="shared" si="25"/>
        <v>#DIV/0!</v>
      </c>
      <c r="Q456" s="1" t="e">
        <f t="shared" si="26"/>
        <v>#DIV/0!</v>
      </c>
      <c r="R456" s="1" t="e">
        <f t="shared" si="27"/>
        <v>#DIV/0!</v>
      </c>
      <c r="S456" s="1" t="e">
        <f t="shared" si="28"/>
        <v>#DIV/0!</v>
      </c>
    </row>
    <row r="457" spans="1:19" x14ac:dyDescent="0.3">
      <c r="A457">
        <v>2373.6</v>
      </c>
      <c r="B457">
        <v>146.194399</v>
      </c>
      <c r="C457">
        <v>153.889712</v>
      </c>
      <c r="D457">
        <v>161.48253600000001</v>
      </c>
      <c r="E457">
        <v>92.071172000000004</v>
      </c>
      <c r="F457">
        <v>51.137213000000003</v>
      </c>
      <c r="G457">
        <v>19.656113000000001</v>
      </c>
      <c r="H457">
        <v>24.587226000000001</v>
      </c>
      <c r="I457"/>
      <c r="N457"/>
      <c r="O457"/>
      <c r="P457" s="1" t="e">
        <f t="shared" si="25"/>
        <v>#DIV/0!</v>
      </c>
      <c r="Q457" s="1" t="e">
        <f t="shared" si="26"/>
        <v>#DIV/0!</v>
      </c>
      <c r="R457" s="1" t="e">
        <f t="shared" si="27"/>
        <v>#DIV/0!</v>
      </c>
      <c r="S457" s="1" t="e">
        <f t="shared" si="28"/>
        <v>#DIV/0!</v>
      </c>
    </row>
    <row r="458" spans="1:19" x14ac:dyDescent="0.3">
      <c r="A458">
        <v>2373.8000000000002</v>
      </c>
      <c r="B458">
        <v>146.194399</v>
      </c>
      <c r="C458">
        <v>153.889712</v>
      </c>
      <c r="D458">
        <v>161.48253600000001</v>
      </c>
      <c r="E458">
        <v>92.071172000000004</v>
      </c>
      <c r="F458">
        <v>51.137213000000003</v>
      </c>
      <c r="G458">
        <v>19.656113000000001</v>
      </c>
      <c r="H458">
        <v>24.587226000000001</v>
      </c>
      <c r="I458"/>
      <c r="N458"/>
      <c r="O458"/>
      <c r="P458" s="1" t="e">
        <f t="shared" si="25"/>
        <v>#DIV/0!</v>
      </c>
      <c r="Q458" s="1" t="e">
        <f t="shared" si="26"/>
        <v>#DIV/0!</v>
      </c>
      <c r="R458" s="1" t="e">
        <f t="shared" si="27"/>
        <v>#DIV/0!</v>
      </c>
      <c r="S458" s="1" t="e">
        <f t="shared" si="28"/>
        <v>#DIV/0!</v>
      </c>
    </row>
    <row r="459" spans="1:19" x14ac:dyDescent="0.3">
      <c r="A459">
        <v>2374</v>
      </c>
      <c r="B459">
        <v>146.21330800000001</v>
      </c>
      <c r="C459">
        <v>153.92132599999999</v>
      </c>
      <c r="D459">
        <v>161.48070300000001</v>
      </c>
      <c r="E459">
        <v>91.939385999999999</v>
      </c>
      <c r="F459">
        <v>50.878498999999998</v>
      </c>
      <c r="G459">
        <v>19.643546000000001</v>
      </c>
      <c r="H459">
        <v>24.599285999999999</v>
      </c>
      <c r="I459" t="s">
        <v>61</v>
      </c>
      <c r="N459"/>
      <c r="O459"/>
      <c r="P459" s="1" t="e">
        <f t="shared" si="25"/>
        <v>#DIV/0!</v>
      </c>
      <c r="Q459" s="1" t="e">
        <f t="shared" si="26"/>
        <v>#DIV/0!</v>
      </c>
      <c r="R459" s="1" t="e">
        <f t="shared" si="27"/>
        <v>#DIV/0!</v>
      </c>
      <c r="S459" s="1" t="e">
        <f t="shared" si="28"/>
        <v>#DIV/0!</v>
      </c>
    </row>
    <row r="460" spans="1:19" x14ac:dyDescent="0.3">
      <c r="A460">
        <v>2374.1999999999998</v>
      </c>
      <c r="B460">
        <v>146.21330800000001</v>
      </c>
      <c r="C460">
        <v>153.92132599999999</v>
      </c>
      <c r="D460">
        <v>161.48070300000001</v>
      </c>
      <c r="E460">
        <v>91.939385999999999</v>
      </c>
      <c r="F460">
        <v>50.878498999999998</v>
      </c>
      <c r="G460">
        <v>19.643546000000001</v>
      </c>
      <c r="H460">
        <v>24.599285999999999</v>
      </c>
      <c r="I460"/>
      <c r="N460"/>
      <c r="O460"/>
      <c r="P460" s="1" t="e">
        <f t="shared" si="25"/>
        <v>#DIV/0!</v>
      </c>
      <c r="Q460" s="1" t="e">
        <f t="shared" si="26"/>
        <v>#DIV/0!</v>
      </c>
      <c r="R460" s="1" t="e">
        <f t="shared" si="27"/>
        <v>#DIV/0!</v>
      </c>
      <c r="S460" s="1" t="e">
        <f t="shared" si="28"/>
        <v>#DIV/0!</v>
      </c>
    </row>
    <row r="461" spans="1:19" x14ac:dyDescent="0.3">
      <c r="A461">
        <v>2374.4</v>
      </c>
      <c r="B461">
        <v>146.20159699999999</v>
      </c>
      <c r="C461">
        <v>153.927055</v>
      </c>
      <c r="D461">
        <v>161.48643000000001</v>
      </c>
      <c r="E461">
        <v>91.861560999999995</v>
      </c>
      <c r="F461">
        <v>51.363717999999999</v>
      </c>
      <c r="G461">
        <v>19.648171000000001</v>
      </c>
      <c r="H461">
        <v>24.598220000000001</v>
      </c>
      <c r="I461"/>
      <c r="N461"/>
      <c r="O461"/>
      <c r="P461" s="1" t="e">
        <f t="shared" si="25"/>
        <v>#DIV/0!</v>
      </c>
      <c r="Q461" s="1" t="e">
        <f t="shared" si="26"/>
        <v>#DIV/0!</v>
      </c>
      <c r="R461" s="1" t="e">
        <f t="shared" si="27"/>
        <v>#DIV/0!</v>
      </c>
      <c r="S461" s="1" t="e">
        <f t="shared" si="28"/>
        <v>#DIV/0!</v>
      </c>
    </row>
    <row r="462" spans="1:19" x14ac:dyDescent="0.3">
      <c r="A462">
        <v>2374.6</v>
      </c>
      <c r="B462">
        <v>146.20159699999999</v>
      </c>
      <c r="C462">
        <v>153.927055</v>
      </c>
      <c r="D462">
        <v>161.48643000000001</v>
      </c>
      <c r="E462">
        <v>91.861560999999995</v>
      </c>
      <c r="F462">
        <v>51.363717999999999</v>
      </c>
      <c r="G462">
        <v>19.648171000000001</v>
      </c>
      <c r="H462">
        <v>24.598220000000001</v>
      </c>
      <c r="I462"/>
      <c r="N462"/>
      <c r="O462"/>
      <c r="P462" s="1" t="e">
        <f t="shared" si="25"/>
        <v>#DIV/0!</v>
      </c>
      <c r="Q462" s="1" t="e">
        <f t="shared" si="26"/>
        <v>#DIV/0!</v>
      </c>
      <c r="R462" s="1" t="e">
        <f t="shared" si="27"/>
        <v>#DIV/0!</v>
      </c>
      <c r="S462" s="1" t="e">
        <f t="shared" si="28"/>
        <v>#DIV/0!</v>
      </c>
    </row>
    <row r="463" spans="1:19" x14ac:dyDescent="0.3">
      <c r="A463">
        <v>2374.8000000000002</v>
      </c>
      <c r="B463">
        <v>146.20396500000001</v>
      </c>
      <c r="C463">
        <v>153.91599400000001</v>
      </c>
      <c r="D463">
        <v>161.481495</v>
      </c>
      <c r="E463">
        <v>91.965975</v>
      </c>
      <c r="F463">
        <v>51.826852000000002</v>
      </c>
      <c r="G463">
        <v>19.640678000000001</v>
      </c>
      <c r="H463">
        <v>24.565714</v>
      </c>
      <c r="I463"/>
      <c r="N463"/>
      <c r="P463" s="1" t="e">
        <f t="shared" si="25"/>
        <v>#DIV/0!</v>
      </c>
      <c r="Q463" s="1" t="e">
        <f t="shared" si="26"/>
        <v>#DIV/0!</v>
      </c>
      <c r="R463" s="1" t="e">
        <f t="shared" si="27"/>
        <v>#DIV/0!</v>
      </c>
      <c r="S463" s="1" t="e">
        <f t="shared" si="28"/>
        <v>#DIV/0!</v>
      </c>
    </row>
    <row r="464" spans="1:19" x14ac:dyDescent="0.3">
      <c r="A464">
        <v>2375</v>
      </c>
      <c r="B464">
        <v>146.20396500000001</v>
      </c>
      <c r="C464">
        <v>153.91599400000001</v>
      </c>
      <c r="D464">
        <v>161.481495</v>
      </c>
      <c r="E464">
        <v>91.965975</v>
      </c>
      <c r="F464">
        <v>51.826852000000002</v>
      </c>
      <c r="G464">
        <v>19.640678000000001</v>
      </c>
      <c r="H464">
        <v>24.565714</v>
      </c>
      <c r="I464" t="s">
        <v>61</v>
      </c>
      <c r="N464"/>
      <c r="O464" s="26"/>
      <c r="P464" s="1" t="e">
        <f t="shared" si="25"/>
        <v>#DIV/0!</v>
      </c>
      <c r="Q464" s="1" t="e">
        <f t="shared" si="26"/>
        <v>#DIV/0!</v>
      </c>
      <c r="R464" s="1" t="e">
        <f t="shared" si="27"/>
        <v>#DIV/0!</v>
      </c>
      <c r="S464" s="1" t="e">
        <f t="shared" si="28"/>
        <v>#DIV/0!</v>
      </c>
    </row>
    <row r="465" spans="1:19" x14ac:dyDescent="0.3">
      <c r="A465">
        <v>2375.1999999999998</v>
      </c>
      <c r="B465">
        <v>146.188717</v>
      </c>
      <c r="C465">
        <v>153.92078100000001</v>
      </c>
      <c r="D465">
        <v>161.492402</v>
      </c>
      <c r="E465">
        <v>91.993015</v>
      </c>
      <c r="F465">
        <v>52.072736999999996</v>
      </c>
      <c r="G465">
        <v>19.674654</v>
      </c>
      <c r="H465">
        <v>24.568826000000001</v>
      </c>
      <c r="I465"/>
      <c r="N465"/>
      <c r="O465" s="26"/>
      <c r="P465" s="1" t="e">
        <f t="shared" si="25"/>
        <v>#DIV/0!</v>
      </c>
      <c r="Q465" s="1" t="e">
        <f t="shared" si="26"/>
        <v>#DIV/0!</v>
      </c>
      <c r="R465" s="1" t="e">
        <f t="shared" si="27"/>
        <v>#DIV/0!</v>
      </c>
      <c r="S465" s="1" t="e">
        <f t="shared" si="28"/>
        <v>#DIV/0!</v>
      </c>
    </row>
    <row r="466" spans="1:19" x14ac:dyDescent="0.3">
      <c r="A466">
        <v>2375.4</v>
      </c>
      <c r="B466">
        <v>146.188717</v>
      </c>
      <c r="C466">
        <v>153.92078100000001</v>
      </c>
      <c r="D466">
        <v>161.492402</v>
      </c>
      <c r="E466">
        <v>91.993015</v>
      </c>
      <c r="F466">
        <v>52.072736999999996</v>
      </c>
      <c r="G466">
        <v>19.674654</v>
      </c>
      <c r="H466">
        <v>24.568826000000001</v>
      </c>
      <c r="I466"/>
      <c r="N466"/>
      <c r="O466" s="26"/>
      <c r="P466" s="1" t="e">
        <f t="shared" si="25"/>
        <v>#DIV/0!</v>
      </c>
      <c r="Q466" s="1" t="e">
        <f t="shared" si="26"/>
        <v>#DIV/0!</v>
      </c>
      <c r="R466" s="1" t="e">
        <f t="shared" si="27"/>
        <v>#DIV/0!</v>
      </c>
      <c r="S466" s="1" t="e">
        <f t="shared" si="28"/>
        <v>#DIV/0!</v>
      </c>
    </row>
    <row r="467" spans="1:19" x14ac:dyDescent="0.3">
      <c r="A467">
        <v>2375.6</v>
      </c>
      <c r="B467">
        <v>146.21100799999999</v>
      </c>
      <c r="C467">
        <v>153.94635099999999</v>
      </c>
      <c r="D467">
        <v>161.49323999999999</v>
      </c>
      <c r="E467">
        <v>92.046616</v>
      </c>
      <c r="F467">
        <v>52.449235000000002</v>
      </c>
      <c r="G467">
        <v>19.669336999999999</v>
      </c>
      <c r="H467">
        <v>24.565422999999999</v>
      </c>
      <c r="I467"/>
      <c r="N467"/>
      <c r="O467" s="26"/>
      <c r="P467" s="1" t="e">
        <f t="shared" si="25"/>
        <v>#DIV/0!</v>
      </c>
      <c r="Q467" s="1" t="e">
        <f t="shared" si="26"/>
        <v>#DIV/0!</v>
      </c>
      <c r="R467" s="1" t="e">
        <f t="shared" si="27"/>
        <v>#DIV/0!</v>
      </c>
      <c r="S467" s="1" t="e">
        <f t="shared" si="28"/>
        <v>#DIV/0!</v>
      </c>
    </row>
    <row r="468" spans="1:19" x14ac:dyDescent="0.3">
      <c r="A468">
        <v>2375.8000000000002</v>
      </c>
      <c r="B468">
        <v>146.21100799999999</v>
      </c>
      <c r="C468">
        <v>153.94635099999999</v>
      </c>
      <c r="D468">
        <v>161.49323999999999</v>
      </c>
      <c r="E468">
        <v>92.046616</v>
      </c>
      <c r="F468">
        <v>52.449235000000002</v>
      </c>
      <c r="G468">
        <v>19.669336999999999</v>
      </c>
      <c r="H468">
        <v>24.565422999999999</v>
      </c>
      <c r="I468"/>
      <c r="N468"/>
      <c r="O468"/>
      <c r="P468" s="1" t="e">
        <f t="shared" si="25"/>
        <v>#DIV/0!</v>
      </c>
      <c r="Q468" s="1" t="e">
        <f t="shared" si="26"/>
        <v>#DIV/0!</v>
      </c>
      <c r="R468" s="1" t="e">
        <f t="shared" si="27"/>
        <v>#DIV/0!</v>
      </c>
      <c r="S468" s="1" t="e">
        <f t="shared" si="28"/>
        <v>#DIV/0!</v>
      </c>
    </row>
    <row r="469" spans="1:19" x14ac:dyDescent="0.3">
      <c r="A469">
        <v>2376</v>
      </c>
      <c r="B469">
        <v>146.22017500000001</v>
      </c>
      <c r="C469">
        <v>153.93101300000001</v>
      </c>
      <c r="D469">
        <v>161.51699500000001</v>
      </c>
      <c r="E469">
        <v>92.021697000000003</v>
      </c>
      <c r="F469">
        <v>52.500233000000001</v>
      </c>
      <c r="G469">
        <v>19.658522999999999</v>
      </c>
      <c r="H469">
        <v>24.540949999999999</v>
      </c>
      <c r="I469" t="s">
        <v>61</v>
      </c>
      <c r="N469"/>
      <c r="O469"/>
      <c r="P469" s="1" t="e">
        <f t="shared" si="25"/>
        <v>#DIV/0!</v>
      </c>
      <c r="Q469" s="1" t="e">
        <f t="shared" si="26"/>
        <v>#DIV/0!</v>
      </c>
      <c r="R469" s="1" t="e">
        <f t="shared" si="27"/>
        <v>#DIV/0!</v>
      </c>
      <c r="S469" s="1" t="e">
        <f t="shared" si="28"/>
        <v>#DIV/0!</v>
      </c>
    </row>
    <row r="470" spans="1:19" x14ac:dyDescent="0.3">
      <c r="A470">
        <v>2376.1999999999998</v>
      </c>
      <c r="B470">
        <v>146.22017500000001</v>
      </c>
      <c r="C470">
        <v>153.93101300000001</v>
      </c>
      <c r="D470">
        <v>161.51699500000001</v>
      </c>
      <c r="E470">
        <v>92.021697000000003</v>
      </c>
      <c r="F470">
        <v>52.500233000000001</v>
      </c>
      <c r="G470">
        <v>19.658522999999999</v>
      </c>
      <c r="H470">
        <v>24.540949999999999</v>
      </c>
      <c r="I470"/>
      <c r="N470"/>
      <c r="O470"/>
      <c r="P470" s="1" t="e">
        <f t="shared" si="25"/>
        <v>#DIV/0!</v>
      </c>
      <c r="Q470" s="1" t="e">
        <f t="shared" si="26"/>
        <v>#DIV/0!</v>
      </c>
      <c r="R470" s="1" t="e">
        <f t="shared" si="27"/>
        <v>#DIV/0!</v>
      </c>
      <c r="S470" s="1" t="e">
        <f t="shared" si="28"/>
        <v>#DIV/0!</v>
      </c>
    </row>
    <row r="471" spans="1:19" x14ac:dyDescent="0.3">
      <c r="A471">
        <v>2376.4</v>
      </c>
      <c r="B471">
        <v>146.222331</v>
      </c>
      <c r="C471">
        <v>153.95742899999999</v>
      </c>
      <c r="D471">
        <v>161.50619800000001</v>
      </c>
      <c r="E471">
        <v>92.022882999999993</v>
      </c>
      <c r="F471">
        <v>52.604579000000001</v>
      </c>
      <c r="G471">
        <v>19.650182000000001</v>
      </c>
      <c r="H471">
        <v>24.540206999999999</v>
      </c>
      <c r="I471"/>
      <c r="N471"/>
      <c r="O471"/>
      <c r="P471" s="1" t="e">
        <f t="shared" si="25"/>
        <v>#DIV/0!</v>
      </c>
      <c r="Q471" s="1" t="e">
        <f t="shared" si="26"/>
        <v>#DIV/0!</v>
      </c>
      <c r="R471" s="1" t="e">
        <f t="shared" si="27"/>
        <v>#DIV/0!</v>
      </c>
      <c r="S471" s="1" t="e">
        <f t="shared" si="28"/>
        <v>#DIV/0!</v>
      </c>
    </row>
    <row r="472" spans="1:19" x14ac:dyDescent="0.3">
      <c r="A472">
        <v>2376.6</v>
      </c>
      <c r="B472">
        <v>146.222331</v>
      </c>
      <c r="C472">
        <v>153.95742899999999</v>
      </c>
      <c r="D472">
        <v>161.50619800000001</v>
      </c>
      <c r="E472">
        <v>92.022882999999993</v>
      </c>
      <c r="F472">
        <v>52.604579000000001</v>
      </c>
      <c r="G472">
        <v>19.650182000000001</v>
      </c>
      <c r="H472">
        <v>24.540206999999999</v>
      </c>
      <c r="I472"/>
      <c r="N472"/>
      <c r="O472"/>
      <c r="P472" s="1" t="e">
        <f t="shared" si="25"/>
        <v>#DIV/0!</v>
      </c>
      <c r="Q472" s="1" t="e">
        <f t="shared" si="26"/>
        <v>#DIV/0!</v>
      </c>
      <c r="R472" s="1" t="e">
        <f t="shared" si="27"/>
        <v>#DIV/0!</v>
      </c>
      <c r="S472" s="1" t="e">
        <f t="shared" si="28"/>
        <v>#DIV/0!</v>
      </c>
    </row>
    <row r="473" spans="1:19" x14ac:dyDescent="0.3">
      <c r="A473">
        <v>2376.8000000000002</v>
      </c>
      <c r="B473">
        <v>146.24638300000001</v>
      </c>
      <c r="C473">
        <v>153.973218</v>
      </c>
      <c r="D473">
        <v>161.54293799999999</v>
      </c>
      <c r="E473">
        <v>92.021967000000004</v>
      </c>
      <c r="F473">
        <v>52.071404000000001</v>
      </c>
      <c r="G473">
        <v>19.637715</v>
      </c>
      <c r="H473">
        <v>24.537718000000002</v>
      </c>
      <c r="I473"/>
      <c r="N473"/>
      <c r="O473"/>
      <c r="P473" s="1" t="e">
        <f t="shared" si="25"/>
        <v>#DIV/0!</v>
      </c>
      <c r="Q473" s="1" t="e">
        <f t="shared" si="26"/>
        <v>#DIV/0!</v>
      </c>
      <c r="R473" s="1" t="e">
        <f t="shared" si="27"/>
        <v>#DIV/0!</v>
      </c>
      <c r="S473" s="1" t="e">
        <f t="shared" si="28"/>
        <v>#DIV/0!</v>
      </c>
    </row>
    <row r="474" spans="1:19" x14ac:dyDescent="0.3">
      <c r="A474">
        <v>2583</v>
      </c>
      <c r="B474">
        <v>164.76454799999999</v>
      </c>
      <c r="C474">
        <v>174.07989900000001</v>
      </c>
      <c r="D474">
        <v>182.94244399999999</v>
      </c>
      <c r="E474">
        <v>105.593011</v>
      </c>
      <c r="F474">
        <v>54.300030999999997</v>
      </c>
      <c r="G474">
        <v>19.784808999999999</v>
      </c>
      <c r="H474">
        <v>25.628326000000001</v>
      </c>
      <c r="I474" t="s">
        <v>61</v>
      </c>
      <c r="N474"/>
      <c r="O474"/>
      <c r="P474" s="1" t="e">
        <f t="shared" si="25"/>
        <v>#DIV/0!</v>
      </c>
      <c r="Q474" s="1" t="e">
        <f t="shared" si="26"/>
        <v>#DIV/0!</v>
      </c>
      <c r="R474" s="1" t="e">
        <f t="shared" si="27"/>
        <v>#DIV/0!</v>
      </c>
      <c r="S474" s="1" t="e">
        <f t="shared" si="28"/>
        <v>#DIV/0!</v>
      </c>
    </row>
    <row r="475" spans="1:19" x14ac:dyDescent="0.3">
      <c r="A475">
        <v>2583.1999999999998</v>
      </c>
      <c r="B475">
        <v>164.80414300000001</v>
      </c>
      <c r="C475">
        <v>174.08767800000001</v>
      </c>
      <c r="D475">
        <v>182.94973400000001</v>
      </c>
      <c r="E475">
        <v>105.741609</v>
      </c>
      <c r="F475">
        <v>54.743153</v>
      </c>
      <c r="G475">
        <v>19.781189000000001</v>
      </c>
      <c r="H475">
        <v>25.643138</v>
      </c>
      <c r="I475"/>
      <c r="N475"/>
      <c r="O475"/>
      <c r="P475" s="1" t="e">
        <f t="shared" si="25"/>
        <v>#DIV/0!</v>
      </c>
      <c r="Q475" s="1" t="e">
        <f t="shared" si="26"/>
        <v>#DIV/0!</v>
      </c>
      <c r="R475" s="1" t="e">
        <f t="shared" si="27"/>
        <v>#DIV/0!</v>
      </c>
      <c r="S475" s="1" t="e">
        <f t="shared" si="28"/>
        <v>#DIV/0!</v>
      </c>
    </row>
    <row r="476" spans="1:19" x14ac:dyDescent="0.3">
      <c r="A476">
        <v>2583.4</v>
      </c>
      <c r="B476">
        <v>164.80414300000001</v>
      </c>
      <c r="C476">
        <v>174.08767800000001</v>
      </c>
      <c r="D476">
        <v>182.94973400000001</v>
      </c>
      <c r="E476">
        <v>105.741609</v>
      </c>
      <c r="F476">
        <v>54.743153</v>
      </c>
      <c r="G476">
        <v>19.781189000000001</v>
      </c>
      <c r="H476">
        <v>25.643138</v>
      </c>
      <c r="I476"/>
      <c r="N476"/>
      <c r="O476"/>
      <c r="P476" s="1" t="e">
        <f t="shared" si="25"/>
        <v>#DIV/0!</v>
      </c>
      <c r="Q476" s="1" t="e">
        <f t="shared" si="26"/>
        <v>#DIV/0!</v>
      </c>
      <c r="R476" s="1" t="e">
        <f t="shared" si="27"/>
        <v>#DIV/0!</v>
      </c>
      <c r="S476" s="1" t="e">
        <f t="shared" si="28"/>
        <v>#DIV/0!</v>
      </c>
    </row>
    <row r="477" spans="1:19" x14ac:dyDescent="0.3">
      <c r="A477">
        <v>2583.6</v>
      </c>
      <c r="B477">
        <v>164.83364499999999</v>
      </c>
      <c r="C477">
        <v>174.12279599999999</v>
      </c>
      <c r="D477">
        <v>182.98430200000001</v>
      </c>
      <c r="E477">
        <v>105.847889</v>
      </c>
      <c r="F477">
        <v>55.249222000000003</v>
      </c>
      <c r="G477">
        <v>19.777096</v>
      </c>
      <c r="H477">
        <v>25.640481999999999</v>
      </c>
      <c r="I477"/>
      <c r="N477"/>
      <c r="O477"/>
      <c r="P477" s="1" t="e">
        <f t="shared" si="25"/>
        <v>#DIV/0!</v>
      </c>
      <c r="Q477" s="1" t="e">
        <f t="shared" si="26"/>
        <v>#DIV/0!</v>
      </c>
      <c r="R477" s="1" t="e">
        <f t="shared" si="27"/>
        <v>#DIV/0!</v>
      </c>
      <c r="S477" s="1" t="e">
        <f t="shared" si="28"/>
        <v>#DIV/0!</v>
      </c>
    </row>
    <row r="478" spans="1:19" x14ac:dyDescent="0.3">
      <c r="A478">
        <v>2583.8000000000002</v>
      </c>
      <c r="B478">
        <v>164.83364499999999</v>
      </c>
      <c r="C478">
        <v>174.12279599999999</v>
      </c>
      <c r="D478">
        <v>182.98430200000001</v>
      </c>
      <c r="E478">
        <v>105.847889</v>
      </c>
      <c r="F478">
        <v>55.249222000000003</v>
      </c>
      <c r="G478">
        <v>19.777096</v>
      </c>
      <c r="H478">
        <v>25.640481999999999</v>
      </c>
      <c r="I478"/>
      <c r="N478"/>
      <c r="O478"/>
      <c r="P478" s="1" t="e">
        <f t="shared" si="25"/>
        <v>#DIV/0!</v>
      </c>
      <c r="Q478" s="1" t="e">
        <f t="shared" si="26"/>
        <v>#DIV/0!</v>
      </c>
      <c r="R478" s="1" t="e">
        <f t="shared" si="27"/>
        <v>#DIV/0!</v>
      </c>
      <c r="S478" s="1" t="e">
        <f t="shared" si="28"/>
        <v>#DIV/0!</v>
      </c>
    </row>
    <row r="479" spans="1:19" x14ac:dyDescent="0.3">
      <c r="A479">
        <v>2584</v>
      </c>
      <c r="B479">
        <v>164.843942</v>
      </c>
      <c r="C479">
        <v>174.133543</v>
      </c>
      <c r="D479">
        <v>182.98888400000001</v>
      </c>
      <c r="E479">
        <v>105.800442</v>
      </c>
      <c r="F479">
        <v>55.280301999999999</v>
      </c>
      <c r="G479">
        <v>19.799424999999999</v>
      </c>
      <c r="H479">
        <v>25.618790000000001</v>
      </c>
      <c r="I479" t="s">
        <v>61</v>
      </c>
      <c r="N479"/>
      <c r="O479"/>
      <c r="P479" s="1" t="e">
        <f t="shared" si="25"/>
        <v>#DIV/0!</v>
      </c>
      <c r="Q479" s="1" t="e">
        <f t="shared" si="26"/>
        <v>#DIV/0!</v>
      </c>
      <c r="R479" s="1" t="e">
        <f t="shared" si="27"/>
        <v>#DIV/0!</v>
      </c>
      <c r="S479" s="1" t="e">
        <f t="shared" si="28"/>
        <v>#DIV/0!</v>
      </c>
    </row>
    <row r="480" spans="1:19" x14ac:dyDescent="0.3">
      <c r="A480">
        <v>2584.1999999999998</v>
      </c>
      <c r="B480">
        <v>164.843942</v>
      </c>
      <c r="C480">
        <v>174.133543</v>
      </c>
      <c r="D480">
        <v>182.98888400000001</v>
      </c>
      <c r="E480">
        <v>105.800442</v>
      </c>
      <c r="F480">
        <v>55.280301999999999</v>
      </c>
      <c r="G480">
        <v>19.799424999999999</v>
      </c>
      <c r="H480">
        <v>25.618790000000001</v>
      </c>
      <c r="I480"/>
      <c r="N480"/>
      <c r="O480"/>
      <c r="P480" s="1" t="e">
        <f t="shared" si="25"/>
        <v>#DIV/0!</v>
      </c>
      <c r="Q480" s="1" t="e">
        <f t="shared" si="26"/>
        <v>#DIV/0!</v>
      </c>
      <c r="R480" s="1" t="e">
        <f t="shared" si="27"/>
        <v>#DIV/0!</v>
      </c>
      <c r="S480" s="1" t="e">
        <f t="shared" si="28"/>
        <v>#DIV/0!</v>
      </c>
    </row>
    <row r="481" spans="1:19" x14ac:dyDescent="0.3">
      <c r="A481">
        <v>2584.4</v>
      </c>
      <c r="B481">
        <v>164.852137</v>
      </c>
      <c r="C481">
        <v>174.12988200000001</v>
      </c>
      <c r="D481">
        <v>182.99515299999999</v>
      </c>
      <c r="E481">
        <v>105.746768</v>
      </c>
      <c r="F481">
        <v>55.021600999999997</v>
      </c>
      <c r="G481">
        <v>19.780550999999999</v>
      </c>
      <c r="H481">
        <v>25.618425999999999</v>
      </c>
      <c r="I481"/>
      <c r="N481"/>
      <c r="O481"/>
      <c r="P481" s="1" t="e">
        <f t="shared" si="25"/>
        <v>#DIV/0!</v>
      </c>
      <c r="Q481" s="1" t="e">
        <f t="shared" si="26"/>
        <v>#DIV/0!</v>
      </c>
      <c r="R481" s="1" t="e">
        <f t="shared" si="27"/>
        <v>#DIV/0!</v>
      </c>
      <c r="S481" s="1" t="e">
        <f t="shared" si="28"/>
        <v>#DIV/0!</v>
      </c>
    </row>
    <row r="482" spans="1:19" x14ac:dyDescent="0.3">
      <c r="A482">
        <v>2584.6</v>
      </c>
      <c r="B482">
        <v>164.852137</v>
      </c>
      <c r="C482">
        <v>174.12988200000001</v>
      </c>
      <c r="D482">
        <v>182.99515299999999</v>
      </c>
      <c r="E482">
        <v>105.746768</v>
      </c>
      <c r="F482">
        <v>55.021600999999997</v>
      </c>
      <c r="G482">
        <v>19.780550999999999</v>
      </c>
      <c r="H482">
        <v>25.618425999999999</v>
      </c>
      <c r="I482"/>
      <c r="N482"/>
      <c r="O482"/>
      <c r="P482" s="1" t="e">
        <f t="shared" si="25"/>
        <v>#DIV/0!</v>
      </c>
      <c r="Q482" s="1" t="e">
        <f t="shared" si="26"/>
        <v>#DIV/0!</v>
      </c>
      <c r="R482" s="1" t="e">
        <f t="shared" si="27"/>
        <v>#DIV/0!</v>
      </c>
      <c r="S482" s="1" t="e">
        <f t="shared" si="28"/>
        <v>#DIV/0!</v>
      </c>
    </row>
    <row r="483" spans="1:19" x14ac:dyDescent="0.3">
      <c r="A483">
        <v>2584.8000000000002</v>
      </c>
      <c r="B483">
        <v>164.87329099999999</v>
      </c>
      <c r="C483">
        <v>174.1472</v>
      </c>
      <c r="D483">
        <v>183.01101499999999</v>
      </c>
      <c r="E483">
        <v>105.884777</v>
      </c>
      <c r="F483">
        <v>54.690846999999998</v>
      </c>
      <c r="G483">
        <v>19.789669</v>
      </c>
      <c r="H483">
        <v>25.634105999999999</v>
      </c>
      <c r="I483"/>
      <c r="N483"/>
      <c r="O483"/>
      <c r="P483" s="1" t="e">
        <f t="shared" si="25"/>
        <v>#DIV/0!</v>
      </c>
      <c r="Q483" s="1" t="e">
        <f t="shared" si="26"/>
        <v>#DIV/0!</v>
      </c>
      <c r="R483" s="1" t="e">
        <f t="shared" si="27"/>
        <v>#DIV/0!</v>
      </c>
      <c r="S483" s="1" t="e">
        <f t="shared" si="28"/>
        <v>#DIV/0!</v>
      </c>
    </row>
    <row r="484" spans="1:19" x14ac:dyDescent="0.3">
      <c r="A484">
        <v>2585</v>
      </c>
      <c r="B484">
        <v>164.87329099999999</v>
      </c>
      <c r="C484">
        <v>174.1472</v>
      </c>
      <c r="D484">
        <v>183.01101499999999</v>
      </c>
      <c r="E484">
        <v>105.884777</v>
      </c>
      <c r="F484">
        <v>54.690846999999998</v>
      </c>
      <c r="G484">
        <v>19.789669</v>
      </c>
      <c r="H484">
        <v>25.634105999999999</v>
      </c>
      <c r="I484" t="s">
        <v>61</v>
      </c>
      <c r="N484"/>
      <c r="O484"/>
      <c r="P484" s="1" t="e">
        <f t="shared" si="25"/>
        <v>#DIV/0!</v>
      </c>
      <c r="Q484" s="1" t="e">
        <f t="shared" si="26"/>
        <v>#DIV/0!</v>
      </c>
      <c r="R484" s="1" t="e">
        <f t="shared" si="27"/>
        <v>#DIV/0!</v>
      </c>
      <c r="S484" s="1" t="e">
        <f t="shared" si="28"/>
        <v>#DIV/0!</v>
      </c>
    </row>
    <row r="485" spans="1:19" x14ac:dyDescent="0.3">
      <c r="A485">
        <v>2585.1999999999998</v>
      </c>
      <c r="B485">
        <v>164.929506</v>
      </c>
      <c r="C485">
        <v>174.16872000000001</v>
      </c>
      <c r="D485">
        <v>183.06131199999999</v>
      </c>
      <c r="E485">
        <v>105.73657300000001</v>
      </c>
      <c r="F485">
        <v>54.846708999999997</v>
      </c>
      <c r="G485">
        <v>19.777881000000001</v>
      </c>
      <c r="H485">
        <v>25.649761000000002</v>
      </c>
      <c r="I485"/>
      <c r="N485"/>
      <c r="O485"/>
      <c r="P485" s="1" t="e">
        <f t="shared" si="25"/>
        <v>#DIV/0!</v>
      </c>
      <c r="Q485" s="1" t="e">
        <f t="shared" si="26"/>
        <v>#DIV/0!</v>
      </c>
      <c r="R485" s="1" t="e">
        <f t="shared" si="27"/>
        <v>#DIV/0!</v>
      </c>
      <c r="S485" s="1" t="e">
        <f t="shared" si="28"/>
        <v>#DIV/0!</v>
      </c>
    </row>
    <row r="486" spans="1:19" x14ac:dyDescent="0.3">
      <c r="A486">
        <v>2585.4</v>
      </c>
      <c r="B486">
        <v>164.929506</v>
      </c>
      <c r="C486">
        <v>174.16872000000001</v>
      </c>
      <c r="D486">
        <v>183.06131199999999</v>
      </c>
      <c r="E486">
        <v>105.73657300000001</v>
      </c>
      <c r="F486">
        <v>54.846708999999997</v>
      </c>
      <c r="G486">
        <v>19.777881000000001</v>
      </c>
      <c r="H486">
        <v>25.649761000000002</v>
      </c>
      <c r="I486"/>
      <c r="N486"/>
      <c r="O486"/>
      <c r="P486" s="1" t="e">
        <f t="shared" si="25"/>
        <v>#DIV/0!</v>
      </c>
      <c r="Q486" s="1" t="e">
        <f t="shared" si="26"/>
        <v>#DIV/0!</v>
      </c>
      <c r="R486" s="1" t="e">
        <f t="shared" si="27"/>
        <v>#DIV/0!</v>
      </c>
      <c r="S486" s="1" t="e">
        <f t="shared" si="28"/>
        <v>#DIV/0!</v>
      </c>
    </row>
    <row r="487" spans="1:19" x14ac:dyDescent="0.3">
      <c r="A487">
        <v>2585.6</v>
      </c>
      <c r="B487">
        <v>164.89203800000001</v>
      </c>
      <c r="C487">
        <v>174.18863400000001</v>
      </c>
      <c r="D487">
        <v>183.035349</v>
      </c>
      <c r="E487">
        <v>105.807092</v>
      </c>
      <c r="F487">
        <v>55.181057000000003</v>
      </c>
      <c r="G487">
        <v>19.790921999999998</v>
      </c>
      <c r="H487">
        <v>25.646682999999999</v>
      </c>
      <c r="I487"/>
      <c r="N487"/>
      <c r="O487"/>
      <c r="P487" s="1" t="e">
        <f t="shared" si="25"/>
        <v>#DIV/0!</v>
      </c>
      <c r="Q487" s="1" t="e">
        <f t="shared" si="26"/>
        <v>#DIV/0!</v>
      </c>
      <c r="R487" s="1" t="e">
        <f t="shared" si="27"/>
        <v>#DIV/0!</v>
      </c>
      <c r="S487" s="1" t="e">
        <f t="shared" si="28"/>
        <v>#DIV/0!</v>
      </c>
    </row>
    <row r="488" spans="1:19" x14ac:dyDescent="0.3">
      <c r="A488">
        <v>2585.8000000000002</v>
      </c>
      <c r="B488">
        <v>164.89203800000001</v>
      </c>
      <c r="C488">
        <v>174.18863400000001</v>
      </c>
      <c r="D488">
        <v>183.035349</v>
      </c>
      <c r="E488">
        <v>105.807092</v>
      </c>
      <c r="F488">
        <v>55.181057000000003</v>
      </c>
      <c r="G488">
        <v>19.790921999999998</v>
      </c>
      <c r="H488">
        <v>25.646682999999999</v>
      </c>
      <c r="I488"/>
      <c r="N488"/>
      <c r="O488"/>
      <c r="P488" s="1" t="e">
        <f t="shared" ref="P488:P523" si="29">(B470+Q$35)/P$35</f>
        <v>#DIV/0!</v>
      </c>
      <c r="Q488" s="1" t="e">
        <f t="shared" ref="Q488:Q523" si="30">(C470+Q$35)/P$35</f>
        <v>#DIV/0!</v>
      </c>
      <c r="R488" s="1" t="e">
        <f t="shared" ref="R488:R523" si="31">(D470+Q$37)/P$37</f>
        <v>#DIV/0!</v>
      </c>
      <c r="S488" s="1" t="e">
        <f t="shared" ref="S488:S523" si="32">(E470+Q$38)/P$38</f>
        <v>#DIV/0!</v>
      </c>
    </row>
    <row r="489" spans="1:19" x14ac:dyDescent="0.3">
      <c r="A489">
        <v>2586</v>
      </c>
      <c r="B489">
        <v>164.91512399999999</v>
      </c>
      <c r="C489">
        <v>174.20125100000001</v>
      </c>
      <c r="D489">
        <v>183.053608</v>
      </c>
      <c r="E489">
        <v>105.95023999999999</v>
      </c>
      <c r="F489">
        <v>54.992010999999998</v>
      </c>
      <c r="G489">
        <v>19.779184999999998</v>
      </c>
      <c r="H489">
        <v>25.619427000000002</v>
      </c>
      <c r="I489" t="s">
        <v>61</v>
      </c>
      <c r="N489"/>
      <c r="O489"/>
      <c r="P489" s="1" t="e">
        <f t="shared" si="29"/>
        <v>#DIV/0!</v>
      </c>
      <c r="Q489" s="1" t="e">
        <f t="shared" si="30"/>
        <v>#DIV/0!</v>
      </c>
      <c r="R489" s="1" t="e">
        <f t="shared" si="31"/>
        <v>#DIV/0!</v>
      </c>
      <c r="S489" s="1" t="e">
        <f t="shared" si="32"/>
        <v>#DIV/0!</v>
      </c>
    </row>
    <row r="490" spans="1:19" x14ac:dyDescent="0.3">
      <c r="A490">
        <v>2586.1999999999998</v>
      </c>
      <c r="B490">
        <v>164.91512399999999</v>
      </c>
      <c r="C490">
        <v>174.20125100000001</v>
      </c>
      <c r="D490">
        <v>183.053608</v>
      </c>
      <c r="E490">
        <v>105.95023999999999</v>
      </c>
      <c r="F490">
        <v>54.992010999999998</v>
      </c>
      <c r="G490">
        <v>19.779184999999998</v>
      </c>
      <c r="H490">
        <v>25.619427000000002</v>
      </c>
      <c r="I490"/>
      <c r="N490"/>
      <c r="O490"/>
      <c r="P490" s="1" t="e">
        <f t="shared" si="29"/>
        <v>#DIV/0!</v>
      </c>
      <c r="Q490" s="1" t="e">
        <f t="shared" si="30"/>
        <v>#DIV/0!</v>
      </c>
      <c r="R490" s="1" t="e">
        <f t="shared" si="31"/>
        <v>#DIV/0!</v>
      </c>
      <c r="S490" s="1" t="e">
        <f t="shared" si="32"/>
        <v>#DIV/0!</v>
      </c>
    </row>
    <row r="491" spans="1:19" x14ac:dyDescent="0.3">
      <c r="A491">
        <v>2586.4</v>
      </c>
      <c r="B491">
        <v>164.94817699999999</v>
      </c>
      <c r="C491">
        <v>174.240859</v>
      </c>
      <c r="D491">
        <v>183.09407400000001</v>
      </c>
      <c r="E491">
        <v>106.072526</v>
      </c>
      <c r="F491">
        <v>55.103622000000001</v>
      </c>
      <c r="G491">
        <v>19.789708000000001</v>
      </c>
      <c r="H491">
        <v>25.636033000000001</v>
      </c>
      <c r="I491"/>
      <c r="N491"/>
      <c r="O491"/>
      <c r="P491" s="1" t="e">
        <f t="shared" si="29"/>
        <v>#DIV/0!</v>
      </c>
      <c r="Q491" s="1" t="e">
        <f t="shared" si="30"/>
        <v>#DIV/0!</v>
      </c>
      <c r="R491" s="1" t="e">
        <f t="shared" si="31"/>
        <v>#DIV/0!</v>
      </c>
      <c r="S491" s="1" t="e">
        <f t="shared" si="32"/>
        <v>#DIV/0!</v>
      </c>
    </row>
    <row r="492" spans="1:19" x14ac:dyDescent="0.3">
      <c r="A492">
        <v>2586.6</v>
      </c>
      <c r="B492">
        <v>164.94817699999999</v>
      </c>
      <c r="C492">
        <v>174.240859</v>
      </c>
      <c r="D492">
        <v>183.09407400000001</v>
      </c>
      <c r="E492">
        <v>106.072526</v>
      </c>
      <c r="F492">
        <v>55.103622000000001</v>
      </c>
      <c r="G492">
        <v>19.789708000000001</v>
      </c>
      <c r="H492">
        <v>25.636033000000001</v>
      </c>
      <c r="I492"/>
      <c r="N492"/>
      <c r="O492"/>
      <c r="P492" s="1" t="e">
        <f t="shared" si="29"/>
        <v>#DIV/0!</v>
      </c>
      <c r="Q492" s="1" t="e">
        <f t="shared" si="30"/>
        <v>#DIV/0!</v>
      </c>
      <c r="R492" s="1" t="e">
        <f t="shared" si="31"/>
        <v>#DIV/0!</v>
      </c>
      <c r="S492" s="1" t="e">
        <f t="shared" si="32"/>
        <v>#DIV/0!</v>
      </c>
    </row>
    <row r="493" spans="1:19" x14ac:dyDescent="0.3">
      <c r="A493">
        <v>2586.8000000000002</v>
      </c>
      <c r="B493">
        <v>164.98785000000001</v>
      </c>
      <c r="C493">
        <v>174.25202999999999</v>
      </c>
      <c r="D493">
        <v>183.09576999999999</v>
      </c>
      <c r="E493">
        <v>106.09181700000001</v>
      </c>
      <c r="F493">
        <v>54.832552999999997</v>
      </c>
      <c r="G493">
        <v>19.765979999999999</v>
      </c>
      <c r="H493">
        <v>25.646891</v>
      </c>
      <c r="I493"/>
      <c r="N493"/>
      <c r="O493"/>
      <c r="P493" s="1" t="e">
        <f t="shared" si="29"/>
        <v>#DIV/0!</v>
      </c>
      <c r="Q493" s="1" t="e">
        <f t="shared" si="30"/>
        <v>#DIV/0!</v>
      </c>
      <c r="R493" s="1" t="e">
        <f t="shared" si="31"/>
        <v>#DIV/0!</v>
      </c>
      <c r="S493" s="1" t="e">
        <f t="shared" si="32"/>
        <v>#DIV/0!</v>
      </c>
    </row>
    <row r="494" spans="1:19" x14ac:dyDescent="0.3">
      <c r="A494">
        <v>2587</v>
      </c>
      <c r="B494">
        <v>164.98785000000001</v>
      </c>
      <c r="C494">
        <v>174.25202999999999</v>
      </c>
      <c r="D494">
        <v>183.09576999999999</v>
      </c>
      <c r="E494">
        <v>106.09181700000001</v>
      </c>
      <c r="F494">
        <v>54.832552999999997</v>
      </c>
      <c r="G494">
        <v>19.765979999999999</v>
      </c>
      <c r="H494">
        <v>25.646891</v>
      </c>
      <c r="I494" t="s">
        <v>61</v>
      </c>
      <c r="N494"/>
      <c r="O494"/>
      <c r="P494" s="1" t="e">
        <f t="shared" si="29"/>
        <v>#DIV/0!</v>
      </c>
      <c r="Q494" s="1" t="e">
        <f t="shared" si="30"/>
        <v>#DIV/0!</v>
      </c>
      <c r="R494" s="1" t="e">
        <f t="shared" si="31"/>
        <v>#DIV/0!</v>
      </c>
      <c r="S494" s="1" t="e">
        <f t="shared" si="32"/>
        <v>#DIV/0!</v>
      </c>
    </row>
    <row r="495" spans="1:19" x14ac:dyDescent="0.3">
      <c r="A495">
        <v>2587.1999999999998</v>
      </c>
      <c r="B495">
        <v>164.99087599999999</v>
      </c>
      <c r="C495">
        <v>174.31139999999999</v>
      </c>
      <c r="D495">
        <v>183.10823199999999</v>
      </c>
      <c r="E495">
        <v>106.112864</v>
      </c>
      <c r="F495">
        <v>54.742558000000002</v>
      </c>
      <c r="G495">
        <v>19.776319000000001</v>
      </c>
      <c r="H495">
        <v>25.636403999999999</v>
      </c>
      <c r="I495"/>
      <c r="N495"/>
      <c r="O495"/>
      <c r="P495" s="1" t="e">
        <f t="shared" si="29"/>
        <v>#DIV/0!</v>
      </c>
      <c r="Q495" s="1" t="e">
        <f t="shared" si="30"/>
        <v>#DIV/0!</v>
      </c>
      <c r="R495" s="1" t="e">
        <f t="shared" si="31"/>
        <v>#DIV/0!</v>
      </c>
      <c r="S495" s="1" t="e">
        <f t="shared" si="32"/>
        <v>#DIV/0!</v>
      </c>
    </row>
    <row r="496" spans="1:19" x14ac:dyDescent="0.3">
      <c r="A496">
        <v>2587.4</v>
      </c>
      <c r="B496">
        <v>164.99087599999999</v>
      </c>
      <c r="C496">
        <v>174.31139999999999</v>
      </c>
      <c r="D496">
        <v>183.10823199999999</v>
      </c>
      <c r="E496">
        <v>106.112864</v>
      </c>
      <c r="F496">
        <v>54.742558000000002</v>
      </c>
      <c r="G496">
        <v>19.776319000000001</v>
      </c>
      <c r="H496">
        <v>25.636403999999999</v>
      </c>
      <c r="I496"/>
      <c r="N496"/>
      <c r="O496"/>
      <c r="P496" s="1" t="e">
        <f t="shared" si="29"/>
        <v>#DIV/0!</v>
      </c>
      <c r="Q496" s="1" t="e">
        <f t="shared" si="30"/>
        <v>#DIV/0!</v>
      </c>
      <c r="R496" s="1" t="e">
        <f t="shared" si="31"/>
        <v>#DIV/0!</v>
      </c>
      <c r="S496" s="1" t="e">
        <f t="shared" si="32"/>
        <v>#DIV/0!</v>
      </c>
    </row>
    <row r="497" spans="1:19" x14ac:dyDescent="0.3">
      <c r="A497">
        <v>2587.6</v>
      </c>
      <c r="B497">
        <v>165.03279499999999</v>
      </c>
      <c r="C497">
        <v>174.334283</v>
      </c>
      <c r="D497">
        <v>183.165558</v>
      </c>
      <c r="E497">
        <v>106.214601</v>
      </c>
      <c r="F497">
        <v>54.813853000000002</v>
      </c>
      <c r="G497">
        <v>19.776071999999999</v>
      </c>
      <c r="H497">
        <v>25.593197</v>
      </c>
      <c r="I497"/>
      <c r="N497"/>
      <c r="O497"/>
      <c r="P497" s="1" t="e">
        <f t="shared" si="29"/>
        <v>#DIV/0!</v>
      </c>
      <c r="Q497" s="1" t="e">
        <f t="shared" si="30"/>
        <v>#DIV/0!</v>
      </c>
      <c r="R497" s="1" t="e">
        <f t="shared" si="31"/>
        <v>#DIV/0!</v>
      </c>
      <c r="S497" s="1" t="e">
        <f t="shared" si="32"/>
        <v>#DIV/0!</v>
      </c>
    </row>
    <row r="498" spans="1:19" x14ac:dyDescent="0.3">
      <c r="A498">
        <v>2587.8000000000002</v>
      </c>
      <c r="B498">
        <v>165.03279499999999</v>
      </c>
      <c r="C498">
        <v>174.334283</v>
      </c>
      <c r="D498">
        <v>183.165558</v>
      </c>
      <c r="E498">
        <v>106.214601</v>
      </c>
      <c r="F498">
        <v>54.813853000000002</v>
      </c>
      <c r="G498">
        <v>19.776071999999999</v>
      </c>
      <c r="H498">
        <v>25.593197</v>
      </c>
      <c r="I498"/>
      <c r="N498"/>
      <c r="O498"/>
      <c r="P498" s="1" t="e">
        <f t="shared" si="29"/>
        <v>#DIV/0!</v>
      </c>
      <c r="Q498" s="1" t="e">
        <f t="shared" si="30"/>
        <v>#DIV/0!</v>
      </c>
      <c r="R498" s="1" t="e">
        <f t="shared" si="31"/>
        <v>#DIV/0!</v>
      </c>
      <c r="S498" s="1" t="e">
        <f t="shared" si="32"/>
        <v>#DIV/0!</v>
      </c>
    </row>
    <row r="499" spans="1:19" x14ac:dyDescent="0.3">
      <c r="A499">
        <v>2588</v>
      </c>
      <c r="B499">
        <v>165.07833400000001</v>
      </c>
      <c r="C499">
        <v>174.35225299999999</v>
      </c>
      <c r="D499">
        <v>183.175927</v>
      </c>
      <c r="E499">
        <v>106.180249</v>
      </c>
      <c r="F499">
        <v>54.805531999999999</v>
      </c>
      <c r="G499">
        <v>19.769580999999999</v>
      </c>
      <c r="H499">
        <v>25.630172999999999</v>
      </c>
      <c r="I499" t="s">
        <v>61</v>
      </c>
      <c r="N499"/>
      <c r="O499"/>
      <c r="P499" s="1" t="e">
        <f t="shared" si="29"/>
        <v>#DIV/0!</v>
      </c>
      <c r="Q499" s="1" t="e">
        <f t="shared" si="30"/>
        <v>#DIV/0!</v>
      </c>
      <c r="R499" s="1" t="e">
        <f t="shared" si="31"/>
        <v>#DIV/0!</v>
      </c>
      <c r="S499" s="1" t="e">
        <f t="shared" si="32"/>
        <v>#DIV/0!</v>
      </c>
    </row>
    <row r="500" spans="1:19" x14ac:dyDescent="0.3">
      <c r="A500">
        <v>2588.1999999999998</v>
      </c>
      <c r="B500">
        <v>165.07833400000001</v>
      </c>
      <c r="C500">
        <v>174.35225299999999</v>
      </c>
      <c r="D500">
        <v>183.175927</v>
      </c>
      <c r="E500">
        <v>106.180249</v>
      </c>
      <c r="F500">
        <v>54.805531999999999</v>
      </c>
      <c r="G500">
        <v>19.769580999999999</v>
      </c>
      <c r="H500">
        <v>25.630172999999999</v>
      </c>
      <c r="I500"/>
      <c r="N500"/>
      <c r="O500"/>
      <c r="P500" s="1" t="e">
        <f t="shared" si="29"/>
        <v>#DIV/0!</v>
      </c>
      <c r="Q500" s="1" t="e">
        <f t="shared" si="30"/>
        <v>#DIV/0!</v>
      </c>
      <c r="R500" s="1" t="e">
        <f t="shared" si="31"/>
        <v>#DIV/0!</v>
      </c>
      <c r="S500" s="1" t="e">
        <f t="shared" si="32"/>
        <v>#DIV/0!</v>
      </c>
    </row>
    <row r="501" spans="1:19" x14ac:dyDescent="0.3">
      <c r="A501">
        <v>2588.4</v>
      </c>
      <c r="B501">
        <v>165.114711</v>
      </c>
      <c r="C501">
        <v>174.39470299999999</v>
      </c>
      <c r="D501">
        <v>183.20316399999999</v>
      </c>
      <c r="E501">
        <v>106.124883</v>
      </c>
      <c r="F501">
        <v>54.879573000000001</v>
      </c>
      <c r="G501">
        <v>19.770206999999999</v>
      </c>
      <c r="H501">
        <v>25.604358000000001</v>
      </c>
      <c r="I501"/>
      <c r="N501"/>
      <c r="O501"/>
      <c r="P501" s="1" t="e">
        <f t="shared" si="29"/>
        <v>#DIV/0!</v>
      </c>
      <c r="Q501" s="1" t="e">
        <f t="shared" si="30"/>
        <v>#DIV/0!</v>
      </c>
      <c r="R501" s="1" t="e">
        <f t="shared" si="31"/>
        <v>#DIV/0!</v>
      </c>
      <c r="S501" s="1" t="e">
        <f t="shared" si="32"/>
        <v>#DIV/0!</v>
      </c>
    </row>
    <row r="502" spans="1:19" x14ac:dyDescent="0.3">
      <c r="A502">
        <v>2588.6</v>
      </c>
      <c r="B502">
        <v>165.114711</v>
      </c>
      <c r="C502">
        <v>174.39470299999999</v>
      </c>
      <c r="D502">
        <v>183.20316399999999</v>
      </c>
      <c r="E502">
        <v>106.124883</v>
      </c>
      <c r="F502">
        <v>54.879573000000001</v>
      </c>
      <c r="G502">
        <v>19.770206999999999</v>
      </c>
      <c r="H502">
        <v>25.604358000000001</v>
      </c>
      <c r="I502"/>
      <c r="N502"/>
      <c r="O502"/>
      <c r="P502" s="1" t="e">
        <f t="shared" si="29"/>
        <v>#DIV/0!</v>
      </c>
      <c r="Q502" s="1" t="e">
        <f t="shared" si="30"/>
        <v>#DIV/0!</v>
      </c>
      <c r="R502" s="1" t="e">
        <f t="shared" si="31"/>
        <v>#DIV/0!</v>
      </c>
      <c r="S502" s="1" t="e">
        <f t="shared" si="32"/>
        <v>#DIV/0!</v>
      </c>
    </row>
    <row r="503" spans="1:19" x14ac:dyDescent="0.3">
      <c r="A503">
        <v>2588.8000000000002</v>
      </c>
      <c r="B503">
        <v>165.128874</v>
      </c>
      <c r="C503">
        <v>174.42256699999999</v>
      </c>
      <c r="D503">
        <v>183.216791</v>
      </c>
      <c r="E503">
        <v>106.136405</v>
      </c>
      <c r="F503">
        <v>54.714508000000002</v>
      </c>
      <c r="G503">
        <v>19.782205000000001</v>
      </c>
      <c r="H503">
        <v>25.578524000000002</v>
      </c>
      <c r="I503"/>
      <c r="N503"/>
      <c r="O503"/>
      <c r="P503" s="1" t="e">
        <f t="shared" si="29"/>
        <v>#DIV/0!</v>
      </c>
      <c r="Q503" s="1" t="e">
        <f t="shared" si="30"/>
        <v>#DIV/0!</v>
      </c>
      <c r="R503" s="1" t="e">
        <f t="shared" si="31"/>
        <v>#DIV/0!</v>
      </c>
      <c r="S503" s="1" t="e">
        <f t="shared" si="32"/>
        <v>#DIV/0!</v>
      </c>
    </row>
    <row r="504" spans="1:19" x14ac:dyDescent="0.3">
      <c r="A504">
        <v>2589</v>
      </c>
      <c r="B504">
        <v>165.128874</v>
      </c>
      <c r="C504">
        <v>174.42256699999999</v>
      </c>
      <c r="D504">
        <v>183.216791</v>
      </c>
      <c r="E504">
        <v>106.136405</v>
      </c>
      <c r="F504">
        <v>54.714508000000002</v>
      </c>
      <c r="G504">
        <v>19.782205000000001</v>
      </c>
      <c r="H504">
        <v>25.578524000000002</v>
      </c>
      <c r="I504" t="s">
        <v>61</v>
      </c>
      <c r="N504"/>
      <c r="O504"/>
      <c r="P504" s="1" t="e">
        <f t="shared" si="29"/>
        <v>#DIV/0!</v>
      </c>
      <c r="Q504" s="1" t="e">
        <f t="shared" si="30"/>
        <v>#DIV/0!</v>
      </c>
      <c r="R504" s="1" t="e">
        <f t="shared" si="31"/>
        <v>#DIV/0!</v>
      </c>
      <c r="S504" s="1" t="e">
        <f t="shared" si="32"/>
        <v>#DIV/0!</v>
      </c>
    </row>
    <row r="505" spans="1:19" x14ac:dyDescent="0.3">
      <c r="A505">
        <v>2589.1999999999998</v>
      </c>
      <c r="B505">
        <v>165.149317</v>
      </c>
      <c r="C505">
        <v>174.44485700000001</v>
      </c>
      <c r="D505">
        <v>183.253207</v>
      </c>
      <c r="E505">
        <v>105.876693</v>
      </c>
      <c r="F505">
        <v>54.628203999999997</v>
      </c>
      <c r="G505">
        <v>19.779661000000001</v>
      </c>
      <c r="H505">
        <v>25.60857</v>
      </c>
      <c r="I505"/>
      <c r="N505"/>
      <c r="O505"/>
      <c r="P505" s="1" t="e">
        <f t="shared" si="29"/>
        <v>#DIV/0!</v>
      </c>
      <c r="Q505" s="1" t="e">
        <f t="shared" si="30"/>
        <v>#DIV/0!</v>
      </c>
      <c r="R505" s="1" t="e">
        <f t="shared" si="31"/>
        <v>#DIV/0!</v>
      </c>
      <c r="S505" s="1" t="e">
        <f t="shared" si="32"/>
        <v>#DIV/0!</v>
      </c>
    </row>
    <row r="506" spans="1:19" x14ac:dyDescent="0.3">
      <c r="A506">
        <v>2589.4</v>
      </c>
      <c r="B506">
        <v>165.149317</v>
      </c>
      <c r="C506">
        <v>174.44485700000001</v>
      </c>
      <c r="D506">
        <v>183.253207</v>
      </c>
      <c r="E506">
        <v>105.876693</v>
      </c>
      <c r="F506">
        <v>54.628203999999997</v>
      </c>
      <c r="G506">
        <v>19.779661000000001</v>
      </c>
      <c r="H506">
        <v>25.60857</v>
      </c>
      <c r="I506"/>
      <c r="N506"/>
      <c r="O506"/>
      <c r="P506" s="1" t="e">
        <f t="shared" si="29"/>
        <v>#DIV/0!</v>
      </c>
      <c r="Q506" s="1" t="e">
        <f t="shared" si="30"/>
        <v>#DIV/0!</v>
      </c>
      <c r="R506" s="1" t="e">
        <f t="shared" si="31"/>
        <v>#DIV/0!</v>
      </c>
      <c r="S506" s="1" t="e">
        <f t="shared" si="32"/>
        <v>#DIV/0!</v>
      </c>
    </row>
    <row r="507" spans="1:19" x14ac:dyDescent="0.3">
      <c r="A507">
        <v>2589.6</v>
      </c>
      <c r="B507">
        <v>165.15074100000001</v>
      </c>
      <c r="C507">
        <v>174.43633299999999</v>
      </c>
      <c r="D507">
        <v>183.26218499999999</v>
      </c>
      <c r="E507">
        <v>105.876229</v>
      </c>
      <c r="F507">
        <v>54.184533000000002</v>
      </c>
      <c r="G507">
        <v>19.778959</v>
      </c>
      <c r="H507">
        <v>25.615897</v>
      </c>
      <c r="I507"/>
      <c r="N507"/>
      <c r="O507"/>
      <c r="P507" s="1" t="e">
        <f t="shared" si="29"/>
        <v>#DIV/0!</v>
      </c>
      <c r="Q507" s="1" t="e">
        <f t="shared" si="30"/>
        <v>#DIV/0!</v>
      </c>
      <c r="R507" s="1" t="e">
        <f t="shared" si="31"/>
        <v>#DIV/0!</v>
      </c>
      <c r="S507" s="1" t="e">
        <f t="shared" si="32"/>
        <v>#DIV/0!</v>
      </c>
    </row>
    <row r="508" spans="1:19" x14ac:dyDescent="0.3">
      <c r="A508">
        <v>2589.8000000000002</v>
      </c>
      <c r="B508">
        <v>165.15074100000001</v>
      </c>
      <c r="C508">
        <v>174.43633299999999</v>
      </c>
      <c r="D508">
        <v>183.26218499999999</v>
      </c>
      <c r="E508">
        <v>105.876229</v>
      </c>
      <c r="F508">
        <v>54.184533000000002</v>
      </c>
      <c r="G508">
        <v>19.778959</v>
      </c>
      <c r="H508">
        <v>25.615897</v>
      </c>
      <c r="I508"/>
      <c r="N508"/>
      <c r="O508"/>
      <c r="P508" s="1" t="e">
        <f t="shared" si="29"/>
        <v>#DIV/0!</v>
      </c>
      <c r="Q508" s="1" t="e">
        <f t="shared" si="30"/>
        <v>#DIV/0!</v>
      </c>
      <c r="R508" s="1" t="e">
        <f t="shared" si="31"/>
        <v>#DIV/0!</v>
      </c>
      <c r="S508" s="1" t="e">
        <f t="shared" si="32"/>
        <v>#DIV/0!</v>
      </c>
    </row>
    <row r="509" spans="1:19" x14ac:dyDescent="0.3">
      <c r="A509">
        <v>2590</v>
      </c>
      <c r="B509">
        <v>165.16065699999999</v>
      </c>
      <c r="C509">
        <v>174.45854</v>
      </c>
      <c r="D509">
        <v>183.296155</v>
      </c>
      <c r="E509">
        <v>106.047792</v>
      </c>
      <c r="F509">
        <v>53.942278000000002</v>
      </c>
      <c r="G509">
        <v>19.783458</v>
      </c>
      <c r="H509">
        <v>25.586853000000001</v>
      </c>
      <c r="I509" t="s">
        <v>61</v>
      </c>
      <c r="N509"/>
      <c r="O509"/>
      <c r="P509" s="1" t="e">
        <f t="shared" si="29"/>
        <v>#DIV/0!</v>
      </c>
      <c r="Q509" s="1" t="e">
        <f t="shared" si="30"/>
        <v>#DIV/0!</v>
      </c>
      <c r="R509" s="1" t="e">
        <f t="shared" si="31"/>
        <v>#DIV/0!</v>
      </c>
      <c r="S509" s="1" t="e">
        <f t="shared" si="32"/>
        <v>#DIV/0!</v>
      </c>
    </row>
    <row r="510" spans="1:19" x14ac:dyDescent="0.3">
      <c r="A510">
        <v>2590.1999999999998</v>
      </c>
      <c r="B510">
        <v>165.16065699999999</v>
      </c>
      <c r="C510">
        <v>174.45854</v>
      </c>
      <c r="D510">
        <v>183.296155</v>
      </c>
      <c r="E510">
        <v>106.047792</v>
      </c>
      <c r="F510">
        <v>53.942278000000002</v>
      </c>
      <c r="G510">
        <v>19.783458</v>
      </c>
      <c r="H510">
        <v>25.586853000000001</v>
      </c>
      <c r="I510"/>
      <c r="N510"/>
      <c r="O510"/>
      <c r="P510" s="1" t="e">
        <f t="shared" si="29"/>
        <v>#DIV/0!</v>
      </c>
      <c r="Q510" s="1" t="e">
        <f t="shared" si="30"/>
        <v>#DIV/0!</v>
      </c>
      <c r="R510" s="1" t="e">
        <f t="shared" si="31"/>
        <v>#DIV/0!</v>
      </c>
      <c r="S510" s="1" t="e">
        <f t="shared" si="32"/>
        <v>#DIV/0!</v>
      </c>
    </row>
    <row r="511" spans="1:19" x14ac:dyDescent="0.3">
      <c r="A511">
        <v>2590.4</v>
      </c>
      <c r="B511">
        <v>165.178448</v>
      </c>
      <c r="C511">
        <v>174.46539799999999</v>
      </c>
      <c r="D511">
        <v>183.2978</v>
      </c>
      <c r="E511">
        <v>106.33793799999999</v>
      </c>
      <c r="F511">
        <v>54.322901000000002</v>
      </c>
      <c r="G511">
        <v>19.779389999999999</v>
      </c>
      <c r="H511">
        <v>25.599329999999998</v>
      </c>
      <c r="I511"/>
      <c r="N511"/>
      <c r="O511"/>
      <c r="P511" s="1" t="e">
        <f t="shared" si="29"/>
        <v>#DIV/0!</v>
      </c>
      <c r="Q511" s="1" t="e">
        <f t="shared" si="30"/>
        <v>#DIV/0!</v>
      </c>
      <c r="R511" s="1" t="e">
        <f t="shared" si="31"/>
        <v>#DIV/0!</v>
      </c>
      <c r="S511" s="1" t="e">
        <f t="shared" si="32"/>
        <v>#DIV/0!</v>
      </c>
    </row>
    <row r="512" spans="1:19" x14ac:dyDescent="0.3">
      <c r="A512">
        <v>2590.6</v>
      </c>
      <c r="B512">
        <v>165.178448</v>
      </c>
      <c r="C512">
        <v>174.46539799999999</v>
      </c>
      <c r="D512">
        <v>183.2978</v>
      </c>
      <c r="E512">
        <v>106.33793799999999</v>
      </c>
      <c r="F512">
        <v>54.322901000000002</v>
      </c>
      <c r="G512">
        <v>19.779389999999999</v>
      </c>
      <c r="H512">
        <v>25.599329999999998</v>
      </c>
      <c r="I512"/>
      <c r="N512"/>
      <c r="O512"/>
      <c r="P512" s="1" t="e">
        <f t="shared" si="29"/>
        <v>#DIV/0!</v>
      </c>
      <c r="Q512" s="1" t="e">
        <f t="shared" si="30"/>
        <v>#DIV/0!</v>
      </c>
      <c r="R512" s="1" t="e">
        <f t="shared" si="31"/>
        <v>#DIV/0!</v>
      </c>
      <c r="S512" s="1" t="e">
        <f t="shared" si="32"/>
        <v>#DIV/0!</v>
      </c>
    </row>
    <row r="513" spans="1:19" x14ac:dyDescent="0.3">
      <c r="A513">
        <v>2590.8000000000002</v>
      </c>
      <c r="B513">
        <v>165.19287299999999</v>
      </c>
      <c r="C513">
        <v>174.487841</v>
      </c>
      <c r="D513">
        <v>183.32255599999999</v>
      </c>
      <c r="E513">
        <v>106.618807</v>
      </c>
      <c r="F513">
        <v>54.402686000000003</v>
      </c>
      <c r="G513">
        <v>19.770600999999999</v>
      </c>
      <c r="H513">
        <v>25.595307999999999</v>
      </c>
      <c r="I513"/>
      <c r="N513"/>
      <c r="O513"/>
      <c r="P513" s="1" t="e">
        <f t="shared" si="29"/>
        <v>#DIV/0!</v>
      </c>
      <c r="Q513" s="1" t="e">
        <f t="shared" si="30"/>
        <v>#DIV/0!</v>
      </c>
      <c r="R513" s="1" t="e">
        <f t="shared" si="31"/>
        <v>#DIV/0!</v>
      </c>
      <c r="S513" s="1" t="e">
        <f t="shared" si="32"/>
        <v>#DIV/0!</v>
      </c>
    </row>
    <row r="514" spans="1:19" x14ac:dyDescent="0.3">
      <c r="A514">
        <v>2591</v>
      </c>
      <c r="B514">
        <v>165.19287299999999</v>
      </c>
      <c r="C514">
        <v>174.487841</v>
      </c>
      <c r="D514">
        <v>183.32255599999999</v>
      </c>
      <c r="E514">
        <v>106.618807</v>
      </c>
      <c r="F514">
        <v>54.402686000000003</v>
      </c>
      <c r="G514">
        <v>19.770600999999999</v>
      </c>
      <c r="H514">
        <v>25.595307999999999</v>
      </c>
      <c r="I514" t="s">
        <v>61</v>
      </c>
      <c r="N514"/>
      <c r="O514"/>
      <c r="P514" s="1" t="e">
        <f t="shared" si="29"/>
        <v>#DIV/0!</v>
      </c>
      <c r="Q514" s="1" t="e">
        <f t="shared" si="30"/>
        <v>#DIV/0!</v>
      </c>
      <c r="R514" s="1" t="e">
        <f t="shared" si="31"/>
        <v>#DIV/0!</v>
      </c>
      <c r="S514" s="1" t="e">
        <f t="shared" si="32"/>
        <v>#DIV/0!</v>
      </c>
    </row>
    <row r="515" spans="1:19" x14ac:dyDescent="0.3">
      <c r="A515">
        <v>2591.1999999999998</v>
      </c>
      <c r="B515">
        <v>165.27955600000001</v>
      </c>
      <c r="C515">
        <v>174.54070200000001</v>
      </c>
      <c r="D515">
        <v>183.33891700000001</v>
      </c>
      <c r="E515">
        <v>106.517489</v>
      </c>
      <c r="F515">
        <v>54.373078999999997</v>
      </c>
      <c r="G515">
        <v>19.796752000000001</v>
      </c>
      <c r="H515">
        <v>25.598662999999998</v>
      </c>
      <c r="I515"/>
      <c r="N515"/>
      <c r="O515"/>
      <c r="P515" s="1" t="e">
        <f t="shared" si="29"/>
        <v>#DIV/0!</v>
      </c>
      <c r="Q515" s="1" t="e">
        <f t="shared" si="30"/>
        <v>#DIV/0!</v>
      </c>
      <c r="R515" s="1" t="e">
        <f t="shared" si="31"/>
        <v>#DIV/0!</v>
      </c>
      <c r="S515" s="1" t="e">
        <f t="shared" si="32"/>
        <v>#DIV/0!</v>
      </c>
    </row>
    <row r="516" spans="1:19" x14ac:dyDescent="0.3">
      <c r="A516">
        <v>2591.4</v>
      </c>
      <c r="B516">
        <v>165.27955600000001</v>
      </c>
      <c r="C516">
        <v>174.54070200000001</v>
      </c>
      <c r="D516">
        <v>183.33891700000001</v>
      </c>
      <c r="E516">
        <v>106.517489</v>
      </c>
      <c r="F516">
        <v>54.373078999999997</v>
      </c>
      <c r="G516">
        <v>19.796752000000001</v>
      </c>
      <c r="H516">
        <v>25.598662999999998</v>
      </c>
      <c r="I516"/>
      <c r="N516"/>
      <c r="O516"/>
      <c r="P516" s="1" t="e">
        <f t="shared" si="29"/>
        <v>#DIV/0!</v>
      </c>
      <c r="Q516" s="1" t="e">
        <f t="shared" si="30"/>
        <v>#DIV/0!</v>
      </c>
      <c r="R516" s="1" t="e">
        <f t="shared" si="31"/>
        <v>#DIV/0!</v>
      </c>
      <c r="S516" s="1" t="e">
        <f t="shared" si="32"/>
        <v>#DIV/0!</v>
      </c>
    </row>
    <row r="517" spans="1:19" x14ac:dyDescent="0.3">
      <c r="A517">
        <v>2591.6</v>
      </c>
      <c r="B517">
        <v>165.327573</v>
      </c>
      <c r="C517">
        <v>174.56256200000001</v>
      </c>
      <c r="D517">
        <v>183.35080500000001</v>
      </c>
      <c r="E517">
        <v>106.439156</v>
      </c>
      <c r="F517">
        <v>54.135902000000002</v>
      </c>
      <c r="G517">
        <v>19.780244</v>
      </c>
      <c r="H517">
        <v>25.616232</v>
      </c>
      <c r="I517"/>
      <c r="N517"/>
      <c r="O517"/>
      <c r="P517" s="1" t="e">
        <f t="shared" si="29"/>
        <v>#DIV/0!</v>
      </c>
      <c r="Q517" s="1" t="e">
        <f t="shared" si="30"/>
        <v>#DIV/0!</v>
      </c>
      <c r="R517" s="1" t="e">
        <f t="shared" si="31"/>
        <v>#DIV/0!</v>
      </c>
      <c r="S517" s="1" t="e">
        <f t="shared" si="32"/>
        <v>#DIV/0!</v>
      </c>
    </row>
    <row r="518" spans="1:19" x14ac:dyDescent="0.3">
      <c r="A518">
        <v>2591.8000000000002</v>
      </c>
      <c r="B518">
        <v>165.327573</v>
      </c>
      <c r="C518">
        <v>174.56256200000001</v>
      </c>
      <c r="D518">
        <v>183.35080500000001</v>
      </c>
      <c r="E518">
        <v>106.439156</v>
      </c>
      <c r="F518">
        <v>54.135902000000002</v>
      </c>
      <c r="G518">
        <v>19.780244</v>
      </c>
      <c r="H518">
        <v>25.616232</v>
      </c>
      <c r="I518"/>
      <c r="N518"/>
      <c r="O518"/>
      <c r="P518" s="1" t="e">
        <f t="shared" si="29"/>
        <v>#DIV/0!</v>
      </c>
      <c r="Q518" s="1" t="e">
        <f t="shared" si="30"/>
        <v>#DIV/0!</v>
      </c>
      <c r="R518" s="1" t="e">
        <f t="shared" si="31"/>
        <v>#DIV/0!</v>
      </c>
      <c r="S518" s="1" t="e">
        <f t="shared" si="32"/>
        <v>#DIV/0!</v>
      </c>
    </row>
    <row r="519" spans="1:19" x14ac:dyDescent="0.3">
      <c r="A519">
        <v>2592</v>
      </c>
      <c r="B519">
        <v>165.33757399999999</v>
      </c>
      <c r="C519">
        <v>174.552178</v>
      </c>
      <c r="D519">
        <v>183.379189</v>
      </c>
      <c r="E519">
        <v>106.29212699999999</v>
      </c>
      <c r="F519">
        <v>54.312972000000002</v>
      </c>
      <c r="G519">
        <v>19.80687</v>
      </c>
      <c r="H519">
        <v>25.610144999999999</v>
      </c>
      <c r="I519" t="s">
        <v>61</v>
      </c>
      <c r="N519"/>
      <c r="O519"/>
      <c r="P519" s="1" t="e">
        <f t="shared" si="29"/>
        <v>#DIV/0!</v>
      </c>
      <c r="Q519" s="1" t="e">
        <f t="shared" si="30"/>
        <v>#DIV/0!</v>
      </c>
      <c r="R519" s="1" t="e">
        <f t="shared" si="31"/>
        <v>#DIV/0!</v>
      </c>
      <c r="S519" s="1" t="e">
        <f t="shared" si="32"/>
        <v>#DIV/0!</v>
      </c>
    </row>
    <row r="520" spans="1:19" x14ac:dyDescent="0.3">
      <c r="A520">
        <v>2592.1999999999998</v>
      </c>
      <c r="B520">
        <v>165.33757399999999</v>
      </c>
      <c r="C520">
        <v>174.552178</v>
      </c>
      <c r="D520">
        <v>183.379189</v>
      </c>
      <c r="E520">
        <v>106.29212699999999</v>
      </c>
      <c r="F520">
        <v>54.312972000000002</v>
      </c>
      <c r="G520">
        <v>19.80687</v>
      </c>
      <c r="H520">
        <v>25.610144999999999</v>
      </c>
      <c r="I520"/>
      <c r="N520"/>
      <c r="O520"/>
      <c r="P520" s="1" t="e">
        <f t="shared" si="29"/>
        <v>#DIV/0!</v>
      </c>
      <c r="Q520" s="1" t="e">
        <f t="shared" si="30"/>
        <v>#DIV/0!</v>
      </c>
      <c r="R520" s="1" t="e">
        <f t="shared" si="31"/>
        <v>#DIV/0!</v>
      </c>
      <c r="S520" s="1" t="e">
        <f t="shared" si="32"/>
        <v>#DIV/0!</v>
      </c>
    </row>
    <row r="521" spans="1:19" x14ac:dyDescent="0.3">
      <c r="A521">
        <v>2592.4</v>
      </c>
      <c r="B521">
        <v>165.35189099999999</v>
      </c>
      <c r="C521">
        <v>174.58398299999999</v>
      </c>
      <c r="D521">
        <v>183.43502100000001</v>
      </c>
      <c r="E521">
        <v>106.200816</v>
      </c>
      <c r="F521">
        <v>54.497788</v>
      </c>
      <c r="G521">
        <v>19.788647999999998</v>
      </c>
      <c r="H521">
        <v>25.579269</v>
      </c>
      <c r="I521"/>
      <c r="N521"/>
      <c r="O521"/>
      <c r="P521" s="1" t="e">
        <f t="shared" si="29"/>
        <v>#DIV/0!</v>
      </c>
      <c r="Q521" s="1" t="e">
        <f t="shared" si="30"/>
        <v>#DIV/0!</v>
      </c>
      <c r="R521" s="1" t="e">
        <f t="shared" si="31"/>
        <v>#DIV/0!</v>
      </c>
      <c r="S521" s="1" t="e">
        <f t="shared" si="32"/>
        <v>#DIV/0!</v>
      </c>
    </row>
    <row r="522" spans="1:19" x14ac:dyDescent="0.3">
      <c r="A522">
        <v>2592.6</v>
      </c>
      <c r="B522">
        <v>165.35189099999999</v>
      </c>
      <c r="C522">
        <v>174.58398299999999</v>
      </c>
      <c r="D522">
        <v>183.43502100000001</v>
      </c>
      <c r="E522">
        <v>106.200816</v>
      </c>
      <c r="F522">
        <v>54.497788</v>
      </c>
      <c r="G522">
        <v>19.788647999999998</v>
      </c>
      <c r="H522">
        <v>25.579269</v>
      </c>
      <c r="I522"/>
      <c r="N522"/>
      <c r="O522"/>
      <c r="P522" s="1" t="e">
        <f t="shared" si="29"/>
        <v>#DIV/0!</v>
      </c>
      <c r="Q522" s="1" t="e">
        <f t="shared" si="30"/>
        <v>#DIV/0!</v>
      </c>
      <c r="R522" s="1" t="e">
        <f t="shared" si="31"/>
        <v>#DIV/0!</v>
      </c>
      <c r="S522" s="1" t="e">
        <f t="shared" si="32"/>
        <v>#DIV/0!</v>
      </c>
    </row>
    <row r="523" spans="1:19" x14ac:dyDescent="0.3">
      <c r="A523">
        <v>2592.8000000000002</v>
      </c>
      <c r="B523">
        <v>165.37305499999999</v>
      </c>
      <c r="C523">
        <v>174.60983400000001</v>
      </c>
      <c r="D523">
        <v>183.43293700000001</v>
      </c>
      <c r="E523">
        <v>106.12176700000001</v>
      </c>
      <c r="F523">
        <v>54.44115</v>
      </c>
      <c r="G523">
        <v>19.793241999999999</v>
      </c>
      <c r="H523">
        <v>25.594225999999999</v>
      </c>
      <c r="I523"/>
      <c r="N523"/>
      <c r="O523"/>
      <c r="P523" s="1" t="e">
        <f t="shared" si="29"/>
        <v>#DIV/0!</v>
      </c>
      <c r="Q523" s="1" t="e">
        <f t="shared" si="30"/>
        <v>#DIV/0!</v>
      </c>
      <c r="R523" s="1" t="e">
        <f t="shared" si="31"/>
        <v>#DIV/0!</v>
      </c>
      <c r="S523" s="1" t="e">
        <f t="shared" si="32"/>
        <v>#DIV/0!</v>
      </c>
    </row>
    <row r="524" spans="1:19" x14ac:dyDescent="0.3">
      <c r="A524"/>
      <c r="B524"/>
      <c r="C524"/>
      <c r="D524"/>
      <c r="E524"/>
      <c r="F524"/>
      <c r="G524"/>
      <c r="H524"/>
      <c r="I524"/>
      <c r="N524"/>
      <c r="O524"/>
      <c r="P524" s="1" t="e">
        <f>(#REF!+Q$35)/P$35</f>
        <v>#REF!</v>
      </c>
      <c r="Q524" s="1" t="e">
        <f>(#REF!+Q$35)/P$35</f>
        <v>#REF!</v>
      </c>
      <c r="R524" s="1" t="e">
        <f>(#REF!+Q$37)/P$37</f>
        <v>#REF!</v>
      </c>
      <c r="S524" s="1" t="e">
        <f>(#REF!+Q$38)/P$38</f>
        <v>#REF!</v>
      </c>
    </row>
    <row r="525" spans="1:19" x14ac:dyDescent="0.3">
      <c r="A525"/>
      <c r="B525"/>
      <c r="C525"/>
      <c r="D525"/>
      <c r="E525"/>
      <c r="F525"/>
      <c r="G525"/>
      <c r="H525"/>
      <c r="I525"/>
      <c r="N525"/>
      <c r="O525"/>
      <c r="P525" s="1" t="e">
        <f>(#REF!+Q$35)/P$35</f>
        <v>#REF!</v>
      </c>
      <c r="Q525" s="1" t="e">
        <f>(#REF!+Q$35)/P$35</f>
        <v>#REF!</v>
      </c>
      <c r="R525" s="1" t="e">
        <f>(#REF!+Q$37)/P$37</f>
        <v>#REF!</v>
      </c>
      <c r="S525" s="1" t="e">
        <f>(#REF!+Q$38)/P$38</f>
        <v>#REF!</v>
      </c>
    </row>
    <row r="526" spans="1:19" x14ac:dyDescent="0.3">
      <c r="A526"/>
      <c r="B526"/>
      <c r="C526"/>
      <c r="D526"/>
      <c r="E526"/>
      <c r="F526"/>
      <c r="G526"/>
      <c r="H526"/>
      <c r="I526"/>
      <c r="N526"/>
      <c r="O526"/>
      <c r="P526" s="1" t="e">
        <f>(#REF!+Q$35)/P$35</f>
        <v>#REF!</v>
      </c>
      <c r="Q526" s="1" t="e">
        <f>(#REF!+Q$35)/P$35</f>
        <v>#REF!</v>
      </c>
      <c r="R526" s="1" t="e">
        <f>(#REF!+Q$37)/P$37</f>
        <v>#REF!</v>
      </c>
      <c r="S526" s="1" t="e">
        <f>(#REF!+Q$38)/P$38</f>
        <v>#REF!</v>
      </c>
    </row>
    <row r="527" spans="1:19" x14ac:dyDescent="0.3">
      <c r="A527"/>
      <c r="B527"/>
      <c r="C527"/>
      <c r="D527"/>
      <c r="E527"/>
      <c r="F527"/>
      <c r="G527"/>
      <c r="H527"/>
      <c r="I527"/>
      <c r="N527"/>
      <c r="O527"/>
      <c r="P527" s="1" t="e">
        <f>(#REF!+Q$35)/P$35</f>
        <v>#REF!</v>
      </c>
      <c r="Q527" s="1" t="e">
        <f>(#REF!+Q$35)/P$35</f>
        <v>#REF!</v>
      </c>
      <c r="R527" s="1" t="e">
        <f>(#REF!+Q$37)/P$37</f>
        <v>#REF!</v>
      </c>
      <c r="S527" s="1" t="e">
        <f>(#REF!+Q$38)/P$38</f>
        <v>#REF!</v>
      </c>
    </row>
    <row r="528" spans="1:19" x14ac:dyDescent="0.3">
      <c r="A528"/>
      <c r="B528"/>
      <c r="C528"/>
      <c r="D528"/>
      <c r="E528"/>
      <c r="F528"/>
      <c r="G528"/>
      <c r="H528"/>
      <c r="I528"/>
      <c r="N528"/>
      <c r="O528"/>
      <c r="P528" s="1" t="e">
        <f>(#REF!+Q$35)/P$35</f>
        <v>#REF!</v>
      </c>
      <c r="Q528" s="1" t="e">
        <f>(#REF!+Q$35)/P$35</f>
        <v>#REF!</v>
      </c>
      <c r="R528" s="1" t="e">
        <f>(#REF!+Q$37)/P$37</f>
        <v>#REF!</v>
      </c>
      <c r="S528" s="1" t="e">
        <f>(#REF!+Q$38)/P$38</f>
        <v>#REF!</v>
      </c>
    </row>
    <row r="529" spans="1:19" x14ac:dyDescent="0.3">
      <c r="A529"/>
      <c r="B529"/>
      <c r="C529"/>
      <c r="D529"/>
      <c r="E529"/>
      <c r="F529"/>
      <c r="G529"/>
      <c r="H529"/>
      <c r="I529"/>
      <c r="N529"/>
      <c r="O529"/>
      <c r="P529" s="1" t="e">
        <f>(#REF!+Q$35)/P$35</f>
        <v>#REF!</v>
      </c>
      <c r="Q529" s="1" t="e">
        <f>(#REF!+Q$35)/P$35</f>
        <v>#REF!</v>
      </c>
      <c r="R529" s="1" t="e">
        <f>(#REF!+Q$37)/P$37</f>
        <v>#REF!</v>
      </c>
      <c r="S529" s="1" t="e">
        <f>(#REF!+Q$38)/P$38</f>
        <v>#REF!</v>
      </c>
    </row>
    <row r="530" spans="1:19" x14ac:dyDescent="0.3">
      <c r="A530"/>
      <c r="B530"/>
      <c r="C530"/>
      <c r="D530"/>
      <c r="E530"/>
      <c r="F530"/>
      <c r="G530"/>
      <c r="H530"/>
      <c r="I530"/>
      <c r="N530"/>
      <c r="O530"/>
      <c r="P530" s="1" t="e">
        <f>(#REF!+Q$35)/P$35</f>
        <v>#REF!</v>
      </c>
      <c r="Q530" s="1" t="e">
        <f>(#REF!+Q$35)/P$35</f>
        <v>#REF!</v>
      </c>
      <c r="R530" s="1" t="e">
        <f>(#REF!+Q$37)/P$37</f>
        <v>#REF!</v>
      </c>
      <c r="S530" s="1" t="e">
        <f>(#REF!+Q$38)/P$38</f>
        <v>#REF!</v>
      </c>
    </row>
    <row r="531" spans="1:19" x14ac:dyDescent="0.3">
      <c r="A531"/>
      <c r="B531"/>
      <c r="C531"/>
      <c r="D531"/>
      <c r="E531"/>
      <c r="F531"/>
      <c r="G531"/>
      <c r="H531"/>
      <c r="I531"/>
      <c r="N531"/>
      <c r="O531"/>
      <c r="P531" s="1" t="e">
        <f>(#REF!+Q$35)/P$35</f>
        <v>#REF!</v>
      </c>
      <c r="Q531" s="1" t="e">
        <f>(#REF!+Q$35)/P$35</f>
        <v>#REF!</v>
      </c>
      <c r="R531" s="1" t="e">
        <f>(#REF!+Q$37)/P$37</f>
        <v>#REF!</v>
      </c>
      <c r="S531" s="1" t="e">
        <f>(#REF!+Q$38)/P$38</f>
        <v>#REF!</v>
      </c>
    </row>
    <row r="532" spans="1:19" x14ac:dyDescent="0.3">
      <c r="A532"/>
      <c r="B532"/>
      <c r="C532"/>
      <c r="D532"/>
      <c r="E532"/>
      <c r="F532"/>
      <c r="G532"/>
      <c r="H532"/>
      <c r="I532"/>
      <c r="N532"/>
      <c r="O532"/>
      <c r="P532" s="1" t="e">
        <f>(#REF!+Q$35)/P$35</f>
        <v>#REF!</v>
      </c>
      <c r="Q532" s="1" t="e">
        <f>(#REF!+Q$35)/P$35</f>
        <v>#REF!</v>
      </c>
      <c r="R532" s="1" t="e">
        <f>(#REF!+Q$37)/P$37</f>
        <v>#REF!</v>
      </c>
      <c r="S532" s="1" t="e">
        <f>(#REF!+Q$38)/P$38</f>
        <v>#REF!</v>
      </c>
    </row>
    <row r="533" spans="1:19" x14ac:dyDescent="0.3">
      <c r="A533"/>
      <c r="B533"/>
      <c r="C533"/>
      <c r="D533"/>
      <c r="E533"/>
      <c r="F533"/>
      <c r="G533"/>
      <c r="H533"/>
      <c r="I533"/>
      <c r="N533"/>
      <c r="O533"/>
      <c r="P533" s="1" t="e">
        <f>(#REF!+Q$35)/P$35</f>
        <v>#REF!</v>
      </c>
      <c r="Q533" s="1" t="e">
        <f>(#REF!+Q$35)/P$35</f>
        <v>#REF!</v>
      </c>
      <c r="R533" s="1" t="e">
        <f>(#REF!+Q$37)/P$37</f>
        <v>#REF!</v>
      </c>
      <c r="S533" s="1" t="e">
        <f>(#REF!+Q$38)/P$38</f>
        <v>#REF!</v>
      </c>
    </row>
    <row r="534" spans="1:19" x14ac:dyDescent="0.3">
      <c r="A534"/>
      <c r="B534"/>
      <c r="C534"/>
      <c r="D534"/>
      <c r="E534"/>
      <c r="F534"/>
      <c r="G534"/>
      <c r="H534"/>
      <c r="I534"/>
      <c r="N534"/>
      <c r="O534"/>
      <c r="P534" s="1" t="e">
        <f>(#REF!+Q$35)/P$35</f>
        <v>#REF!</v>
      </c>
      <c r="Q534" s="1" t="e">
        <f>(#REF!+Q$35)/P$35</f>
        <v>#REF!</v>
      </c>
      <c r="R534" s="1" t="e">
        <f>(#REF!+Q$37)/P$37</f>
        <v>#REF!</v>
      </c>
      <c r="S534" s="1" t="e">
        <f>(#REF!+Q$38)/P$38</f>
        <v>#REF!</v>
      </c>
    </row>
    <row r="535" spans="1:19" x14ac:dyDescent="0.3">
      <c r="A535"/>
      <c r="B535"/>
      <c r="C535"/>
      <c r="D535"/>
      <c r="E535"/>
      <c r="F535"/>
      <c r="G535"/>
      <c r="H535"/>
      <c r="I535"/>
      <c r="N535"/>
      <c r="O535"/>
      <c r="P535" s="1" t="e">
        <f>(#REF!+Q$35)/P$35</f>
        <v>#REF!</v>
      </c>
      <c r="Q535" s="1" t="e">
        <f>(#REF!+Q$35)/P$35</f>
        <v>#REF!</v>
      </c>
      <c r="R535" s="1" t="e">
        <f>(#REF!+Q$37)/P$37</f>
        <v>#REF!</v>
      </c>
      <c r="S535" s="1" t="e">
        <f>(#REF!+Q$38)/P$38</f>
        <v>#REF!</v>
      </c>
    </row>
    <row r="536" spans="1:19" x14ac:dyDescent="0.3">
      <c r="A536"/>
      <c r="B536"/>
      <c r="C536"/>
      <c r="D536"/>
      <c r="E536"/>
      <c r="F536"/>
      <c r="G536"/>
      <c r="H536"/>
      <c r="I536"/>
      <c r="N536"/>
      <c r="O536"/>
      <c r="P536" s="1" t="e">
        <f>(#REF!+Q$35)/P$35</f>
        <v>#REF!</v>
      </c>
      <c r="Q536" s="1" t="e">
        <f>(#REF!+Q$35)/P$35</f>
        <v>#REF!</v>
      </c>
      <c r="R536" s="1" t="e">
        <f>(#REF!+Q$37)/P$37</f>
        <v>#REF!</v>
      </c>
      <c r="S536" s="1" t="e">
        <f>(#REF!+Q$38)/P$38</f>
        <v>#REF!</v>
      </c>
    </row>
    <row r="537" spans="1:19" x14ac:dyDescent="0.3">
      <c r="A537"/>
      <c r="B537"/>
      <c r="C537"/>
      <c r="D537"/>
      <c r="E537"/>
      <c r="F537"/>
      <c r="G537"/>
      <c r="H537"/>
      <c r="I537"/>
      <c r="N537"/>
      <c r="O537"/>
      <c r="P537" s="1" t="e">
        <f>(#REF!+Q$35)/P$35</f>
        <v>#REF!</v>
      </c>
      <c r="Q537" s="1" t="e">
        <f>(#REF!+Q$35)/P$35</f>
        <v>#REF!</v>
      </c>
      <c r="R537" s="1" t="e">
        <f>(#REF!+Q$37)/P$37</f>
        <v>#REF!</v>
      </c>
      <c r="S537" s="1" t="e">
        <f>(#REF!+Q$38)/P$38</f>
        <v>#REF!</v>
      </c>
    </row>
    <row r="538" spans="1:19" x14ac:dyDescent="0.3">
      <c r="A538"/>
      <c r="B538"/>
      <c r="C538"/>
      <c r="D538"/>
      <c r="E538"/>
      <c r="F538"/>
      <c r="G538"/>
      <c r="H538"/>
      <c r="I538"/>
      <c r="N538"/>
      <c r="O538"/>
      <c r="P538" s="1" t="e">
        <f>(#REF!+Q$35)/P$35</f>
        <v>#REF!</v>
      </c>
      <c r="Q538" s="1" t="e">
        <f>(#REF!+Q$35)/P$35</f>
        <v>#REF!</v>
      </c>
      <c r="R538" s="1" t="e">
        <f>(#REF!+Q$37)/P$37</f>
        <v>#REF!</v>
      </c>
      <c r="S538" s="1" t="e">
        <f>(#REF!+Q$38)/P$38</f>
        <v>#REF!</v>
      </c>
    </row>
    <row r="539" spans="1:19" x14ac:dyDescent="0.3">
      <c r="A539"/>
      <c r="B539"/>
      <c r="C539"/>
      <c r="D539"/>
      <c r="E539"/>
      <c r="F539"/>
      <c r="G539"/>
      <c r="H539"/>
      <c r="I539"/>
      <c r="N539"/>
      <c r="O539"/>
      <c r="P539" s="1" t="e">
        <f>(#REF!+Q$35)/P$35</f>
        <v>#REF!</v>
      </c>
      <c r="Q539" s="1" t="e">
        <f>(#REF!+Q$35)/P$35</f>
        <v>#REF!</v>
      </c>
      <c r="R539" s="1" t="e">
        <f>(#REF!+Q$37)/P$37</f>
        <v>#REF!</v>
      </c>
      <c r="S539" s="1" t="e">
        <f>(#REF!+Q$38)/P$38</f>
        <v>#REF!</v>
      </c>
    </row>
    <row r="540" spans="1:19" x14ac:dyDescent="0.3">
      <c r="A540"/>
      <c r="B540"/>
      <c r="C540"/>
      <c r="D540"/>
      <c r="E540"/>
      <c r="F540"/>
      <c r="G540"/>
      <c r="H540"/>
      <c r="I540"/>
      <c r="N540"/>
      <c r="O540"/>
      <c r="P540" s="1" t="e">
        <f>(#REF!+Q$35)/P$35</f>
        <v>#REF!</v>
      </c>
      <c r="Q540" s="1" t="e">
        <f>(#REF!+Q$35)/P$35</f>
        <v>#REF!</v>
      </c>
      <c r="R540" s="1" t="e">
        <f>(#REF!+Q$37)/P$37</f>
        <v>#REF!</v>
      </c>
      <c r="S540" s="1" t="e">
        <f>(#REF!+Q$38)/P$38</f>
        <v>#REF!</v>
      </c>
    </row>
    <row r="541" spans="1:19" x14ac:dyDescent="0.3">
      <c r="A541"/>
      <c r="B541"/>
      <c r="C541"/>
      <c r="D541"/>
      <c r="E541"/>
      <c r="F541"/>
      <c r="G541"/>
      <c r="H541"/>
      <c r="I541"/>
      <c r="N541"/>
      <c r="O541"/>
      <c r="P541" s="1" t="e">
        <f>(#REF!+Q$35)/P$35</f>
        <v>#REF!</v>
      </c>
      <c r="Q541" s="1" t="e">
        <f>(#REF!+Q$35)/P$35</f>
        <v>#REF!</v>
      </c>
      <c r="R541" s="1" t="e">
        <f>(#REF!+Q$37)/P$37</f>
        <v>#REF!</v>
      </c>
      <c r="S541" s="1" t="e">
        <f>(#REF!+Q$38)/P$38</f>
        <v>#REF!</v>
      </c>
    </row>
    <row r="542" spans="1:19" x14ac:dyDescent="0.3">
      <c r="A542"/>
      <c r="B542"/>
      <c r="C542"/>
      <c r="D542"/>
      <c r="E542"/>
      <c r="F542"/>
      <c r="G542"/>
      <c r="H542"/>
      <c r="I542"/>
      <c r="N542"/>
      <c r="O542"/>
      <c r="P542" s="1" t="e">
        <f t="shared" ref="P542:P605" si="33">(B524+Q$35)/P$35</f>
        <v>#DIV/0!</v>
      </c>
      <c r="Q542" s="1" t="e">
        <f t="shared" ref="Q542:Q605" si="34">(C524+Q$35)/P$35</f>
        <v>#DIV/0!</v>
      </c>
      <c r="R542" s="1" t="e">
        <f t="shared" ref="R542:R605" si="35">(D524+Q$37)/P$37</f>
        <v>#DIV/0!</v>
      </c>
      <c r="S542" s="1" t="e">
        <f t="shared" ref="S542:S605" si="36">(E524+Q$38)/P$38</f>
        <v>#DIV/0!</v>
      </c>
    </row>
    <row r="543" spans="1:19" x14ac:dyDescent="0.3">
      <c r="A543"/>
      <c r="B543"/>
      <c r="C543"/>
      <c r="D543"/>
      <c r="E543"/>
      <c r="F543"/>
      <c r="G543"/>
      <c r="H543"/>
      <c r="I543"/>
      <c r="N543"/>
      <c r="O543"/>
      <c r="P543" s="1" t="e">
        <f t="shared" si="33"/>
        <v>#DIV/0!</v>
      </c>
      <c r="Q543" s="1" t="e">
        <f t="shared" si="34"/>
        <v>#DIV/0!</v>
      </c>
      <c r="R543" s="1" t="e">
        <f t="shared" si="35"/>
        <v>#DIV/0!</v>
      </c>
      <c r="S543" s="1" t="e">
        <f t="shared" si="36"/>
        <v>#DIV/0!</v>
      </c>
    </row>
    <row r="544" spans="1:19" x14ac:dyDescent="0.3">
      <c r="A544"/>
      <c r="B544"/>
      <c r="C544"/>
      <c r="D544"/>
      <c r="E544"/>
      <c r="F544"/>
      <c r="G544"/>
      <c r="H544"/>
      <c r="I544"/>
      <c r="N544"/>
      <c r="O544"/>
      <c r="P544" s="1" t="e">
        <f t="shared" si="33"/>
        <v>#DIV/0!</v>
      </c>
      <c r="Q544" s="1" t="e">
        <f t="shared" si="34"/>
        <v>#DIV/0!</v>
      </c>
      <c r="R544" s="1" t="e">
        <f t="shared" si="35"/>
        <v>#DIV/0!</v>
      </c>
      <c r="S544" s="1" t="e">
        <f t="shared" si="36"/>
        <v>#DIV/0!</v>
      </c>
    </row>
    <row r="545" spans="1:19" x14ac:dyDescent="0.3">
      <c r="A545"/>
      <c r="B545"/>
      <c r="C545"/>
      <c r="D545"/>
      <c r="E545"/>
      <c r="F545"/>
      <c r="G545"/>
      <c r="H545"/>
      <c r="I545"/>
      <c r="N545"/>
      <c r="O545"/>
      <c r="P545" s="1" t="e">
        <f t="shared" si="33"/>
        <v>#DIV/0!</v>
      </c>
      <c r="Q545" s="1" t="e">
        <f t="shared" si="34"/>
        <v>#DIV/0!</v>
      </c>
      <c r="R545" s="1" t="e">
        <f t="shared" si="35"/>
        <v>#DIV/0!</v>
      </c>
      <c r="S545" s="1" t="e">
        <f t="shared" si="36"/>
        <v>#DIV/0!</v>
      </c>
    </row>
    <row r="546" spans="1:19" x14ac:dyDescent="0.3">
      <c r="A546"/>
      <c r="B546"/>
      <c r="C546"/>
      <c r="D546"/>
      <c r="E546"/>
      <c r="F546"/>
      <c r="G546"/>
      <c r="H546"/>
      <c r="I546"/>
      <c r="N546"/>
      <c r="O546"/>
      <c r="P546" s="1" t="e">
        <f t="shared" si="33"/>
        <v>#DIV/0!</v>
      </c>
      <c r="Q546" s="1" t="e">
        <f t="shared" si="34"/>
        <v>#DIV/0!</v>
      </c>
      <c r="R546" s="1" t="e">
        <f t="shared" si="35"/>
        <v>#DIV/0!</v>
      </c>
      <c r="S546" s="1" t="e">
        <f t="shared" si="36"/>
        <v>#DIV/0!</v>
      </c>
    </row>
    <row r="547" spans="1:19" x14ac:dyDescent="0.3">
      <c r="A547"/>
      <c r="B547"/>
      <c r="C547"/>
      <c r="D547"/>
      <c r="E547"/>
      <c r="F547"/>
      <c r="G547"/>
      <c r="H547"/>
      <c r="I547"/>
      <c r="N547"/>
      <c r="O547"/>
      <c r="P547" s="1" t="e">
        <f t="shared" si="33"/>
        <v>#DIV/0!</v>
      </c>
      <c r="Q547" s="1" t="e">
        <f t="shared" si="34"/>
        <v>#DIV/0!</v>
      </c>
      <c r="R547" s="1" t="e">
        <f t="shared" si="35"/>
        <v>#DIV/0!</v>
      </c>
      <c r="S547" s="1" t="e">
        <f t="shared" si="36"/>
        <v>#DIV/0!</v>
      </c>
    </row>
    <row r="548" spans="1:19" x14ac:dyDescent="0.3">
      <c r="A548"/>
      <c r="B548"/>
      <c r="C548"/>
      <c r="D548"/>
      <c r="E548"/>
      <c r="F548"/>
      <c r="G548"/>
      <c r="H548"/>
      <c r="I548"/>
      <c r="N548"/>
      <c r="O548"/>
      <c r="P548" s="1" t="e">
        <f t="shared" si="33"/>
        <v>#DIV/0!</v>
      </c>
      <c r="Q548" s="1" t="e">
        <f t="shared" si="34"/>
        <v>#DIV/0!</v>
      </c>
      <c r="R548" s="1" t="e">
        <f t="shared" si="35"/>
        <v>#DIV/0!</v>
      </c>
      <c r="S548" s="1" t="e">
        <f t="shared" si="36"/>
        <v>#DIV/0!</v>
      </c>
    </row>
    <row r="549" spans="1:19" x14ac:dyDescent="0.3">
      <c r="A549"/>
      <c r="B549"/>
      <c r="C549"/>
      <c r="D549"/>
      <c r="E549"/>
      <c r="F549"/>
      <c r="G549"/>
      <c r="H549"/>
      <c r="I549"/>
      <c r="N549"/>
      <c r="O549"/>
      <c r="P549" s="1" t="e">
        <f t="shared" si="33"/>
        <v>#DIV/0!</v>
      </c>
      <c r="Q549" s="1" t="e">
        <f t="shared" si="34"/>
        <v>#DIV/0!</v>
      </c>
      <c r="R549" s="1" t="e">
        <f t="shared" si="35"/>
        <v>#DIV/0!</v>
      </c>
      <c r="S549" s="1" t="e">
        <f t="shared" si="36"/>
        <v>#DIV/0!</v>
      </c>
    </row>
    <row r="550" spans="1:19" x14ac:dyDescent="0.3">
      <c r="A550"/>
      <c r="B550"/>
      <c r="C550"/>
      <c r="D550"/>
      <c r="E550"/>
      <c r="F550"/>
      <c r="G550"/>
      <c r="H550"/>
      <c r="I550"/>
      <c r="N550"/>
      <c r="O550"/>
      <c r="P550" s="1" t="e">
        <f t="shared" si="33"/>
        <v>#DIV/0!</v>
      </c>
      <c r="Q550" s="1" t="e">
        <f t="shared" si="34"/>
        <v>#DIV/0!</v>
      </c>
      <c r="R550" s="1" t="e">
        <f t="shared" si="35"/>
        <v>#DIV/0!</v>
      </c>
      <c r="S550" s="1" t="e">
        <f t="shared" si="36"/>
        <v>#DIV/0!</v>
      </c>
    </row>
    <row r="551" spans="1:19" x14ac:dyDescent="0.3">
      <c r="A551"/>
      <c r="B551"/>
      <c r="C551"/>
      <c r="D551"/>
      <c r="E551"/>
      <c r="F551"/>
      <c r="G551"/>
      <c r="H551"/>
      <c r="I551"/>
      <c r="N551"/>
      <c r="O551"/>
      <c r="P551" s="1" t="e">
        <f t="shared" si="33"/>
        <v>#DIV/0!</v>
      </c>
      <c r="Q551" s="1" t="e">
        <f t="shared" si="34"/>
        <v>#DIV/0!</v>
      </c>
      <c r="R551" s="1" t="e">
        <f t="shared" si="35"/>
        <v>#DIV/0!</v>
      </c>
      <c r="S551" s="1" t="e">
        <f t="shared" si="36"/>
        <v>#DIV/0!</v>
      </c>
    </row>
    <row r="552" spans="1:19" x14ac:dyDescent="0.3">
      <c r="A552"/>
      <c r="B552"/>
      <c r="C552"/>
      <c r="D552"/>
      <c r="E552"/>
      <c r="F552"/>
      <c r="G552"/>
      <c r="H552"/>
      <c r="I552"/>
      <c r="N552"/>
      <c r="O552"/>
      <c r="P552" s="1" t="e">
        <f t="shared" si="33"/>
        <v>#DIV/0!</v>
      </c>
      <c r="Q552" s="1" t="e">
        <f t="shared" si="34"/>
        <v>#DIV/0!</v>
      </c>
      <c r="R552" s="1" t="e">
        <f t="shared" si="35"/>
        <v>#DIV/0!</v>
      </c>
      <c r="S552" s="1" t="e">
        <f t="shared" si="36"/>
        <v>#DIV/0!</v>
      </c>
    </row>
    <row r="553" spans="1:19" x14ac:dyDescent="0.3">
      <c r="A553"/>
      <c r="B553"/>
      <c r="C553"/>
      <c r="D553"/>
      <c r="E553"/>
      <c r="F553"/>
      <c r="G553"/>
      <c r="H553"/>
      <c r="I553"/>
      <c r="N553"/>
      <c r="O553"/>
      <c r="P553" s="1" t="e">
        <f t="shared" si="33"/>
        <v>#DIV/0!</v>
      </c>
      <c r="Q553" s="1" t="e">
        <f t="shared" si="34"/>
        <v>#DIV/0!</v>
      </c>
      <c r="R553" s="1" t="e">
        <f t="shared" si="35"/>
        <v>#DIV/0!</v>
      </c>
      <c r="S553" s="1" t="e">
        <f t="shared" si="36"/>
        <v>#DIV/0!</v>
      </c>
    </row>
    <row r="554" spans="1:19" x14ac:dyDescent="0.3">
      <c r="A554"/>
      <c r="B554"/>
      <c r="C554"/>
      <c r="D554"/>
      <c r="E554"/>
      <c r="F554"/>
      <c r="G554"/>
      <c r="H554"/>
      <c r="I554"/>
      <c r="N554"/>
      <c r="O554"/>
      <c r="P554" s="1" t="e">
        <f t="shared" si="33"/>
        <v>#DIV/0!</v>
      </c>
      <c r="Q554" s="1" t="e">
        <f t="shared" si="34"/>
        <v>#DIV/0!</v>
      </c>
      <c r="R554" s="1" t="e">
        <f t="shared" si="35"/>
        <v>#DIV/0!</v>
      </c>
      <c r="S554" s="1" t="e">
        <f t="shared" si="36"/>
        <v>#DIV/0!</v>
      </c>
    </row>
    <row r="555" spans="1:19" x14ac:dyDescent="0.3">
      <c r="A555"/>
      <c r="B555"/>
      <c r="C555"/>
      <c r="D555"/>
      <c r="E555"/>
      <c r="F555"/>
      <c r="G555"/>
      <c r="H555"/>
      <c r="I555"/>
      <c r="N555"/>
      <c r="O555"/>
      <c r="P555" s="1" t="e">
        <f t="shared" si="33"/>
        <v>#DIV/0!</v>
      </c>
      <c r="Q555" s="1" t="e">
        <f t="shared" si="34"/>
        <v>#DIV/0!</v>
      </c>
      <c r="R555" s="1" t="e">
        <f t="shared" si="35"/>
        <v>#DIV/0!</v>
      </c>
      <c r="S555" s="1" t="e">
        <f t="shared" si="36"/>
        <v>#DIV/0!</v>
      </c>
    </row>
    <row r="556" spans="1:19" x14ac:dyDescent="0.3">
      <c r="A556"/>
      <c r="B556"/>
      <c r="C556"/>
      <c r="D556"/>
      <c r="E556"/>
      <c r="F556"/>
      <c r="G556"/>
      <c r="H556"/>
      <c r="I556"/>
      <c r="N556"/>
      <c r="O556"/>
      <c r="P556" s="1" t="e">
        <f t="shared" si="33"/>
        <v>#DIV/0!</v>
      </c>
      <c r="Q556" s="1" t="e">
        <f t="shared" si="34"/>
        <v>#DIV/0!</v>
      </c>
      <c r="R556" s="1" t="e">
        <f t="shared" si="35"/>
        <v>#DIV/0!</v>
      </c>
      <c r="S556" s="1" t="e">
        <f t="shared" si="36"/>
        <v>#DIV/0!</v>
      </c>
    </row>
    <row r="557" spans="1:19" x14ac:dyDescent="0.3">
      <c r="A557"/>
      <c r="B557"/>
      <c r="C557"/>
      <c r="D557"/>
      <c r="E557"/>
      <c r="F557"/>
      <c r="G557"/>
      <c r="H557"/>
      <c r="I557"/>
      <c r="N557"/>
      <c r="O557"/>
      <c r="P557" s="1" t="e">
        <f t="shared" si="33"/>
        <v>#DIV/0!</v>
      </c>
      <c r="Q557" s="1" t="e">
        <f t="shared" si="34"/>
        <v>#DIV/0!</v>
      </c>
      <c r="R557" s="1" t="e">
        <f t="shared" si="35"/>
        <v>#DIV/0!</v>
      </c>
      <c r="S557" s="1" t="e">
        <f t="shared" si="36"/>
        <v>#DIV/0!</v>
      </c>
    </row>
    <row r="558" spans="1:19" x14ac:dyDescent="0.3">
      <c r="A558"/>
      <c r="B558"/>
      <c r="C558"/>
      <c r="D558"/>
      <c r="E558"/>
      <c r="F558"/>
      <c r="G558"/>
      <c r="H558"/>
      <c r="I558"/>
      <c r="N558"/>
      <c r="O558"/>
      <c r="P558" s="1" t="e">
        <f t="shared" si="33"/>
        <v>#DIV/0!</v>
      </c>
      <c r="Q558" s="1" t="e">
        <f t="shared" si="34"/>
        <v>#DIV/0!</v>
      </c>
      <c r="R558" s="1" t="e">
        <f t="shared" si="35"/>
        <v>#DIV/0!</v>
      </c>
      <c r="S558" s="1" t="e">
        <f t="shared" si="36"/>
        <v>#DIV/0!</v>
      </c>
    </row>
    <row r="559" spans="1:19" x14ac:dyDescent="0.3">
      <c r="A559"/>
      <c r="B559"/>
      <c r="C559"/>
      <c r="D559"/>
      <c r="E559"/>
      <c r="F559"/>
      <c r="G559"/>
      <c r="H559"/>
      <c r="I559"/>
      <c r="N559"/>
      <c r="O559"/>
      <c r="P559" s="1" t="e">
        <f t="shared" si="33"/>
        <v>#DIV/0!</v>
      </c>
      <c r="Q559" s="1" t="e">
        <f t="shared" si="34"/>
        <v>#DIV/0!</v>
      </c>
      <c r="R559" s="1" t="e">
        <f t="shared" si="35"/>
        <v>#DIV/0!</v>
      </c>
      <c r="S559" s="1" t="e">
        <f t="shared" si="36"/>
        <v>#DIV/0!</v>
      </c>
    </row>
    <row r="560" spans="1:19" x14ac:dyDescent="0.3">
      <c r="A560"/>
      <c r="B560"/>
      <c r="C560"/>
      <c r="D560"/>
      <c r="E560"/>
      <c r="F560"/>
      <c r="G560"/>
      <c r="H560"/>
      <c r="I560"/>
      <c r="N560"/>
      <c r="O560"/>
      <c r="P560" s="1" t="e">
        <f t="shared" si="33"/>
        <v>#DIV/0!</v>
      </c>
      <c r="Q560" s="1" t="e">
        <f t="shared" si="34"/>
        <v>#DIV/0!</v>
      </c>
      <c r="R560" s="1" t="e">
        <f t="shared" si="35"/>
        <v>#DIV/0!</v>
      </c>
      <c r="S560" s="1" t="e">
        <f t="shared" si="36"/>
        <v>#DIV/0!</v>
      </c>
    </row>
    <row r="561" spans="1:19" x14ac:dyDescent="0.3">
      <c r="A561"/>
      <c r="B561"/>
      <c r="C561"/>
      <c r="D561"/>
      <c r="E561"/>
      <c r="F561"/>
      <c r="G561"/>
      <c r="H561"/>
      <c r="I561"/>
      <c r="N561"/>
      <c r="O561"/>
      <c r="P561" s="1" t="e">
        <f t="shared" si="33"/>
        <v>#DIV/0!</v>
      </c>
      <c r="Q561" s="1" t="e">
        <f t="shared" si="34"/>
        <v>#DIV/0!</v>
      </c>
      <c r="R561" s="1" t="e">
        <f t="shared" si="35"/>
        <v>#DIV/0!</v>
      </c>
      <c r="S561" s="1" t="e">
        <f t="shared" si="36"/>
        <v>#DIV/0!</v>
      </c>
    </row>
    <row r="562" spans="1:19" x14ac:dyDescent="0.3">
      <c r="A562"/>
      <c r="B562"/>
      <c r="C562"/>
      <c r="D562"/>
      <c r="E562"/>
      <c r="F562"/>
      <c r="G562"/>
      <c r="H562"/>
      <c r="I562"/>
      <c r="N562"/>
      <c r="O562"/>
      <c r="P562" s="1" t="e">
        <f t="shared" si="33"/>
        <v>#DIV/0!</v>
      </c>
      <c r="Q562" s="1" t="e">
        <f t="shared" si="34"/>
        <v>#DIV/0!</v>
      </c>
      <c r="R562" s="1" t="e">
        <f t="shared" si="35"/>
        <v>#DIV/0!</v>
      </c>
      <c r="S562" s="1" t="e">
        <f t="shared" si="36"/>
        <v>#DIV/0!</v>
      </c>
    </row>
    <row r="563" spans="1:19" x14ac:dyDescent="0.3">
      <c r="A563"/>
      <c r="B563"/>
      <c r="C563"/>
      <c r="D563"/>
      <c r="E563"/>
      <c r="F563"/>
      <c r="G563"/>
      <c r="H563"/>
      <c r="I563"/>
      <c r="N563"/>
      <c r="O563"/>
      <c r="P563" s="1" t="e">
        <f t="shared" si="33"/>
        <v>#DIV/0!</v>
      </c>
      <c r="Q563" s="1" t="e">
        <f t="shared" si="34"/>
        <v>#DIV/0!</v>
      </c>
      <c r="R563" s="1" t="e">
        <f t="shared" si="35"/>
        <v>#DIV/0!</v>
      </c>
      <c r="S563" s="1" t="e">
        <f t="shared" si="36"/>
        <v>#DIV/0!</v>
      </c>
    </row>
    <row r="564" spans="1:19" x14ac:dyDescent="0.3">
      <c r="A564"/>
      <c r="B564"/>
      <c r="C564"/>
      <c r="D564"/>
      <c r="E564"/>
      <c r="F564"/>
      <c r="G564"/>
      <c r="H564"/>
      <c r="I564"/>
      <c r="N564"/>
      <c r="O564"/>
      <c r="P564" s="1" t="e">
        <f t="shared" si="33"/>
        <v>#DIV/0!</v>
      </c>
      <c r="Q564" s="1" t="e">
        <f t="shared" si="34"/>
        <v>#DIV/0!</v>
      </c>
      <c r="R564" s="1" t="e">
        <f t="shared" si="35"/>
        <v>#DIV/0!</v>
      </c>
      <c r="S564" s="1" t="e">
        <f t="shared" si="36"/>
        <v>#DIV/0!</v>
      </c>
    </row>
    <row r="565" spans="1:19" x14ac:dyDescent="0.3">
      <c r="A565"/>
      <c r="B565"/>
      <c r="C565"/>
      <c r="D565"/>
      <c r="E565"/>
      <c r="F565"/>
      <c r="G565"/>
      <c r="H565"/>
      <c r="I565"/>
      <c r="N565"/>
      <c r="O565"/>
      <c r="P565" s="1" t="e">
        <f t="shared" si="33"/>
        <v>#DIV/0!</v>
      </c>
      <c r="Q565" s="1" t="e">
        <f t="shared" si="34"/>
        <v>#DIV/0!</v>
      </c>
      <c r="R565" s="1" t="e">
        <f t="shared" si="35"/>
        <v>#DIV/0!</v>
      </c>
      <c r="S565" s="1" t="e">
        <f t="shared" si="36"/>
        <v>#DIV/0!</v>
      </c>
    </row>
    <row r="566" spans="1:19" x14ac:dyDescent="0.3">
      <c r="A566"/>
      <c r="B566"/>
      <c r="C566"/>
      <c r="D566"/>
      <c r="E566"/>
      <c r="F566"/>
      <c r="G566"/>
      <c r="H566"/>
      <c r="I566"/>
      <c r="N566"/>
      <c r="O566"/>
      <c r="P566" s="1" t="e">
        <f t="shared" si="33"/>
        <v>#DIV/0!</v>
      </c>
      <c r="Q566" s="1" t="e">
        <f t="shared" si="34"/>
        <v>#DIV/0!</v>
      </c>
      <c r="R566" s="1" t="e">
        <f t="shared" si="35"/>
        <v>#DIV/0!</v>
      </c>
      <c r="S566" s="1" t="e">
        <f t="shared" si="36"/>
        <v>#DIV/0!</v>
      </c>
    </row>
    <row r="567" spans="1:19" x14ac:dyDescent="0.3">
      <c r="A567"/>
      <c r="B567"/>
      <c r="C567"/>
      <c r="D567"/>
      <c r="E567"/>
      <c r="F567"/>
      <c r="G567"/>
      <c r="H567"/>
      <c r="I567"/>
      <c r="N567"/>
      <c r="O567"/>
      <c r="P567" s="1" t="e">
        <f t="shared" si="33"/>
        <v>#DIV/0!</v>
      </c>
      <c r="Q567" s="1" t="e">
        <f t="shared" si="34"/>
        <v>#DIV/0!</v>
      </c>
      <c r="R567" s="1" t="e">
        <f t="shared" si="35"/>
        <v>#DIV/0!</v>
      </c>
      <c r="S567" s="1" t="e">
        <f t="shared" si="36"/>
        <v>#DIV/0!</v>
      </c>
    </row>
    <row r="568" spans="1:19" x14ac:dyDescent="0.3">
      <c r="A568"/>
      <c r="B568"/>
      <c r="C568"/>
      <c r="D568"/>
      <c r="E568"/>
      <c r="F568"/>
      <c r="G568"/>
      <c r="H568"/>
      <c r="I568"/>
      <c r="N568"/>
      <c r="O568"/>
      <c r="P568" s="1" t="e">
        <f t="shared" si="33"/>
        <v>#DIV/0!</v>
      </c>
      <c r="Q568" s="1" t="e">
        <f t="shared" si="34"/>
        <v>#DIV/0!</v>
      </c>
      <c r="R568" s="1" t="e">
        <f t="shared" si="35"/>
        <v>#DIV/0!</v>
      </c>
      <c r="S568" s="1" t="e">
        <f t="shared" si="36"/>
        <v>#DIV/0!</v>
      </c>
    </row>
    <row r="569" spans="1:19" x14ac:dyDescent="0.3">
      <c r="A569"/>
      <c r="B569"/>
      <c r="C569"/>
      <c r="D569"/>
      <c r="E569"/>
      <c r="F569"/>
      <c r="G569"/>
      <c r="H569"/>
      <c r="I569"/>
      <c r="N569"/>
      <c r="O569"/>
      <c r="P569" s="1" t="e">
        <f t="shared" si="33"/>
        <v>#DIV/0!</v>
      </c>
      <c r="Q569" s="1" t="e">
        <f t="shared" si="34"/>
        <v>#DIV/0!</v>
      </c>
      <c r="R569" s="1" t="e">
        <f t="shared" si="35"/>
        <v>#DIV/0!</v>
      </c>
      <c r="S569" s="1" t="e">
        <f t="shared" si="36"/>
        <v>#DIV/0!</v>
      </c>
    </row>
    <row r="570" spans="1:19" x14ac:dyDescent="0.3">
      <c r="A570"/>
      <c r="B570"/>
      <c r="C570"/>
      <c r="D570"/>
      <c r="E570"/>
      <c r="F570"/>
      <c r="G570"/>
      <c r="H570"/>
      <c r="I570"/>
      <c r="N570"/>
      <c r="O570"/>
      <c r="P570" s="1" t="e">
        <f t="shared" si="33"/>
        <v>#DIV/0!</v>
      </c>
      <c r="Q570" s="1" t="e">
        <f t="shared" si="34"/>
        <v>#DIV/0!</v>
      </c>
      <c r="R570" s="1" t="e">
        <f t="shared" si="35"/>
        <v>#DIV/0!</v>
      </c>
      <c r="S570" s="1" t="e">
        <f t="shared" si="36"/>
        <v>#DIV/0!</v>
      </c>
    </row>
    <row r="571" spans="1:19" x14ac:dyDescent="0.3">
      <c r="A571"/>
      <c r="B571"/>
      <c r="C571"/>
      <c r="D571"/>
      <c r="E571"/>
      <c r="F571"/>
      <c r="G571"/>
      <c r="H571"/>
      <c r="I571"/>
      <c r="N571"/>
      <c r="O571"/>
      <c r="P571" s="1" t="e">
        <f t="shared" si="33"/>
        <v>#DIV/0!</v>
      </c>
      <c r="Q571" s="1" t="e">
        <f t="shared" si="34"/>
        <v>#DIV/0!</v>
      </c>
      <c r="R571" s="1" t="e">
        <f t="shared" si="35"/>
        <v>#DIV/0!</v>
      </c>
      <c r="S571" s="1" t="e">
        <f t="shared" si="36"/>
        <v>#DIV/0!</v>
      </c>
    </row>
    <row r="572" spans="1:19" x14ac:dyDescent="0.3">
      <c r="A572"/>
      <c r="B572"/>
      <c r="C572"/>
      <c r="D572"/>
      <c r="E572"/>
      <c r="F572"/>
      <c r="G572"/>
      <c r="H572"/>
      <c r="I572"/>
      <c r="N572"/>
      <c r="O572"/>
      <c r="P572" s="1" t="e">
        <f t="shared" si="33"/>
        <v>#DIV/0!</v>
      </c>
      <c r="Q572" s="1" t="e">
        <f t="shared" si="34"/>
        <v>#DIV/0!</v>
      </c>
      <c r="R572" s="1" t="e">
        <f t="shared" si="35"/>
        <v>#DIV/0!</v>
      </c>
      <c r="S572" s="1" t="e">
        <f t="shared" si="36"/>
        <v>#DIV/0!</v>
      </c>
    </row>
    <row r="573" spans="1:19" x14ac:dyDescent="0.3">
      <c r="A573"/>
      <c r="B573"/>
      <c r="C573"/>
      <c r="D573"/>
      <c r="E573"/>
      <c r="F573"/>
      <c r="G573"/>
      <c r="H573"/>
      <c r="I573"/>
      <c r="N573"/>
      <c r="O573"/>
      <c r="P573" s="1" t="e">
        <f t="shared" si="33"/>
        <v>#DIV/0!</v>
      </c>
      <c r="Q573" s="1" t="e">
        <f t="shared" si="34"/>
        <v>#DIV/0!</v>
      </c>
      <c r="R573" s="1" t="e">
        <f t="shared" si="35"/>
        <v>#DIV/0!</v>
      </c>
      <c r="S573" s="1" t="e">
        <f t="shared" si="36"/>
        <v>#DIV/0!</v>
      </c>
    </row>
    <row r="574" spans="1:19" x14ac:dyDescent="0.3">
      <c r="A574"/>
      <c r="B574"/>
      <c r="C574"/>
      <c r="D574"/>
      <c r="E574"/>
      <c r="F574"/>
      <c r="G574"/>
      <c r="H574"/>
      <c r="I574"/>
      <c r="N574"/>
      <c r="O574"/>
      <c r="P574" s="1" t="e">
        <f t="shared" si="33"/>
        <v>#DIV/0!</v>
      </c>
      <c r="Q574" s="1" t="e">
        <f t="shared" si="34"/>
        <v>#DIV/0!</v>
      </c>
      <c r="R574" s="1" t="e">
        <f t="shared" si="35"/>
        <v>#DIV/0!</v>
      </c>
      <c r="S574" s="1" t="e">
        <f t="shared" si="36"/>
        <v>#DIV/0!</v>
      </c>
    </row>
    <row r="575" spans="1:19" x14ac:dyDescent="0.3">
      <c r="A575"/>
      <c r="B575"/>
      <c r="C575"/>
      <c r="D575"/>
      <c r="E575"/>
      <c r="F575"/>
      <c r="G575"/>
      <c r="H575"/>
      <c r="I575"/>
      <c r="N575"/>
      <c r="O575"/>
      <c r="P575" s="1" t="e">
        <f t="shared" si="33"/>
        <v>#DIV/0!</v>
      </c>
      <c r="Q575" s="1" t="e">
        <f t="shared" si="34"/>
        <v>#DIV/0!</v>
      </c>
      <c r="R575" s="1" t="e">
        <f t="shared" si="35"/>
        <v>#DIV/0!</v>
      </c>
      <c r="S575" s="1" t="e">
        <f t="shared" si="36"/>
        <v>#DIV/0!</v>
      </c>
    </row>
    <row r="576" spans="1:19" x14ac:dyDescent="0.3">
      <c r="A576"/>
      <c r="B576"/>
      <c r="C576"/>
      <c r="D576"/>
      <c r="E576"/>
      <c r="F576"/>
      <c r="G576"/>
      <c r="H576"/>
      <c r="I576"/>
      <c r="N576"/>
      <c r="O576"/>
      <c r="P576" s="1" t="e">
        <f t="shared" si="33"/>
        <v>#DIV/0!</v>
      </c>
      <c r="Q576" s="1" t="e">
        <f t="shared" si="34"/>
        <v>#DIV/0!</v>
      </c>
      <c r="R576" s="1" t="e">
        <f t="shared" si="35"/>
        <v>#DIV/0!</v>
      </c>
      <c r="S576" s="1" t="e">
        <f t="shared" si="36"/>
        <v>#DIV/0!</v>
      </c>
    </row>
    <row r="577" spans="1:19" x14ac:dyDescent="0.3">
      <c r="A577"/>
      <c r="B577"/>
      <c r="C577"/>
      <c r="D577"/>
      <c r="E577"/>
      <c r="F577"/>
      <c r="G577"/>
      <c r="H577"/>
      <c r="I577"/>
      <c r="N577"/>
      <c r="O577"/>
      <c r="P577" s="1" t="e">
        <f t="shared" si="33"/>
        <v>#DIV/0!</v>
      </c>
      <c r="Q577" s="1" t="e">
        <f t="shared" si="34"/>
        <v>#DIV/0!</v>
      </c>
      <c r="R577" s="1" t="e">
        <f t="shared" si="35"/>
        <v>#DIV/0!</v>
      </c>
      <c r="S577" s="1" t="e">
        <f t="shared" si="36"/>
        <v>#DIV/0!</v>
      </c>
    </row>
    <row r="578" spans="1:19" x14ac:dyDescent="0.3">
      <c r="A578"/>
      <c r="B578"/>
      <c r="C578"/>
      <c r="D578"/>
      <c r="E578"/>
      <c r="F578"/>
      <c r="G578"/>
      <c r="H578"/>
      <c r="I578"/>
      <c r="N578"/>
      <c r="O578"/>
      <c r="P578" s="1" t="e">
        <f t="shared" si="33"/>
        <v>#DIV/0!</v>
      </c>
      <c r="Q578" s="1" t="e">
        <f t="shared" si="34"/>
        <v>#DIV/0!</v>
      </c>
      <c r="R578" s="1" t="e">
        <f t="shared" si="35"/>
        <v>#DIV/0!</v>
      </c>
      <c r="S578" s="1" t="e">
        <f t="shared" si="36"/>
        <v>#DIV/0!</v>
      </c>
    </row>
    <row r="579" spans="1:19" x14ac:dyDescent="0.3">
      <c r="A579"/>
      <c r="B579"/>
      <c r="C579"/>
      <c r="D579"/>
      <c r="E579"/>
      <c r="F579"/>
      <c r="G579"/>
      <c r="H579"/>
      <c r="I579"/>
      <c r="N579"/>
      <c r="O579"/>
      <c r="P579" s="1" t="e">
        <f t="shared" si="33"/>
        <v>#DIV/0!</v>
      </c>
      <c r="Q579" s="1" t="e">
        <f t="shared" si="34"/>
        <v>#DIV/0!</v>
      </c>
      <c r="R579" s="1" t="e">
        <f t="shared" si="35"/>
        <v>#DIV/0!</v>
      </c>
      <c r="S579" s="1" t="e">
        <f t="shared" si="36"/>
        <v>#DIV/0!</v>
      </c>
    </row>
    <row r="580" spans="1:19" x14ac:dyDescent="0.3">
      <c r="A580"/>
      <c r="B580"/>
      <c r="C580"/>
      <c r="D580"/>
      <c r="E580"/>
      <c r="F580"/>
      <c r="G580"/>
      <c r="H580"/>
      <c r="I580"/>
      <c r="N580"/>
      <c r="O580"/>
      <c r="P580" s="1" t="e">
        <f t="shared" si="33"/>
        <v>#DIV/0!</v>
      </c>
      <c r="Q580" s="1" t="e">
        <f t="shared" si="34"/>
        <v>#DIV/0!</v>
      </c>
      <c r="R580" s="1" t="e">
        <f t="shared" si="35"/>
        <v>#DIV/0!</v>
      </c>
      <c r="S580" s="1" t="e">
        <f t="shared" si="36"/>
        <v>#DIV/0!</v>
      </c>
    </row>
    <row r="581" spans="1:19" x14ac:dyDescent="0.3">
      <c r="A581"/>
      <c r="B581"/>
      <c r="C581"/>
      <c r="D581"/>
      <c r="E581"/>
      <c r="F581"/>
      <c r="G581"/>
      <c r="H581"/>
      <c r="I581"/>
      <c r="N581"/>
      <c r="O581"/>
      <c r="P581" s="1" t="e">
        <f t="shared" si="33"/>
        <v>#DIV/0!</v>
      </c>
      <c r="Q581" s="1" t="e">
        <f t="shared" si="34"/>
        <v>#DIV/0!</v>
      </c>
      <c r="R581" s="1" t="e">
        <f t="shared" si="35"/>
        <v>#DIV/0!</v>
      </c>
      <c r="S581" s="1" t="e">
        <f t="shared" si="36"/>
        <v>#DIV/0!</v>
      </c>
    </row>
    <row r="582" spans="1:19" x14ac:dyDescent="0.3">
      <c r="A582"/>
      <c r="B582"/>
      <c r="C582"/>
      <c r="D582"/>
      <c r="E582"/>
      <c r="F582"/>
      <c r="G582"/>
      <c r="H582"/>
      <c r="I582"/>
      <c r="N582"/>
      <c r="O582"/>
      <c r="P582" s="1" t="e">
        <f t="shared" si="33"/>
        <v>#DIV/0!</v>
      </c>
      <c r="Q582" s="1" t="e">
        <f t="shared" si="34"/>
        <v>#DIV/0!</v>
      </c>
      <c r="R582" s="1" t="e">
        <f t="shared" si="35"/>
        <v>#DIV/0!</v>
      </c>
      <c r="S582" s="1" t="e">
        <f t="shared" si="36"/>
        <v>#DIV/0!</v>
      </c>
    </row>
    <row r="583" spans="1:19" x14ac:dyDescent="0.3">
      <c r="A583"/>
      <c r="B583"/>
      <c r="C583"/>
      <c r="D583"/>
      <c r="E583"/>
      <c r="F583"/>
      <c r="G583"/>
      <c r="H583"/>
      <c r="I583"/>
      <c r="N583"/>
      <c r="O583"/>
      <c r="P583" s="1" t="e">
        <f t="shared" si="33"/>
        <v>#DIV/0!</v>
      </c>
      <c r="Q583" s="1" t="e">
        <f t="shared" si="34"/>
        <v>#DIV/0!</v>
      </c>
      <c r="R583" s="1" t="e">
        <f t="shared" si="35"/>
        <v>#DIV/0!</v>
      </c>
      <c r="S583" s="1" t="e">
        <f t="shared" si="36"/>
        <v>#DIV/0!</v>
      </c>
    </row>
    <row r="584" spans="1:19" x14ac:dyDescent="0.3">
      <c r="A584"/>
      <c r="B584"/>
      <c r="C584"/>
      <c r="D584"/>
      <c r="E584"/>
      <c r="F584"/>
      <c r="G584"/>
      <c r="H584"/>
      <c r="I584"/>
      <c r="N584"/>
      <c r="O584"/>
      <c r="P584" s="1" t="e">
        <f t="shared" si="33"/>
        <v>#DIV/0!</v>
      </c>
      <c r="Q584" s="1" t="e">
        <f t="shared" si="34"/>
        <v>#DIV/0!</v>
      </c>
      <c r="R584" s="1" t="e">
        <f t="shared" si="35"/>
        <v>#DIV/0!</v>
      </c>
      <c r="S584" s="1" t="e">
        <f t="shared" si="36"/>
        <v>#DIV/0!</v>
      </c>
    </row>
    <row r="585" spans="1:19" x14ac:dyDescent="0.3">
      <c r="A585"/>
      <c r="B585"/>
      <c r="C585"/>
      <c r="D585"/>
      <c r="E585"/>
      <c r="F585"/>
      <c r="G585"/>
      <c r="H585"/>
      <c r="I585"/>
      <c r="N585"/>
      <c r="O585"/>
      <c r="P585" s="1" t="e">
        <f t="shared" si="33"/>
        <v>#DIV/0!</v>
      </c>
      <c r="Q585" s="1" t="e">
        <f t="shared" si="34"/>
        <v>#DIV/0!</v>
      </c>
      <c r="R585" s="1" t="e">
        <f t="shared" si="35"/>
        <v>#DIV/0!</v>
      </c>
      <c r="S585" s="1" t="e">
        <f t="shared" si="36"/>
        <v>#DIV/0!</v>
      </c>
    </row>
    <row r="586" spans="1:19" x14ac:dyDescent="0.3">
      <c r="A586"/>
      <c r="B586"/>
      <c r="C586"/>
      <c r="D586"/>
      <c r="E586"/>
      <c r="F586"/>
      <c r="G586"/>
      <c r="H586"/>
      <c r="I586"/>
      <c r="N586"/>
      <c r="O586"/>
      <c r="P586" s="1" t="e">
        <f t="shared" si="33"/>
        <v>#DIV/0!</v>
      </c>
      <c r="Q586" s="1" t="e">
        <f t="shared" si="34"/>
        <v>#DIV/0!</v>
      </c>
      <c r="R586" s="1" t="e">
        <f t="shared" si="35"/>
        <v>#DIV/0!</v>
      </c>
      <c r="S586" s="1" t="e">
        <f t="shared" si="36"/>
        <v>#DIV/0!</v>
      </c>
    </row>
    <row r="587" spans="1:19" x14ac:dyDescent="0.3">
      <c r="A587"/>
      <c r="B587"/>
      <c r="C587"/>
      <c r="D587"/>
      <c r="E587"/>
      <c r="F587"/>
      <c r="G587"/>
      <c r="H587"/>
      <c r="I587"/>
      <c r="N587"/>
      <c r="O587"/>
      <c r="P587" s="1" t="e">
        <f t="shared" si="33"/>
        <v>#DIV/0!</v>
      </c>
      <c r="Q587" s="1" t="e">
        <f t="shared" si="34"/>
        <v>#DIV/0!</v>
      </c>
      <c r="R587" s="1" t="e">
        <f t="shared" si="35"/>
        <v>#DIV/0!</v>
      </c>
      <c r="S587" s="1" t="e">
        <f t="shared" si="36"/>
        <v>#DIV/0!</v>
      </c>
    </row>
    <row r="588" spans="1:19" x14ac:dyDescent="0.3">
      <c r="A588"/>
      <c r="B588"/>
      <c r="C588"/>
      <c r="D588"/>
      <c r="E588"/>
      <c r="F588"/>
      <c r="G588"/>
      <c r="H588"/>
      <c r="I588"/>
      <c r="N588"/>
      <c r="O588"/>
      <c r="P588" s="1" t="e">
        <f t="shared" si="33"/>
        <v>#DIV/0!</v>
      </c>
      <c r="Q588" s="1" t="e">
        <f t="shared" si="34"/>
        <v>#DIV/0!</v>
      </c>
      <c r="R588" s="1" t="e">
        <f t="shared" si="35"/>
        <v>#DIV/0!</v>
      </c>
      <c r="S588" s="1" t="e">
        <f t="shared" si="36"/>
        <v>#DIV/0!</v>
      </c>
    </row>
    <row r="589" spans="1:19" x14ac:dyDescent="0.3">
      <c r="A589"/>
      <c r="B589"/>
      <c r="C589"/>
      <c r="D589"/>
      <c r="E589"/>
      <c r="F589"/>
      <c r="G589"/>
      <c r="H589"/>
      <c r="I589"/>
      <c r="N589"/>
      <c r="O589"/>
      <c r="P589" s="1" t="e">
        <f t="shared" si="33"/>
        <v>#DIV/0!</v>
      </c>
      <c r="Q589" s="1" t="e">
        <f t="shared" si="34"/>
        <v>#DIV/0!</v>
      </c>
      <c r="R589" s="1" t="e">
        <f t="shared" si="35"/>
        <v>#DIV/0!</v>
      </c>
      <c r="S589" s="1" t="e">
        <f t="shared" si="36"/>
        <v>#DIV/0!</v>
      </c>
    </row>
    <row r="590" spans="1:19" x14ac:dyDescent="0.3">
      <c r="A590"/>
      <c r="B590"/>
      <c r="C590"/>
      <c r="D590"/>
      <c r="E590"/>
      <c r="F590"/>
      <c r="G590"/>
      <c r="H590"/>
      <c r="I590"/>
      <c r="N590"/>
      <c r="O590"/>
      <c r="P590" s="1" t="e">
        <f t="shared" si="33"/>
        <v>#DIV/0!</v>
      </c>
      <c r="Q590" s="1" t="e">
        <f t="shared" si="34"/>
        <v>#DIV/0!</v>
      </c>
      <c r="R590" s="1" t="e">
        <f t="shared" si="35"/>
        <v>#DIV/0!</v>
      </c>
      <c r="S590" s="1" t="e">
        <f t="shared" si="36"/>
        <v>#DIV/0!</v>
      </c>
    </row>
    <row r="591" spans="1:19" x14ac:dyDescent="0.3">
      <c r="A591"/>
      <c r="B591"/>
      <c r="C591"/>
      <c r="D591"/>
      <c r="E591"/>
      <c r="F591"/>
      <c r="G591"/>
      <c r="H591"/>
      <c r="I591"/>
      <c r="N591"/>
      <c r="O591"/>
      <c r="P591" s="1" t="e">
        <f t="shared" si="33"/>
        <v>#DIV/0!</v>
      </c>
      <c r="Q591" s="1" t="e">
        <f t="shared" si="34"/>
        <v>#DIV/0!</v>
      </c>
      <c r="R591" s="1" t="e">
        <f t="shared" si="35"/>
        <v>#DIV/0!</v>
      </c>
      <c r="S591" s="1" t="e">
        <f t="shared" si="36"/>
        <v>#DIV/0!</v>
      </c>
    </row>
    <row r="592" spans="1:19" x14ac:dyDescent="0.3">
      <c r="A592"/>
      <c r="B592"/>
      <c r="C592"/>
      <c r="D592"/>
      <c r="E592"/>
      <c r="F592"/>
      <c r="G592"/>
      <c r="H592"/>
      <c r="I592"/>
      <c r="N592"/>
      <c r="O592"/>
      <c r="P592" s="1" t="e">
        <f t="shared" si="33"/>
        <v>#DIV/0!</v>
      </c>
      <c r="Q592" s="1" t="e">
        <f t="shared" si="34"/>
        <v>#DIV/0!</v>
      </c>
      <c r="R592" s="1" t="e">
        <f t="shared" si="35"/>
        <v>#DIV/0!</v>
      </c>
      <c r="S592" s="1" t="e">
        <f t="shared" si="36"/>
        <v>#DIV/0!</v>
      </c>
    </row>
    <row r="593" spans="1:19" x14ac:dyDescent="0.3">
      <c r="A593"/>
      <c r="B593"/>
      <c r="C593"/>
      <c r="D593"/>
      <c r="E593"/>
      <c r="F593"/>
      <c r="G593"/>
      <c r="H593"/>
      <c r="I593"/>
      <c r="N593"/>
      <c r="O593"/>
      <c r="P593" s="1" t="e">
        <f t="shared" si="33"/>
        <v>#DIV/0!</v>
      </c>
      <c r="Q593" s="1" t="e">
        <f t="shared" si="34"/>
        <v>#DIV/0!</v>
      </c>
      <c r="R593" s="1" t="e">
        <f t="shared" si="35"/>
        <v>#DIV/0!</v>
      </c>
      <c r="S593" s="1" t="e">
        <f t="shared" si="36"/>
        <v>#DIV/0!</v>
      </c>
    </row>
    <row r="594" spans="1:19" x14ac:dyDescent="0.3">
      <c r="A594"/>
      <c r="B594"/>
      <c r="C594"/>
      <c r="D594"/>
      <c r="E594"/>
      <c r="F594"/>
      <c r="G594"/>
      <c r="H594"/>
      <c r="I594"/>
      <c r="N594"/>
      <c r="O594"/>
      <c r="P594" s="1" t="e">
        <f t="shared" si="33"/>
        <v>#DIV/0!</v>
      </c>
      <c r="Q594" s="1" t="e">
        <f t="shared" si="34"/>
        <v>#DIV/0!</v>
      </c>
      <c r="R594" s="1" t="e">
        <f t="shared" si="35"/>
        <v>#DIV/0!</v>
      </c>
      <c r="S594" s="1" t="e">
        <f t="shared" si="36"/>
        <v>#DIV/0!</v>
      </c>
    </row>
    <row r="595" spans="1:19" x14ac:dyDescent="0.3">
      <c r="A595"/>
      <c r="B595"/>
      <c r="C595"/>
      <c r="D595"/>
      <c r="E595"/>
      <c r="F595"/>
      <c r="G595"/>
      <c r="H595"/>
      <c r="I595"/>
      <c r="N595"/>
      <c r="O595"/>
      <c r="P595" s="1" t="e">
        <f t="shared" si="33"/>
        <v>#DIV/0!</v>
      </c>
      <c r="Q595" s="1" t="e">
        <f t="shared" si="34"/>
        <v>#DIV/0!</v>
      </c>
      <c r="R595" s="1" t="e">
        <f t="shared" si="35"/>
        <v>#DIV/0!</v>
      </c>
      <c r="S595" s="1" t="e">
        <f t="shared" si="36"/>
        <v>#DIV/0!</v>
      </c>
    </row>
    <row r="596" spans="1:19" x14ac:dyDescent="0.3">
      <c r="A596"/>
      <c r="B596"/>
      <c r="C596"/>
      <c r="D596"/>
      <c r="E596"/>
      <c r="F596"/>
      <c r="G596"/>
      <c r="H596"/>
      <c r="I596"/>
      <c r="N596"/>
      <c r="O596"/>
      <c r="P596" s="1" t="e">
        <f t="shared" si="33"/>
        <v>#DIV/0!</v>
      </c>
      <c r="Q596" s="1" t="e">
        <f t="shared" si="34"/>
        <v>#DIV/0!</v>
      </c>
      <c r="R596" s="1" t="e">
        <f t="shared" si="35"/>
        <v>#DIV/0!</v>
      </c>
      <c r="S596" s="1" t="e">
        <f t="shared" si="36"/>
        <v>#DIV/0!</v>
      </c>
    </row>
    <row r="597" spans="1:19" x14ac:dyDescent="0.3">
      <c r="A597"/>
      <c r="B597"/>
      <c r="C597"/>
      <c r="D597"/>
      <c r="E597"/>
      <c r="F597"/>
      <c r="G597"/>
      <c r="H597"/>
      <c r="I597"/>
      <c r="N597"/>
      <c r="O597"/>
      <c r="P597" s="1" t="e">
        <f t="shared" si="33"/>
        <v>#DIV/0!</v>
      </c>
      <c r="Q597" s="1" t="e">
        <f t="shared" si="34"/>
        <v>#DIV/0!</v>
      </c>
      <c r="R597" s="1" t="e">
        <f t="shared" si="35"/>
        <v>#DIV/0!</v>
      </c>
      <c r="S597" s="1" t="e">
        <f t="shared" si="36"/>
        <v>#DIV/0!</v>
      </c>
    </row>
    <row r="598" spans="1:19" x14ac:dyDescent="0.3">
      <c r="A598"/>
      <c r="B598"/>
      <c r="C598"/>
      <c r="D598"/>
      <c r="E598"/>
      <c r="F598"/>
      <c r="G598"/>
      <c r="H598"/>
      <c r="I598"/>
      <c r="N598"/>
      <c r="O598"/>
      <c r="P598" s="1" t="e">
        <f t="shared" si="33"/>
        <v>#DIV/0!</v>
      </c>
      <c r="Q598" s="1" t="e">
        <f t="shared" si="34"/>
        <v>#DIV/0!</v>
      </c>
      <c r="R598" s="1" t="e">
        <f t="shared" si="35"/>
        <v>#DIV/0!</v>
      </c>
      <c r="S598" s="1" t="e">
        <f t="shared" si="36"/>
        <v>#DIV/0!</v>
      </c>
    </row>
    <row r="599" spans="1:19" x14ac:dyDescent="0.3">
      <c r="A599"/>
      <c r="B599"/>
      <c r="C599"/>
      <c r="D599"/>
      <c r="E599"/>
      <c r="F599"/>
      <c r="G599"/>
      <c r="H599"/>
      <c r="I599"/>
      <c r="N599"/>
      <c r="O599"/>
      <c r="P599" s="1" t="e">
        <f t="shared" si="33"/>
        <v>#DIV/0!</v>
      </c>
      <c r="Q599" s="1" t="e">
        <f t="shared" si="34"/>
        <v>#DIV/0!</v>
      </c>
      <c r="R599" s="1" t="e">
        <f t="shared" si="35"/>
        <v>#DIV/0!</v>
      </c>
      <c r="S599" s="1" t="e">
        <f t="shared" si="36"/>
        <v>#DIV/0!</v>
      </c>
    </row>
    <row r="600" spans="1:19" x14ac:dyDescent="0.3">
      <c r="A600"/>
      <c r="B600"/>
      <c r="C600"/>
      <c r="D600"/>
      <c r="E600"/>
      <c r="F600"/>
      <c r="G600"/>
      <c r="H600"/>
      <c r="I600"/>
      <c r="N600"/>
      <c r="O600"/>
      <c r="P600" s="1" t="e">
        <f t="shared" si="33"/>
        <v>#DIV/0!</v>
      </c>
      <c r="Q600" s="1" t="e">
        <f t="shared" si="34"/>
        <v>#DIV/0!</v>
      </c>
      <c r="R600" s="1" t="e">
        <f t="shared" si="35"/>
        <v>#DIV/0!</v>
      </c>
      <c r="S600" s="1" t="e">
        <f t="shared" si="36"/>
        <v>#DIV/0!</v>
      </c>
    </row>
    <row r="601" spans="1:19" x14ac:dyDescent="0.3">
      <c r="A601"/>
      <c r="B601"/>
      <c r="C601"/>
      <c r="D601"/>
      <c r="E601"/>
      <c r="F601"/>
      <c r="G601"/>
      <c r="H601"/>
      <c r="I601"/>
      <c r="N601"/>
      <c r="O601"/>
      <c r="P601" s="1" t="e">
        <f t="shared" si="33"/>
        <v>#DIV/0!</v>
      </c>
      <c r="Q601" s="1" t="e">
        <f t="shared" si="34"/>
        <v>#DIV/0!</v>
      </c>
      <c r="R601" s="1" t="e">
        <f t="shared" si="35"/>
        <v>#DIV/0!</v>
      </c>
      <c r="S601" s="1" t="e">
        <f t="shared" si="36"/>
        <v>#DIV/0!</v>
      </c>
    </row>
    <row r="602" spans="1:19" x14ac:dyDescent="0.3">
      <c r="A602"/>
      <c r="B602"/>
      <c r="C602"/>
      <c r="D602"/>
      <c r="E602"/>
      <c r="F602"/>
      <c r="G602"/>
      <c r="H602"/>
      <c r="I602"/>
      <c r="N602"/>
      <c r="O602"/>
      <c r="P602" s="1" t="e">
        <f t="shared" si="33"/>
        <v>#DIV/0!</v>
      </c>
      <c r="Q602" s="1" t="e">
        <f t="shared" si="34"/>
        <v>#DIV/0!</v>
      </c>
      <c r="R602" s="1" t="e">
        <f t="shared" si="35"/>
        <v>#DIV/0!</v>
      </c>
      <c r="S602" s="1" t="e">
        <f t="shared" si="36"/>
        <v>#DIV/0!</v>
      </c>
    </row>
    <row r="603" spans="1:19" x14ac:dyDescent="0.3">
      <c r="A603"/>
      <c r="B603"/>
      <c r="C603"/>
      <c r="D603"/>
      <c r="E603"/>
      <c r="F603"/>
      <c r="G603"/>
      <c r="H603"/>
      <c r="I603"/>
      <c r="N603"/>
      <c r="O603"/>
      <c r="P603" s="1" t="e">
        <f t="shared" si="33"/>
        <v>#DIV/0!</v>
      </c>
      <c r="Q603" s="1" t="e">
        <f t="shared" si="34"/>
        <v>#DIV/0!</v>
      </c>
      <c r="R603" s="1" t="e">
        <f t="shared" si="35"/>
        <v>#DIV/0!</v>
      </c>
      <c r="S603" s="1" t="e">
        <f t="shared" si="36"/>
        <v>#DIV/0!</v>
      </c>
    </row>
    <row r="604" spans="1:19" x14ac:dyDescent="0.3">
      <c r="A604"/>
      <c r="B604"/>
      <c r="C604"/>
      <c r="D604"/>
      <c r="E604"/>
      <c r="F604"/>
      <c r="G604"/>
      <c r="H604"/>
      <c r="I604"/>
      <c r="N604"/>
      <c r="O604"/>
      <c r="P604" s="1" t="e">
        <f t="shared" si="33"/>
        <v>#DIV/0!</v>
      </c>
      <c r="Q604" s="1" t="e">
        <f t="shared" si="34"/>
        <v>#DIV/0!</v>
      </c>
      <c r="R604" s="1" t="e">
        <f t="shared" si="35"/>
        <v>#DIV/0!</v>
      </c>
      <c r="S604" s="1" t="e">
        <f t="shared" si="36"/>
        <v>#DIV/0!</v>
      </c>
    </row>
    <row r="605" spans="1:19" x14ac:dyDescent="0.3">
      <c r="A605"/>
      <c r="B605"/>
      <c r="C605"/>
      <c r="D605"/>
      <c r="E605"/>
      <c r="F605"/>
      <c r="G605"/>
      <c r="H605"/>
      <c r="I605"/>
      <c r="N605"/>
      <c r="O605"/>
      <c r="P605" s="1" t="e">
        <f t="shared" si="33"/>
        <v>#DIV/0!</v>
      </c>
      <c r="Q605" s="1" t="e">
        <f t="shared" si="34"/>
        <v>#DIV/0!</v>
      </c>
      <c r="R605" s="1" t="e">
        <f t="shared" si="35"/>
        <v>#DIV/0!</v>
      </c>
      <c r="S605" s="1" t="e">
        <f t="shared" si="36"/>
        <v>#DIV/0!</v>
      </c>
    </row>
    <row r="606" spans="1:19" x14ac:dyDescent="0.3">
      <c r="A606"/>
      <c r="B606"/>
      <c r="C606"/>
      <c r="D606"/>
      <c r="E606"/>
      <c r="F606"/>
      <c r="G606"/>
      <c r="H606"/>
      <c r="I606"/>
      <c r="N606"/>
      <c r="O606"/>
      <c r="P606" s="1" t="e">
        <f t="shared" ref="P606:P669" si="37">(B588+Q$35)/P$35</f>
        <v>#DIV/0!</v>
      </c>
      <c r="Q606" s="1" t="e">
        <f t="shared" ref="Q606:Q669" si="38">(C588+Q$35)/P$35</f>
        <v>#DIV/0!</v>
      </c>
      <c r="R606" s="1" t="e">
        <f t="shared" ref="R606:R669" si="39">(D588+Q$37)/P$37</f>
        <v>#DIV/0!</v>
      </c>
      <c r="S606" s="1" t="e">
        <f t="shared" ref="S606:S669" si="40">(E588+Q$38)/P$38</f>
        <v>#DIV/0!</v>
      </c>
    </row>
    <row r="607" spans="1:19" x14ac:dyDescent="0.3">
      <c r="A607"/>
      <c r="B607"/>
      <c r="C607"/>
      <c r="D607"/>
      <c r="E607"/>
      <c r="F607"/>
      <c r="G607"/>
      <c r="H607"/>
      <c r="I607"/>
      <c r="N607"/>
      <c r="O607"/>
      <c r="P607" s="1" t="e">
        <f t="shared" si="37"/>
        <v>#DIV/0!</v>
      </c>
      <c r="Q607" s="1" t="e">
        <f t="shared" si="38"/>
        <v>#DIV/0!</v>
      </c>
      <c r="R607" s="1" t="e">
        <f t="shared" si="39"/>
        <v>#DIV/0!</v>
      </c>
      <c r="S607" s="1" t="e">
        <f t="shared" si="40"/>
        <v>#DIV/0!</v>
      </c>
    </row>
    <row r="608" spans="1:19" x14ac:dyDescent="0.3">
      <c r="A608"/>
      <c r="B608"/>
      <c r="C608"/>
      <c r="D608"/>
      <c r="E608"/>
      <c r="F608"/>
      <c r="G608"/>
      <c r="H608"/>
      <c r="I608"/>
      <c r="N608"/>
      <c r="O608"/>
      <c r="P608" s="1" t="e">
        <f t="shared" si="37"/>
        <v>#DIV/0!</v>
      </c>
      <c r="Q608" s="1" t="e">
        <f t="shared" si="38"/>
        <v>#DIV/0!</v>
      </c>
      <c r="R608" s="1" t="e">
        <f t="shared" si="39"/>
        <v>#DIV/0!</v>
      </c>
      <c r="S608" s="1" t="e">
        <f t="shared" si="40"/>
        <v>#DIV/0!</v>
      </c>
    </row>
    <row r="609" spans="1:19" x14ac:dyDescent="0.3">
      <c r="A609"/>
      <c r="B609"/>
      <c r="C609"/>
      <c r="D609"/>
      <c r="E609"/>
      <c r="F609"/>
      <c r="G609"/>
      <c r="H609"/>
      <c r="I609"/>
      <c r="N609"/>
      <c r="O609"/>
      <c r="P609" s="1" t="e">
        <f t="shared" si="37"/>
        <v>#DIV/0!</v>
      </c>
      <c r="Q609" s="1" t="e">
        <f t="shared" si="38"/>
        <v>#DIV/0!</v>
      </c>
      <c r="R609" s="1" t="e">
        <f t="shared" si="39"/>
        <v>#DIV/0!</v>
      </c>
      <c r="S609" s="1" t="e">
        <f t="shared" si="40"/>
        <v>#DIV/0!</v>
      </c>
    </row>
    <row r="610" spans="1:19" x14ac:dyDescent="0.3">
      <c r="A610"/>
      <c r="B610"/>
      <c r="C610"/>
      <c r="D610"/>
      <c r="E610"/>
      <c r="F610"/>
      <c r="G610"/>
      <c r="H610"/>
      <c r="I610"/>
      <c r="N610"/>
      <c r="O610"/>
      <c r="P610" s="1" t="e">
        <f t="shared" si="37"/>
        <v>#DIV/0!</v>
      </c>
      <c r="Q610" s="1" t="e">
        <f t="shared" si="38"/>
        <v>#DIV/0!</v>
      </c>
      <c r="R610" s="1" t="e">
        <f t="shared" si="39"/>
        <v>#DIV/0!</v>
      </c>
      <c r="S610" s="1" t="e">
        <f t="shared" si="40"/>
        <v>#DIV/0!</v>
      </c>
    </row>
    <row r="611" spans="1:19" x14ac:dyDescent="0.3">
      <c r="A611"/>
      <c r="B611"/>
      <c r="C611"/>
      <c r="D611"/>
      <c r="E611"/>
      <c r="F611"/>
      <c r="G611"/>
      <c r="H611"/>
      <c r="I611"/>
      <c r="N611"/>
      <c r="O611"/>
      <c r="P611" s="1" t="e">
        <f t="shared" si="37"/>
        <v>#DIV/0!</v>
      </c>
      <c r="Q611" s="1" t="e">
        <f t="shared" si="38"/>
        <v>#DIV/0!</v>
      </c>
      <c r="R611" s="1" t="e">
        <f t="shared" si="39"/>
        <v>#DIV/0!</v>
      </c>
      <c r="S611" s="1" t="e">
        <f t="shared" si="40"/>
        <v>#DIV/0!</v>
      </c>
    </row>
    <row r="612" spans="1:19" x14ac:dyDescent="0.3">
      <c r="A612"/>
      <c r="B612"/>
      <c r="C612"/>
      <c r="D612"/>
      <c r="E612"/>
      <c r="F612"/>
      <c r="G612"/>
      <c r="H612"/>
      <c r="I612"/>
      <c r="N612"/>
      <c r="O612"/>
      <c r="P612" s="1" t="e">
        <f t="shared" si="37"/>
        <v>#DIV/0!</v>
      </c>
      <c r="Q612" s="1" t="e">
        <f t="shared" si="38"/>
        <v>#DIV/0!</v>
      </c>
      <c r="R612" s="1" t="e">
        <f t="shared" si="39"/>
        <v>#DIV/0!</v>
      </c>
      <c r="S612" s="1" t="e">
        <f t="shared" si="40"/>
        <v>#DIV/0!</v>
      </c>
    </row>
    <row r="613" spans="1:19" x14ac:dyDescent="0.3">
      <c r="A613"/>
      <c r="B613"/>
      <c r="C613"/>
      <c r="D613"/>
      <c r="E613"/>
      <c r="F613"/>
      <c r="G613"/>
      <c r="H613"/>
      <c r="I613"/>
      <c r="N613"/>
      <c r="O613"/>
      <c r="P613" s="1" t="e">
        <f t="shared" si="37"/>
        <v>#DIV/0!</v>
      </c>
      <c r="Q613" s="1" t="e">
        <f t="shared" si="38"/>
        <v>#DIV/0!</v>
      </c>
      <c r="R613" s="1" t="e">
        <f t="shared" si="39"/>
        <v>#DIV/0!</v>
      </c>
      <c r="S613" s="1" t="e">
        <f t="shared" si="40"/>
        <v>#DIV/0!</v>
      </c>
    </row>
    <row r="614" spans="1:19" x14ac:dyDescent="0.3">
      <c r="A614"/>
      <c r="B614"/>
      <c r="C614"/>
      <c r="D614"/>
      <c r="E614"/>
      <c r="F614"/>
      <c r="G614"/>
      <c r="H614"/>
      <c r="I614"/>
      <c r="N614"/>
      <c r="O614"/>
      <c r="P614" s="1" t="e">
        <f t="shared" si="37"/>
        <v>#DIV/0!</v>
      </c>
      <c r="Q614" s="1" t="e">
        <f t="shared" si="38"/>
        <v>#DIV/0!</v>
      </c>
      <c r="R614" s="1" t="e">
        <f t="shared" si="39"/>
        <v>#DIV/0!</v>
      </c>
      <c r="S614" s="1" t="e">
        <f t="shared" si="40"/>
        <v>#DIV/0!</v>
      </c>
    </row>
    <row r="615" spans="1:19" x14ac:dyDescent="0.3">
      <c r="A615"/>
      <c r="B615"/>
      <c r="C615"/>
      <c r="D615"/>
      <c r="E615"/>
      <c r="F615"/>
      <c r="G615"/>
      <c r="H615"/>
      <c r="I615"/>
      <c r="N615"/>
      <c r="O615"/>
      <c r="P615" s="1" t="e">
        <f t="shared" si="37"/>
        <v>#DIV/0!</v>
      </c>
      <c r="Q615" s="1" t="e">
        <f t="shared" si="38"/>
        <v>#DIV/0!</v>
      </c>
      <c r="R615" s="1" t="e">
        <f t="shared" si="39"/>
        <v>#DIV/0!</v>
      </c>
      <c r="S615" s="1" t="e">
        <f t="shared" si="40"/>
        <v>#DIV/0!</v>
      </c>
    </row>
    <row r="616" spans="1:19" x14ac:dyDescent="0.3">
      <c r="A616"/>
      <c r="B616"/>
      <c r="C616"/>
      <c r="D616"/>
      <c r="E616"/>
      <c r="F616"/>
      <c r="G616"/>
      <c r="H616"/>
      <c r="I616"/>
      <c r="N616"/>
      <c r="O616"/>
      <c r="P616" s="1" t="e">
        <f t="shared" si="37"/>
        <v>#DIV/0!</v>
      </c>
      <c r="Q616" s="1" t="e">
        <f t="shared" si="38"/>
        <v>#DIV/0!</v>
      </c>
      <c r="R616" s="1" t="e">
        <f t="shared" si="39"/>
        <v>#DIV/0!</v>
      </c>
      <c r="S616" s="1" t="e">
        <f t="shared" si="40"/>
        <v>#DIV/0!</v>
      </c>
    </row>
    <row r="617" spans="1:19" x14ac:dyDescent="0.3">
      <c r="A617"/>
      <c r="B617"/>
      <c r="C617"/>
      <c r="D617"/>
      <c r="E617"/>
      <c r="F617"/>
      <c r="G617"/>
      <c r="H617"/>
      <c r="I617"/>
      <c r="N617"/>
      <c r="O617"/>
      <c r="P617" s="1" t="e">
        <f t="shared" si="37"/>
        <v>#DIV/0!</v>
      </c>
      <c r="Q617" s="1" t="e">
        <f t="shared" si="38"/>
        <v>#DIV/0!</v>
      </c>
      <c r="R617" s="1" t="e">
        <f t="shared" si="39"/>
        <v>#DIV/0!</v>
      </c>
      <c r="S617" s="1" t="e">
        <f t="shared" si="40"/>
        <v>#DIV/0!</v>
      </c>
    </row>
    <row r="618" spans="1:19" x14ac:dyDescent="0.3">
      <c r="A618"/>
      <c r="B618"/>
      <c r="C618"/>
      <c r="D618"/>
      <c r="E618"/>
      <c r="F618"/>
      <c r="G618"/>
      <c r="H618"/>
      <c r="I618"/>
      <c r="N618"/>
      <c r="O618"/>
      <c r="P618" s="1" t="e">
        <f t="shared" si="37"/>
        <v>#DIV/0!</v>
      </c>
      <c r="Q618" s="1" t="e">
        <f t="shared" si="38"/>
        <v>#DIV/0!</v>
      </c>
      <c r="R618" s="1" t="e">
        <f t="shared" si="39"/>
        <v>#DIV/0!</v>
      </c>
      <c r="S618" s="1" t="e">
        <f t="shared" si="40"/>
        <v>#DIV/0!</v>
      </c>
    </row>
    <row r="619" spans="1:19" x14ac:dyDescent="0.3">
      <c r="A619"/>
      <c r="B619"/>
      <c r="C619"/>
      <c r="D619"/>
      <c r="E619"/>
      <c r="F619"/>
      <c r="G619"/>
      <c r="H619"/>
      <c r="I619"/>
      <c r="N619"/>
      <c r="O619"/>
      <c r="P619" s="1" t="e">
        <f t="shared" si="37"/>
        <v>#DIV/0!</v>
      </c>
      <c r="Q619" s="1" t="e">
        <f t="shared" si="38"/>
        <v>#DIV/0!</v>
      </c>
      <c r="R619" s="1" t="e">
        <f t="shared" si="39"/>
        <v>#DIV/0!</v>
      </c>
      <c r="S619" s="1" t="e">
        <f t="shared" si="40"/>
        <v>#DIV/0!</v>
      </c>
    </row>
    <row r="620" spans="1:19" x14ac:dyDescent="0.3">
      <c r="A620"/>
      <c r="B620"/>
      <c r="C620"/>
      <c r="D620"/>
      <c r="E620"/>
      <c r="F620"/>
      <c r="G620"/>
      <c r="H620"/>
      <c r="I620"/>
      <c r="N620"/>
      <c r="O620"/>
      <c r="P620" s="1" t="e">
        <f t="shared" si="37"/>
        <v>#DIV/0!</v>
      </c>
      <c r="Q620" s="1" t="e">
        <f t="shared" si="38"/>
        <v>#DIV/0!</v>
      </c>
      <c r="R620" s="1" t="e">
        <f t="shared" si="39"/>
        <v>#DIV/0!</v>
      </c>
      <c r="S620" s="1" t="e">
        <f t="shared" si="40"/>
        <v>#DIV/0!</v>
      </c>
    </row>
    <row r="621" spans="1:19" x14ac:dyDescent="0.3">
      <c r="A621"/>
      <c r="B621"/>
      <c r="C621"/>
      <c r="D621"/>
      <c r="E621"/>
      <c r="F621"/>
      <c r="G621"/>
      <c r="H621"/>
      <c r="I621"/>
      <c r="N621"/>
      <c r="O621"/>
      <c r="P621" s="1" t="e">
        <f t="shared" si="37"/>
        <v>#DIV/0!</v>
      </c>
      <c r="Q621" s="1" t="e">
        <f t="shared" si="38"/>
        <v>#DIV/0!</v>
      </c>
      <c r="R621" s="1" t="e">
        <f t="shared" si="39"/>
        <v>#DIV/0!</v>
      </c>
      <c r="S621" s="1" t="e">
        <f t="shared" si="40"/>
        <v>#DIV/0!</v>
      </c>
    </row>
    <row r="622" spans="1:19" x14ac:dyDescent="0.3">
      <c r="A622"/>
      <c r="B622"/>
      <c r="C622"/>
      <c r="D622"/>
      <c r="E622"/>
      <c r="F622"/>
      <c r="G622"/>
      <c r="H622"/>
      <c r="I622"/>
      <c r="N622"/>
      <c r="O622"/>
      <c r="P622" s="1" t="e">
        <f t="shared" si="37"/>
        <v>#DIV/0!</v>
      </c>
      <c r="Q622" s="1" t="e">
        <f t="shared" si="38"/>
        <v>#DIV/0!</v>
      </c>
      <c r="R622" s="1" t="e">
        <f t="shared" si="39"/>
        <v>#DIV/0!</v>
      </c>
      <c r="S622" s="1" t="e">
        <f t="shared" si="40"/>
        <v>#DIV/0!</v>
      </c>
    </row>
    <row r="623" spans="1:19" x14ac:dyDescent="0.3">
      <c r="A623"/>
      <c r="B623"/>
      <c r="C623"/>
      <c r="D623"/>
      <c r="E623"/>
      <c r="F623"/>
      <c r="G623"/>
      <c r="H623"/>
      <c r="I623"/>
      <c r="N623"/>
      <c r="O623"/>
      <c r="P623" s="1" t="e">
        <f t="shared" si="37"/>
        <v>#DIV/0!</v>
      </c>
      <c r="Q623" s="1" t="e">
        <f t="shared" si="38"/>
        <v>#DIV/0!</v>
      </c>
      <c r="R623" s="1" t="e">
        <f t="shared" si="39"/>
        <v>#DIV/0!</v>
      </c>
      <c r="S623" s="1" t="e">
        <f t="shared" si="40"/>
        <v>#DIV/0!</v>
      </c>
    </row>
    <row r="624" spans="1:19" x14ac:dyDescent="0.3">
      <c r="A624"/>
      <c r="B624"/>
      <c r="C624"/>
      <c r="D624"/>
      <c r="E624"/>
      <c r="F624"/>
      <c r="G624"/>
      <c r="H624"/>
      <c r="I624"/>
      <c r="N624"/>
      <c r="O624"/>
      <c r="P624" s="1" t="e">
        <f t="shared" si="37"/>
        <v>#DIV/0!</v>
      </c>
      <c r="Q624" s="1" t="e">
        <f t="shared" si="38"/>
        <v>#DIV/0!</v>
      </c>
      <c r="R624" s="1" t="e">
        <f t="shared" si="39"/>
        <v>#DIV/0!</v>
      </c>
      <c r="S624" s="1" t="e">
        <f t="shared" si="40"/>
        <v>#DIV/0!</v>
      </c>
    </row>
    <row r="625" spans="1:19" x14ac:dyDescent="0.3">
      <c r="A625"/>
      <c r="B625"/>
      <c r="C625"/>
      <c r="D625"/>
      <c r="E625"/>
      <c r="F625"/>
      <c r="G625"/>
      <c r="H625"/>
      <c r="I625"/>
      <c r="N625"/>
      <c r="O625"/>
      <c r="P625" s="1" t="e">
        <f t="shared" si="37"/>
        <v>#DIV/0!</v>
      </c>
      <c r="Q625" s="1" t="e">
        <f t="shared" si="38"/>
        <v>#DIV/0!</v>
      </c>
      <c r="R625" s="1" t="e">
        <f t="shared" si="39"/>
        <v>#DIV/0!</v>
      </c>
      <c r="S625" s="1" t="e">
        <f t="shared" si="40"/>
        <v>#DIV/0!</v>
      </c>
    </row>
    <row r="626" spans="1:19" x14ac:dyDescent="0.3">
      <c r="A626"/>
      <c r="B626"/>
      <c r="C626"/>
      <c r="D626"/>
      <c r="E626"/>
      <c r="F626"/>
      <c r="G626"/>
      <c r="H626"/>
      <c r="I626"/>
      <c r="N626"/>
      <c r="O626"/>
      <c r="P626" s="1" t="e">
        <f t="shared" si="37"/>
        <v>#DIV/0!</v>
      </c>
      <c r="Q626" s="1" t="e">
        <f t="shared" si="38"/>
        <v>#DIV/0!</v>
      </c>
      <c r="R626" s="1" t="e">
        <f t="shared" si="39"/>
        <v>#DIV/0!</v>
      </c>
      <c r="S626" s="1" t="e">
        <f t="shared" si="40"/>
        <v>#DIV/0!</v>
      </c>
    </row>
    <row r="627" spans="1:19" x14ac:dyDescent="0.3">
      <c r="A627"/>
      <c r="B627"/>
      <c r="C627"/>
      <c r="D627"/>
      <c r="E627"/>
      <c r="F627"/>
      <c r="G627"/>
      <c r="H627"/>
      <c r="I627"/>
      <c r="N627"/>
      <c r="O627"/>
      <c r="P627" s="1" t="e">
        <f t="shared" si="37"/>
        <v>#DIV/0!</v>
      </c>
      <c r="Q627" s="1" t="e">
        <f t="shared" si="38"/>
        <v>#DIV/0!</v>
      </c>
      <c r="R627" s="1" t="e">
        <f t="shared" si="39"/>
        <v>#DIV/0!</v>
      </c>
      <c r="S627" s="1" t="e">
        <f t="shared" si="40"/>
        <v>#DIV/0!</v>
      </c>
    </row>
    <row r="628" spans="1:19" x14ac:dyDescent="0.3">
      <c r="A628"/>
      <c r="B628"/>
      <c r="C628"/>
      <c r="D628"/>
      <c r="E628"/>
      <c r="F628"/>
      <c r="G628"/>
      <c r="H628"/>
      <c r="I628"/>
      <c r="N628"/>
      <c r="O628"/>
      <c r="P628" s="1" t="e">
        <f t="shared" si="37"/>
        <v>#DIV/0!</v>
      </c>
      <c r="Q628" s="1" t="e">
        <f t="shared" si="38"/>
        <v>#DIV/0!</v>
      </c>
      <c r="R628" s="1" t="e">
        <f t="shared" si="39"/>
        <v>#DIV/0!</v>
      </c>
      <c r="S628" s="1" t="e">
        <f t="shared" si="40"/>
        <v>#DIV/0!</v>
      </c>
    </row>
    <row r="629" spans="1:19" x14ac:dyDescent="0.3">
      <c r="A629"/>
      <c r="B629"/>
      <c r="C629"/>
      <c r="D629"/>
      <c r="E629"/>
      <c r="F629"/>
      <c r="G629"/>
      <c r="H629"/>
      <c r="I629"/>
      <c r="N629"/>
      <c r="O629"/>
      <c r="P629" s="1" t="e">
        <f t="shared" si="37"/>
        <v>#DIV/0!</v>
      </c>
      <c r="Q629" s="1" t="e">
        <f t="shared" si="38"/>
        <v>#DIV/0!</v>
      </c>
      <c r="R629" s="1" t="e">
        <f t="shared" si="39"/>
        <v>#DIV/0!</v>
      </c>
      <c r="S629" s="1" t="e">
        <f t="shared" si="40"/>
        <v>#DIV/0!</v>
      </c>
    </row>
    <row r="630" spans="1:19" x14ac:dyDescent="0.3">
      <c r="A630"/>
      <c r="B630"/>
      <c r="C630"/>
      <c r="D630"/>
      <c r="E630"/>
      <c r="F630"/>
      <c r="G630"/>
      <c r="H630"/>
      <c r="I630"/>
      <c r="N630"/>
      <c r="O630"/>
      <c r="P630" s="1" t="e">
        <f t="shared" si="37"/>
        <v>#DIV/0!</v>
      </c>
      <c r="Q630" s="1" t="e">
        <f t="shared" si="38"/>
        <v>#DIV/0!</v>
      </c>
      <c r="R630" s="1" t="e">
        <f t="shared" si="39"/>
        <v>#DIV/0!</v>
      </c>
      <c r="S630" s="1" t="e">
        <f t="shared" si="40"/>
        <v>#DIV/0!</v>
      </c>
    </row>
    <row r="631" spans="1:19" x14ac:dyDescent="0.3">
      <c r="A631"/>
      <c r="B631"/>
      <c r="C631"/>
      <c r="D631"/>
      <c r="E631"/>
      <c r="F631"/>
      <c r="G631"/>
      <c r="H631"/>
      <c r="I631"/>
      <c r="N631"/>
      <c r="O631"/>
      <c r="P631" s="1" t="e">
        <f t="shared" si="37"/>
        <v>#DIV/0!</v>
      </c>
      <c r="Q631" s="1" t="e">
        <f t="shared" si="38"/>
        <v>#DIV/0!</v>
      </c>
      <c r="R631" s="1" t="e">
        <f t="shared" si="39"/>
        <v>#DIV/0!</v>
      </c>
      <c r="S631" s="1" t="e">
        <f t="shared" si="40"/>
        <v>#DIV/0!</v>
      </c>
    </row>
    <row r="632" spans="1:19" x14ac:dyDescent="0.3">
      <c r="A632"/>
      <c r="B632"/>
      <c r="C632"/>
      <c r="D632"/>
      <c r="E632"/>
      <c r="F632"/>
      <c r="G632"/>
      <c r="H632"/>
      <c r="I632"/>
      <c r="N632"/>
      <c r="O632"/>
      <c r="P632" s="1" t="e">
        <f t="shared" si="37"/>
        <v>#DIV/0!</v>
      </c>
      <c r="Q632" s="1" t="e">
        <f t="shared" si="38"/>
        <v>#DIV/0!</v>
      </c>
      <c r="R632" s="1" t="e">
        <f t="shared" si="39"/>
        <v>#DIV/0!</v>
      </c>
      <c r="S632" s="1" t="e">
        <f t="shared" si="40"/>
        <v>#DIV/0!</v>
      </c>
    </row>
    <row r="633" spans="1:19" x14ac:dyDescent="0.3">
      <c r="A633"/>
      <c r="B633"/>
      <c r="C633"/>
      <c r="D633"/>
      <c r="E633"/>
      <c r="F633"/>
      <c r="G633"/>
      <c r="H633"/>
      <c r="I633"/>
      <c r="N633"/>
      <c r="O633"/>
      <c r="P633" s="1" t="e">
        <f t="shared" si="37"/>
        <v>#DIV/0!</v>
      </c>
      <c r="Q633" s="1" t="e">
        <f t="shared" si="38"/>
        <v>#DIV/0!</v>
      </c>
      <c r="R633" s="1" t="e">
        <f t="shared" si="39"/>
        <v>#DIV/0!</v>
      </c>
      <c r="S633" s="1" t="e">
        <f t="shared" si="40"/>
        <v>#DIV/0!</v>
      </c>
    </row>
    <row r="634" spans="1:19" x14ac:dyDescent="0.3">
      <c r="A634"/>
      <c r="B634"/>
      <c r="C634"/>
      <c r="D634"/>
      <c r="E634"/>
      <c r="F634"/>
      <c r="G634"/>
      <c r="H634"/>
      <c r="I634"/>
      <c r="N634"/>
      <c r="O634"/>
      <c r="P634" s="1" t="e">
        <f t="shared" si="37"/>
        <v>#DIV/0!</v>
      </c>
      <c r="Q634" s="1" t="e">
        <f t="shared" si="38"/>
        <v>#DIV/0!</v>
      </c>
      <c r="R634" s="1" t="e">
        <f t="shared" si="39"/>
        <v>#DIV/0!</v>
      </c>
      <c r="S634" s="1" t="e">
        <f t="shared" si="40"/>
        <v>#DIV/0!</v>
      </c>
    </row>
    <row r="635" spans="1:19" x14ac:dyDescent="0.3">
      <c r="A635"/>
      <c r="B635"/>
      <c r="C635"/>
      <c r="D635"/>
      <c r="E635"/>
      <c r="F635"/>
      <c r="G635"/>
      <c r="H635"/>
      <c r="I635"/>
      <c r="N635"/>
      <c r="O635"/>
      <c r="P635" s="1" t="e">
        <f t="shared" si="37"/>
        <v>#DIV/0!</v>
      </c>
      <c r="Q635" s="1" t="e">
        <f t="shared" si="38"/>
        <v>#DIV/0!</v>
      </c>
      <c r="R635" s="1" t="e">
        <f t="shared" si="39"/>
        <v>#DIV/0!</v>
      </c>
      <c r="S635" s="1" t="e">
        <f t="shared" si="40"/>
        <v>#DIV/0!</v>
      </c>
    </row>
    <row r="636" spans="1:19" x14ac:dyDescent="0.3">
      <c r="A636"/>
      <c r="B636"/>
      <c r="C636"/>
      <c r="D636"/>
      <c r="E636"/>
      <c r="F636"/>
      <c r="G636"/>
      <c r="H636"/>
      <c r="I636"/>
      <c r="N636"/>
      <c r="O636"/>
      <c r="P636" s="1" t="e">
        <f t="shared" si="37"/>
        <v>#DIV/0!</v>
      </c>
      <c r="Q636" s="1" t="e">
        <f t="shared" si="38"/>
        <v>#DIV/0!</v>
      </c>
      <c r="R636" s="1" t="e">
        <f t="shared" si="39"/>
        <v>#DIV/0!</v>
      </c>
      <c r="S636" s="1" t="e">
        <f t="shared" si="40"/>
        <v>#DIV/0!</v>
      </c>
    </row>
    <row r="637" spans="1:19" x14ac:dyDescent="0.3">
      <c r="A637"/>
      <c r="B637"/>
      <c r="C637"/>
      <c r="D637"/>
      <c r="E637"/>
      <c r="F637"/>
      <c r="G637"/>
      <c r="H637"/>
      <c r="I637"/>
      <c r="N637"/>
      <c r="O637"/>
      <c r="P637" s="1" t="e">
        <f t="shared" si="37"/>
        <v>#DIV/0!</v>
      </c>
      <c r="Q637" s="1" t="e">
        <f t="shared" si="38"/>
        <v>#DIV/0!</v>
      </c>
      <c r="R637" s="1" t="e">
        <f t="shared" si="39"/>
        <v>#DIV/0!</v>
      </c>
      <c r="S637" s="1" t="e">
        <f t="shared" si="40"/>
        <v>#DIV/0!</v>
      </c>
    </row>
    <row r="638" spans="1:19" x14ac:dyDescent="0.3">
      <c r="A638"/>
      <c r="B638"/>
      <c r="C638"/>
      <c r="D638"/>
      <c r="E638"/>
      <c r="F638"/>
      <c r="G638"/>
      <c r="H638"/>
      <c r="I638"/>
      <c r="N638"/>
      <c r="O638"/>
      <c r="P638" s="1" t="e">
        <f t="shared" si="37"/>
        <v>#DIV/0!</v>
      </c>
      <c r="Q638" s="1" t="e">
        <f t="shared" si="38"/>
        <v>#DIV/0!</v>
      </c>
      <c r="R638" s="1" t="e">
        <f t="shared" si="39"/>
        <v>#DIV/0!</v>
      </c>
      <c r="S638" s="1" t="e">
        <f t="shared" si="40"/>
        <v>#DIV/0!</v>
      </c>
    </row>
    <row r="639" spans="1:19" x14ac:dyDescent="0.3">
      <c r="A639"/>
      <c r="B639"/>
      <c r="C639"/>
      <c r="D639"/>
      <c r="E639"/>
      <c r="F639"/>
      <c r="G639"/>
      <c r="H639"/>
      <c r="I639"/>
      <c r="N639"/>
      <c r="O639"/>
      <c r="P639" s="1" t="e">
        <f t="shared" si="37"/>
        <v>#DIV/0!</v>
      </c>
      <c r="Q639" s="1" t="e">
        <f t="shared" si="38"/>
        <v>#DIV/0!</v>
      </c>
      <c r="R639" s="1" t="e">
        <f t="shared" si="39"/>
        <v>#DIV/0!</v>
      </c>
      <c r="S639" s="1" t="e">
        <f t="shared" si="40"/>
        <v>#DIV/0!</v>
      </c>
    </row>
    <row r="640" spans="1:19" x14ac:dyDescent="0.3">
      <c r="A640"/>
      <c r="B640"/>
      <c r="C640"/>
      <c r="D640"/>
      <c r="E640"/>
      <c r="F640"/>
      <c r="G640"/>
      <c r="H640"/>
      <c r="I640"/>
      <c r="N640"/>
      <c r="O640"/>
      <c r="P640" s="1" t="e">
        <f t="shared" si="37"/>
        <v>#DIV/0!</v>
      </c>
      <c r="Q640" s="1" t="e">
        <f t="shared" si="38"/>
        <v>#DIV/0!</v>
      </c>
      <c r="R640" s="1" t="e">
        <f t="shared" si="39"/>
        <v>#DIV/0!</v>
      </c>
      <c r="S640" s="1" t="e">
        <f t="shared" si="40"/>
        <v>#DIV/0!</v>
      </c>
    </row>
    <row r="641" spans="1:19" x14ac:dyDescent="0.3">
      <c r="A641"/>
      <c r="B641"/>
      <c r="C641"/>
      <c r="D641"/>
      <c r="E641"/>
      <c r="F641"/>
      <c r="G641"/>
      <c r="H641"/>
      <c r="I641"/>
      <c r="N641"/>
      <c r="O641"/>
      <c r="P641" s="1" t="e">
        <f t="shared" si="37"/>
        <v>#DIV/0!</v>
      </c>
      <c r="Q641" s="1" t="e">
        <f t="shared" si="38"/>
        <v>#DIV/0!</v>
      </c>
      <c r="R641" s="1" t="e">
        <f t="shared" si="39"/>
        <v>#DIV/0!</v>
      </c>
      <c r="S641" s="1" t="e">
        <f t="shared" si="40"/>
        <v>#DIV/0!</v>
      </c>
    </row>
    <row r="642" spans="1:19" x14ac:dyDescent="0.3">
      <c r="A642"/>
      <c r="B642"/>
      <c r="C642"/>
      <c r="D642"/>
      <c r="E642"/>
      <c r="F642"/>
      <c r="G642"/>
      <c r="H642"/>
      <c r="I642"/>
      <c r="N642"/>
      <c r="O642"/>
      <c r="P642" s="1" t="e">
        <f t="shared" si="37"/>
        <v>#DIV/0!</v>
      </c>
      <c r="Q642" s="1" t="e">
        <f t="shared" si="38"/>
        <v>#DIV/0!</v>
      </c>
      <c r="R642" s="1" t="e">
        <f t="shared" si="39"/>
        <v>#DIV/0!</v>
      </c>
      <c r="S642" s="1" t="e">
        <f t="shared" si="40"/>
        <v>#DIV/0!</v>
      </c>
    </row>
    <row r="643" spans="1:19" x14ac:dyDescent="0.3">
      <c r="A643"/>
      <c r="B643"/>
      <c r="C643"/>
      <c r="D643"/>
      <c r="E643"/>
      <c r="F643"/>
      <c r="G643"/>
      <c r="H643"/>
      <c r="I643"/>
      <c r="N643"/>
      <c r="O643"/>
      <c r="P643" s="1" t="e">
        <f t="shared" si="37"/>
        <v>#DIV/0!</v>
      </c>
      <c r="Q643" s="1" t="e">
        <f t="shared" si="38"/>
        <v>#DIV/0!</v>
      </c>
      <c r="R643" s="1" t="e">
        <f t="shared" si="39"/>
        <v>#DIV/0!</v>
      </c>
      <c r="S643" s="1" t="e">
        <f t="shared" si="40"/>
        <v>#DIV/0!</v>
      </c>
    </row>
    <row r="644" spans="1:19" x14ac:dyDescent="0.3">
      <c r="A644"/>
      <c r="B644"/>
      <c r="C644"/>
      <c r="D644"/>
      <c r="E644"/>
      <c r="F644"/>
      <c r="G644"/>
      <c r="H644"/>
      <c r="I644"/>
      <c r="N644"/>
      <c r="O644"/>
      <c r="P644" s="1" t="e">
        <f t="shared" si="37"/>
        <v>#DIV/0!</v>
      </c>
      <c r="Q644" s="1" t="e">
        <f t="shared" si="38"/>
        <v>#DIV/0!</v>
      </c>
      <c r="R644" s="1" t="e">
        <f t="shared" si="39"/>
        <v>#DIV/0!</v>
      </c>
      <c r="S644" s="1" t="e">
        <f t="shared" si="40"/>
        <v>#DIV/0!</v>
      </c>
    </row>
    <row r="645" spans="1:19" x14ac:dyDescent="0.3">
      <c r="A645"/>
      <c r="B645"/>
      <c r="C645"/>
      <c r="D645"/>
      <c r="E645"/>
      <c r="F645"/>
      <c r="G645"/>
      <c r="H645"/>
      <c r="I645"/>
      <c r="N645"/>
      <c r="O645"/>
      <c r="P645" s="1" t="e">
        <f t="shared" si="37"/>
        <v>#DIV/0!</v>
      </c>
      <c r="Q645" s="1" t="e">
        <f t="shared" si="38"/>
        <v>#DIV/0!</v>
      </c>
      <c r="R645" s="1" t="e">
        <f t="shared" si="39"/>
        <v>#DIV/0!</v>
      </c>
      <c r="S645" s="1" t="e">
        <f t="shared" si="40"/>
        <v>#DIV/0!</v>
      </c>
    </row>
    <row r="646" spans="1:19" x14ac:dyDescent="0.3">
      <c r="A646"/>
      <c r="B646"/>
      <c r="C646"/>
      <c r="D646"/>
      <c r="E646"/>
      <c r="F646"/>
      <c r="G646"/>
      <c r="H646"/>
      <c r="I646"/>
      <c r="N646"/>
      <c r="O646"/>
      <c r="P646" s="1" t="e">
        <f t="shared" si="37"/>
        <v>#DIV/0!</v>
      </c>
      <c r="Q646" s="1" t="e">
        <f t="shared" si="38"/>
        <v>#DIV/0!</v>
      </c>
      <c r="R646" s="1" t="e">
        <f t="shared" si="39"/>
        <v>#DIV/0!</v>
      </c>
      <c r="S646" s="1" t="e">
        <f t="shared" si="40"/>
        <v>#DIV/0!</v>
      </c>
    </row>
    <row r="647" spans="1:19" x14ac:dyDescent="0.3">
      <c r="A647"/>
      <c r="B647"/>
      <c r="C647"/>
      <c r="D647"/>
      <c r="E647"/>
      <c r="F647"/>
      <c r="G647"/>
      <c r="H647"/>
      <c r="I647"/>
      <c r="N647"/>
      <c r="O647"/>
      <c r="P647" s="1" t="e">
        <f t="shared" si="37"/>
        <v>#DIV/0!</v>
      </c>
      <c r="Q647" s="1" t="e">
        <f t="shared" si="38"/>
        <v>#DIV/0!</v>
      </c>
      <c r="R647" s="1" t="e">
        <f t="shared" si="39"/>
        <v>#DIV/0!</v>
      </c>
      <c r="S647" s="1" t="e">
        <f t="shared" si="40"/>
        <v>#DIV/0!</v>
      </c>
    </row>
    <row r="648" spans="1:19" x14ac:dyDescent="0.3">
      <c r="A648"/>
      <c r="B648"/>
      <c r="C648"/>
      <c r="D648"/>
      <c r="E648"/>
      <c r="F648"/>
      <c r="G648"/>
      <c r="H648"/>
      <c r="I648"/>
      <c r="N648"/>
      <c r="O648"/>
      <c r="P648" s="1" t="e">
        <f t="shared" si="37"/>
        <v>#DIV/0!</v>
      </c>
      <c r="Q648" s="1" t="e">
        <f t="shared" si="38"/>
        <v>#DIV/0!</v>
      </c>
      <c r="R648" s="1" t="e">
        <f t="shared" si="39"/>
        <v>#DIV/0!</v>
      </c>
      <c r="S648" s="1" t="e">
        <f t="shared" si="40"/>
        <v>#DIV/0!</v>
      </c>
    </row>
    <row r="649" spans="1:19" x14ac:dyDescent="0.3">
      <c r="A649"/>
      <c r="B649"/>
      <c r="C649"/>
      <c r="D649"/>
      <c r="E649"/>
      <c r="F649"/>
      <c r="G649"/>
      <c r="H649"/>
      <c r="I649"/>
      <c r="N649"/>
      <c r="O649"/>
      <c r="P649" s="1" t="e">
        <f t="shared" si="37"/>
        <v>#DIV/0!</v>
      </c>
      <c r="Q649" s="1" t="e">
        <f t="shared" si="38"/>
        <v>#DIV/0!</v>
      </c>
      <c r="R649" s="1" t="e">
        <f t="shared" si="39"/>
        <v>#DIV/0!</v>
      </c>
      <c r="S649" s="1" t="e">
        <f t="shared" si="40"/>
        <v>#DIV/0!</v>
      </c>
    </row>
    <row r="650" spans="1:19" x14ac:dyDescent="0.3">
      <c r="A650"/>
      <c r="B650"/>
      <c r="C650"/>
      <c r="D650"/>
      <c r="E650"/>
      <c r="F650"/>
      <c r="G650"/>
      <c r="H650"/>
      <c r="I650"/>
      <c r="N650"/>
      <c r="O650"/>
      <c r="P650" s="1" t="e">
        <f t="shared" si="37"/>
        <v>#DIV/0!</v>
      </c>
      <c r="Q650" s="1" t="e">
        <f t="shared" si="38"/>
        <v>#DIV/0!</v>
      </c>
      <c r="R650" s="1" t="e">
        <f t="shared" si="39"/>
        <v>#DIV/0!</v>
      </c>
      <c r="S650" s="1" t="e">
        <f t="shared" si="40"/>
        <v>#DIV/0!</v>
      </c>
    </row>
    <row r="651" spans="1:19" x14ac:dyDescent="0.3">
      <c r="A651"/>
      <c r="B651"/>
      <c r="C651"/>
      <c r="D651"/>
      <c r="E651"/>
      <c r="F651"/>
      <c r="G651"/>
      <c r="H651"/>
      <c r="I651"/>
      <c r="N651"/>
      <c r="O651"/>
      <c r="P651" s="1" t="e">
        <f t="shared" si="37"/>
        <v>#DIV/0!</v>
      </c>
      <c r="Q651" s="1" t="e">
        <f t="shared" si="38"/>
        <v>#DIV/0!</v>
      </c>
      <c r="R651" s="1" t="e">
        <f t="shared" si="39"/>
        <v>#DIV/0!</v>
      </c>
      <c r="S651" s="1" t="e">
        <f t="shared" si="40"/>
        <v>#DIV/0!</v>
      </c>
    </row>
    <row r="652" spans="1:19" x14ac:dyDescent="0.3">
      <c r="A652"/>
      <c r="B652"/>
      <c r="C652"/>
      <c r="D652"/>
      <c r="E652"/>
      <c r="F652"/>
      <c r="G652"/>
      <c r="H652"/>
      <c r="I652"/>
      <c r="N652"/>
      <c r="O652"/>
      <c r="P652" s="1" t="e">
        <f t="shared" si="37"/>
        <v>#DIV/0!</v>
      </c>
      <c r="Q652" s="1" t="e">
        <f t="shared" si="38"/>
        <v>#DIV/0!</v>
      </c>
      <c r="R652" s="1" t="e">
        <f t="shared" si="39"/>
        <v>#DIV/0!</v>
      </c>
      <c r="S652" s="1" t="e">
        <f t="shared" si="40"/>
        <v>#DIV/0!</v>
      </c>
    </row>
    <row r="653" spans="1:19" x14ac:dyDescent="0.3">
      <c r="A653"/>
      <c r="B653"/>
      <c r="C653"/>
      <c r="D653"/>
      <c r="E653"/>
      <c r="F653"/>
      <c r="G653"/>
      <c r="H653"/>
      <c r="I653"/>
      <c r="N653"/>
      <c r="O653"/>
      <c r="P653" s="1" t="e">
        <f t="shared" si="37"/>
        <v>#DIV/0!</v>
      </c>
      <c r="Q653" s="1" t="e">
        <f t="shared" si="38"/>
        <v>#DIV/0!</v>
      </c>
      <c r="R653" s="1" t="e">
        <f t="shared" si="39"/>
        <v>#DIV/0!</v>
      </c>
      <c r="S653" s="1" t="e">
        <f t="shared" si="40"/>
        <v>#DIV/0!</v>
      </c>
    </row>
    <row r="654" spans="1:19" x14ac:dyDescent="0.3">
      <c r="A654"/>
      <c r="B654"/>
      <c r="C654"/>
      <c r="D654"/>
      <c r="E654"/>
      <c r="F654"/>
      <c r="G654"/>
      <c r="H654"/>
      <c r="I654"/>
      <c r="N654"/>
      <c r="O654"/>
      <c r="P654" s="1" t="e">
        <f t="shared" si="37"/>
        <v>#DIV/0!</v>
      </c>
      <c r="Q654" s="1" t="e">
        <f t="shared" si="38"/>
        <v>#DIV/0!</v>
      </c>
      <c r="R654" s="1" t="e">
        <f t="shared" si="39"/>
        <v>#DIV/0!</v>
      </c>
      <c r="S654" s="1" t="e">
        <f t="shared" si="40"/>
        <v>#DIV/0!</v>
      </c>
    </row>
    <row r="655" spans="1:19" x14ac:dyDescent="0.3">
      <c r="A655"/>
      <c r="B655"/>
      <c r="C655"/>
      <c r="D655"/>
      <c r="E655"/>
      <c r="F655"/>
      <c r="G655"/>
      <c r="H655"/>
      <c r="I655"/>
      <c r="N655"/>
      <c r="O655"/>
      <c r="P655" s="1" t="e">
        <f t="shared" si="37"/>
        <v>#DIV/0!</v>
      </c>
      <c r="Q655" s="1" t="e">
        <f t="shared" si="38"/>
        <v>#DIV/0!</v>
      </c>
      <c r="R655" s="1" t="e">
        <f t="shared" si="39"/>
        <v>#DIV/0!</v>
      </c>
      <c r="S655" s="1" t="e">
        <f t="shared" si="40"/>
        <v>#DIV/0!</v>
      </c>
    </row>
    <row r="656" spans="1:19" x14ac:dyDescent="0.3">
      <c r="A656"/>
      <c r="B656"/>
      <c r="C656"/>
      <c r="D656"/>
      <c r="E656"/>
      <c r="F656"/>
      <c r="G656"/>
      <c r="H656"/>
      <c r="I656"/>
      <c r="N656"/>
      <c r="O656"/>
      <c r="P656" s="1" t="e">
        <f t="shared" si="37"/>
        <v>#DIV/0!</v>
      </c>
      <c r="Q656" s="1" t="e">
        <f t="shared" si="38"/>
        <v>#DIV/0!</v>
      </c>
      <c r="R656" s="1" t="e">
        <f t="shared" si="39"/>
        <v>#DIV/0!</v>
      </c>
      <c r="S656" s="1" t="e">
        <f t="shared" si="40"/>
        <v>#DIV/0!</v>
      </c>
    </row>
    <row r="657" spans="1:19" x14ac:dyDescent="0.3">
      <c r="A657"/>
      <c r="B657"/>
      <c r="C657"/>
      <c r="D657"/>
      <c r="E657"/>
      <c r="F657"/>
      <c r="G657"/>
      <c r="H657"/>
      <c r="I657"/>
      <c r="N657"/>
      <c r="O657"/>
      <c r="P657" s="1" t="e">
        <f t="shared" si="37"/>
        <v>#DIV/0!</v>
      </c>
      <c r="Q657" s="1" t="e">
        <f t="shared" si="38"/>
        <v>#DIV/0!</v>
      </c>
      <c r="R657" s="1" t="e">
        <f t="shared" si="39"/>
        <v>#DIV/0!</v>
      </c>
      <c r="S657" s="1" t="e">
        <f t="shared" si="40"/>
        <v>#DIV/0!</v>
      </c>
    </row>
    <row r="658" spans="1:19" x14ac:dyDescent="0.3">
      <c r="A658"/>
      <c r="B658"/>
      <c r="C658"/>
      <c r="D658"/>
      <c r="E658"/>
      <c r="F658"/>
      <c r="G658"/>
      <c r="H658"/>
      <c r="I658"/>
      <c r="N658"/>
      <c r="O658"/>
      <c r="P658" s="1" t="e">
        <f t="shared" si="37"/>
        <v>#DIV/0!</v>
      </c>
      <c r="Q658" s="1" t="e">
        <f t="shared" si="38"/>
        <v>#DIV/0!</v>
      </c>
      <c r="R658" s="1" t="e">
        <f t="shared" si="39"/>
        <v>#DIV/0!</v>
      </c>
      <c r="S658" s="1" t="e">
        <f t="shared" si="40"/>
        <v>#DIV/0!</v>
      </c>
    </row>
    <row r="659" spans="1:19" x14ac:dyDescent="0.3">
      <c r="A659"/>
      <c r="B659"/>
      <c r="C659"/>
      <c r="D659"/>
      <c r="E659"/>
      <c r="F659"/>
      <c r="G659"/>
      <c r="H659"/>
      <c r="I659"/>
      <c r="N659"/>
      <c r="O659"/>
      <c r="P659" s="1" t="e">
        <f t="shared" si="37"/>
        <v>#DIV/0!</v>
      </c>
      <c r="Q659" s="1" t="e">
        <f t="shared" si="38"/>
        <v>#DIV/0!</v>
      </c>
      <c r="R659" s="1" t="e">
        <f t="shared" si="39"/>
        <v>#DIV/0!</v>
      </c>
      <c r="S659" s="1" t="e">
        <f t="shared" si="40"/>
        <v>#DIV/0!</v>
      </c>
    </row>
    <row r="660" spans="1:19" x14ac:dyDescent="0.3">
      <c r="A660"/>
      <c r="B660"/>
      <c r="C660"/>
      <c r="D660"/>
      <c r="E660"/>
      <c r="F660"/>
      <c r="G660"/>
      <c r="H660"/>
      <c r="I660"/>
      <c r="N660"/>
      <c r="O660"/>
      <c r="P660" s="1" t="e">
        <f t="shared" si="37"/>
        <v>#DIV/0!</v>
      </c>
      <c r="Q660" s="1" t="e">
        <f t="shared" si="38"/>
        <v>#DIV/0!</v>
      </c>
      <c r="R660" s="1" t="e">
        <f t="shared" si="39"/>
        <v>#DIV/0!</v>
      </c>
      <c r="S660" s="1" t="e">
        <f t="shared" si="40"/>
        <v>#DIV/0!</v>
      </c>
    </row>
    <row r="661" spans="1:19" x14ac:dyDescent="0.3">
      <c r="A661"/>
      <c r="B661"/>
      <c r="C661"/>
      <c r="D661"/>
      <c r="E661"/>
      <c r="F661"/>
      <c r="G661"/>
      <c r="H661"/>
      <c r="I661"/>
      <c r="N661"/>
      <c r="O661"/>
      <c r="P661" s="1" t="e">
        <f t="shared" si="37"/>
        <v>#DIV/0!</v>
      </c>
      <c r="Q661" s="1" t="e">
        <f t="shared" si="38"/>
        <v>#DIV/0!</v>
      </c>
      <c r="R661" s="1" t="e">
        <f t="shared" si="39"/>
        <v>#DIV/0!</v>
      </c>
      <c r="S661" s="1" t="e">
        <f t="shared" si="40"/>
        <v>#DIV/0!</v>
      </c>
    </row>
    <row r="662" spans="1:19" x14ac:dyDescent="0.3">
      <c r="A662"/>
      <c r="B662"/>
      <c r="C662"/>
      <c r="D662"/>
      <c r="E662"/>
      <c r="F662"/>
      <c r="G662"/>
      <c r="H662"/>
      <c r="I662"/>
      <c r="N662"/>
      <c r="O662"/>
      <c r="P662" s="1" t="e">
        <f t="shared" si="37"/>
        <v>#DIV/0!</v>
      </c>
      <c r="Q662" s="1" t="e">
        <f t="shared" si="38"/>
        <v>#DIV/0!</v>
      </c>
      <c r="R662" s="1" t="e">
        <f t="shared" si="39"/>
        <v>#DIV/0!</v>
      </c>
      <c r="S662" s="1" t="e">
        <f t="shared" si="40"/>
        <v>#DIV/0!</v>
      </c>
    </row>
    <row r="663" spans="1:19" x14ac:dyDescent="0.3">
      <c r="A663"/>
      <c r="B663"/>
      <c r="C663"/>
      <c r="D663"/>
      <c r="E663"/>
      <c r="F663"/>
      <c r="G663"/>
      <c r="H663"/>
      <c r="I663"/>
      <c r="N663"/>
      <c r="O663"/>
      <c r="P663" s="1" t="e">
        <f t="shared" si="37"/>
        <v>#DIV/0!</v>
      </c>
      <c r="Q663" s="1" t="e">
        <f t="shared" si="38"/>
        <v>#DIV/0!</v>
      </c>
      <c r="R663" s="1" t="e">
        <f t="shared" si="39"/>
        <v>#DIV/0!</v>
      </c>
      <c r="S663" s="1" t="e">
        <f t="shared" si="40"/>
        <v>#DIV/0!</v>
      </c>
    </row>
    <row r="664" spans="1:19" x14ac:dyDescent="0.3">
      <c r="A664"/>
      <c r="B664"/>
      <c r="C664"/>
      <c r="D664"/>
      <c r="E664"/>
      <c r="F664"/>
      <c r="G664"/>
      <c r="H664"/>
      <c r="I664"/>
      <c r="N664"/>
      <c r="O664"/>
      <c r="P664" s="1" t="e">
        <f t="shared" si="37"/>
        <v>#DIV/0!</v>
      </c>
      <c r="Q664" s="1" t="e">
        <f t="shared" si="38"/>
        <v>#DIV/0!</v>
      </c>
      <c r="R664" s="1" t="e">
        <f t="shared" si="39"/>
        <v>#DIV/0!</v>
      </c>
      <c r="S664" s="1" t="e">
        <f t="shared" si="40"/>
        <v>#DIV/0!</v>
      </c>
    </row>
    <row r="665" spans="1:19" x14ac:dyDescent="0.3">
      <c r="A665"/>
      <c r="B665"/>
      <c r="C665"/>
      <c r="D665"/>
      <c r="E665"/>
      <c r="F665"/>
      <c r="G665"/>
      <c r="H665"/>
      <c r="I665"/>
      <c r="N665"/>
      <c r="O665"/>
      <c r="P665" s="1" t="e">
        <f t="shared" si="37"/>
        <v>#DIV/0!</v>
      </c>
      <c r="Q665" s="1" t="e">
        <f t="shared" si="38"/>
        <v>#DIV/0!</v>
      </c>
      <c r="R665" s="1" t="e">
        <f t="shared" si="39"/>
        <v>#DIV/0!</v>
      </c>
      <c r="S665" s="1" t="e">
        <f t="shared" si="40"/>
        <v>#DIV/0!</v>
      </c>
    </row>
    <row r="666" spans="1:19" x14ac:dyDescent="0.3">
      <c r="A666"/>
      <c r="B666"/>
      <c r="C666"/>
      <c r="D666"/>
      <c r="E666"/>
      <c r="F666"/>
      <c r="G666"/>
      <c r="H666"/>
      <c r="I666"/>
      <c r="N666"/>
      <c r="O666"/>
      <c r="P666" s="1" t="e">
        <f t="shared" si="37"/>
        <v>#DIV/0!</v>
      </c>
      <c r="Q666" s="1" t="e">
        <f t="shared" si="38"/>
        <v>#DIV/0!</v>
      </c>
      <c r="R666" s="1" t="e">
        <f t="shared" si="39"/>
        <v>#DIV/0!</v>
      </c>
      <c r="S666" s="1" t="e">
        <f t="shared" si="40"/>
        <v>#DIV/0!</v>
      </c>
    </row>
    <row r="667" spans="1:19" x14ac:dyDescent="0.3">
      <c r="A667"/>
      <c r="B667"/>
      <c r="C667"/>
      <c r="D667"/>
      <c r="E667"/>
      <c r="F667"/>
      <c r="G667"/>
      <c r="H667"/>
      <c r="I667"/>
      <c r="N667"/>
      <c r="O667"/>
      <c r="P667" s="1" t="e">
        <f t="shared" si="37"/>
        <v>#DIV/0!</v>
      </c>
      <c r="Q667" s="1" t="e">
        <f t="shared" si="38"/>
        <v>#DIV/0!</v>
      </c>
      <c r="R667" s="1" t="e">
        <f t="shared" si="39"/>
        <v>#DIV/0!</v>
      </c>
      <c r="S667" s="1" t="e">
        <f t="shared" si="40"/>
        <v>#DIV/0!</v>
      </c>
    </row>
    <row r="668" spans="1:19" x14ac:dyDescent="0.3">
      <c r="A668"/>
      <c r="B668"/>
      <c r="C668"/>
      <c r="D668"/>
      <c r="E668"/>
      <c r="F668"/>
      <c r="G668"/>
      <c r="H668"/>
      <c r="I668"/>
      <c r="N668"/>
      <c r="O668"/>
      <c r="P668" s="1" t="e">
        <f t="shared" si="37"/>
        <v>#DIV/0!</v>
      </c>
      <c r="Q668" s="1" t="e">
        <f t="shared" si="38"/>
        <v>#DIV/0!</v>
      </c>
      <c r="R668" s="1" t="e">
        <f t="shared" si="39"/>
        <v>#DIV/0!</v>
      </c>
      <c r="S668" s="1" t="e">
        <f t="shared" si="40"/>
        <v>#DIV/0!</v>
      </c>
    </row>
    <row r="669" spans="1:19" x14ac:dyDescent="0.3">
      <c r="A669"/>
      <c r="B669"/>
      <c r="C669"/>
      <c r="D669"/>
      <c r="E669"/>
      <c r="F669"/>
      <c r="G669"/>
      <c r="H669"/>
      <c r="I669"/>
      <c r="N669"/>
      <c r="O669"/>
      <c r="P669" s="1" t="e">
        <f t="shared" si="37"/>
        <v>#DIV/0!</v>
      </c>
      <c r="Q669" s="1" t="e">
        <f t="shared" si="38"/>
        <v>#DIV/0!</v>
      </c>
      <c r="R669" s="1" t="e">
        <f t="shared" si="39"/>
        <v>#DIV/0!</v>
      </c>
      <c r="S669" s="1" t="e">
        <f t="shared" si="40"/>
        <v>#DIV/0!</v>
      </c>
    </row>
    <row r="670" spans="1:19" x14ac:dyDescent="0.3">
      <c r="A670"/>
      <c r="B670"/>
      <c r="C670"/>
      <c r="D670"/>
      <c r="E670"/>
      <c r="F670"/>
      <c r="G670"/>
      <c r="H670"/>
      <c r="I670"/>
      <c r="N670"/>
      <c r="O670"/>
      <c r="P670" s="1" t="e">
        <f t="shared" ref="P670:P733" si="41">(B652+Q$35)/P$35</f>
        <v>#DIV/0!</v>
      </c>
      <c r="Q670" s="1" t="e">
        <f t="shared" ref="Q670:Q733" si="42">(C652+Q$35)/P$35</f>
        <v>#DIV/0!</v>
      </c>
      <c r="R670" s="1" t="e">
        <f t="shared" ref="R670:R733" si="43">(D652+Q$37)/P$37</f>
        <v>#DIV/0!</v>
      </c>
      <c r="S670" s="1" t="e">
        <f t="shared" ref="S670:S733" si="44">(E652+Q$38)/P$38</f>
        <v>#DIV/0!</v>
      </c>
    </row>
    <row r="671" spans="1:19" x14ac:dyDescent="0.3">
      <c r="A671"/>
      <c r="B671"/>
      <c r="C671"/>
      <c r="D671"/>
      <c r="E671"/>
      <c r="F671"/>
      <c r="G671"/>
      <c r="H671"/>
      <c r="I671"/>
      <c r="N671"/>
      <c r="O671"/>
      <c r="P671" s="1" t="e">
        <f t="shared" si="41"/>
        <v>#DIV/0!</v>
      </c>
      <c r="Q671" s="1" t="e">
        <f t="shared" si="42"/>
        <v>#DIV/0!</v>
      </c>
      <c r="R671" s="1" t="e">
        <f t="shared" si="43"/>
        <v>#DIV/0!</v>
      </c>
      <c r="S671" s="1" t="e">
        <f t="shared" si="44"/>
        <v>#DIV/0!</v>
      </c>
    </row>
    <row r="672" spans="1:19" x14ac:dyDescent="0.3">
      <c r="A672"/>
      <c r="B672"/>
      <c r="C672"/>
      <c r="D672"/>
      <c r="E672"/>
      <c r="F672"/>
      <c r="G672"/>
      <c r="H672"/>
      <c r="I672"/>
      <c r="N672"/>
      <c r="O672"/>
      <c r="P672" s="1" t="e">
        <f t="shared" si="41"/>
        <v>#DIV/0!</v>
      </c>
      <c r="Q672" s="1" t="e">
        <f t="shared" si="42"/>
        <v>#DIV/0!</v>
      </c>
      <c r="R672" s="1" t="e">
        <f t="shared" si="43"/>
        <v>#DIV/0!</v>
      </c>
      <c r="S672" s="1" t="e">
        <f t="shared" si="44"/>
        <v>#DIV/0!</v>
      </c>
    </row>
    <row r="673" spans="1:19" x14ac:dyDescent="0.3">
      <c r="A673"/>
      <c r="B673"/>
      <c r="C673"/>
      <c r="D673"/>
      <c r="E673"/>
      <c r="F673"/>
      <c r="G673"/>
      <c r="H673"/>
      <c r="I673"/>
      <c r="N673"/>
      <c r="O673"/>
      <c r="P673" s="1" t="e">
        <f t="shared" si="41"/>
        <v>#DIV/0!</v>
      </c>
      <c r="Q673" s="1" t="e">
        <f t="shared" si="42"/>
        <v>#DIV/0!</v>
      </c>
      <c r="R673" s="1" t="e">
        <f t="shared" si="43"/>
        <v>#DIV/0!</v>
      </c>
      <c r="S673" s="1" t="e">
        <f t="shared" si="44"/>
        <v>#DIV/0!</v>
      </c>
    </row>
    <row r="674" spans="1:19" x14ac:dyDescent="0.3">
      <c r="A674"/>
      <c r="B674"/>
      <c r="C674"/>
      <c r="D674"/>
      <c r="E674"/>
      <c r="F674"/>
      <c r="G674"/>
      <c r="H674"/>
      <c r="I674"/>
      <c r="N674"/>
      <c r="O674"/>
      <c r="P674" s="1" t="e">
        <f t="shared" si="41"/>
        <v>#DIV/0!</v>
      </c>
      <c r="Q674" s="1" t="e">
        <f t="shared" si="42"/>
        <v>#DIV/0!</v>
      </c>
      <c r="R674" s="1" t="e">
        <f t="shared" si="43"/>
        <v>#DIV/0!</v>
      </c>
      <c r="S674" s="1" t="e">
        <f t="shared" si="44"/>
        <v>#DIV/0!</v>
      </c>
    </row>
    <row r="675" spans="1:19" x14ac:dyDescent="0.3">
      <c r="A675"/>
      <c r="B675"/>
      <c r="C675"/>
      <c r="D675"/>
      <c r="E675"/>
      <c r="F675"/>
      <c r="G675"/>
      <c r="H675"/>
      <c r="I675"/>
      <c r="N675"/>
      <c r="O675"/>
      <c r="P675" s="1" t="e">
        <f t="shared" si="41"/>
        <v>#DIV/0!</v>
      </c>
      <c r="Q675" s="1" t="e">
        <f t="shared" si="42"/>
        <v>#DIV/0!</v>
      </c>
      <c r="R675" s="1" t="e">
        <f t="shared" si="43"/>
        <v>#DIV/0!</v>
      </c>
      <c r="S675" s="1" t="e">
        <f t="shared" si="44"/>
        <v>#DIV/0!</v>
      </c>
    </row>
    <row r="676" spans="1:19" x14ac:dyDescent="0.3">
      <c r="A676"/>
      <c r="B676"/>
      <c r="C676"/>
      <c r="D676"/>
      <c r="E676"/>
      <c r="F676"/>
      <c r="G676"/>
      <c r="H676"/>
      <c r="I676"/>
      <c r="N676"/>
      <c r="O676"/>
      <c r="P676" s="1" t="e">
        <f t="shared" si="41"/>
        <v>#DIV/0!</v>
      </c>
      <c r="Q676" s="1" t="e">
        <f t="shared" si="42"/>
        <v>#DIV/0!</v>
      </c>
      <c r="R676" s="1" t="e">
        <f t="shared" si="43"/>
        <v>#DIV/0!</v>
      </c>
      <c r="S676" s="1" t="e">
        <f t="shared" si="44"/>
        <v>#DIV/0!</v>
      </c>
    </row>
    <row r="677" spans="1:19" x14ac:dyDescent="0.3">
      <c r="A677"/>
      <c r="B677"/>
      <c r="C677"/>
      <c r="D677"/>
      <c r="E677"/>
      <c r="F677"/>
      <c r="G677"/>
      <c r="H677"/>
      <c r="I677"/>
      <c r="N677"/>
      <c r="O677"/>
      <c r="P677" s="1" t="e">
        <f t="shared" si="41"/>
        <v>#DIV/0!</v>
      </c>
      <c r="Q677" s="1" t="e">
        <f t="shared" si="42"/>
        <v>#DIV/0!</v>
      </c>
      <c r="R677" s="1" t="e">
        <f t="shared" si="43"/>
        <v>#DIV/0!</v>
      </c>
      <c r="S677" s="1" t="e">
        <f t="shared" si="44"/>
        <v>#DIV/0!</v>
      </c>
    </row>
    <row r="678" spans="1:19" x14ac:dyDescent="0.3">
      <c r="A678"/>
      <c r="B678"/>
      <c r="C678"/>
      <c r="D678"/>
      <c r="E678"/>
      <c r="F678"/>
      <c r="G678"/>
      <c r="H678"/>
      <c r="I678"/>
      <c r="N678"/>
      <c r="O678"/>
      <c r="P678" s="1" t="e">
        <f t="shared" si="41"/>
        <v>#DIV/0!</v>
      </c>
      <c r="Q678" s="1" t="e">
        <f t="shared" si="42"/>
        <v>#DIV/0!</v>
      </c>
      <c r="R678" s="1" t="e">
        <f t="shared" si="43"/>
        <v>#DIV/0!</v>
      </c>
      <c r="S678" s="1" t="e">
        <f t="shared" si="44"/>
        <v>#DIV/0!</v>
      </c>
    </row>
    <row r="679" spans="1:19" x14ac:dyDescent="0.3">
      <c r="A679"/>
      <c r="B679"/>
      <c r="C679"/>
      <c r="D679"/>
      <c r="E679"/>
      <c r="F679"/>
      <c r="G679"/>
      <c r="H679"/>
      <c r="I679"/>
      <c r="N679"/>
      <c r="O679"/>
      <c r="P679" s="1" t="e">
        <f t="shared" si="41"/>
        <v>#DIV/0!</v>
      </c>
      <c r="Q679" s="1" t="e">
        <f t="shared" si="42"/>
        <v>#DIV/0!</v>
      </c>
      <c r="R679" s="1" t="e">
        <f t="shared" si="43"/>
        <v>#DIV/0!</v>
      </c>
      <c r="S679" s="1" t="e">
        <f t="shared" si="44"/>
        <v>#DIV/0!</v>
      </c>
    </row>
    <row r="680" spans="1:19" x14ac:dyDescent="0.3">
      <c r="A680"/>
      <c r="B680"/>
      <c r="C680"/>
      <c r="D680"/>
      <c r="E680"/>
      <c r="F680"/>
      <c r="G680"/>
      <c r="H680"/>
      <c r="I680"/>
      <c r="N680"/>
      <c r="O680"/>
      <c r="P680" s="1" t="e">
        <f t="shared" si="41"/>
        <v>#DIV/0!</v>
      </c>
      <c r="Q680" s="1" t="e">
        <f t="shared" si="42"/>
        <v>#DIV/0!</v>
      </c>
      <c r="R680" s="1" t="e">
        <f t="shared" si="43"/>
        <v>#DIV/0!</v>
      </c>
      <c r="S680" s="1" t="e">
        <f t="shared" si="44"/>
        <v>#DIV/0!</v>
      </c>
    </row>
    <row r="681" spans="1:19" x14ac:dyDescent="0.3">
      <c r="A681"/>
      <c r="B681"/>
      <c r="C681"/>
      <c r="D681"/>
      <c r="E681"/>
      <c r="F681"/>
      <c r="G681"/>
      <c r="H681"/>
      <c r="I681"/>
      <c r="N681"/>
      <c r="O681"/>
      <c r="P681" s="1" t="e">
        <f t="shared" si="41"/>
        <v>#DIV/0!</v>
      </c>
      <c r="Q681" s="1" t="e">
        <f t="shared" si="42"/>
        <v>#DIV/0!</v>
      </c>
      <c r="R681" s="1" t="e">
        <f t="shared" si="43"/>
        <v>#DIV/0!</v>
      </c>
      <c r="S681" s="1" t="e">
        <f t="shared" si="44"/>
        <v>#DIV/0!</v>
      </c>
    </row>
    <row r="682" spans="1:19" x14ac:dyDescent="0.3">
      <c r="A682"/>
      <c r="B682"/>
      <c r="C682"/>
      <c r="D682"/>
      <c r="E682"/>
      <c r="F682"/>
      <c r="G682"/>
      <c r="H682"/>
      <c r="I682"/>
      <c r="N682"/>
      <c r="O682"/>
      <c r="P682" s="1" t="e">
        <f t="shared" si="41"/>
        <v>#DIV/0!</v>
      </c>
      <c r="Q682" s="1" t="e">
        <f t="shared" si="42"/>
        <v>#DIV/0!</v>
      </c>
      <c r="R682" s="1" t="e">
        <f t="shared" si="43"/>
        <v>#DIV/0!</v>
      </c>
      <c r="S682" s="1" t="e">
        <f t="shared" si="44"/>
        <v>#DIV/0!</v>
      </c>
    </row>
    <row r="683" spans="1:19" x14ac:dyDescent="0.3">
      <c r="A683"/>
      <c r="B683"/>
      <c r="C683"/>
      <c r="D683"/>
      <c r="E683"/>
      <c r="F683"/>
      <c r="G683"/>
      <c r="H683"/>
      <c r="I683"/>
      <c r="N683"/>
      <c r="O683"/>
      <c r="P683" s="1" t="e">
        <f t="shared" si="41"/>
        <v>#DIV/0!</v>
      </c>
      <c r="Q683" s="1" t="e">
        <f t="shared" si="42"/>
        <v>#DIV/0!</v>
      </c>
      <c r="R683" s="1" t="e">
        <f t="shared" si="43"/>
        <v>#DIV/0!</v>
      </c>
      <c r="S683" s="1" t="e">
        <f t="shared" si="44"/>
        <v>#DIV/0!</v>
      </c>
    </row>
    <row r="684" spans="1:19" x14ac:dyDescent="0.3">
      <c r="A684"/>
      <c r="B684"/>
      <c r="C684"/>
      <c r="D684"/>
      <c r="E684"/>
      <c r="F684"/>
      <c r="G684"/>
      <c r="H684"/>
      <c r="I684"/>
      <c r="N684"/>
      <c r="O684"/>
      <c r="P684" s="1" t="e">
        <f t="shared" si="41"/>
        <v>#DIV/0!</v>
      </c>
      <c r="Q684" s="1" t="e">
        <f t="shared" si="42"/>
        <v>#DIV/0!</v>
      </c>
      <c r="R684" s="1" t="e">
        <f t="shared" si="43"/>
        <v>#DIV/0!</v>
      </c>
      <c r="S684" s="1" t="e">
        <f t="shared" si="44"/>
        <v>#DIV/0!</v>
      </c>
    </row>
    <row r="685" spans="1:19" x14ac:dyDescent="0.3">
      <c r="A685"/>
      <c r="B685"/>
      <c r="C685"/>
      <c r="D685"/>
      <c r="E685"/>
      <c r="F685"/>
      <c r="G685"/>
      <c r="H685"/>
      <c r="I685"/>
      <c r="N685"/>
      <c r="O685"/>
      <c r="P685" s="1" t="e">
        <f t="shared" si="41"/>
        <v>#DIV/0!</v>
      </c>
      <c r="Q685" s="1" t="e">
        <f t="shared" si="42"/>
        <v>#DIV/0!</v>
      </c>
      <c r="R685" s="1" t="e">
        <f t="shared" si="43"/>
        <v>#DIV/0!</v>
      </c>
      <c r="S685" s="1" t="e">
        <f t="shared" si="44"/>
        <v>#DIV/0!</v>
      </c>
    </row>
    <row r="686" spans="1:19" x14ac:dyDescent="0.3">
      <c r="A686"/>
      <c r="B686"/>
      <c r="C686"/>
      <c r="D686"/>
      <c r="E686"/>
      <c r="F686"/>
      <c r="G686"/>
      <c r="H686"/>
      <c r="I686"/>
      <c r="N686"/>
      <c r="O686"/>
      <c r="P686" s="1" t="e">
        <f t="shared" si="41"/>
        <v>#DIV/0!</v>
      </c>
      <c r="Q686" s="1" t="e">
        <f t="shared" si="42"/>
        <v>#DIV/0!</v>
      </c>
      <c r="R686" s="1" t="e">
        <f t="shared" si="43"/>
        <v>#DIV/0!</v>
      </c>
      <c r="S686" s="1" t="e">
        <f t="shared" si="44"/>
        <v>#DIV/0!</v>
      </c>
    </row>
    <row r="687" spans="1:19" x14ac:dyDescent="0.3">
      <c r="A687"/>
      <c r="B687"/>
      <c r="C687"/>
      <c r="D687"/>
      <c r="E687"/>
      <c r="F687"/>
      <c r="G687"/>
      <c r="H687"/>
      <c r="I687"/>
      <c r="N687"/>
      <c r="O687"/>
      <c r="P687" s="1" t="e">
        <f t="shared" si="41"/>
        <v>#DIV/0!</v>
      </c>
      <c r="Q687" s="1" t="e">
        <f t="shared" si="42"/>
        <v>#DIV/0!</v>
      </c>
      <c r="R687" s="1" t="e">
        <f t="shared" si="43"/>
        <v>#DIV/0!</v>
      </c>
      <c r="S687" s="1" t="e">
        <f t="shared" si="44"/>
        <v>#DIV/0!</v>
      </c>
    </row>
    <row r="688" spans="1:19" x14ac:dyDescent="0.3">
      <c r="A688"/>
      <c r="B688"/>
      <c r="C688"/>
      <c r="D688"/>
      <c r="E688"/>
      <c r="F688"/>
      <c r="G688"/>
      <c r="H688"/>
      <c r="I688"/>
      <c r="N688"/>
      <c r="O688"/>
      <c r="P688" s="1" t="e">
        <f t="shared" si="41"/>
        <v>#DIV/0!</v>
      </c>
      <c r="Q688" s="1" t="e">
        <f t="shared" si="42"/>
        <v>#DIV/0!</v>
      </c>
      <c r="R688" s="1" t="e">
        <f t="shared" si="43"/>
        <v>#DIV/0!</v>
      </c>
      <c r="S688" s="1" t="e">
        <f t="shared" si="44"/>
        <v>#DIV/0!</v>
      </c>
    </row>
    <row r="689" spans="1:19" x14ac:dyDescent="0.3">
      <c r="A689"/>
      <c r="B689"/>
      <c r="C689"/>
      <c r="D689"/>
      <c r="E689"/>
      <c r="F689"/>
      <c r="G689"/>
      <c r="H689"/>
      <c r="I689"/>
      <c r="N689"/>
      <c r="O689"/>
      <c r="P689" s="1" t="e">
        <f t="shared" si="41"/>
        <v>#DIV/0!</v>
      </c>
      <c r="Q689" s="1" t="e">
        <f t="shared" si="42"/>
        <v>#DIV/0!</v>
      </c>
      <c r="R689" s="1" t="e">
        <f t="shared" si="43"/>
        <v>#DIV/0!</v>
      </c>
      <c r="S689" s="1" t="e">
        <f t="shared" si="44"/>
        <v>#DIV/0!</v>
      </c>
    </row>
    <row r="690" spans="1:19" x14ac:dyDescent="0.3">
      <c r="A690"/>
      <c r="B690"/>
      <c r="C690"/>
      <c r="D690"/>
      <c r="E690"/>
      <c r="F690"/>
      <c r="G690"/>
      <c r="H690"/>
      <c r="I690"/>
      <c r="N690"/>
      <c r="O690"/>
      <c r="P690" s="1" t="e">
        <f t="shared" si="41"/>
        <v>#DIV/0!</v>
      </c>
      <c r="Q690" s="1" t="e">
        <f t="shared" si="42"/>
        <v>#DIV/0!</v>
      </c>
      <c r="R690" s="1" t="e">
        <f t="shared" si="43"/>
        <v>#DIV/0!</v>
      </c>
      <c r="S690" s="1" t="e">
        <f t="shared" si="44"/>
        <v>#DIV/0!</v>
      </c>
    </row>
    <row r="691" spans="1:19" x14ac:dyDescent="0.3">
      <c r="A691"/>
      <c r="B691"/>
      <c r="C691"/>
      <c r="D691"/>
      <c r="E691"/>
      <c r="F691"/>
      <c r="G691"/>
      <c r="H691"/>
      <c r="I691"/>
      <c r="N691"/>
      <c r="O691"/>
      <c r="P691" s="1" t="e">
        <f t="shared" si="41"/>
        <v>#DIV/0!</v>
      </c>
      <c r="Q691" s="1" t="e">
        <f t="shared" si="42"/>
        <v>#DIV/0!</v>
      </c>
      <c r="R691" s="1" t="e">
        <f t="shared" si="43"/>
        <v>#DIV/0!</v>
      </c>
      <c r="S691" s="1" t="e">
        <f t="shared" si="44"/>
        <v>#DIV/0!</v>
      </c>
    </row>
    <row r="692" spans="1:19" x14ac:dyDescent="0.3">
      <c r="A692"/>
      <c r="B692"/>
      <c r="C692"/>
      <c r="D692"/>
      <c r="E692"/>
      <c r="F692"/>
      <c r="G692"/>
      <c r="H692"/>
      <c r="I692"/>
      <c r="N692"/>
      <c r="O692"/>
      <c r="P692" s="1" t="e">
        <f t="shared" si="41"/>
        <v>#DIV/0!</v>
      </c>
      <c r="Q692" s="1" t="e">
        <f t="shared" si="42"/>
        <v>#DIV/0!</v>
      </c>
      <c r="R692" s="1" t="e">
        <f t="shared" si="43"/>
        <v>#DIV/0!</v>
      </c>
      <c r="S692" s="1" t="e">
        <f t="shared" si="44"/>
        <v>#DIV/0!</v>
      </c>
    </row>
    <row r="693" spans="1:19" x14ac:dyDescent="0.3">
      <c r="A693"/>
      <c r="B693"/>
      <c r="C693"/>
      <c r="D693"/>
      <c r="E693"/>
      <c r="F693"/>
      <c r="G693"/>
      <c r="H693"/>
      <c r="I693"/>
      <c r="N693"/>
      <c r="O693"/>
      <c r="P693" s="1" t="e">
        <f t="shared" si="41"/>
        <v>#DIV/0!</v>
      </c>
      <c r="Q693" s="1" t="e">
        <f t="shared" si="42"/>
        <v>#DIV/0!</v>
      </c>
      <c r="R693" s="1" t="e">
        <f t="shared" si="43"/>
        <v>#DIV/0!</v>
      </c>
      <c r="S693" s="1" t="e">
        <f t="shared" si="44"/>
        <v>#DIV/0!</v>
      </c>
    </row>
    <row r="694" spans="1:19" x14ac:dyDescent="0.3">
      <c r="A694"/>
      <c r="B694"/>
      <c r="C694"/>
      <c r="D694"/>
      <c r="E694"/>
      <c r="F694"/>
      <c r="G694"/>
      <c r="H694"/>
      <c r="I694"/>
      <c r="N694"/>
      <c r="O694"/>
      <c r="P694" s="1" t="e">
        <f t="shared" si="41"/>
        <v>#DIV/0!</v>
      </c>
      <c r="Q694" s="1" t="e">
        <f t="shared" si="42"/>
        <v>#DIV/0!</v>
      </c>
      <c r="R694" s="1" t="e">
        <f t="shared" si="43"/>
        <v>#DIV/0!</v>
      </c>
      <c r="S694" s="1" t="e">
        <f t="shared" si="44"/>
        <v>#DIV/0!</v>
      </c>
    </row>
    <row r="695" spans="1:19" x14ac:dyDescent="0.3">
      <c r="A695"/>
      <c r="B695"/>
      <c r="C695"/>
      <c r="D695"/>
      <c r="E695"/>
      <c r="F695"/>
      <c r="G695"/>
      <c r="H695"/>
      <c r="I695"/>
      <c r="N695"/>
      <c r="O695"/>
      <c r="P695" s="1" t="e">
        <f t="shared" si="41"/>
        <v>#DIV/0!</v>
      </c>
      <c r="Q695" s="1" t="e">
        <f t="shared" si="42"/>
        <v>#DIV/0!</v>
      </c>
      <c r="R695" s="1" t="e">
        <f t="shared" si="43"/>
        <v>#DIV/0!</v>
      </c>
      <c r="S695" s="1" t="e">
        <f t="shared" si="44"/>
        <v>#DIV/0!</v>
      </c>
    </row>
    <row r="696" spans="1:19" x14ac:dyDescent="0.3">
      <c r="A696"/>
      <c r="B696"/>
      <c r="C696"/>
      <c r="D696"/>
      <c r="E696"/>
      <c r="F696"/>
      <c r="G696"/>
      <c r="H696"/>
      <c r="I696"/>
      <c r="N696"/>
      <c r="O696"/>
      <c r="P696" s="1" t="e">
        <f t="shared" si="41"/>
        <v>#DIV/0!</v>
      </c>
      <c r="Q696" s="1" t="e">
        <f t="shared" si="42"/>
        <v>#DIV/0!</v>
      </c>
      <c r="R696" s="1" t="e">
        <f t="shared" si="43"/>
        <v>#DIV/0!</v>
      </c>
      <c r="S696" s="1" t="e">
        <f t="shared" si="44"/>
        <v>#DIV/0!</v>
      </c>
    </row>
    <row r="697" spans="1:19" x14ac:dyDescent="0.3">
      <c r="A697"/>
      <c r="B697"/>
      <c r="C697"/>
      <c r="D697"/>
      <c r="E697"/>
      <c r="F697"/>
      <c r="G697"/>
      <c r="H697"/>
      <c r="I697"/>
      <c r="N697"/>
      <c r="O697"/>
      <c r="P697" s="1" t="e">
        <f t="shared" si="41"/>
        <v>#DIV/0!</v>
      </c>
      <c r="Q697" s="1" t="e">
        <f t="shared" si="42"/>
        <v>#DIV/0!</v>
      </c>
      <c r="R697" s="1" t="e">
        <f t="shared" si="43"/>
        <v>#DIV/0!</v>
      </c>
      <c r="S697" s="1" t="e">
        <f t="shared" si="44"/>
        <v>#DIV/0!</v>
      </c>
    </row>
    <row r="698" spans="1:19" x14ac:dyDescent="0.3">
      <c r="A698"/>
      <c r="B698"/>
      <c r="C698"/>
      <c r="D698"/>
      <c r="E698"/>
      <c r="F698"/>
      <c r="G698"/>
      <c r="H698"/>
      <c r="I698"/>
      <c r="N698"/>
      <c r="O698"/>
      <c r="P698" s="1" t="e">
        <f t="shared" si="41"/>
        <v>#DIV/0!</v>
      </c>
      <c r="Q698" s="1" t="e">
        <f t="shared" si="42"/>
        <v>#DIV/0!</v>
      </c>
      <c r="R698" s="1" t="e">
        <f t="shared" si="43"/>
        <v>#DIV/0!</v>
      </c>
      <c r="S698" s="1" t="e">
        <f t="shared" si="44"/>
        <v>#DIV/0!</v>
      </c>
    </row>
    <row r="699" spans="1:19" x14ac:dyDescent="0.3">
      <c r="A699"/>
      <c r="B699"/>
      <c r="C699"/>
      <c r="D699"/>
      <c r="E699"/>
      <c r="F699"/>
      <c r="G699"/>
      <c r="H699"/>
      <c r="I699"/>
      <c r="N699"/>
      <c r="O699"/>
      <c r="P699" s="1" t="e">
        <f t="shared" si="41"/>
        <v>#DIV/0!</v>
      </c>
      <c r="Q699" s="1" t="e">
        <f t="shared" si="42"/>
        <v>#DIV/0!</v>
      </c>
      <c r="R699" s="1" t="e">
        <f t="shared" si="43"/>
        <v>#DIV/0!</v>
      </c>
      <c r="S699" s="1" t="e">
        <f t="shared" si="44"/>
        <v>#DIV/0!</v>
      </c>
    </row>
    <row r="700" spans="1:19" x14ac:dyDescent="0.3">
      <c r="A700"/>
      <c r="B700"/>
      <c r="C700"/>
      <c r="D700"/>
      <c r="E700"/>
      <c r="F700"/>
      <c r="G700"/>
      <c r="H700"/>
      <c r="I700"/>
      <c r="N700"/>
      <c r="O700"/>
      <c r="P700" s="1" t="e">
        <f t="shared" si="41"/>
        <v>#DIV/0!</v>
      </c>
      <c r="Q700" s="1" t="e">
        <f t="shared" si="42"/>
        <v>#DIV/0!</v>
      </c>
      <c r="R700" s="1" t="e">
        <f t="shared" si="43"/>
        <v>#DIV/0!</v>
      </c>
      <c r="S700" s="1" t="e">
        <f t="shared" si="44"/>
        <v>#DIV/0!</v>
      </c>
    </row>
    <row r="701" spans="1:19" x14ac:dyDescent="0.3">
      <c r="A701"/>
      <c r="B701"/>
      <c r="C701"/>
      <c r="D701"/>
      <c r="E701"/>
      <c r="F701"/>
      <c r="G701"/>
      <c r="H701"/>
      <c r="I701"/>
      <c r="N701"/>
      <c r="O701"/>
      <c r="P701" s="1" t="e">
        <f t="shared" si="41"/>
        <v>#DIV/0!</v>
      </c>
      <c r="Q701" s="1" t="e">
        <f t="shared" si="42"/>
        <v>#DIV/0!</v>
      </c>
      <c r="R701" s="1" t="e">
        <f t="shared" si="43"/>
        <v>#DIV/0!</v>
      </c>
      <c r="S701" s="1" t="e">
        <f t="shared" si="44"/>
        <v>#DIV/0!</v>
      </c>
    </row>
    <row r="702" spans="1:19" x14ac:dyDescent="0.3">
      <c r="A702"/>
      <c r="B702"/>
      <c r="C702"/>
      <c r="D702"/>
      <c r="E702"/>
      <c r="F702"/>
      <c r="G702"/>
      <c r="H702"/>
      <c r="I702"/>
      <c r="N702"/>
      <c r="O702"/>
      <c r="P702" s="1" t="e">
        <f t="shared" si="41"/>
        <v>#DIV/0!</v>
      </c>
      <c r="Q702" s="1" t="e">
        <f t="shared" si="42"/>
        <v>#DIV/0!</v>
      </c>
      <c r="R702" s="1" t="e">
        <f t="shared" si="43"/>
        <v>#DIV/0!</v>
      </c>
      <c r="S702" s="1" t="e">
        <f t="shared" si="44"/>
        <v>#DIV/0!</v>
      </c>
    </row>
    <row r="703" spans="1:19" x14ac:dyDescent="0.3">
      <c r="A703"/>
      <c r="B703"/>
      <c r="C703"/>
      <c r="D703"/>
      <c r="E703"/>
      <c r="F703"/>
      <c r="G703"/>
      <c r="H703"/>
      <c r="I703"/>
      <c r="N703"/>
      <c r="O703"/>
      <c r="P703" s="1" t="e">
        <f t="shared" si="41"/>
        <v>#DIV/0!</v>
      </c>
      <c r="Q703" s="1" t="e">
        <f t="shared" si="42"/>
        <v>#DIV/0!</v>
      </c>
      <c r="R703" s="1" t="e">
        <f t="shared" si="43"/>
        <v>#DIV/0!</v>
      </c>
      <c r="S703" s="1" t="e">
        <f t="shared" si="44"/>
        <v>#DIV/0!</v>
      </c>
    </row>
    <row r="704" spans="1:19" x14ac:dyDescent="0.3">
      <c r="A704"/>
      <c r="B704"/>
      <c r="C704"/>
      <c r="D704"/>
      <c r="E704"/>
      <c r="F704"/>
      <c r="G704"/>
      <c r="H704"/>
      <c r="I704"/>
      <c r="N704"/>
      <c r="O704"/>
      <c r="P704" s="1" t="e">
        <f t="shared" si="41"/>
        <v>#DIV/0!</v>
      </c>
      <c r="Q704" s="1" t="e">
        <f t="shared" si="42"/>
        <v>#DIV/0!</v>
      </c>
      <c r="R704" s="1" t="e">
        <f t="shared" si="43"/>
        <v>#DIV/0!</v>
      </c>
      <c r="S704" s="1" t="e">
        <f t="shared" si="44"/>
        <v>#DIV/0!</v>
      </c>
    </row>
    <row r="705" spans="1:19" x14ac:dyDescent="0.3">
      <c r="A705"/>
      <c r="B705"/>
      <c r="C705"/>
      <c r="D705"/>
      <c r="E705"/>
      <c r="F705"/>
      <c r="G705"/>
      <c r="H705"/>
      <c r="I705"/>
      <c r="N705"/>
      <c r="O705"/>
      <c r="P705" s="1" t="e">
        <f t="shared" si="41"/>
        <v>#DIV/0!</v>
      </c>
      <c r="Q705" s="1" t="e">
        <f t="shared" si="42"/>
        <v>#DIV/0!</v>
      </c>
      <c r="R705" s="1" t="e">
        <f t="shared" si="43"/>
        <v>#DIV/0!</v>
      </c>
      <c r="S705" s="1" t="e">
        <f t="shared" si="44"/>
        <v>#DIV/0!</v>
      </c>
    </row>
    <row r="706" spans="1:19" x14ac:dyDescent="0.3">
      <c r="A706"/>
      <c r="B706"/>
      <c r="C706"/>
      <c r="D706"/>
      <c r="E706"/>
      <c r="F706"/>
      <c r="G706"/>
      <c r="H706"/>
      <c r="I706"/>
      <c r="N706"/>
      <c r="O706"/>
      <c r="P706" s="1" t="e">
        <f t="shared" si="41"/>
        <v>#DIV/0!</v>
      </c>
      <c r="Q706" s="1" t="e">
        <f t="shared" si="42"/>
        <v>#DIV/0!</v>
      </c>
      <c r="R706" s="1" t="e">
        <f t="shared" si="43"/>
        <v>#DIV/0!</v>
      </c>
      <c r="S706" s="1" t="e">
        <f t="shared" si="44"/>
        <v>#DIV/0!</v>
      </c>
    </row>
    <row r="707" spans="1:19" x14ac:dyDescent="0.3">
      <c r="A707"/>
      <c r="B707"/>
      <c r="C707"/>
      <c r="D707"/>
      <c r="E707"/>
      <c r="F707"/>
      <c r="G707"/>
      <c r="H707"/>
      <c r="I707"/>
      <c r="N707"/>
      <c r="O707"/>
      <c r="P707" s="1" t="e">
        <f t="shared" si="41"/>
        <v>#DIV/0!</v>
      </c>
      <c r="Q707" s="1" t="e">
        <f t="shared" si="42"/>
        <v>#DIV/0!</v>
      </c>
      <c r="R707" s="1" t="e">
        <f t="shared" si="43"/>
        <v>#DIV/0!</v>
      </c>
      <c r="S707" s="1" t="e">
        <f t="shared" si="44"/>
        <v>#DIV/0!</v>
      </c>
    </row>
    <row r="708" spans="1:19" x14ac:dyDescent="0.3">
      <c r="A708"/>
      <c r="B708"/>
      <c r="C708"/>
      <c r="D708"/>
      <c r="E708"/>
      <c r="F708"/>
      <c r="G708"/>
      <c r="H708"/>
      <c r="I708"/>
      <c r="N708"/>
      <c r="O708"/>
      <c r="P708" s="1" t="e">
        <f t="shared" si="41"/>
        <v>#DIV/0!</v>
      </c>
      <c r="Q708" s="1" t="e">
        <f t="shared" si="42"/>
        <v>#DIV/0!</v>
      </c>
      <c r="R708" s="1" t="e">
        <f t="shared" si="43"/>
        <v>#DIV/0!</v>
      </c>
      <c r="S708" s="1" t="e">
        <f t="shared" si="44"/>
        <v>#DIV/0!</v>
      </c>
    </row>
    <row r="709" spans="1:19" x14ac:dyDescent="0.3">
      <c r="A709"/>
      <c r="B709"/>
      <c r="C709"/>
      <c r="D709"/>
      <c r="E709"/>
      <c r="F709"/>
      <c r="G709"/>
      <c r="H709"/>
      <c r="I709"/>
      <c r="N709"/>
      <c r="O709"/>
      <c r="P709" s="1" t="e">
        <f t="shared" si="41"/>
        <v>#DIV/0!</v>
      </c>
      <c r="Q709" s="1" t="e">
        <f t="shared" si="42"/>
        <v>#DIV/0!</v>
      </c>
      <c r="R709" s="1" t="e">
        <f t="shared" si="43"/>
        <v>#DIV/0!</v>
      </c>
      <c r="S709" s="1" t="e">
        <f t="shared" si="44"/>
        <v>#DIV/0!</v>
      </c>
    </row>
    <row r="710" spans="1:19" x14ac:dyDescent="0.3">
      <c r="A710"/>
      <c r="B710"/>
      <c r="C710"/>
      <c r="D710"/>
      <c r="E710"/>
      <c r="F710"/>
      <c r="G710"/>
      <c r="H710"/>
      <c r="I710"/>
      <c r="N710"/>
      <c r="O710"/>
      <c r="P710" s="1" t="e">
        <f t="shared" si="41"/>
        <v>#DIV/0!</v>
      </c>
      <c r="Q710" s="1" t="e">
        <f t="shared" si="42"/>
        <v>#DIV/0!</v>
      </c>
      <c r="R710" s="1" t="e">
        <f t="shared" si="43"/>
        <v>#DIV/0!</v>
      </c>
      <c r="S710" s="1" t="e">
        <f t="shared" si="44"/>
        <v>#DIV/0!</v>
      </c>
    </row>
    <row r="711" spans="1:19" x14ac:dyDescent="0.3">
      <c r="A711"/>
      <c r="B711"/>
      <c r="C711"/>
      <c r="D711"/>
      <c r="E711"/>
      <c r="F711"/>
      <c r="G711"/>
      <c r="H711"/>
      <c r="I711"/>
      <c r="N711"/>
      <c r="O711"/>
      <c r="P711" s="1" t="e">
        <f t="shared" si="41"/>
        <v>#DIV/0!</v>
      </c>
      <c r="Q711" s="1" t="e">
        <f t="shared" si="42"/>
        <v>#DIV/0!</v>
      </c>
      <c r="R711" s="1" t="e">
        <f t="shared" si="43"/>
        <v>#DIV/0!</v>
      </c>
      <c r="S711" s="1" t="e">
        <f t="shared" si="44"/>
        <v>#DIV/0!</v>
      </c>
    </row>
    <row r="712" spans="1:19" x14ac:dyDescent="0.3">
      <c r="A712"/>
      <c r="B712"/>
      <c r="C712"/>
      <c r="D712"/>
      <c r="E712"/>
      <c r="F712"/>
      <c r="G712"/>
      <c r="H712"/>
      <c r="I712"/>
      <c r="N712"/>
      <c r="O712"/>
      <c r="P712" s="1" t="e">
        <f t="shared" si="41"/>
        <v>#DIV/0!</v>
      </c>
      <c r="Q712" s="1" t="e">
        <f t="shared" si="42"/>
        <v>#DIV/0!</v>
      </c>
      <c r="R712" s="1" t="e">
        <f t="shared" si="43"/>
        <v>#DIV/0!</v>
      </c>
      <c r="S712" s="1" t="e">
        <f t="shared" si="44"/>
        <v>#DIV/0!</v>
      </c>
    </row>
    <row r="713" spans="1:19" x14ac:dyDescent="0.3">
      <c r="A713"/>
      <c r="B713"/>
      <c r="C713"/>
      <c r="D713"/>
      <c r="E713"/>
      <c r="F713"/>
      <c r="G713"/>
      <c r="H713"/>
      <c r="I713"/>
      <c r="N713"/>
      <c r="O713"/>
      <c r="P713" s="1" t="e">
        <f t="shared" si="41"/>
        <v>#DIV/0!</v>
      </c>
      <c r="Q713" s="1" t="e">
        <f t="shared" si="42"/>
        <v>#DIV/0!</v>
      </c>
      <c r="R713" s="1" t="e">
        <f t="shared" si="43"/>
        <v>#DIV/0!</v>
      </c>
      <c r="S713" s="1" t="e">
        <f t="shared" si="44"/>
        <v>#DIV/0!</v>
      </c>
    </row>
    <row r="714" spans="1:19" x14ac:dyDescent="0.3">
      <c r="A714"/>
      <c r="B714"/>
      <c r="C714"/>
      <c r="D714"/>
      <c r="E714"/>
      <c r="F714"/>
      <c r="G714"/>
      <c r="H714"/>
      <c r="I714"/>
      <c r="N714"/>
      <c r="O714"/>
      <c r="P714" s="1" t="e">
        <f t="shared" si="41"/>
        <v>#DIV/0!</v>
      </c>
      <c r="Q714" s="1" t="e">
        <f t="shared" si="42"/>
        <v>#DIV/0!</v>
      </c>
      <c r="R714" s="1" t="e">
        <f t="shared" si="43"/>
        <v>#DIV/0!</v>
      </c>
      <c r="S714" s="1" t="e">
        <f t="shared" si="44"/>
        <v>#DIV/0!</v>
      </c>
    </row>
    <row r="715" spans="1:19" x14ac:dyDescent="0.3">
      <c r="A715"/>
      <c r="B715"/>
      <c r="C715"/>
      <c r="D715"/>
      <c r="E715"/>
      <c r="F715"/>
      <c r="G715"/>
      <c r="H715"/>
      <c r="I715"/>
      <c r="N715"/>
      <c r="O715"/>
      <c r="P715" s="1" t="e">
        <f t="shared" si="41"/>
        <v>#DIV/0!</v>
      </c>
      <c r="Q715" s="1" t="e">
        <f t="shared" si="42"/>
        <v>#DIV/0!</v>
      </c>
      <c r="R715" s="1" t="e">
        <f t="shared" si="43"/>
        <v>#DIV/0!</v>
      </c>
      <c r="S715" s="1" t="e">
        <f t="shared" si="44"/>
        <v>#DIV/0!</v>
      </c>
    </row>
    <row r="716" spans="1:19" x14ac:dyDescent="0.3">
      <c r="A716"/>
      <c r="B716"/>
      <c r="C716"/>
      <c r="D716"/>
      <c r="E716"/>
      <c r="F716"/>
      <c r="G716"/>
      <c r="H716"/>
      <c r="I716"/>
      <c r="N716"/>
      <c r="O716"/>
      <c r="P716" s="1" t="e">
        <f t="shared" si="41"/>
        <v>#DIV/0!</v>
      </c>
      <c r="Q716" s="1" t="e">
        <f t="shared" si="42"/>
        <v>#DIV/0!</v>
      </c>
      <c r="R716" s="1" t="e">
        <f t="shared" si="43"/>
        <v>#DIV/0!</v>
      </c>
      <c r="S716" s="1" t="e">
        <f t="shared" si="44"/>
        <v>#DIV/0!</v>
      </c>
    </row>
    <row r="717" spans="1:19" x14ac:dyDescent="0.3">
      <c r="A717"/>
      <c r="B717"/>
      <c r="C717"/>
      <c r="D717"/>
      <c r="E717"/>
      <c r="F717"/>
      <c r="G717"/>
      <c r="H717"/>
      <c r="I717"/>
      <c r="N717"/>
      <c r="O717"/>
      <c r="P717" s="1" t="e">
        <f t="shared" si="41"/>
        <v>#DIV/0!</v>
      </c>
      <c r="Q717" s="1" t="e">
        <f t="shared" si="42"/>
        <v>#DIV/0!</v>
      </c>
      <c r="R717" s="1" t="e">
        <f t="shared" si="43"/>
        <v>#DIV/0!</v>
      </c>
      <c r="S717" s="1" t="e">
        <f t="shared" si="44"/>
        <v>#DIV/0!</v>
      </c>
    </row>
    <row r="718" spans="1:19" x14ac:dyDescent="0.3">
      <c r="A718"/>
      <c r="B718"/>
      <c r="C718"/>
      <c r="D718"/>
      <c r="E718"/>
      <c r="F718"/>
      <c r="G718"/>
      <c r="H718"/>
      <c r="I718"/>
      <c r="N718"/>
      <c r="O718"/>
      <c r="P718" s="1" t="e">
        <f t="shared" si="41"/>
        <v>#DIV/0!</v>
      </c>
      <c r="Q718" s="1" t="e">
        <f t="shared" si="42"/>
        <v>#DIV/0!</v>
      </c>
      <c r="R718" s="1" t="e">
        <f t="shared" si="43"/>
        <v>#DIV/0!</v>
      </c>
      <c r="S718" s="1" t="e">
        <f t="shared" si="44"/>
        <v>#DIV/0!</v>
      </c>
    </row>
    <row r="719" spans="1:19" x14ac:dyDescent="0.3">
      <c r="A719"/>
      <c r="B719"/>
      <c r="C719"/>
      <c r="D719"/>
      <c r="E719"/>
      <c r="F719"/>
      <c r="G719"/>
      <c r="H719"/>
      <c r="I719"/>
      <c r="N719"/>
      <c r="O719"/>
      <c r="P719" s="1" t="e">
        <f t="shared" si="41"/>
        <v>#DIV/0!</v>
      </c>
      <c r="Q719" s="1" t="e">
        <f t="shared" si="42"/>
        <v>#DIV/0!</v>
      </c>
      <c r="R719" s="1" t="e">
        <f t="shared" si="43"/>
        <v>#DIV/0!</v>
      </c>
      <c r="S719" s="1" t="e">
        <f t="shared" si="44"/>
        <v>#DIV/0!</v>
      </c>
    </row>
    <row r="720" spans="1:19" x14ac:dyDescent="0.3">
      <c r="A720"/>
      <c r="B720"/>
      <c r="C720"/>
      <c r="D720"/>
      <c r="E720"/>
      <c r="F720"/>
      <c r="G720"/>
      <c r="H720"/>
      <c r="I720"/>
      <c r="N720"/>
      <c r="O720"/>
      <c r="P720" s="1" t="e">
        <f t="shared" si="41"/>
        <v>#DIV/0!</v>
      </c>
      <c r="Q720" s="1" t="e">
        <f t="shared" si="42"/>
        <v>#DIV/0!</v>
      </c>
      <c r="R720" s="1" t="e">
        <f t="shared" si="43"/>
        <v>#DIV/0!</v>
      </c>
      <c r="S720" s="1" t="e">
        <f t="shared" si="44"/>
        <v>#DIV/0!</v>
      </c>
    </row>
    <row r="721" spans="1:19" x14ac:dyDescent="0.3">
      <c r="A721"/>
      <c r="B721"/>
      <c r="C721"/>
      <c r="D721"/>
      <c r="E721"/>
      <c r="F721"/>
      <c r="G721"/>
      <c r="H721"/>
      <c r="I721"/>
      <c r="N721"/>
      <c r="O721"/>
      <c r="P721" s="1" t="e">
        <f t="shared" si="41"/>
        <v>#DIV/0!</v>
      </c>
      <c r="Q721" s="1" t="e">
        <f t="shared" si="42"/>
        <v>#DIV/0!</v>
      </c>
      <c r="R721" s="1" t="e">
        <f t="shared" si="43"/>
        <v>#DIV/0!</v>
      </c>
      <c r="S721" s="1" t="e">
        <f t="shared" si="44"/>
        <v>#DIV/0!</v>
      </c>
    </row>
    <row r="722" spans="1:19" x14ac:dyDescent="0.3">
      <c r="A722"/>
      <c r="B722"/>
      <c r="C722"/>
      <c r="D722"/>
      <c r="E722"/>
      <c r="F722"/>
      <c r="G722"/>
      <c r="H722"/>
      <c r="I722"/>
      <c r="N722"/>
      <c r="O722"/>
      <c r="P722" s="1" t="e">
        <f t="shared" si="41"/>
        <v>#DIV/0!</v>
      </c>
      <c r="Q722" s="1" t="e">
        <f t="shared" si="42"/>
        <v>#DIV/0!</v>
      </c>
      <c r="R722" s="1" t="e">
        <f t="shared" si="43"/>
        <v>#DIV/0!</v>
      </c>
      <c r="S722" s="1" t="e">
        <f t="shared" si="44"/>
        <v>#DIV/0!</v>
      </c>
    </row>
    <row r="723" spans="1:19" x14ac:dyDescent="0.3">
      <c r="A723"/>
      <c r="B723"/>
      <c r="C723"/>
      <c r="D723"/>
      <c r="E723"/>
      <c r="F723"/>
      <c r="G723"/>
      <c r="H723"/>
      <c r="I723"/>
      <c r="N723"/>
      <c r="O723"/>
      <c r="P723" s="1" t="e">
        <f t="shared" si="41"/>
        <v>#DIV/0!</v>
      </c>
      <c r="Q723" s="1" t="e">
        <f t="shared" si="42"/>
        <v>#DIV/0!</v>
      </c>
      <c r="R723" s="1" t="e">
        <f t="shared" si="43"/>
        <v>#DIV/0!</v>
      </c>
      <c r="S723" s="1" t="e">
        <f t="shared" si="44"/>
        <v>#DIV/0!</v>
      </c>
    </row>
    <row r="724" spans="1:19" x14ac:dyDescent="0.3">
      <c r="A724"/>
      <c r="B724"/>
      <c r="C724"/>
      <c r="D724"/>
      <c r="E724"/>
      <c r="F724"/>
      <c r="G724"/>
      <c r="H724"/>
      <c r="I724"/>
      <c r="N724"/>
      <c r="O724"/>
      <c r="P724" s="1" t="e">
        <f t="shared" si="41"/>
        <v>#DIV/0!</v>
      </c>
      <c r="Q724" s="1" t="e">
        <f t="shared" si="42"/>
        <v>#DIV/0!</v>
      </c>
      <c r="R724" s="1" t="e">
        <f t="shared" si="43"/>
        <v>#DIV/0!</v>
      </c>
      <c r="S724" s="1" t="e">
        <f t="shared" si="44"/>
        <v>#DIV/0!</v>
      </c>
    </row>
    <row r="725" spans="1:19" x14ac:dyDescent="0.3">
      <c r="A725"/>
      <c r="B725"/>
      <c r="C725"/>
      <c r="D725"/>
      <c r="E725"/>
      <c r="F725"/>
      <c r="G725"/>
      <c r="H725"/>
      <c r="I725"/>
      <c r="N725"/>
      <c r="O725"/>
      <c r="P725" s="1" t="e">
        <f t="shared" si="41"/>
        <v>#DIV/0!</v>
      </c>
      <c r="Q725" s="1" t="e">
        <f t="shared" si="42"/>
        <v>#DIV/0!</v>
      </c>
      <c r="R725" s="1" t="e">
        <f t="shared" si="43"/>
        <v>#DIV/0!</v>
      </c>
      <c r="S725" s="1" t="e">
        <f t="shared" si="44"/>
        <v>#DIV/0!</v>
      </c>
    </row>
    <row r="726" spans="1:19" x14ac:dyDescent="0.3">
      <c r="A726"/>
      <c r="B726"/>
      <c r="C726"/>
      <c r="D726"/>
      <c r="E726"/>
      <c r="F726"/>
      <c r="G726"/>
      <c r="H726"/>
      <c r="I726"/>
      <c r="N726"/>
      <c r="O726"/>
      <c r="P726" s="1" t="e">
        <f t="shared" si="41"/>
        <v>#DIV/0!</v>
      </c>
      <c r="Q726" s="1" t="e">
        <f t="shared" si="42"/>
        <v>#DIV/0!</v>
      </c>
      <c r="R726" s="1" t="e">
        <f t="shared" si="43"/>
        <v>#DIV/0!</v>
      </c>
      <c r="S726" s="1" t="e">
        <f t="shared" si="44"/>
        <v>#DIV/0!</v>
      </c>
    </row>
    <row r="727" spans="1:19" x14ac:dyDescent="0.3">
      <c r="A727"/>
      <c r="B727"/>
      <c r="C727"/>
      <c r="D727"/>
      <c r="E727"/>
      <c r="F727"/>
      <c r="G727"/>
      <c r="H727"/>
      <c r="I727"/>
      <c r="N727"/>
      <c r="O727"/>
      <c r="P727" s="1" t="e">
        <f t="shared" si="41"/>
        <v>#DIV/0!</v>
      </c>
      <c r="Q727" s="1" t="e">
        <f t="shared" si="42"/>
        <v>#DIV/0!</v>
      </c>
      <c r="R727" s="1" t="e">
        <f t="shared" si="43"/>
        <v>#DIV/0!</v>
      </c>
      <c r="S727" s="1" t="e">
        <f t="shared" si="44"/>
        <v>#DIV/0!</v>
      </c>
    </row>
    <row r="728" spans="1:19" x14ac:dyDescent="0.3">
      <c r="A728"/>
      <c r="B728"/>
      <c r="C728"/>
      <c r="D728"/>
      <c r="E728"/>
      <c r="F728"/>
      <c r="G728"/>
      <c r="H728"/>
      <c r="I728"/>
      <c r="N728"/>
      <c r="O728"/>
      <c r="P728" s="1" t="e">
        <f t="shared" si="41"/>
        <v>#DIV/0!</v>
      </c>
      <c r="Q728" s="1" t="e">
        <f t="shared" si="42"/>
        <v>#DIV/0!</v>
      </c>
      <c r="R728" s="1" t="e">
        <f t="shared" si="43"/>
        <v>#DIV/0!</v>
      </c>
      <c r="S728" s="1" t="e">
        <f t="shared" si="44"/>
        <v>#DIV/0!</v>
      </c>
    </row>
    <row r="729" spans="1:19" x14ac:dyDescent="0.3">
      <c r="A729"/>
      <c r="B729"/>
      <c r="C729"/>
      <c r="D729"/>
      <c r="E729"/>
      <c r="F729"/>
      <c r="G729"/>
      <c r="H729"/>
      <c r="I729"/>
      <c r="N729"/>
      <c r="O729"/>
      <c r="P729" s="1" t="e">
        <f t="shared" si="41"/>
        <v>#DIV/0!</v>
      </c>
      <c r="Q729" s="1" t="e">
        <f t="shared" si="42"/>
        <v>#DIV/0!</v>
      </c>
      <c r="R729" s="1" t="e">
        <f t="shared" si="43"/>
        <v>#DIV/0!</v>
      </c>
      <c r="S729" s="1" t="e">
        <f t="shared" si="44"/>
        <v>#DIV/0!</v>
      </c>
    </row>
    <row r="730" spans="1:19" x14ac:dyDescent="0.3">
      <c r="A730"/>
      <c r="B730"/>
      <c r="C730"/>
      <c r="D730"/>
      <c r="E730"/>
      <c r="F730"/>
      <c r="G730"/>
      <c r="H730"/>
      <c r="I730"/>
      <c r="N730"/>
      <c r="O730"/>
      <c r="P730" s="1" t="e">
        <f t="shared" si="41"/>
        <v>#DIV/0!</v>
      </c>
      <c r="Q730" s="1" t="e">
        <f t="shared" si="42"/>
        <v>#DIV/0!</v>
      </c>
      <c r="R730" s="1" t="e">
        <f t="shared" si="43"/>
        <v>#DIV/0!</v>
      </c>
      <c r="S730" s="1" t="e">
        <f t="shared" si="44"/>
        <v>#DIV/0!</v>
      </c>
    </row>
    <row r="731" spans="1:19" x14ac:dyDescent="0.3">
      <c r="A731"/>
      <c r="B731"/>
      <c r="C731"/>
      <c r="D731"/>
      <c r="E731"/>
      <c r="F731"/>
      <c r="G731"/>
      <c r="H731"/>
      <c r="I731"/>
      <c r="N731"/>
      <c r="O731"/>
      <c r="P731" s="1" t="e">
        <f t="shared" si="41"/>
        <v>#DIV/0!</v>
      </c>
      <c r="Q731" s="1" t="e">
        <f t="shared" si="42"/>
        <v>#DIV/0!</v>
      </c>
      <c r="R731" s="1" t="e">
        <f t="shared" si="43"/>
        <v>#DIV/0!</v>
      </c>
      <c r="S731" s="1" t="e">
        <f t="shared" si="44"/>
        <v>#DIV/0!</v>
      </c>
    </row>
    <row r="732" spans="1:19" x14ac:dyDescent="0.3">
      <c r="A732"/>
      <c r="B732"/>
      <c r="C732"/>
      <c r="D732"/>
      <c r="E732"/>
      <c r="F732"/>
      <c r="G732"/>
      <c r="H732"/>
      <c r="I732"/>
      <c r="N732"/>
      <c r="O732"/>
      <c r="P732" s="1" t="e">
        <f t="shared" si="41"/>
        <v>#DIV/0!</v>
      </c>
      <c r="Q732" s="1" t="e">
        <f t="shared" si="42"/>
        <v>#DIV/0!</v>
      </c>
      <c r="R732" s="1" t="e">
        <f t="shared" si="43"/>
        <v>#DIV/0!</v>
      </c>
      <c r="S732" s="1" t="e">
        <f t="shared" si="44"/>
        <v>#DIV/0!</v>
      </c>
    </row>
    <row r="733" spans="1:19" x14ac:dyDescent="0.3">
      <c r="A733"/>
      <c r="B733"/>
      <c r="C733"/>
      <c r="D733"/>
      <c r="E733"/>
      <c r="F733"/>
      <c r="G733"/>
      <c r="H733"/>
      <c r="I733"/>
      <c r="N733"/>
      <c r="O733"/>
      <c r="P733" s="1" t="e">
        <f t="shared" si="41"/>
        <v>#DIV/0!</v>
      </c>
      <c r="Q733" s="1" t="e">
        <f t="shared" si="42"/>
        <v>#DIV/0!</v>
      </c>
      <c r="R733" s="1" t="e">
        <f t="shared" si="43"/>
        <v>#DIV/0!</v>
      </c>
      <c r="S733" s="1" t="e">
        <f t="shared" si="44"/>
        <v>#DIV/0!</v>
      </c>
    </row>
    <row r="734" spans="1:19" x14ac:dyDescent="0.3">
      <c r="A734"/>
      <c r="B734"/>
      <c r="C734"/>
      <c r="D734"/>
      <c r="E734"/>
      <c r="F734"/>
      <c r="G734"/>
      <c r="H734"/>
      <c r="I734"/>
      <c r="N734"/>
      <c r="O734"/>
      <c r="P734" s="1" t="e">
        <f t="shared" ref="P734:P797" si="45">(B716+Q$35)/P$35</f>
        <v>#DIV/0!</v>
      </c>
      <c r="Q734" s="1" t="e">
        <f t="shared" ref="Q734:Q797" si="46">(C716+Q$35)/P$35</f>
        <v>#DIV/0!</v>
      </c>
      <c r="R734" s="1" t="e">
        <f t="shared" ref="R734:R797" si="47">(D716+Q$37)/P$37</f>
        <v>#DIV/0!</v>
      </c>
      <c r="S734" s="1" t="e">
        <f t="shared" ref="S734:S797" si="48">(E716+Q$38)/P$38</f>
        <v>#DIV/0!</v>
      </c>
    </row>
    <row r="735" spans="1:19" x14ac:dyDescent="0.3">
      <c r="A735"/>
      <c r="B735"/>
      <c r="C735"/>
      <c r="D735"/>
      <c r="E735"/>
      <c r="F735"/>
      <c r="G735"/>
      <c r="H735"/>
      <c r="I735"/>
      <c r="N735"/>
      <c r="O735"/>
      <c r="P735" s="1" t="e">
        <f t="shared" si="45"/>
        <v>#DIV/0!</v>
      </c>
      <c r="Q735" s="1" t="e">
        <f t="shared" si="46"/>
        <v>#DIV/0!</v>
      </c>
      <c r="R735" s="1" t="e">
        <f t="shared" si="47"/>
        <v>#DIV/0!</v>
      </c>
      <c r="S735" s="1" t="e">
        <f t="shared" si="48"/>
        <v>#DIV/0!</v>
      </c>
    </row>
    <row r="736" spans="1:19" x14ac:dyDescent="0.3">
      <c r="A736"/>
      <c r="B736"/>
      <c r="C736"/>
      <c r="D736"/>
      <c r="E736"/>
      <c r="F736"/>
      <c r="G736"/>
      <c r="H736"/>
      <c r="I736"/>
      <c r="N736"/>
      <c r="O736"/>
      <c r="P736" s="1" t="e">
        <f t="shared" si="45"/>
        <v>#DIV/0!</v>
      </c>
      <c r="Q736" s="1" t="e">
        <f t="shared" si="46"/>
        <v>#DIV/0!</v>
      </c>
      <c r="R736" s="1" t="e">
        <f t="shared" si="47"/>
        <v>#DIV/0!</v>
      </c>
      <c r="S736" s="1" t="e">
        <f t="shared" si="48"/>
        <v>#DIV/0!</v>
      </c>
    </row>
    <row r="737" spans="1:19" x14ac:dyDescent="0.3">
      <c r="A737"/>
      <c r="B737"/>
      <c r="C737"/>
      <c r="D737"/>
      <c r="E737"/>
      <c r="F737"/>
      <c r="G737"/>
      <c r="H737"/>
      <c r="I737"/>
      <c r="N737"/>
      <c r="O737"/>
      <c r="P737" s="1" t="e">
        <f t="shared" si="45"/>
        <v>#DIV/0!</v>
      </c>
      <c r="Q737" s="1" t="e">
        <f t="shared" si="46"/>
        <v>#DIV/0!</v>
      </c>
      <c r="R737" s="1" t="e">
        <f t="shared" si="47"/>
        <v>#DIV/0!</v>
      </c>
      <c r="S737" s="1" t="e">
        <f t="shared" si="48"/>
        <v>#DIV/0!</v>
      </c>
    </row>
    <row r="738" spans="1:19" x14ac:dyDescent="0.3">
      <c r="A738"/>
      <c r="B738"/>
      <c r="C738"/>
      <c r="D738"/>
      <c r="E738"/>
      <c r="F738"/>
      <c r="G738"/>
      <c r="H738"/>
      <c r="I738"/>
      <c r="N738"/>
      <c r="O738"/>
      <c r="P738" s="1" t="e">
        <f t="shared" si="45"/>
        <v>#DIV/0!</v>
      </c>
      <c r="Q738" s="1" t="e">
        <f t="shared" si="46"/>
        <v>#DIV/0!</v>
      </c>
      <c r="R738" s="1" t="e">
        <f t="shared" si="47"/>
        <v>#DIV/0!</v>
      </c>
      <c r="S738" s="1" t="e">
        <f t="shared" si="48"/>
        <v>#DIV/0!</v>
      </c>
    </row>
    <row r="739" spans="1:19" x14ac:dyDescent="0.3">
      <c r="A739"/>
      <c r="B739"/>
      <c r="C739"/>
      <c r="D739"/>
      <c r="E739"/>
      <c r="F739"/>
      <c r="G739"/>
      <c r="H739"/>
      <c r="I739"/>
      <c r="N739"/>
      <c r="O739"/>
      <c r="P739" s="1" t="e">
        <f t="shared" si="45"/>
        <v>#DIV/0!</v>
      </c>
      <c r="Q739" s="1" t="e">
        <f t="shared" si="46"/>
        <v>#DIV/0!</v>
      </c>
      <c r="R739" s="1" t="e">
        <f t="shared" si="47"/>
        <v>#DIV/0!</v>
      </c>
      <c r="S739" s="1" t="e">
        <f t="shared" si="48"/>
        <v>#DIV/0!</v>
      </c>
    </row>
    <row r="740" spans="1:19" x14ac:dyDescent="0.3">
      <c r="A740"/>
      <c r="B740"/>
      <c r="C740"/>
      <c r="D740"/>
      <c r="E740"/>
      <c r="F740"/>
      <c r="G740"/>
      <c r="H740"/>
      <c r="I740"/>
      <c r="N740"/>
      <c r="O740"/>
      <c r="P740" s="1" t="e">
        <f t="shared" si="45"/>
        <v>#DIV/0!</v>
      </c>
      <c r="Q740" s="1" t="e">
        <f t="shared" si="46"/>
        <v>#DIV/0!</v>
      </c>
      <c r="R740" s="1" t="e">
        <f t="shared" si="47"/>
        <v>#DIV/0!</v>
      </c>
      <c r="S740" s="1" t="e">
        <f t="shared" si="48"/>
        <v>#DIV/0!</v>
      </c>
    </row>
    <row r="741" spans="1:19" x14ac:dyDescent="0.3">
      <c r="A741"/>
      <c r="B741"/>
      <c r="C741"/>
      <c r="D741"/>
      <c r="E741"/>
      <c r="F741"/>
      <c r="G741"/>
      <c r="H741"/>
      <c r="I741"/>
      <c r="N741"/>
      <c r="O741"/>
      <c r="P741" s="1" t="e">
        <f t="shared" si="45"/>
        <v>#DIV/0!</v>
      </c>
      <c r="Q741" s="1" t="e">
        <f t="shared" si="46"/>
        <v>#DIV/0!</v>
      </c>
      <c r="R741" s="1" t="e">
        <f t="shared" si="47"/>
        <v>#DIV/0!</v>
      </c>
      <c r="S741" s="1" t="e">
        <f t="shared" si="48"/>
        <v>#DIV/0!</v>
      </c>
    </row>
    <row r="742" spans="1:19" x14ac:dyDescent="0.3">
      <c r="A742"/>
      <c r="B742"/>
      <c r="C742"/>
      <c r="D742"/>
      <c r="E742"/>
      <c r="F742"/>
      <c r="G742"/>
      <c r="H742"/>
      <c r="I742"/>
      <c r="N742"/>
      <c r="O742"/>
      <c r="P742" s="1" t="e">
        <f t="shared" si="45"/>
        <v>#DIV/0!</v>
      </c>
      <c r="Q742" s="1" t="e">
        <f t="shared" si="46"/>
        <v>#DIV/0!</v>
      </c>
      <c r="R742" s="1" t="e">
        <f t="shared" si="47"/>
        <v>#DIV/0!</v>
      </c>
      <c r="S742" s="1" t="e">
        <f t="shared" si="48"/>
        <v>#DIV/0!</v>
      </c>
    </row>
    <row r="743" spans="1:19" x14ac:dyDescent="0.3">
      <c r="A743"/>
      <c r="B743"/>
      <c r="C743"/>
      <c r="D743"/>
      <c r="E743"/>
      <c r="F743"/>
      <c r="G743"/>
      <c r="H743"/>
      <c r="I743"/>
      <c r="N743"/>
      <c r="O743"/>
      <c r="P743" s="1" t="e">
        <f t="shared" si="45"/>
        <v>#DIV/0!</v>
      </c>
      <c r="Q743" s="1" t="e">
        <f t="shared" si="46"/>
        <v>#DIV/0!</v>
      </c>
      <c r="R743" s="1" t="e">
        <f t="shared" si="47"/>
        <v>#DIV/0!</v>
      </c>
      <c r="S743" s="1" t="e">
        <f t="shared" si="48"/>
        <v>#DIV/0!</v>
      </c>
    </row>
    <row r="744" spans="1:19" x14ac:dyDescent="0.3">
      <c r="A744"/>
      <c r="B744"/>
      <c r="C744"/>
      <c r="D744"/>
      <c r="E744"/>
      <c r="F744"/>
      <c r="G744"/>
      <c r="H744"/>
      <c r="I744"/>
      <c r="N744"/>
      <c r="O744"/>
      <c r="P744" s="1" t="e">
        <f t="shared" si="45"/>
        <v>#DIV/0!</v>
      </c>
      <c r="Q744" s="1" t="e">
        <f t="shared" si="46"/>
        <v>#DIV/0!</v>
      </c>
      <c r="R744" s="1" t="e">
        <f t="shared" si="47"/>
        <v>#DIV/0!</v>
      </c>
      <c r="S744" s="1" t="e">
        <f t="shared" si="48"/>
        <v>#DIV/0!</v>
      </c>
    </row>
    <row r="745" spans="1:19" x14ac:dyDescent="0.3">
      <c r="A745"/>
      <c r="B745"/>
      <c r="C745"/>
      <c r="D745"/>
      <c r="E745"/>
      <c r="F745"/>
      <c r="G745"/>
      <c r="H745"/>
      <c r="I745"/>
      <c r="N745"/>
      <c r="O745"/>
      <c r="P745" s="1" t="e">
        <f t="shared" si="45"/>
        <v>#DIV/0!</v>
      </c>
      <c r="Q745" s="1" t="e">
        <f t="shared" si="46"/>
        <v>#DIV/0!</v>
      </c>
      <c r="R745" s="1" t="e">
        <f t="shared" si="47"/>
        <v>#DIV/0!</v>
      </c>
      <c r="S745" s="1" t="e">
        <f t="shared" si="48"/>
        <v>#DIV/0!</v>
      </c>
    </row>
    <row r="746" spans="1:19" x14ac:dyDescent="0.3">
      <c r="A746"/>
      <c r="B746"/>
      <c r="C746"/>
      <c r="D746"/>
      <c r="E746"/>
      <c r="F746"/>
      <c r="G746"/>
      <c r="H746"/>
      <c r="I746"/>
      <c r="N746"/>
      <c r="O746"/>
      <c r="P746" s="1" t="e">
        <f t="shared" si="45"/>
        <v>#DIV/0!</v>
      </c>
      <c r="Q746" s="1" t="e">
        <f t="shared" si="46"/>
        <v>#DIV/0!</v>
      </c>
      <c r="R746" s="1" t="e">
        <f t="shared" si="47"/>
        <v>#DIV/0!</v>
      </c>
      <c r="S746" s="1" t="e">
        <f t="shared" si="48"/>
        <v>#DIV/0!</v>
      </c>
    </row>
    <row r="747" spans="1:19" x14ac:dyDescent="0.3">
      <c r="A747"/>
      <c r="B747"/>
      <c r="C747"/>
      <c r="D747"/>
      <c r="E747"/>
      <c r="F747"/>
      <c r="G747"/>
      <c r="H747"/>
      <c r="I747"/>
      <c r="N747"/>
      <c r="O747"/>
      <c r="P747" s="1" t="e">
        <f t="shared" si="45"/>
        <v>#DIV/0!</v>
      </c>
      <c r="Q747" s="1" t="e">
        <f t="shared" si="46"/>
        <v>#DIV/0!</v>
      </c>
      <c r="R747" s="1" t="e">
        <f t="shared" si="47"/>
        <v>#DIV/0!</v>
      </c>
      <c r="S747" s="1" t="e">
        <f t="shared" si="48"/>
        <v>#DIV/0!</v>
      </c>
    </row>
    <row r="748" spans="1:19" x14ac:dyDescent="0.3">
      <c r="A748"/>
      <c r="B748"/>
      <c r="C748"/>
      <c r="D748"/>
      <c r="E748"/>
      <c r="F748"/>
      <c r="G748"/>
      <c r="H748"/>
      <c r="I748"/>
      <c r="N748"/>
      <c r="O748"/>
      <c r="P748" s="1" t="e">
        <f t="shared" si="45"/>
        <v>#DIV/0!</v>
      </c>
      <c r="Q748" s="1" t="e">
        <f t="shared" si="46"/>
        <v>#DIV/0!</v>
      </c>
      <c r="R748" s="1" t="e">
        <f t="shared" si="47"/>
        <v>#DIV/0!</v>
      </c>
      <c r="S748" s="1" t="e">
        <f t="shared" si="48"/>
        <v>#DIV/0!</v>
      </c>
    </row>
    <row r="749" spans="1:19" x14ac:dyDescent="0.3">
      <c r="A749"/>
      <c r="B749"/>
      <c r="C749"/>
      <c r="D749"/>
      <c r="E749"/>
      <c r="F749"/>
      <c r="G749"/>
      <c r="H749"/>
      <c r="I749"/>
      <c r="N749"/>
      <c r="O749"/>
      <c r="P749" s="1" t="e">
        <f t="shared" si="45"/>
        <v>#DIV/0!</v>
      </c>
      <c r="Q749" s="1" t="e">
        <f t="shared" si="46"/>
        <v>#DIV/0!</v>
      </c>
      <c r="R749" s="1" t="e">
        <f t="shared" si="47"/>
        <v>#DIV/0!</v>
      </c>
      <c r="S749" s="1" t="e">
        <f t="shared" si="48"/>
        <v>#DIV/0!</v>
      </c>
    </row>
    <row r="750" spans="1:19" x14ac:dyDescent="0.3">
      <c r="A750"/>
      <c r="B750"/>
      <c r="C750"/>
      <c r="D750"/>
      <c r="E750"/>
      <c r="F750"/>
      <c r="G750"/>
      <c r="H750"/>
      <c r="I750"/>
      <c r="N750"/>
      <c r="O750"/>
      <c r="P750" s="1" t="e">
        <f t="shared" si="45"/>
        <v>#DIV/0!</v>
      </c>
      <c r="Q750" s="1" t="e">
        <f t="shared" si="46"/>
        <v>#DIV/0!</v>
      </c>
      <c r="R750" s="1" t="e">
        <f t="shared" si="47"/>
        <v>#DIV/0!</v>
      </c>
      <c r="S750" s="1" t="e">
        <f t="shared" si="48"/>
        <v>#DIV/0!</v>
      </c>
    </row>
    <row r="751" spans="1:19" x14ac:dyDescent="0.3">
      <c r="A751"/>
      <c r="B751"/>
      <c r="C751"/>
      <c r="D751"/>
      <c r="E751"/>
      <c r="F751"/>
      <c r="G751"/>
      <c r="H751"/>
      <c r="I751"/>
      <c r="N751"/>
      <c r="O751"/>
      <c r="P751" s="1" t="e">
        <f t="shared" si="45"/>
        <v>#DIV/0!</v>
      </c>
      <c r="Q751" s="1" t="e">
        <f t="shared" si="46"/>
        <v>#DIV/0!</v>
      </c>
      <c r="R751" s="1" t="e">
        <f t="shared" si="47"/>
        <v>#DIV/0!</v>
      </c>
      <c r="S751" s="1" t="e">
        <f t="shared" si="48"/>
        <v>#DIV/0!</v>
      </c>
    </row>
    <row r="752" spans="1:19" x14ac:dyDescent="0.3">
      <c r="A752"/>
      <c r="B752"/>
      <c r="C752"/>
      <c r="D752"/>
      <c r="E752"/>
      <c r="F752"/>
      <c r="G752"/>
      <c r="H752"/>
      <c r="I752"/>
      <c r="N752"/>
      <c r="O752"/>
      <c r="P752" s="1" t="e">
        <f t="shared" si="45"/>
        <v>#DIV/0!</v>
      </c>
      <c r="Q752" s="1" t="e">
        <f t="shared" si="46"/>
        <v>#DIV/0!</v>
      </c>
      <c r="R752" s="1" t="e">
        <f t="shared" si="47"/>
        <v>#DIV/0!</v>
      </c>
      <c r="S752" s="1" t="e">
        <f t="shared" si="48"/>
        <v>#DIV/0!</v>
      </c>
    </row>
    <row r="753" spans="1:19" x14ac:dyDescent="0.3">
      <c r="A753"/>
      <c r="B753"/>
      <c r="C753"/>
      <c r="D753"/>
      <c r="E753"/>
      <c r="F753"/>
      <c r="G753"/>
      <c r="H753"/>
      <c r="I753"/>
      <c r="N753"/>
      <c r="O753"/>
      <c r="P753" s="1" t="e">
        <f t="shared" si="45"/>
        <v>#DIV/0!</v>
      </c>
      <c r="Q753" s="1" t="e">
        <f t="shared" si="46"/>
        <v>#DIV/0!</v>
      </c>
      <c r="R753" s="1" t="e">
        <f t="shared" si="47"/>
        <v>#DIV/0!</v>
      </c>
      <c r="S753" s="1" t="e">
        <f t="shared" si="48"/>
        <v>#DIV/0!</v>
      </c>
    </row>
    <row r="754" spans="1:19" x14ac:dyDescent="0.3">
      <c r="A754"/>
      <c r="B754"/>
      <c r="C754"/>
      <c r="D754"/>
      <c r="E754"/>
      <c r="F754"/>
      <c r="G754"/>
      <c r="H754"/>
      <c r="I754"/>
      <c r="N754"/>
      <c r="O754"/>
      <c r="P754" s="1" t="e">
        <f t="shared" si="45"/>
        <v>#DIV/0!</v>
      </c>
      <c r="Q754" s="1" t="e">
        <f t="shared" si="46"/>
        <v>#DIV/0!</v>
      </c>
      <c r="R754" s="1" t="e">
        <f t="shared" si="47"/>
        <v>#DIV/0!</v>
      </c>
      <c r="S754" s="1" t="e">
        <f t="shared" si="48"/>
        <v>#DIV/0!</v>
      </c>
    </row>
    <row r="755" spans="1:19" x14ac:dyDescent="0.3">
      <c r="A755"/>
      <c r="B755"/>
      <c r="C755"/>
      <c r="D755"/>
      <c r="E755"/>
      <c r="F755"/>
      <c r="G755"/>
      <c r="H755"/>
      <c r="I755"/>
      <c r="N755"/>
      <c r="O755"/>
      <c r="P755" s="1" t="e">
        <f t="shared" si="45"/>
        <v>#DIV/0!</v>
      </c>
      <c r="Q755" s="1" t="e">
        <f t="shared" si="46"/>
        <v>#DIV/0!</v>
      </c>
      <c r="R755" s="1" t="e">
        <f t="shared" si="47"/>
        <v>#DIV/0!</v>
      </c>
      <c r="S755" s="1" t="e">
        <f t="shared" si="48"/>
        <v>#DIV/0!</v>
      </c>
    </row>
    <row r="756" spans="1:19" x14ac:dyDescent="0.3">
      <c r="A756"/>
      <c r="B756"/>
      <c r="C756"/>
      <c r="D756"/>
      <c r="E756"/>
      <c r="F756"/>
      <c r="G756"/>
      <c r="H756"/>
      <c r="I756"/>
      <c r="N756"/>
      <c r="O756"/>
      <c r="P756" s="1" t="e">
        <f t="shared" si="45"/>
        <v>#DIV/0!</v>
      </c>
      <c r="Q756" s="1" t="e">
        <f t="shared" si="46"/>
        <v>#DIV/0!</v>
      </c>
      <c r="R756" s="1" t="e">
        <f t="shared" si="47"/>
        <v>#DIV/0!</v>
      </c>
      <c r="S756" s="1" t="e">
        <f t="shared" si="48"/>
        <v>#DIV/0!</v>
      </c>
    </row>
    <row r="757" spans="1:19" x14ac:dyDescent="0.3">
      <c r="A757"/>
      <c r="B757"/>
      <c r="C757"/>
      <c r="D757"/>
      <c r="E757"/>
      <c r="F757"/>
      <c r="G757"/>
      <c r="H757"/>
      <c r="I757"/>
      <c r="N757"/>
      <c r="O757"/>
      <c r="P757" s="1" t="e">
        <f t="shared" si="45"/>
        <v>#DIV/0!</v>
      </c>
      <c r="Q757" s="1" t="e">
        <f t="shared" si="46"/>
        <v>#DIV/0!</v>
      </c>
      <c r="R757" s="1" t="e">
        <f t="shared" si="47"/>
        <v>#DIV/0!</v>
      </c>
      <c r="S757" s="1" t="e">
        <f t="shared" si="48"/>
        <v>#DIV/0!</v>
      </c>
    </row>
    <row r="758" spans="1:19" x14ac:dyDescent="0.3">
      <c r="A758"/>
      <c r="B758"/>
      <c r="C758"/>
      <c r="D758"/>
      <c r="E758"/>
      <c r="F758"/>
      <c r="G758"/>
      <c r="H758"/>
      <c r="I758"/>
      <c r="N758"/>
      <c r="O758"/>
      <c r="P758" s="1" t="e">
        <f t="shared" si="45"/>
        <v>#DIV/0!</v>
      </c>
      <c r="Q758" s="1" t="e">
        <f t="shared" si="46"/>
        <v>#DIV/0!</v>
      </c>
      <c r="R758" s="1" t="e">
        <f t="shared" si="47"/>
        <v>#DIV/0!</v>
      </c>
      <c r="S758" s="1" t="e">
        <f t="shared" si="48"/>
        <v>#DIV/0!</v>
      </c>
    </row>
    <row r="759" spans="1:19" x14ac:dyDescent="0.3">
      <c r="A759"/>
      <c r="B759"/>
      <c r="C759"/>
      <c r="D759"/>
      <c r="E759"/>
      <c r="F759"/>
      <c r="G759"/>
      <c r="H759"/>
      <c r="I759"/>
      <c r="N759"/>
      <c r="O759"/>
      <c r="P759" s="1" t="e">
        <f t="shared" si="45"/>
        <v>#DIV/0!</v>
      </c>
      <c r="Q759" s="1" t="e">
        <f t="shared" si="46"/>
        <v>#DIV/0!</v>
      </c>
      <c r="R759" s="1" t="e">
        <f t="shared" si="47"/>
        <v>#DIV/0!</v>
      </c>
      <c r="S759" s="1" t="e">
        <f t="shared" si="48"/>
        <v>#DIV/0!</v>
      </c>
    </row>
    <row r="760" spans="1:19" x14ac:dyDescent="0.3">
      <c r="A760"/>
      <c r="B760"/>
      <c r="C760"/>
      <c r="D760"/>
      <c r="E760"/>
      <c r="F760"/>
      <c r="G760"/>
      <c r="H760"/>
      <c r="I760"/>
      <c r="N760"/>
      <c r="O760"/>
      <c r="P760" s="1" t="e">
        <f t="shared" si="45"/>
        <v>#DIV/0!</v>
      </c>
      <c r="Q760" s="1" t="e">
        <f t="shared" si="46"/>
        <v>#DIV/0!</v>
      </c>
      <c r="R760" s="1" t="e">
        <f t="shared" si="47"/>
        <v>#DIV/0!</v>
      </c>
      <c r="S760" s="1" t="e">
        <f t="shared" si="48"/>
        <v>#DIV/0!</v>
      </c>
    </row>
    <row r="761" spans="1:19" x14ac:dyDescent="0.3">
      <c r="A761"/>
      <c r="B761"/>
      <c r="C761"/>
      <c r="D761"/>
      <c r="E761"/>
      <c r="F761"/>
      <c r="G761"/>
      <c r="H761"/>
      <c r="I761"/>
      <c r="N761"/>
      <c r="O761"/>
      <c r="P761" s="1" t="e">
        <f t="shared" si="45"/>
        <v>#DIV/0!</v>
      </c>
      <c r="Q761" s="1" t="e">
        <f t="shared" si="46"/>
        <v>#DIV/0!</v>
      </c>
      <c r="R761" s="1" t="e">
        <f t="shared" si="47"/>
        <v>#DIV/0!</v>
      </c>
      <c r="S761" s="1" t="e">
        <f t="shared" si="48"/>
        <v>#DIV/0!</v>
      </c>
    </row>
    <row r="762" spans="1:19" x14ac:dyDescent="0.3">
      <c r="A762"/>
      <c r="B762"/>
      <c r="C762"/>
      <c r="D762"/>
      <c r="E762"/>
      <c r="F762"/>
      <c r="G762"/>
      <c r="H762"/>
      <c r="I762"/>
      <c r="N762"/>
      <c r="O762"/>
      <c r="P762" s="1" t="e">
        <f t="shared" si="45"/>
        <v>#DIV/0!</v>
      </c>
      <c r="Q762" s="1" t="e">
        <f t="shared" si="46"/>
        <v>#DIV/0!</v>
      </c>
      <c r="R762" s="1" t="e">
        <f t="shared" si="47"/>
        <v>#DIV/0!</v>
      </c>
      <c r="S762" s="1" t="e">
        <f t="shared" si="48"/>
        <v>#DIV/0!</v>
      </c>
    </row>
    <row r="763" spans="1:19" x14ac:dyDescent="0.3">
      <c r="A763"/>
      <c r="B763"/>
      <c r="C763"/>
      <c r="D763"/>
      <c r="E763"/>
      <c r="F763"/>
      <c r="G763"/>
      <c r="H763"/>
      <c r="I763"/>
      <c r="N763"/>
      <c r="O763"/>
      <c r="P763" s="1" t="e">
        <f t="shared" si="45"/>
        <v>#DIV/0!</v>
      </c>
      <c r="Q763" s="1" t="e">
        <f t="shared" si="46"/>
        <v>#DIV/0!</v>
      </c>
      <c r="R763" s="1" t="e">
        <f t="shared" si="47"/>
        <v>#DIV/0!</v>
      </c>
      <c r="S763" s="1" t="e">
        <f t="shared" si="48"/>
        <v>#DIV/0!</v>
      </c>
    </row>
    <row r="764" spans="1:19" x14ac:dyDescent="0.3">
      <c r="A764"/>
      <c r="B764"/>
      <c r="C764"/>
      <c r="D764"/>
      <c r="E764"/>
      <c r="F764"/>
      <c r="G764"/>
      <c r="H764"/>
      <c r="I764"/>
      <c r="N764"/>
      <c r="O764"/>
      <c r="P764" s="1" t="e">
        <f t="shared" si="45"/>
        <v>#DIV/0!</v>
      </c>
      <c r="Q764" s="1" t="e">
        <f t="shared" si="46"/>
        <v>#DIV/0!</v>
      </c>
      <c r="R764" s="1" t="e">
        <f t="shared" si="47"/>
        <v>#DIV/0!</v>
      </c>
      <c r="S764" s="1" t="e">
        <f t="shared" si="48"/>
        <v>#DIV/0!</v>
      </c>
    </row>
    <row r="765" spans="1:19" x14ac:dyDescent="0.3">
      <c r="A765"/>
      <c r="B765"/>
      <c r="C765"/>
      <c r="D765"/>
      <c r="E765"/>
      <c r="F765"/>
      <c r="G765"/>
      <c r="H765"/>
      <c r="I765"/>
      <c r="N765"/>
      <c r="O765"/>
      <c r="P765" s="1" t="e">
        <f t="shared" si="45"/>
        <v>#DIV/0!</v>
      </c>
      <c r="Q765" s="1" t="e">
        <f t="shared" si="46"/>
        <v>#DIV/0!</v>
      </c>
      <c r="R765" s="1" t="e">
        <f t="shared" si="47"/>
        <v>#DIV/0!</v>
      </c>
      <c r="S765" s="1" t="e">
        <f t="shared" si="48"/>
        <v>#DIV/0!</v>
      </c>
    </row>
    <row r="766" spans="1:19" x14ac:dyDescent="0.3">
      <c r="A766"/>
      <c r="B766"/>
      <c r="C766"/>
      <c r="D766"/>
      <c r="E766"/>
      <c r="F766"/>
      <c r="G766"/>
      <c r="H766"/>
      <c r="I766"/>
      <c r="N766"/>
      <c r="O766"/>
      <c r="P766" s="1" t="e">
        <f t="shared" si="45"/>
        <v>#DIV/0!</v>
      </c>
      <c r="Q766" s="1" t="e">
        <f t="shared" si="46"/>
        <v>#DIV/0!</v>
      </c>
      <c r="R766" s="1" t="e">
        <f t="shared" si="47"/>
        <v>#DIV/0!</v>
      </c>
      <c r="S766" s="1" t="e">
        <f t="shared" si="48"/>
        <v>#DIV/0!</v>
      </c>
    </row>
    <row r="767" spans="1:19" x14ac:dyDescent="0.3">
      <c r="A767"/>
      <c r="B767"/>
      <c r="C767"/>
      <c r="D767"/>
      <c r="E767"/>
      <c r="F767"/>
      <c r="G767"/>
      <c r="H767"/>
      <c r="I767"/>
      <c r="N767"/>
      <c r="O767"/>
      <c r="P767" s="1" t="e">
        <f t="shared" si="45"/>
        <v>#DIV/0!</v>
      </c>
      <c r="Q767" s="1" t="e">
        <f t="shared" si="46"/>
        <v>#DIV/0!</v>
      </c>
      <c r="R767" s="1" t="e">
        <f t="shared" si="47"/>
        <v>#DIV/0!</v>
      </c>
      <c r="S767" s="1" t="e">
        <f t="shared" si="48"/>
        <v>#DIV/0!</v>
      </c>
    </row>
    <row r="768" spans="1:19" x14ac:dyDescent="0.3">
      <c r="A768"/>
      <c r="B768"/>
      <c r="C768"/>
      <c r="D768"/>
      <c r="E768"/>
      <c r="F768"/>
      <c r="G768"/>
      <c r="H768"/>
      <c r="I768"/>
      <c r="N768"/>
      <c r="O768"/>
      <c r="P768" s="1" t="e">
        <f t="shared" si="45"/>
        <v>#DIV/0!</v>
      </c>
      <c r="Q768" s="1" t="e">
        <f t="shared" si="46"/>
        <v>#DIV/0!</v>
      </c>
      <c r="R768" s="1" t="e">
        <f t="shared" si="47"/>
        <v>#DIV/0!</v>
      </c>
      <c r="S768" s="1" t="e">
        <f t="shared" si="48"/>
        <v>#DIV/0!</v>
      </c>
    </row>
    <row r="769" spans="1:19" x14ac:dyDescent="0.3">
      <c r="A769"/>
      <c r="B769"/>
      <c r="C769"/>
      <c r="D769"/>
      <c r="E769"/>
      <c r="F769"/>
      <c r="G769"/>
      <c r="H769"/>
      <c r="I769"/>
      <c r="N769"/>
      <c r="O769"/>
      <c r="P769" s="1" t="e">
        <f t="shared" si="45"/>
        <v>#DIV/0!</v>
      </c>
      <c r="Q769" s="1" t="e">
        <f t="shared" si="46"/>
        <v>#DIV/0!</v>
      </c>
      <c r="R769" s="1" t="e">
        <f t="shared" si="47"/>
        <v>#DIV/0!</v>
      </c>
      <c r="S769" s="1" t="e">
        <f t="shared" si="48"/>
        <v>#DIV/0!</v>
      </c>
    </row>
    <row r="770" spans="1:19" x14ac:dyDescent="0.3">
      <c r="A770"/>
      <c r="B770"/>
      <c r="C770"/>
      <c r="D770"/>
      <c r="E770"/>
      <c r="F770"/>
      <c r="G770"/>
      <c r="H770"/>
      <c r="I770"/>
      <c r="N770"/>
      <c r="O770"/>
      <c r="P770" s="1" t="e">
        <f t="shared" si="45"/>
        <v>#DIV/0!</v>
      </c>
      <c r="Q770" s="1" t="e">
        <f t="shared" si="46"/>
        <v>#DIV/0!</v>
      </c>
      <c r="R770" s="1" t="e">
        <f t="shared" si="47"/>
        <v>#DIV/0!</v>
      </c>
      <c r="S770" s="1" t="e">
        <f t="shared" si="48"/>
        <v>#DIV/0!</v>
      </c>
    </row>
    <row r="771" spans="1:19" x14ac:dyDescent="0.3">
      <c r="A771"/>
      <c r="B771"/>
      <c r="C771"/>
      <c r="D771"/>
      <c r="E771"/>
      <c r="F771"/>
      <c r="G771"/>
      <c r="H771"/>
      <c r="I771"/>
      <c r="N771"/>
      <c r="O771"/>
      <c r="P771" s="1" t="e">
        <f t="shared" si="45"/>
        <v>#DIV/0!</v>
      </c>
      <c r="Q771" s="1" t="e">
        <f t="shared" si="46"/>
        <v>#DIV/0!</v>
      </c>
      <c r="R771" s="1" t="e">
        <f t="shared" si="47"/>
        <v>#DIV/0!</v>
      </c>
      <c r="S771" s="1" t="e">
        <f t="shared" si="48"/>
        <v>#DIV/0!</v>
      </c>
    </row>
    <row r="772" spans="1:19" x14ac:dyDescent="0.3">
      <c r="A772"/>
      <c r="B772"/>
      <c r="C772"/>
      <c r="D772"/>
      <c r="E772"/>
      <c r="F772"/>
      <c r="G772"/>
      <c r="H772"/>
      <c r="I772"/>
      <c r="N772"/>
      <c r="O772"/>
      <c r="P772" s="1" t="e">
        <f t="shared" si="45"/>
        <v>#DIV/0!</v>
      </c>
      <c r="Q772" s="1" t="e">
        <f t="shared" si="46"/>
        <v>#DIV/0!</v>
      </c>
      <c r="R772" s="1" t="e">
        <f t="shared" si="47"/>
        <v>#DIV/0!</v>
      </c>
      <c r="S772" s="1" t="e">
        <f t="shared" si="48"/>
        <v>#DIV/0!</v>
      </c>
    </row>
    <row r="773" spans="1:19" x14ac:dyDescent="0.3">
      <c r="A773"/>
      <c r="B773"/>
      <c r="C773"/>
      <c r="D773"/>
      <c r="E773"/>
      <c r="F773"/>
      <c r="G773"/>
      <c r="H773"/>
      <c r="I773"/>
      <c r="N773"/>
      <c r="O773"/>
      <c r="P773" s="1" t="e">
        <f t="shared" si="45"/>
        <v>#DIV/0!</v>
      </c>
      <c r="Q773" s="1" t="e">
        <f t="shared" si="46"/>
        <v>#DIV/0!</v>
      </c>
      <c r="R773" s="1" t="e">
        <f t="shared" si="47"/>
        <v>#DIV/0!</v>
      </c>
      <c r="S773" s="1" t="e">
        <f t="shared" si="48"/>
        <v>#DIV/0!</v>
      </c>
    </row>
    <row r="774" spans="1:19" x14ac:dyDescent="0.3">
      <c r="A774"/>
      <c r="B774"/>
      <c r="C774"/>
      <c r="D774"/>
      <c r="E774"/>
      <c r="F774"/>
      <c r="G774"/>
      <c r="H774"/>
      <c r="I774"/>
      <c r="N774"/>
      <c r="O774"/>
      <c r="P774" s="1" t="e">
        <f t="shared" si="45"/>
        <v>#DIV/0!</v>
      </c>
      <c r="Q774" s="1" t="e">
        <f t="shared" si="46"/>
        <v>#DIV/0!</v>
      </c>
      <c r="R774" s="1" t="e">
        <f t="shared" si="47"/>
        <v>#DIV/0!</v>
      </c>
      <c r="S774" s="1" t="e">
        <f t="shared" si="48"/>
        <v>#DIV/0!</v>
      </c>
    </row>
    <row r="775" spans="1:19" x14ac:dyDescent="0.3">
      <c r="A775"/>
      <c r="B775"/>
      <c r="C775"/>
      <c r="D775"/>
      <c r="E775"/>
      <c r="F775"/>
      <c r="G775"/>
      <c r="H775"/>
      <c r="I775"/>
      <c r="N775"/>
      <c r="O775"/>
      <c r="P775" s="1" t="e">
        <f t="shared" si="45"/>
        <v>#DIV/0!</v>
      </c>
      <c r="Q775" s="1" t="e">
        <f t="shared" si="46"/>
        <v>#DIV/0!</v>
      </c>
      <c r="R775" s="1" t="e">
        <f t="shared" si="47"/>
        <v>#DIV/0!</v>
      </c>
      <c r="S775" s="1" t="e">
        <f t="shared" si="48"/>
        <v>#DIV/0!</v>
      </c>
    </row>
    <row r="776" spans="1:19" x14ac:dyDescent="0.3">
      <c r="A776"/>
      <c r="B776"/>
      <c r="C776"/>
      <c r="D776"/>
      <c r="E776"/>
      <c r="F776"/>
      <c r="G776"/>
      <c r="H776"/>
      <c r="I776"/>
      <c r="N776"/>
      <c r="O776"/>
      <c r="P776" s="1" t="e">
        <f t="shared" si="45"/>
        <v>#DIV/0!</v>
      </c>
      <c r="Q776" s="1" t="e">
        <f t="shared" si="46"/>
        <v>#DIV/0!</v>
      </c>
      <c r="R776" s="1" t="e">
        <f t="shared" si="47"/>
        <v>#DIV/0!</v>
      </c>
      <c r="S776" s="1" t="e">
        <f t="shared" si="48"/>
        <v>#DIV/0!</v>
      </c>
    </row>
    <row r="777" spans="1:19" x14ac:dyDescent="0.3">
      <c r="A777"/>
      <c r="B777"/>
      <c r="C777"/>
      <c r="D777"/>
      <c r="E777"/>
      <c r="F777"/>
      <c r="G777"/>
      <c r="H777"/>
      <c r="I777"/>
      <c r="N777"/>
      <c r="O777"/>
      <c r="P777" s="1" t="e">
        <f t="shared" si="45"/>
        <v>#DIV/0!</v>
      </c>
      <c r="Q777" s="1" t="e">
        <f t="shared" si="46"/>
        <v>#DIV/0!</v>
      </c>
      <c r="R777" s="1" t="e">
        <f t="shared" si="47"/>
        <v>#DIV/0!</v>
      </c>
      <c r="S777" s="1" t="e">
        <f t="shared" si="48"/>
        <v>#DIV/0!</v>
      </c>
    </row>
    <row r="778" spans="1:19" x14ac:dyDescent="0.3">
      <c r="A778"/>
      <c r="B778"/>
      <c r="C778"/>
      <c r="D778"/>
      <c r="E778"/>
      <c r="F778"/>
      <c r="G778"/>
      <c r="H778"/>
      <c r="I778"/>
      <c r="N778"/>
      <c r="O778"/>
      <c r="P778" s="1" t="e">
        <f t="shared" si="45"/>
        <v>#DIV/0!</v>
      </c>
      <c r="Q778" s="1" t="e">
        <f t="shared" si="46"/>
        <v>#DIV/0!</v>
      </c>
      <c r="R778" s="1" t="e">
        <f t="shared" si="47"/>
        <v>#DIV/0!</v>
      </c>
      <c r="S778" s="1" t="e">
        <f t="shared" si="48"/>
        <v>#DIV/0!</v>
      </c>
    </row>
    <row r="779" spans="1:19" x14ac:dyDescent="0.3">
      <c r="A779"/>
      <c r="B779"/>
      <c r="C779"/>
      <c r="D779"/>
      <c r="E779"/>
      <c r="F779"/>
      <c r="G779"/>
      <c r="H779"/>
      <c r="I779"/>
      <c r="N779"/>
      <c r="O779"/>
      <c r="P779" s="1" t="e">
        <f t="shared" si="45"/>
        <v>#DIV/0!</v>
      </c>
      <c r="Q779" s="1" t="e">
        <f t="shared" si="46"/>
        <v>#DIV/0!</v>
      </c>
      <c r="R779" s="1" t="e">
        <f t="shared" si="47"/>
        <v>#DIV/0!</v>
      </c>
      <c r="S779" s="1" t="e">
        <f t="shared" si="48"/>
        <v>#DIV/0!</v>
      </c>
    </row>
    <row r="780" spans="1:19" x14ac:dyDescent="0.3">
      <c r="A780"/>
      <c r="B780"/>
      <c r="C780"/>
      <c r="D780"/>
      <c r="E780"/>
      <c r="F780"/>
      <c r="G780"/>
      <c r="H780"/>
      <c r="I780"/>
      <c r="N780"/>
      <c r="O780"/>
      <c r="P780" s="1" t="e">
        <f t="shared" si="45"/>
        <v>#DIV/0!</v>
      </c>
      <c r="Q780" s="1" t="e">
        <f t="shared" si="46"/>
        <v>#DIV/0!</v>
      </c>
      <c r="R780" s="1" t="e">
        <f t="shared" si="47"/>
        <v>#DIV/0!</v>
      </c>
      <c r="S780" s="1" t="e">
        <f t="shared" si="48"/>
        <v>#DIV/0!</v>
      </c>
    </row>
    <row r="781" spans="1:19" x14ac:dyDescent="0.3">
      <c r="A781"/>
      <c r="B781"/>
      <c r="C781"/>
      <c r="D781"/>
      <c r="E781"/>
      <c r="F781"/>
      <c r="G781"/>
      <c r="H781"/>
      <c r="I781"/>
      <c r="N781"/>
      <c r="O781"/>
      <c r="P781" s="1" t="e">
        <f t="shared" si="45"/>
        <v>#DIV/0!</v>
      </c>
      <c r="Q781" s="1" t="e">
        <f t="shared" si="46"/>
        <v>#DIV/0!</v>
      </c>
      <c r="R781" s="1" t="e">
        <f t="shared" si="47"/>
        <v>#DIV/0!</v>
      </c>
      <c r="S781" s="1" t="e">
        <f t="shared" si="48"/>
        <v>#DIV/0!</v>
      </c>
    </row>
    <row r="782" spans="1:19" x14ac:dyDescent="0.3">
      <c r="A782"/>
      <c r="B782"/>
      <c r="C782"/>
      <c r="D782"/>
      <c r="E782"/>
      <c r="F782"/>
      <c r="G782"/>
      <c r="H782"/>
      <c r="I782"/>
      <c r="N782"/>
      <c r="O782"/>
      <c r="P782" s="1" t="e">
        <f t="shared" si="45"/>
        <v>#DIV/0!</v>
      </c>
      <c r="Q782" s="1" t="e">
        <f t="shared" si="46"/>
        <v>#DIV/0!</v>
      </c>
      <c r="R782" s="1" t="e">
        <f t="shared" si="47"/>
        <v>#DIV/0!</v>
      </c>
      <c r="S782" s="1" t="e">
        <f t="shared" si="48"/>
        <v>#DIV/0!</v>
      </c>
    </row>
    <row r="783" spans="1:19" x14ac:dyDescent="0.3">
      <c r="A783"/>
      <c r="B783"/>
      <c r="C783"/>
      <c r="D783"/>
      <c r="E783"/>
      <c r="F783"/>
      <c r="G783"/>
      <c r="H783"/>
      <c r="I783"/>
      <c r="N783"/>
      <c r="O783"/>
      <c r="P783" s="1" t="e">
        <f t="shared" si="45"/>
        <v>#DIV/0!</v>
      </c>
      <c r="Q783" s="1" t="e">
        <f t="shared" si="46"/>
        <v>#DIV/0!</v>
      </c>
      <c r="R783" s="1" t="e">
        <f t="shared" si="47"/>
        <v>#DIV/0!</v>
      </c>
      <c r="S783" s="1" t="e">
        <f t="shared" si="48"/>
        <v>#DIV/0!</v>
      </c>
    </row>
    <row r="784" spans="1:19" x14ac:dyDescent="0.3">
      <c r="A784"/>
      <c r="B784"/>
      <c r="C784"/>
      <c r="D784"/>
      <c r="E784"/>
      <c r="F784"/>
      <c r="G784"/>
      <c r="H784"/>
      <c r="I784"/>
      <c r="N784"/>
      <c r="O784"/>
      <c r="P784" s="1" t="e">
        <f t="shared" si="45"/>
        <v>#DIV/0!</v>
      </c>
      <c r="Q784" s="1" t="e">
        <f t="shared" si="46"/>
        <v>#DIV/0!</v>
      </c>
      <c r="R784" s="1" t="e">
        <f t="shared" si="47"/>
        <v>#DIV/0!</v>
      </c>
      <c r="S784" s="1" t="e">
        <f t="shared" si="48"/>
        <v>#DIV/0!</v>
      </c>
    </row>
    <row r="785" spans="1:19" x14ac:dyDescent="0.3">
      <c r="A785"/>
      <c r="B785"/>
      <c r="C785"/>
      <c r="D785"/>
      <c r="E785"/>
      <c r="F785"/>
      <c r="G785"/>
      <c r="H785"/>
      <c r="I785"/>
      <c r="N785"/>
      <c r="O785"/>
      <c r="P785" s="1" t="e">
        <f t="shared" si="45"/>
        <v>#DIV/0!</v>
      </c>
      <c r="Q785" s="1" t="e">
        <f t="shared" si="46"/>
        <v>#DIV/0!</v>
      </c>
      <c r="R785" s="1" t="e">
        <f t="shared" si="47"/>
        <v>#DIV/0!</v>
      </c>
      <c r="S785" s="1" t="e">
        <f t="shared" si="48"/>
        <v>#DIV/0!</v>
      </c>
    </row>
    <row r="786" spans="1:19" x14ac:dyDescent="0.3">
      <c r="A786"/>
      <c r="B786"/>
      <c r="C786"/>
      <c r="D786"/>
      <c r="E786"/>
      <c r="F786"/>
      <c r="G786"/>
      <c r="H786"/>
      <c r="I786"/>
      <c r="N786"/>
      <c r="O786"/>
      <c r="P786" s="1" t="e">
        <f t="shared" si="45"/>
        <v>#DIV/0!</v>
      </c>
      <c r="Q786" s="1" t="e">
        <f t="shared" si="46"/>
        <v>#DIV/0!</v>
      </c>
      <c r="R786" s="1" t="e">
        <f t="shared" si="47"/>
        <v>#DIV/0!</v>
      </c>
      <c r="S786" s="1" t="e">
        <f t="shared" si="48"/>
        <v>#DIV/0!</v>
      </c>
    </row>
    <row r="787" spans="1:19" x14ac:dyDescent="0.3">
      <c r="A787"/>
      <c r="B787"/>
      <c r="C787"/>
      <c r="D787"/>
      <c r="E787"/>
      <c r="F787"/>
      <c r="G787"/>
      <c r="H787"/>
      <c r="I787"/>
      <c r="N787"/>
      <c r="O787"/>
      <c r="P787" s="1" t="e">
        <f t="shared" si="45"/>
        <v>#DIV/0!</v>
      </c>
      <c r="Q787" s="1" t="e">
        <f t="shared" si="46"/>
        <v>#DIV/0!</v>
      </c>
      <c r="R787" s="1" t="e">
        <f t="shared" si="47"/>
        <v>#DIV/0!</v>
      </c>
      <c r="S787" s="1" t="e">
        <f t="shared" si="48"/>
        <v>#DIV/0!</v>
      </c>
    </row>
    <row r="788" spans="1:19" x14ac:dyDescent="0.3">
      <c r="A788"/>
      <c r="B788"/>
      <c r="C788"/>
      <c r="D788"/>
      <c r="E788"/>
      <c r="F788"/>
      <c r="G788"/>
      <c r="H788"/>
      <c r="I788"/>
      <c r="N788"/>
      <c r="O788"/>
      <c r="P788" s="1" t="e">
        <f t="shared" si="45"/>
        <v>#DIV/0!</v>
      </c>
      <c r="Q788" s="1" t="e">
        <f t="shared" si="46"/>
        <v>#DIV/0!</v>
      </c>
      <c r="R788" s="1" t="e">
        <f t="shared" si="47"/>
        <v>#DIV/0!</v>
      </c>
      <c r="S788" s="1" t="e">
        <f t="shared" si="48"/>
        <v>#DIV/0!</v>
      </c>
    </row>
    <row r="789" spans="1:19" x14ac:dyDescent="0.3">
      <c r="A789"/>
      <c r="B789"/>
      <c r="C789"/>
      <c r="D789"/>
      <c r="E789"/>
      <c r="F789"/>
      <c r="G789"/>
      <c r="H789"/>
      <c r="I789"/>
      <c r="N789"/>
      <c r="O789"/>
      <c r="P789" s="1" t="e">
        <f t="shared" si="45"/>
        <v>#DIV/0!</v>
      </c>
      <c r="Q789" s="1" t="e">
        <f t="shared" si="46"/>
        <v>#DIV/0!</v>
      </c>
      <c r="R789" s="1" t="e">
        <f t="shared" si="47"/>
        <v>#DIV/0!</v>
      </c>
      <c r="S789" s="1" t="e">
        <f t="shared" si="48"/>
        <v>#DIV/0!</v>
      </c>
    </row>
    <row r="790" spans="1:19" x14ac:dyDescent="0.3">
      <c r="A790"/>
      <c r="B790"/>
      <c r="C790"/>
      <c r="D790"/>
      <c r="E790"/>
      <c r="F790"/>
      <c r="G790"/>
      <c r="H790"/>
      <c r="I790"/>
      <c r="N790"/>
      <c r="O790"/>
      <c r="P790" s="1" t="e">
        <f t="shared" si="45"/>
        <v>#DIV/0!</v>
      </c>
      <c r="Q790" s="1" t="e">
        <f t="shared" si="46"/>
        <v>#DIV/0!</v>
      </c>
      <c r="R790" s="1" t="e">
        <f t="shared" si="47"/>
        <v>#DIV/0!</v>
      </c>
      <c r="S790" s="1" t="e">
        <f t="shared" si="48"/>
        <v>#DIV/0!</v>
      </c>
    </row>
    <row r="791" spans="1:19" x14ac:dyDescent="0.3">
      <c r="A791"/>
      <c r="B791"/>
      <c r="C791"/>
      <c r="D791"/>
      <c r="E791"/>
      <c r="F791"/>
      <c r="G791"/>
      <c r="H791"/>
      <c r="I791"/>
      <c r="N791"/>
      <c r="O791"/>
      <c r="P791" s="1" t="e">
        <f t="shared" si="45"/>
        <v>#DIV/0!</v>
      </c>
      <c r="Q791" s="1" t="e">
        <f t="shared" si="46"/>
        <v>#DIV/0!</v>
      </c>
      <c r="R791" s="1" t="e">
        <f t="shared" si="47"/>
        <v>#DIV/0!</v>
      </c>
      <c r="S791" s="1" t="e">
        <f t="shared" si="48"/>
        <v>#DIV/0!</v>
      </c>
    </row>
    <row r="792" spans="1:19" x14ac:dyDescent="0.3">
      <c r="A792"/>
      <c r="B792"/>
      <c r="C792"/>
      <c r="D792"/>
      <c r="E792"/>
      <c r="F792"/>
      <c r="G792"/>
      <c r="H792"/>
      <c r="I792"/>
      <c r="N792"/>
      <c r="O792"/>
      <c r="P792" s="1" t="e">
        <f t="shared" si="45"/>
        <v>#DIV/0!</v>
      </c>
      <c r="Q792" s="1" t="e">
        <f t="shared" si="46"/>
        <v>#DIV/0!</v>
      </c>
      <c r="R792" s="1" t="e">
        <f t="shared" si="47"/>
        <v>#DIV/0!</v>
      </c>
      <c r="S792" s="1" t="e">
        <f t="shared" si="48"/>
        <v>#DIV/0!</v>
      </c>
    </row>
    <row r="793" spans="1:19" x14ac:dyDescent="0.3">
      <c r="A793"/>
      <c r="B793"/>
      <c r="C793"/>
      <c r="D793"/>
      <c r="E793"/>
      <c r="F793"/>
      <c r="G793"/>
      <c r="H793"/>
      <c r="I793"/>
      <c r="N793"/>
      <c r="O793"/>
      <c r="P793" s="1" t="e">
        <f t="shared" si="45"/>
        <v>#DIV/0!</v>
      </c>
      <c r="Q793" s="1" t="e">
        <f t="shared" si="46"/>
        <v>#DIV/0!</v>
      </c>
      <c r="R793" s="1" t="e">
        <f t="shared" si="47"/>
        <v>#DIV/0!</v>
      </c>
      <c r="S793" s="1" t="e">
        <f t="shared" si="48"/>
        <v>#DIV/0!</v>
      </c>
    </row>
    <row r="794" spans="1:19" x14ac:dyDescent="0.3">
      <c r="A794"/>
      <c r="B794"/>
      <c r="C794"/>
      <c r="D794"/>
      <c r="E794"/>
      <c r="F794"/>
      <c r="G794"/>
      <c r="H794"/>
      <c r="I794"/>
      <c r="N794"/>
      <c r="O794"/>
      <c r="P794" s="1" t="e">
        <f t="shared" si="45"/>
        <v>#DIV/0!</v>
      </c>
      <c r="Q794" s="1" t="e">
        <f t="shared" si="46"/>
        <v>#DIV/0!</v>
      </c>
      <c r="R794" s="1" t="e">
        <f t="shared" si="47"/>
        <v>#DIV/0!</v>
      </c>
      <c r="S794" s="1" t="e">
        <f t="shared" si="48"/>
        <v>#DIV/0!</v>
      </c>
    </row>
    <row r="795" spans="1:19" x14ac:dyDescent="0.3">
      <c r="A795"/>
      <c r="B795"/>
      <c r="C795"/>
      <c r="D795"/>
      <c r="E795"/>
      <c r="F795"/>
      <c r="G795"/>
      <c r="H795"/>
      <c r="I795"/>
      <c r="N795"/>
      <c r="O795"/>
      <c r="P795" s="1" t="e">
        <f t="shared" si="45"/>
        <v>#DIV/0!</v>
      </c>
      <c r="Q795" s="1" t="e">
        <f t="shared" si="46"/>
        <v>#DIV/0!</v>
      </c>
      <c r="R795" s="1" t="e">
        <f t="shared" si="47"/>
        <v>#DIV/0!</v>
      </c>
      <c r="S795" s="1" t="e">
        <f t="shared" si="48"/>
        <v>#DIV/0!</v>
      </c>
    </row>
    <row r="796" spans="1:19" x14ac:dyDescent="0.3">
      <c r="A796"/>
      <c r="B796"/>
      <c r="C796"/>
      <c r="D796"/>
      <c r="E796"/>
      <c r="F796"/>
      <c r="G796"/>
      <c r="H796"/>
      <c r="I796"/>
      <c r="N796"/>
      <c r="O796"/>
      <c r="P796" s="1" t="e">
        <f t="shared" si="45"/>
        <v>#DIV/0!</v>
      </c>
      <c r="Q796" s="1" t="e">
        <f t="shared" si="46"/>
        <v>#DIV/0!</v>
      </c>
      <c r="R796" s="1" t="e">
        <f t="shared" si="47"/>
        <v>#DIV/0!</v>
      </c>
      <c r="S796" s="1" t="e">
        <f t="shared" si="48"/>
        <v>#DIV/0!</v>
      </c>
    </row>
    <row r="797" spans="1:19" x14ac:dyDescent="0.3">
      <c r="A797"/>
      <c r="B797"/>
      <c r="C797"/>
      <c r="D797"/>
      <c r="E797"/>
      <c r="F797"/>
      <c r="G797"/>
      <c r="H797"/>
      <c r="I797"/>
      <c r="N797"/>
      <c r="O797"/>
      <c r="P797" s="1" t="e">
        <f t="shared" si="45"/>
        <v>#DIV/0!</v>
      </c>
      <c r="Q797" s="1" t="e">
        <f t="shared" si="46"/>
        <v>#DIV/0!</v>
      </c>
      <c r="R797" s="1" t="e">
        <f t="shared" si="47"/>
        <v>#DIV/0!</v>
      </c>
      <c r="S797" s="1" t="e">
        <f t="shared" si="48"/>
        <v>#DIV/0!</v>
      </c>
    </row>
    <row r="798" spans="1:19" x14ac:dyDescent="0.3">
      <c r="A798"/>
      <c r="B798"/>
      <c r="C798"/>
      <c r="D798"/>
      <c r="E798"/>
      <c r="F798"/>
      <c r="G798"/>
      <c r="H798"/>
      <c r="I798"/>
      <c r="N798"/>
      <c r="O798"/>
      <c r="P798" s="1" t="e">
        <f t="shared" ref="P798:P861" si="49">(B780+Q$35)/P$35</f>
        <v>#DIV/0!</v>
      </c>
      <c r="Q798" s="1" t="e">
        <f t="shared" ref="Q798:Q861" si="50">(C780+Q$35)/P$35</f>
        <v>#DIV/0!</v>
      </c>
      <c r="R798" s="1" t="e">
        <f t="shared" ref="R798:R861" si="51">(D780+Q$37)/P$37</f>
        <v>#DIV/0!</v>
      </c>
      <c r="S798" s="1" t="e">
        <f t="shared" ref="S798:S861" si="52">(E780+Q$38)/P$38</f>
        <v>#DIV/0!</v>
      </c>
    </row>
    <row r="799" spans="1:19" x14ac:dyDescent="0.3">
      <c r="A799"/>
      <c r="B799"/>
      <c r="C799"/>
      <c r="D799"/>
      <c r="E799"/>
      <c r="F799"/>
      <c r="G799"/>
      <c r="H799"/>
      <c r="I799"/>
      <c r="N799"/>
      <c r="O799"/>
      <c r="P799" s="1" t="e">
        <f t="shared" si="49"/>
        <v>#DIV/0!</v>
      </c>
      <c r="Q799" s="1" t="e">
        <f t="shared" si="50"/>
        <v>#DIV/0!</v>
      </c>
      <c r="R799" s="1" t="e">
        <f t="shared" si="51"/>
        <v>#DIV/0!</v>
      </c>
      <c r="S799" s="1" t="e">
        <f t="shared" si="52"/>
        <v>#DIV/0!</v>
      </c>
    </row>
    <row r="800" spans="1:19" x14ac:dyDescent="0.3">
      <c r="A800"/>
      <c r="B800"/>
      <c r="C800"/>
      <c r="D800"/>
      <c r="E800"/>
      <c r="F800"/>
      <c r="G800"/>
      <c r="H800"/>
      <c r="I800"/>
      <c r="N800"/>
      <c r="O800"/>
      <c r="P800" s="1" t="e">
        <f t="shared" si="49"/>
        <v>#DIV/0!</v>
      </c>
      <c r="Q800" s="1" t="e">
        <f t="shared" si="50"/>
        <v>#DIV/0!</v>
      </c>
      <c r="R800" s="1" t="e">
        <f t="shared" si="51"/>
        <v>#DIV/0!</v>
      </c>
      <c r="S800" s="1" t="e">
        <f t="shared" si="52"/>
        <v>#DIV/0!</v>
      </c>
    </row>
    <row r="801" spans="1:19" x14ac:dyDescent="0.3">
      <c r="A801"/>
      <c r="B801"/>
      <c r="C801"/>
      <c r="D801"/>
      <c r="E801"/>
      <c r="F801"/>
      <c r="G801"/>
      <c r="H801"/>
      <c r="I801"/>
      <c r="N801"/>
      <c r="O801"/>
      <c r="P801" s="1" t="e">
        <f t="shared" si="49"/>
        <v>#DIV/0!</v>
      </c>
      <c r="Q801" s="1" t="e">
        <f t="shared" si="50"/>
        <v>#DIV/0!</v>
      </c>
      <c r="R801" s="1" t="e">
        <f t="shared" si="51"/>
        <v>#DIV/0!</v>
      </c>
      <c r="S801" s="1" t="e">
        <f t="shared" si="52"/>
        <v>#DIV/0!</v>
      </c>
    </row>
    <row r="802" spans="1:19" x14ac:dyDescent="0.3">
      <c r="A802"/>
      <c r="B802"/>
      <c r="C802"/>
      <c r="D802"/>
      <c r="E802"/>
      <c r="F802"/>
      <c r="G802"/>
      <c r="H802"/>
      <c r="I802"/>
      <c r="N802"/>
      <c r="O802"/>
      <c r="P802" s="1" t="e">
        <f t="shared" si="49"/>
        <v>#DIV/0!</v>
      </c>
      <c r="Q802" s="1" t="e">
        <f t="shared" si="50"/>
        <v>#DIV/0!</v>
      </c>
      <c r="R802" s="1" t="e">
        <f t="shared" si="51"/>
        <v>#DIV/0!</v>
      </c>
      <c r="S802" s="1" t="e">
        <f t="shared" si="52"/>
        <v>#DIV/0!</v>
      </c>
    </row>
    <row r="803" spans="1:19" x14ac:dyDescent="0.3">
      <c r="A803"/>
      <c r="B803"/>
      <c r="C803"/>
      <c r="D803"/>
      <c r="E803"/>
      <c r="F803"/>
      <c r="G803"/>
      <c r="H803"/>
      <c r="I803"/>
      <c r="N803"/>
      <c r="O803"/>
      <c r="P803" s="1" t="e">
        <f t="shared" si="49"/>
        <v>#DIV/0!</v>
      </c>
      <c r="Q803" s="1" t="e">
        <f t="shared" si="50"/>
        <v>#DIV/0!</v>
      </c>
      <c r="R803" s="1" t="e">
        <f t="shared" si="51"/>
        <v>#DIV/0!</v>
      </c>
      <c r="S803" s="1" t="e">
        <f t="shared" si="52"/>
        <v>#DIV/0!</v>
      </c>
    </row>
    <row r="804" spans="1:19" x14ac:dyDescent="0.3">
      <c r="A804"/>
      <c r="B804"/>
      <c r="C804"/>
      <c r="D804"/>
      <c r="E804"/>
      <c r="F804"/>
      <c r="G804"/>
      <c r="H804"/>
      <c r="I804"/>
      <c r="N804"/>
      <c r="O804"/>
      <c r="P804" s="1" t="e">
        <f t="shared" si="49"/>
        <v>#DIV/0!</v>
      </c>
      <c r="Q804" s="1" t="e">
        <f t="shared" si="50"/>
        <v>#DIV/0!</v>
      </c>
      <c r="R804" s="1" t="e">
        <f t="shared" si="51"/>
        <v>#DIV/0!</v>
      </c>
      <c r="S804" s="1" t="e">
        <f t="shared" si="52"/>
        <v>#DIV/0!</v>
      </c>
    </row>
    <row r="805" spans="1:19" x14ac:dyDescent="0.3">
      <c r="A805"/>
      <c r="B805"/>
      <c r="C805"/>
      <c r="D805"/>
      <c r="E805"/>
      <c r="F805"/>
      <c r="G805"/>
      <c r="H805"/>
      <c r="I805"/>
      <c r="N805"/>
      <c r="O805"/>
      <c r="P805" s="1" t="e">
        <f t="shared" si="49"/>
        <v>#DIV/0!</v>
      </c>
      <c r="Q805" s="1" t="e">
        <f t="shared" si="50"/>
        <v>#DIV/0!</v>
      </c>
      <c r="R805" s="1" t="e">
        <f t="shared" si="51"/>
        <v>#DIV/0!</v>
      </c>
      <c r="S805" s="1" t="e">
        <f t="shared" si="52"/>
        <v>#DIV/0!</v>
      </c>
    </row>
    <row r="806" spans="1:19" x14ac:dyDescent="0.3">
      <c r="A806"/>
      <c r="B806"/>
      <c r="C806"/>
      <c r="D806"/>
      <c r="E806"/>
      <c r="F806"/>
      <c r="G806"/>
      <c r="H806"/>
      <c r="I806"/>
      <c r="N806"/>
      <c r="O806"/>
      <c r="P806" s="1" t="e">
        <f t="shared" si="49"/>
        <v>#DIV/0!</v>
      </c>
      <c r="Q806" s="1" t="e">
        <f t="shared" si="50"/>
        <v>#DIV/0!</v>
      </c>
      <c r="R806" s="1" t="e">
        <f t="shared" si="51"/>
        <v>#DIV/0!</v>
      </c>
      <c r="S806" s="1" t="e">
        <f t="shared" si="52"/>
        <v>#DIV/0!</v>
      </c>
    </row>
    <row r="807" spans="1:19" x14ac:dyDescent="0.3">
      <c r="A807"/>
      <c r="B807"/>
      <c r="C807"/>
      <c r="D807"/>
      <c r="E807"/>
      <c r="F807"/>
      <c r="G807"/>
      <c r="H807"/>
      <c r="I807"/>
      <c r="N807"/>
      <c r="O807"/>
      <c r="P807" s="1" t="e">
        <f t="shared" si="49"/>
        <v>#DIV/0!</v>
      </c>
      <c r="Q807" s="1" t="e">
        <f t="shared" si="50"/>
        <v>#DIV/0!</v>
      </c>
      <c r="R807" s="1" t="e">
        <f t="shared" si="51"/>
        <v>#DIV/0!</v>
      </c>
      <c r="S807" s="1" t="e">
        <f t="shared" si="52"/>
        <v>#DIV/0!</v>
      </c>
    </row>
    <row r="808" spans="1:19" x14ac:dyDescent="0.3">
      <c r="A808"/>
      <c r="B808"/>
      <c r="C808"/>
      <c r="D808"/>
      <c r="E808"/>
      <c r="F808"/>
      <c r="G808"/>
      <c r="H808"/>
      <c r="I808"/>
      <c r="N808"/>
      <c r="O808"/>
      <c r="P808" s="1" t="e">
        <f t="shared" si="49"/>
        <v>#DIV/0!</v>
      </c>
      <c r="Q808" s="1" t="e">
        <f t="shared" si="50"/>
        <v>#DIV/0!</v>
      </c>
      <c r="R808" s="1" t="e">
        <f t="shared" si="51"/>
        <v>#DIV/0!</v>
      </c>
      <c r="S808" s="1" t="e">
        <f t="shared" si="52"/>
        <v>#DIV/0!</v>
      </c>
    </row>
    <row r="809" spans="1:19" x14ac:dyDescent="0.3">
      <c r="A809"/>
      <c r="B809"/>
      <c r="C809"/>
      <c r="D809"/>
      <c r="E809"/>
      <c r="F809"/>
      <c r="G809"/>
      <c r="H809"/>
      <c r="I809"/>
      <c r="N809"/>
      <c r="O809"/>
      <c r="P809" s="1" t="e">
        <f t="shared" si="49"/>
        <v>#DIV/0!</v>
      </c>
      <c r="Q809" s="1" t="e">
        <f t="shared" si="50"/>
        <v>#DIV/0!</v>
      </c>
      <c r="R809" s="1" t="e">
        <f t="shared" si="51"/>
        <v>#DIV/0!</v>
      </c>
      <c r="S809" s="1" t="e">
        <f t="shared" si="52"/>
        <v>#DIV/0!</v>
      </c>
    </row>
    <row r="810" spans="1:19" x14ac:dyDescent="0.3">
      <c r="A810"/>
      <c r="B810"/>
      <c r="C810"/>
      <c r="D810"/>
      <c r="E810"/>
      <c r="F810"/>
      <c r="G810"/>
      <c r="H810"/>
      <c r="I810"/>
      <c r="N810"/>
      <c r="O810"/>
      <c r="P810" s="1" t="e">
        <f t="shared" si="49"/>
        <v>#DIV/0!</v>
      </c>
      <c r="Q810" s="1" t="e">
        <f t="shared" si="50"/>
        <v>#DIV/0!</v>
      </c>
      <c r="R810" s="1" t="e">
        <f t="shared" si="51"/>
        <v>#DIV/0!</v>
      </c>
      <c r="S810" s="1" t="e">
        <f t="shared" si="52"/>
        <v>#DIV/0!</v>
      </c>
    </row>
    <row r="811" spans="1:19" x14ac:dyDescent="0.3">
      <c r="A811"/>
      <c r="B811"/>
      <c r="C811"/>
      <c r="D811"/>
      <c r="E811"/>
      <c r="F811"/>
      <c r="G811"/>
      <c r="H811"/>
      <c r="I811"/>
      <c r="N811"/>
      <c r="O811"/>
      <c r="P811" s="1" t="e">
        <f t="shared" si="49"/>
        <v>#DIV/0!</v>
      </c>
      <c r="Q811" s="1" t="e">
        <f t="shared" si="50"/>
        <v>#DIV/0!</v>
      </c>
      <c r="R811" s="1" t="e">
        <f t="shared" si="51"/>
        <v>#DIV/0!</v>
      </c>
      <c r="S811" s="1" t="e">
        <f t="shared" si="52"/>
        <v>#DIV/0!</v>
      </c>
    </row>
    <row r="812" spans="1:19" x14ac:dyDescent="0.3">
      <c r="A812"/>
      <c r="B812"/>
      <c r="C812"/>
      <c r="D812"/>
      <c r="E812"/>
      <c r="F812"/>
      <c r="G812"/>
      <c r="H812"/>
      <c r="I812"/>
      <c r="N812"/>
      <c r="O812"/>
      <c r="P812" s="1" t="e">
        <f t="shared" si="49"/>
        <v>#DIV/0!</v>
      </c>
      <c r="Q812" s="1" t="e">
        <f t="shared" si="50"/>
        <v>#DIV/0!</v>
      </c>
      <c r="R812" s="1" t="e">
        <f t="shared" si="51"/>
        <v>#DIV/0!</v>
      </c>
      <c r="S812" s="1" t="e">
        <f t="shared" si="52"/>
        <v>#DIV/0!</v>
      </c>
    </row>
    <row r="813" spans="1:19" x14ac:dyDescent="0.3">
      <c r="A813"/>
      <c r="B813"/>
      <c r="C813"/>
      <c r="D813"/>
      <c r="E813"/>
      <c r="F813"/>
      <c r="G813"/>
      <c r="H813"/>
      <c r="I813"/>
      <c r="N813"/>
      <c r="O813"/>
      <c r="P813" s="1" t="e">
        <f t="shared" si="49"/>
        <v>#DIV/0!</v>
      </c>
      <c r="Q813" s="1" t="e">
        <f t="shared" si="50"/>
        <v>#DIV/0!</v>
      </c>
      <c r="R813" s="1" t="e">
        <f t="shared" si="51"/>
        <v>#DIV/0!</v>
      </c>
      <c r="S813" s="1" t="e">
        <f t="shared" si="52"/>
        <v>#DIV/0!</v>
      </c>
    </row>
    <row r="814" spans="1:19" x14ac:dyDescent="0.3">
      <c r="A814"/>
      <c r="B814"/>
      <c r="C814"/>
      <c r="D814"/>
      <c r="E814"/>
      <c r="F814"/>
      <c r="G814"/>
      <c r="H814"/>
      <c r="I814"/>
      <c r="N814"/>
      <c r="O814"/>
      <c r="P814" s="1" t="e">
        <f t="shared" si="49"/>
        <v>#DIV/0!</v>
      </c>
      <c r="Q814" s="1" t="e">
        <f t="shared" si="50"/>
        <v>#DIV/0!</v>
      </c>
      <c r="R814" s="1" t="e">
        <f t="shared" si="51"/>
        <v>#DIV/0!</v>
      </c>
      <c r="S814" s="1" t="e">
        <f t="shared" si="52"/>
        <v>#DIV/0!</v>
      </c>
    </row>
    <row r="815" spans="1:19" x14ac:dyDescent="0.3">
      <c r="A815"/>
      <c r="B815"/>
      <c r="C815"/>
      <c r="D815"/>
      <c r="E815"/>
      <c r="F815"/>
      <c r="G815"/>
      <c r="H815"/>
      <c r="I815"/>
      <c r="N815"/>
      <c r="O815"/>
      <c r="P815" s="1" t="e">
        <f t="shared" si="49"/>
        <v>#DIV/0!</v>
      </c>
      <c r="Q815" s="1" t="e">
        <f t="shared" si="50"/>
        <v>#DIV/0!</v>
      </c>
      <c r="R815" s="1" t="e">
        <f t="shared" si="51"/>
        <v>#DIV/0!</v>
      </c>
      <c r="S815" s="1" t="e">
        <f t="shared" si="52"/>
        <v>#DIV/0!</v>
      </c>
    </row>
    <row r="816" spans="1:19" x14ac:dyDescent="0.3">
      <c r="A816"/>
      <c r="B816"/>
      <c r="C816"/>
      <c r="D816"/>
      <c r="E816"/>
      <c r="F816"/>
      <c r="G816"/>
      <c r="H816"/>
      <c r="I816"/>
      <c r="N816"/>
      <c r="O816"/>
      <c r="P816" s="1" t="e">
        <f t="shared" si="49"/>
        <v>#DIV/0!</v>
      </c>
      <c r="Q816" s="1" t="e">
        <f t="shared" si="50"/>
        <v>#DIV/0!</v>
      </c>
      <c r="R816" s="1" t="e">
        <f t="shared" si="51"/>
        <v>#DIV/0!</v>
      </c>
      <c r="S816" s="1" t="e">
        <f t="shared" si="52"/>
        <v>#DIV/0!</v>
      </c>
    </row>
    <row r="817" spans="1:19" x14ac:dyDescent="0.3">
      <c r="A817"/>
      <c r="B817"/>
      <c r="C817"/>
      <c r="D817"/>
      <c r="E817"/>
      <c r="F817"/>
      <c r="G817"/>
      <c r="H817"/>
      <c r="I817"/>
      <c r="N817"/>
      <c r="O817"/>
      <c r="P817" s="1" t="e">
        <f t="shared" si="49"/>
        <v>#DIV/0!</v>
      </c>
      <c r="Q817" s="1" t="e">
        <f t="shared" si="50"/>
        <v>#DIV/0!</v>
      </c>
      <c r="R817" s="1" t="e">
        <f t="shared" si="51"/>
        <v>#DIV/0!</v>
      </c>
      <c r="S817" s="1" t="e">
        <f t="shared" si="52"/>
        <v>#DIV/0!</v>
      </c>
    </row>
    <row r="818" spans="1:19" x14ac:dyDescent="0.3">
      <c r="A818"/>
      <c r="B818"/>
      <c r="C818"/>
      <c r="D818"/>
      <c r="E818"/>
      <c r="F818"/>
      <c r="G818"/>
      <c r="H818"/>
      <c r="I818"/>
      <c r="N818"/>
      <c r="O818"/>
      <c r="P818" s="1" t="e">
        <f t="shared" si="49"/>
        <v>#DIV/0!</v>
      </c>
      <c r="Q818" s="1" t="e">
        <f t="shared" si="50"/>
        <v>#DIV/0!</v>
      </c>
      <c r="R818" s="1" t="e">
        <f t="shared" si="51"/>
        <v>#DIV/0!</v>
      </c>
      <c r="S818" s="1" t="e">
        <f t="shared" si="52"/>
        <v>#DIV/0!</v>
      </c>
    </row>
    <row r="819" spans="1:19" x14ac:dyDescent="0.3">
      <c r="A819"/>
      <c r="B819"/>
      <c r="C819"/>
      <c r="D819"/>
      <c r="E819"/>
      <c r="F819"/>
      <c r="G819"/>
      <c r="H819"/>
      <c r="I819"/>
      <c r="N819"/>
      <c r="O819"/>
      <c r="P819" s="1" t="e">
        <f t="shared" si="49"/>
        <v>#DIV/0!</v>
      </c>
      <c r="Q819" s="1" t="e">
        <f t="shared" si="50"/>
        <v>#DIV/0!</v>
      </c>
      <c r="R819" s="1" t="e">
        <f t="shared" si="51"/>
        <v>#DIV/0!</v>
      </c>
      <c r="S819" s="1" t="e">
        <f t="shared" si="52"/>
        <v>#DIV/0!</v>
      </c>
    </row>
    <row r="820" spans="1:19" x14ac:dyDescent="0.3">
      <c r="A820"/>
      <c r="B820"/>
      <c r="C820"/>
      <c r="D820"/>
      <c r="E820"/>
      <c r="F820"/>
      <c r="G820"/>
      <c r="H820"/>
      <c r="I820"/>
      <c r="N820"/>
      <c r="O820"/>
      <c r="P820" s="1" t="e">
        <f t="shared" si="49"/>
        <v>#DIV/0!</v>
      </c>
      <c r="Q820" s="1" t="e">
        <f t="shared" si="50"/>
        <v>#DIV/0!</v>
      </c>
      <c r="R820" s="1" t="e">
        <f t="shared" si="51"/>
        <v>#DIV/0!</v>
      </c>
      <c r="S820" s="1" t="e">
        <f t="shared" si="52"/>
        <v>#DIV/0!</v>
      </c>
    </row>
    <row r="821" spans="1:19" x14ac:dyDescent="0.3">
      <c r="A821"/>
      <c r="B821"/>
      <c r="C821"/>
      <c r="D821"/>
      <c r="E821"/>
      <c r="F821"/>
      <c r="G821"/>
      <c r="H821"/>
      <c r="I821"/>
      <c r="N821"/>
      <c r="O821"/>
      <c r="P821" s="1" t="e">
        <f t="shared" si="49"/>
        <v>#DIV/0!</v>
      </c>
      <c r="Q821" s="1" t="e">
        <f t="shared" si="50"/>
        <v>#DIV/0!</v>
      </c>
      <c r="R821" s="1" t="e">
        <f t="shared" si="51"/>
        <v>#DIV/0!</v>
      </c>
      <c r="S821" s="1" t="e">
        <f t="shared" si="52"/>
        <v>#DIV/0!</v>
      </c>
    </row>
    <row r="822" spans="1:19" x14ac:dyDescent="0.3">
      <c r="A822"/>
      <c r="B822"/>
      <c r="C822"/>
      <c r="D822"/>
      <c r="E822"/>
      <c r="F822"/>
      <c r="G822"/>
      <c r="H822"/>
      <c r="I822"/>
      <c r="N822"/>
      <c r="O822"/>
      <c r="P822" s="1" t="e">
        <f t="shared" si="49"/>
        <v>#DIV/0!</v>
      </c>
      <c r="Q822" s="1" t="e">
        <f t="shared" si="50"/>
        <v>#DIV/0!</v>
      </c>
      <c r="R822" s="1" t="e">
        <f t="shared" si="51"/>
        <v>#DIV/0!</v>
      </c>
      <c r="S822" s="1" t="e">
        <f t="shared" si="52"/>
        <v>#DIV/0!</v>
      </c>
    </row>
    <row r="823" spans="1:19" x14ac:dyDescent="0.3">
      <c r="A823"/>
      <c r="B823"/>
      <c r="C823"/>
      <c r="D823"/>
      <c r="E823"/>
      <c r="F823"/>
      <c r="G823"/>
      <c r="H823"/>
      <c r="I823"/>
      <c r="N823"/>
      <c r="O823"/>
      <c r="P823" s="1" t="e">
        <f t="shared" si="49"/>
        <v>#DIV/0!</v>
      </c>
      <c r="Q823" s="1" t="e">
        <f t="shared" si="50"/>
        <v>#DIV/0!</v>
      </c>
      <c r="R823" s="1" t="e">
        <f t="shared" si="51"/>
        <v>#DIV/0!</v>
      </c>
      <c r="S823" s="1" t="e">
        <f t="shared" si="52"/>
        <v>#DIV/0!</v>
      </c>
    </row>
    <row r="824" spans="1:19" x14ac:dyDescent="0.3">
      <c r="A824"/>
      <c r="B824"/>
      <c r="C824"/>
      <c r="D824"/>
      <c r="E824"/>
      <c r="F824"/>
      <c r="G824"/>
      <c r="H824"/>
      <c r="I824"/>
      <c r="N824"/>
      <c r="O824"/>
      <c r="P824" s="1" t="e">
        <f t="shared" si="49"/>
        <v>#DIV/0!</v>
      </c>
      <c r="Q824" s="1" t="e">
        <f t="shared" si="50"/>
        <v>#DIV/0!</v>
      </c>
      <c r="R824" s="1" t="e">
        <f t="shared" si="51"/>
        <v>#DIV/0!</v>
      </c>
      <c r="S824" s="1" t="e">
        <f t="shared" si="52"/>
        <v>#DIV/0!</v>
      </c>
    </row>
    <row r="825" spans="1:19" x14ac:dyDescent="0.3">
      <c r="A825"/>
      <c r="B825"/>
      <c r="C825"/>
      <c r="D825"/>
      <c r="E825"/>
      <c r="F825"/>
      <c r="G825"/>
      <c r="H825"/>
      <c r="I825"/>
      <c r="N825"/>
      <c r="O825"/>
      <c r="P825" s="1" t="e">
        <f t="shared" si="49"/>
        <v>#DIV/0!</v>
      </c>
      <c r="Q825" s="1" t="e">
        <f t="shared" si="50"/>
        <v>#DIV/0!</v>
      </c>
      <c r="R825" s="1" t="e">
        <f t="shared" si="51"/>
        <v>#DIV/0!</v>
      </c>
      <c r="S825" s="1" t="e">
        <f t="shared" si="52"/>
        <v>#DIV/0!</v>
      </c>
    </row>
    <row r="826" spans="1:19" x14ac:dyDescent="0.3">
      <c r="A826"/>
      <c r="B826"/>
      <c r="C826"/>
      <c r="D826"/>
      <c r="E826"/>
      <c r="F826"/>
      <c r="G826"/>
      <c r="H826"/>
      <c r="I826"/>
      <c r="N826"/>
      <c r="O826"/>
      <c r="P826" s="1" t="e">
        <f t="shared" si="49"/>
        <v>#DIV/0!</v>
      </c>
      <c r="Q826" s="1" t="e">
        <f t="shared" si="50"/>
        <v>#DIV/0!</v>
      </c>
      <c r="R826" s="1" t="e">
        <f t="shared" si="51"/>
        <v>#DIV/0!</v>
      </c>
      <c r="S826" s="1" t="e">
        <f t="shared" si="52"/>
        <v>#DIV/0!</v>
      </c>
    </row>
    <row r="827" spans="1:19" x14ac:dyDescent="0.3">
      <c r="A827"/>
      <c r="B827"/>
      <c r="C827"/>
      <c r="D827"/>
      <c r="E827"/>
      <c r="F827"/>
      <c r="G827"/>
      <c r="H827"/>
      <c r="I827"/>
      <c r="N827"/>
      <c r="O827"/>
      <c r="P827" s="1" t="e">
        <f t="shared" si="49"/>
        <v>#DIV/0!</v>
      </c>
      <c r="Q827" s="1" t="e">
        <f t="shared" si="50"/>
        <v>#DIV/0!</v>
      </c>
      <c r="R827" s="1" t="e">
        <f t="shared" si="51"/>
        <v>#DIV/0!</v>
      </c>
      <c r="S827" s="1" t="e">
        <f t="shared" si="52"/>
        <v>#DIV/0!</v>
      </c>
    </row>
    <row r="828" spans="1:19" x14ac:dyDescent="0.3">
      <c r="A828"/>
      <c r="B828"/>
      <c r="C828"/>
      <c r="D828"/>
      <c r="E828"/>
      <c r="F828"/>
      <c r="G828"/>
      <c r="H828"/>
      <c r="I828"/>
      <c r="N828"/>
      <c r="O828"/>
      <c r="P828" s="1" t="e">
        <f t="shared" si="49"/>
        <v>#DIV/0!</v>
      </c>
      <c r="Q828" s="1" t="e">
        <f t="shared" si="50"/>
        <v>#DIV/0!</v>
      </c>
      <c r="R828" s="1" t="e">
        <f t="shared" si="51"/>
        <v>#DIV/0!</v>
      </c>
      <c r="S828" s="1" t="e">
        <f t="shared" si="52"/>
        <v>#DIV/0!</v>
      </c>
    </row>
    <row r="829" spans="1:19" x14ac:dyDescent="0.3">
      <c r="A829"/>
      <c r="B829"/>
      <c r="C829"/>
      <c r="D829"/>
      <c r="E829"/>
      <c r="F829"/>
      <c r="G829"/>
      <c r="H829"/>
      <c r="I829"/>
      <c r="N829"/>
      <c r="O829"/>
      <c r="P829" s="1" t="e">
        <f t="shared" si="49"/>
        <v>#DIV/0!</v>
      </c>
      <c r="Q829" s="1" t="e">
        <f t="shared" si="50"/>
        <v>#DIV/0!</v>
      </c>
      <c r="R829" s="1" t="e">
        <f t="shared" si="51"/>
        <v>#DIV/0!</v>
      </c>
      <c r="S829" s="1" t="e">
        <f t="shared" si="52"/>
        <v>#DIV/0!</v>
      </c>
    </row>
    <row r="830" spans="1:19" x14ac:dyDescent="0.3">
      <c r="A830"/>
      <c r="B830"/>
      <c r="C830"/>
      <c r="D830"/>
      <c r="E830"/>
      <c r="F830"/>
      <c r="G830"/>
      <c r="H830"/>
      <c r="I830"/>
      <c r="N830"/>
      <c r="O830"/>
      <c r="P830" s="1" t="e">
        <f t="shared" si="49"/>
        <v>#DIV/0!</v>
      </c>
      <c r="Q830" s="1" t="e">
        <f t="shared" si="50"/>
        <v>#DIV/0!</v>
      </c>
      <c r="R830" s="1" t="e">
        <f t="shared" si="51"/>
        <v>#DIV/0!</v>
      </c>
      <c r="S830" s="1" t="e">
        <f t="shared" si="52"/>
        <v>#DIV/0!</v>
      </c>
    </row>
    <row r="831" spans="1:19" x14ac:dyDescent="0.3">
      <c r="A831"/>
      <c r="B831"/>
      <c r="C831"/>
      <c r="D831"/>
      <c r="E831"/>
      <c r="F831"/>
      <c r="G831"/>
      <c r="H831"/>
      <c r="I831"/>
      <c r="N831"/>
      <c r="O831"/>
      <c r="P831" s="1" t="e">
        <f t="shared" si="49"/>
        <v>#DIV/0!</v>
      </c>
      <c r="Q831" s="1" t="e">
        <f t="shared" si="50"/>
        <v>#DIV/0!</v>
      </c>
      <c r="R831" s="1" t="e">
        <f t="shared" si="51"/>
        <v>#DIV/0!</v>
      </c>
      <c r="S831" s="1" t="e">
        <f t="shared" si="52"/>
        <v>#DIV/0!</v>
      </c>
    </row>
    <row r="832" spans="1:19" x14ac:dyDescent="0.3">
      <c r="A832"/>
      <c r="B832"/>
      <c r="C832"/>
      <c r="D832"/>
      <c r="E832"/>
      <c r="F832"/>
      <c r="G832"/>
      <c r="H832"/>
      <c r="I832"/>
      <c r="N832"/>
      <c r="O832"/>
      <c r="P832" s="1" t="e">
        <f t="shared" si="49"/>
        <v>#DIV/0!</v>
      </c>
      <c r="Q832" s="1" t="e">
        <f t="shared" si="50"/>
        <v>#DIV/0!</v>
      </c>
      <c r="R832" s="1" t="e">
        <f t="shared" si="51"/>
        <v>#DIV/0!</v>
      </c>
      <c r="S832" s="1" t="e">
        <f t="shared" si="52"/>
        <v>#DIV/0!</v>
      </c>
    </row>
    <row r="833" spans="1:19" x14ac:dyDescent="0.3">
      <c r="A833"/>
      <c r="B833"/>
      <c r="C833"/>
      <c r="D833"/>
      <c r="E833"/>
      <c r="F833"/>
      <c r="G833"/>
      <c r="H833"/>
      <c r="I833"/>
      <c r="N833"/>
      <c r="O833"/>
      <c r="P833" s="1" t="e">
        <f t="shared" si="49"/>
        <v>#DIV/0!</v>
      </c>
      <c r="Q833" s="1" t="e">
        <f t="shared" si="50"/>
        <v>#DIV/0!</v>
      </c>
      <c r="R833" s="1" t="e">
        <f t="shared" si="51"/>
        <v>#DIV/0!</v>
      </c>
      <c r="S833" s="1" t="e">
        <f t="shared" si="52"/>
        <v>#DIV/0!</v>
      </c>
    </row>
    <row r="834" spans="1:19" x14ac:dyDescent="0.3">
      <c r="A834"/>
      <c r="B834"/>
      <c r="C834"/>
      <c r="D834"/>
      <c r="E834"/>
      <c r="F834"/>
      <c r="G834"/>
      <c r="H834"/>
      <c r="I834"/>
      <c r="N834"/>
      <c r="O834"/>
      <c r="P834" s="1" t="e">
        <f t="shared" si="49"/>
        <v>#DIV/0!</v>
      </c>
      <c r="Q834" s="1" t="e">
        <f t="shared" si="50"/>
        <v>#DIV/0!</v>
      </c>
      <c r="R834" s="1" t="e">
        <f t="shared" si="51"/>
        <v>#DIV/0!</v>
      </c>
      <c r="S834" s="1" t="e">
        <f t="shared" si="52"/>
        <v>#DIV/0!</v>
      </c>
    </row>
    <row r="835" spans="1:19" x14ac:dyDescent="0.3">
      <c r="A835"/>
      <c r="B835"/>
      <c r="C835"/>
      <c r="D835"/>
      <c r="E835"/>
      <c r="F835"/>
      <c r="G835"/>
      <c r="H835"/>
      <c r="I835"/>
      <c r="N835"/>
      <c r="O835"/>
      <c r="P835" s="1" t="e">
        <f t="shared" si="49"/>
        <v>#DIV/0!</v>
      </c>
      <c r="Q835" s="1" t="e">
        <f t="shared" si="50"/>
        <v>#DIV/0!</v>
      </c>
      <c r="R835" s="1" t="e">
        <f t="shared" si="51"/>
        <v>#DIV/0!</v>
      </c>
      <c r="S835" s="1" t="e">
        <f t="shared" si="52"/>
        <v>#DIV/0!</v>
      </c>
    </row>
    <row r="836" spans="1:19" x14ac:dyDescent="0.3">
      <c r="A836"/>
      <c r="B836"/>
      <c r="C836"/>
      <c r="D836"/>
      <c r="E836"/>
      <c r="F836"/>
      <c r="G836"/>
      <c r="H836"/>
      <c r="I836"/>
      <c r="N836"/>
      <c r="O836"/>
      <c r="P836" s="1" t="e">
        <f t="shared" si="49"/>
        <v>#DIV/0!</v>
      </c>
      <c r="Q836" s="1" t="e">
        <f t="shared" si="50"/>
        <v>#DIV/0!</v>
      </c>
      <c r="R836" s="1" t="e">
        <f t="shared" si="51"/>
        <v>#DIV/0!</v>
      </c>
      <c r="S836" s="1" t="e">
        <f t="shared" si="52"/>
        <v>#DIV/0!</v>
      </c>
    </row>
    <row r="837" spans="1:19" x14ac:dyDescent="0.3">
      <c r="A837"/>
      <c r="B837"/>
      <c r="C837"/>
      <c r="D837"/>
      <c r="E837"/>
      <c r="F837"/>
      <c r="G837"/>
      <c r="H837"/>
      <c r="I837"/>
      <c r="N837"/>
      <c r="O837"/>
      <c r="P837" s="1" t="e">
        <f t="shared" si="49"/>
        <v>#DIV/0!</v>
      </c>
      <c r="Q837" s="1" t="e">
        <f t="shared" si="50"/>
        <v>#DIV/0!</v>
      </c>
      <c r="R837" s="1" t="e">
        <f t="shared" si="51"/>
        <v>#DIV/0!</v>
      </c>
      <c r="S837" s="1" t="e">
        <f t="shared" si="52"/>
        <v>#DIV/0!</v>
      </c>
    </row>
    <row r="838" spans="1:19" x14ac:dyDescent="0.3">
      <c r="A838"/>
      <c r="B838"/>
      <c r="C838"/>
      <c r="D838"/>
      <c r="E838"/>
      <c r="F838"/>
      <c r="G838"/>
      <c r="H838"/>
      <c r="I838"/>
      <c r="N838"/>
      <c r="O838"/>
      <c r="P838" s="1" t="e">
        <f t="shared" si="49"/>
        <v>#DIV/0!</v>
      </c>
      <c r="Q838" s="1" t="e">
        <f t="shared" si="50"/>
        <v>#DIV/0!</v>
      </c>
      <c r="R838" s="1" t="e">
        <f t="shared" si="51"/>
        <v>#DIV/0!</v>
      </c>
      <c r="S838" s="1" t="e">
        <f t="shared" si="52"/>
        <v>#DIV/0!</v>
      </c>
    </row>
    <row r="839" spans="1:19" x14ac:dyDescent="0.3">
      <c r="A839"/>
      <c r="B839"/>
      <c r="C839"/>
      <c r="D839"/>
      <c r="E839"/>
      <c r="F839"/>
      <c r="G839"/>
      <c r="H839"/>
      <c r="I839"/>
      <c r="N839"/>
      <c r="O839"/>
      <c r="P839" s="1" t="e">
        <f t="shared" si="49"/>
        <v>#DIV/0!</v>
      </c>
      <c r="Q839" s="1" t="e">
        <f t="shared" si="50"/>
        <v>#DIV/0!</v>
      </c>
      <c r="R839" s="1" t="e">
        <f t="shared" si="51"/>
        <v>#DIV/0!</v>
      </c>
      <c r="S839" s="1" t="e">
        <f t="shared" si="52"/>
        <v>#DIV/0!</v>
      </c>
    </row>
    <row r="840" spans="1:19" x14ac:dyDescent="0.3">
      <c r="A840"/>
      <c r="B840"/>
      <c r="C840"/>
      <c r="D840"/>
      <c r="E840"/>
      <c r="F840"/>
      <c r="G840"/>
      <c r="H840"/>
      <c r="I840"/>
      <c r="N840"/>
      <c r="O840"/>
      <c r="P840" s="1" t="e">
        <f t="shared" si="49"/>
        <v>#DIV/0!</v>
      </c>
      <c r="Q840" s="1" t="e">
        <f t="shared" si="50"/>
        <v>#DIV/0!</v>
      </c>
      <c r="R840" s="1" t="e">
        <f t="shared" si="51"/>
        <v>#DIV/0!</v>
      </c>
      <c r="S840" s="1" t="e">
        <f t="shared" si="52"/>
        <v>#DIV/0!</v>
      </c>
    </row>
    <row r="841" spans="1:19" x14ac:dyDescent="0.3">
      <c r="A841"/>
      <c r="B841"/>
      <c r="C841"/>
      <c r="D841"/>
      <c r="E841"/>
      <c r="F841"/>
      <c r="G841"/>
      <c r="H841"/>
      <c r="I841"/>
      <c r="N841"/>
      <c r="O841"/>
      <c r="P841" s="1" t="e">
        <f t="shared" si="49"/>
        <v>#DIV/0!</v>
      </c>
      <c r="Q841" s="1" t="e">
        <f t="shared" si="50"/>
        <v>#DIV/0!</v>
      </c>
      <c r="R841" s="1" t="e">
        <f t="shared" si="51"/>
        <v>#DIV/0!</v>
      </c>
      <c r="S841" s="1" t="e">
        <f t="shared" si="52"/>
        <v>#DIV/0!</v>
      </c>
    </row>
    <row r="842" spans="1:19" x14ac:dyDescent="0.3">
      <c r="A842"/>
      <c r="B842"/>
      <c r="C842"/>
      <c r="D842"/>
      <c r="E842"/>
      <c r="F842"/>
      <c r="G842"/>
      <c r="H842"/>
      <c r="I842"/>
      <c r="N842"/>
      <c r="P842" s="1" t="e">
        <f t="shared" si="49"/>
        <v>#DIV/0!</v>
      </c>
      <c r="Q842" s="1" t="e">
        <f t="shared" si="50"/>
        <v>#DIV/0!</v>
      </c>
      <c r="R842" s="1" t="e">
        <f t="shared" si="51"/>
        <v>#DIV/0!</v>
      </c>
      <c r="S842" s="1" t="e">
        <f t="shared" si="52"/>
        <v>#DIV/0!</v>
      </c>
    </row>
    <row r="843" spans="1:19" x14ac:dyDescent="0.3">
      <c r="A843"/>
      <c r="B843"/>
      <c r="C843"/>
      <c r="D843"/>
      <c r="E843"/>
      <c r="F843"/>
      <c r="G843"/>
      <c r="H843"/>
      <c r="I843"/>
      <c r="N843"/>
      <c r="O843" s="26"/>
      <c r="P843" s="1" t="e">
        <f t="shared" si="49"/>
        <v>#DIV/0!</v>
      </c>
      <c r="Q843" s="1" t="e">
        <f t="shared" si="50"/>
        <v>#DIV/0!</v>
      </c>
      <c r="R843" s="1" t="e">
        <f t="shared" si="51"/>
        <v>#DIV/0!</v>
      </c>
      <c r="S843" s="1" t="e">
        <f t="shared" si="52"/>
        <v>#DIV/0!</v>
      </c>
    </row>
    <row r="844" spans="1:19" x14ac:dyDescent="0.3">
      <c r="A844"/>
      <c r="B844"/>
      <c r="C844"/>
      <c r="D844"/>
      <c r="E844"/>
      <c r="F844"/>
      <c r="G844"/>
      <c r="H844"/>
      <c r="I844"/>
      <c r="N844"/>
      <c r="O844" s="26"/>
      <c r="P844" s="1" t="e">
        <f t="shared" si="49"/>
        <v>#DIV/0!</v>
      </c>
      <c r="Q844" s="1" t="e">
        <f t="shared" si="50"/>
        <v>#DIV/0!</v>
      </c>
      <c r="R844" s="1" t="e">
        <f t="shared" si="51"/>
        <v>#DIV/0!</v>
      </c>
      <c r="S844" s="1" t="e">
        <f t="shared" si="52"/>
        <v>#DIV/0!</v>
      </c>
    </row>
    <row r="845" spans="1:19" x14ac:dyDescent="0.3">
      <c r="A845"/>
      <c r="B845"/>
      <c r="C845"/>
      <c r="D845"/>
      <c r="E845"/>
      <c r="F845"/>
      <c r="G845"/>
      <c r="H845"/>
      <c r="I845"/>
      <c r="N845"/>
      <c r="O845" s="26"/>
      <c r="P845" s="1" t="e">
        <f t="shared" si="49"/>
        <v>#DIV/0!</v>
      </c>
      <c r="Q845" s="1" t="e">
        <f t="shared" si="50"/>
        <v>#DIV/0!</v>
      </c>
      <c r="R845" s="1" t="e">
        <f t="shared" si="51"/>
        <v>#DIV/0!</v>
      </c>
      <c r="S845" s="1" t="e">
        <f t="shared" si="52"/>
        <v>#DIV/0!</v>
      </c>
    </row>
    <row r="846" spans="1:19" x14ac:dyDescent="0.3">
      <c r="A846"/>
      <c r="B846"/>
      <c r="C846"/>
      <c r="D846"/>
      <c r="E846"/>
      <c r="F846"/>
      <c r="G846"/>
      <c r="H846"/>
      <c r="I846"/>
      <c r="N846"/>
      <c r="O846" s="26"/>
      <c r="P846" s="1" t="e">
        <f t="shared" si="49"/>
        <v>#DIV/0!</v>
      </c>
      <c r="Q846" s="1" t="e">
        <f t="shared" si="50"/>
        <v>#DIV/0!</v>
      </c>
      <c r="R846" s="1" t="e">
        <f t="shared" si="51"/>
        <v>#DIV/0!</v>
      </c>
      <c r="S846" s="1" t="e">
        <f t="shared" si="52"/>
        <v>#DIV/0!</v>
      </c>
    </row>
    <row r="847" spans="1:19" x14ac:dyDescent="0.3">
      <c r="A847"/>
      <c r="B847"/>
      <c r="C847"/>
      <c r="D847"/>
      <c r="E847"/>
      <c r="F847"/>
      <c r="G847"/>
      <c r="H847"/>
      <c r="I847"/>
      <c r="N847"/>
      <c r="O847"/>
      <c r="P847" s="1" t="e">
        <f t="shared" si="49"/>
        <v>#DIV/0!</v>
      </c>
      <c r="Q847" s="1" t="e">
        <f t="shared" si="50"/>
        <v>#DIV/0!</v>
      </c>
      <c r="R847" s="1" t="e">
        <f t="shared" si="51"/>
        <v>#DIV/0!</v>
      </c>
      <c r="S847" s="1" t="e">
        <f t="shared" si="52"/>
        <v>#DIV/0!</v>
      </c>
    </row>
    <row r="848" spans="1:19" x14ac:dyDescent="0.3">
      <c r="A848"/>
      <c r="B848"/>
      <c r="C848"/>
      <c r="D848"/>
      <c r="E848"/>
      <c r="F848"/>
      <c r="G848"/>
      <c r="H848"/>
      <c r="I848"/>
      <c r="N848"/>
      <c r="O848"/>
      <c r="P848" s="1" t="e">
        <f t="shared" si="49"/>
        <v>#DIV/0!</v>
      </c>
      <c r="Q848" s="1" t="e">
        <f t="shared" si="50"/>
        <v>#DIV/0!</v>
      </c>
      <c r="R848" s="1" t="e">
        <f t="shared" si="51"/>
        <v>#DIV/0!</v>
      </c>
      <c r="S848" s="1" t="e">
        <f t="shared" si="52"/>
        <v>#DIV/0!</v>
      </c>
    </row>
    <row r="849" spans="1:19" x14ac:dyDescent="0.3">
      <c r="A849"/>
      <c r="B849"/>
      <c r="C849"/>
      <c r="D849"/>
      <c r="E849"/>
      <c r="F849"/>
      <c r="G849"/>
      <c r="H849"/>
      <c r="I849"/>
      <c r="N849"/>
      <c r="O849"/>
      <c r="P849" s="1" t="e">
        <f t="shared" si="49"/>
        <v>#DIV/0!</v>
      </c>
      <c r="Q849" s="1" t="e">
        <f t="shared" si="50"/>
        <v>#DIV/0!</v>
      </c>
      <c r="R849" s="1" t="e">
        <f t="shared" si="51"/>
        <v>#DIV/0!</v>
      </c>
      <c r="S849" s="1" t="e">
        <f t="shared" si="52"/>
        <v>#DIV/0!</v>
      </c>
    </row>
    <row r="850" spans="1:19" x14ac:dyDescent="0.3">
      <c r="A850"/>
      <c r="B850"/>
      <c r="C850"/>
      <c r="D850"/>
      <c r="E850"/>
      <c r="F850"/>
      <c r="G850"/>
      <c r="H850"/>
      <c r="I850"/>
      <c r="N850"/>
      <c r="O850"/>
      <c r="P850" s="1" t="e">
        <f t="shared" si="49"/>
        <v>#DIV/0!</v>
      </c>
      <c r="Q850" s="1" t="e">
        <f t="shared" si="50"/>
        <v>#DIV/0!</v>
      </c>
      <c r="R850" s="1" t="e">
        <f t="shared" si="51"/>
        <v>#DIV/0!</v>
      </c>
      <c r="S850" s="1" t="e">
        <f t="shared" si="52"/>
        <v>#DIV/0!</v>
      </c>
    </row>
    <row r="851" spans="1:19" x14ac:dyDescent="0.3">
      <c r="A851"/>
      <c r="B851"/>
      <c r="C851"/>
      <c r="D851"/>
      <c r="E851"/>
      <c r="F851"/>
      <c r="G851"/>
      <c r="H851"/>
      <c r="I851"/>
      <c r="N851"/>
      <c r="O851"/>
      <c r="P851" s="1" t="e">
        <f t="shared" si="49"/>
        <v>#DIV/0!</v>
      </c>
      <c r="Q851" s="1" t="e">
        <f t="shared" si="50"/>
        <v>#DIV/0!</v>
      </c>
      <c r="R851" s="1" t="e">
        <f t="shared" si="51"/>
        <v>#DIV/0!</v>
      </c>
      <c r="S851" s="1" t="e">
        <f t="shared" si="52"/>
        <v>#DIV/0!</v>
      </c>
    </row>
    <row r="852" spans="1:19" x14ac:dyDescent="0.3">
      <c r="A852"/>
      <c r="B852"/>
      <c r="C852"/>
      <c r="D852"/>
      <c r="E852"/>
      <c r="F852"/>
      <c r="G852"/>
      <c r="H852"/>
      <c r="I852"/>
      <c r="N852"/>
      <c r="O852"/>
      <c r="P852" s="1" t="e">
        <f t="shared" si="49"/>
        <v>#DIV/0!</v>
      </c>
      <c r="Q852" s="1" t="e">
        <f t="shared" si="50"/>
        <v>#DIV/0!</v>
      </c>
      <c r="R852" s="1" t="e">
        <f t="shared" si="51"/>
        <v>#DIV/0!</v>
      </c>
      <c r="S852" s="1" t="e">
        <f t="shared" si="52"/>
        <v>#DIV/0!</v>
      </c>
    </row>
    <row r="853" spans="1:19" x14ac:dyDescent="0.3">
      <c r="A853"/>
      <c r="B853"/>
      <c r="C853"/>
      <c r="D853"/>
      <c r="E853"/>
      <c r="F853"/>
      <c r="G853"/>
      <c r="H853"/>
      <c r="I853"/>
      <c r="N853"/>
      <c r="O853"/>
      <c r="P853" s="1" t="e">
        <f t="shared" si="49"/>
        <v>#DIV/0!</v>
      </c>
      <c r="Q853" s="1" t="e">
        <f t="shared" si="50"/>
        <v>#DIV/0!</v>
      </c>
      <c r="R853" s="1" t="e">
        <f t="shared" si="51"/>
        <v>#DIV/0!</v>
      </c>
      <c r="S853" s="1" t="e">
        <f t="shared" si="52"/>
        <v>#DIV/0!</v>
      </c>
    </row>
    <row r="854" spans="1:19" x14ac:dyDescent="0.3">
      <c r="A854"/>
      <c r="B854"/>
      <c r="C854"/>
      <c r="D854"/>
      <c r="E854"/>
      <c r="F854"/>
      <c r="G854"/>
      <c r="H854"/>
      <c r="I854"/>
      <c r="N854"/>
      <c r="O854"/>
      <c r="P854" s="1" t="e">
        <f t="shared" si="49"/>
        <v>#DIV/0!</v>
      </c>
      <c r="Q854" s="1" t="e">
        <f t="shared" si="50"/>
        <v>#DIV/0!</v>
      </c>
      <c r="R854" s="1" t="e">
        <f t="shared" si="51"/>
        <v>#DIV/0!</v>
      </c>
      <c r="S854" s="1" t="e">
        <f t="shared" si="52"/>
        <v>#DIV/0!</v>
      </c>
    </row>
    <row r="855" spans="1:19" x14ac:dyDescent="0.3">
      <c r="A855"/>
      <c r="B855"/>
      <c r="C855"/>
      <c r="D855"/>
      <c r="E855"/>
      <c r="F855"/>
      <c r="G855"/>
      <c r="H855"/>
      <c r="I855"/>
      <c r="N855"/>
      <c r="O855"/>
      <c r="P855" s="1" t="e">
        <f t="shared" si="49"/>
        <v>#DIV/0!</v>
      </c>
      <c r="Q855" s="1" t="e">
        <f t="shared" si="50"/>
        <v>#DIV/0!</v>
      </c>
      <c r="R855" s="1" t="e">
        <f t="shared" si="51"/>
        <v>#DIV/0!</v>
      </c>
      <c r="S855" s="1" t="e">
        <f t="shared" si="52"/>
        <v>#DIV/0!</v>
      </c>
    </row>
    <row r="856" spans="1:19" x14ac:dyDescent="0.3">
      <c r="A856"/>
      <c r="B856"/>
      <c r="C856"/>
      <c r="D856"/>
      <c r="E856"/>
      <c r="F856"/>
      <c r="G856"/>
      <c r="H856"/>
      <c r="I856"/>
      <c r="N856"/>
      <c r="O856"/>
      <c r="P856" s="1" t="e">
        <f t="shared" si="49"/>
        <v>#DIV/0!</v>
      </c>
      <c r="Q856" s="1" t="e">
        <f t="shared" si="50"/>
        <v>#DIV/0!</v>
      </c>
      <c r="R856" s="1" t="e">
        <f t="shared" si="51"/>
        <v>#DIV/0!</v>
      </c>
      <c r="S856" s="1" t="e">
        <f t="shared" si="52"/>
        <v>#DIV/0!</v>
      </c>
    </row>
    <row r="857" spans="1:19" x14ac:dyDescent="0.3">
      <c r="A857"/>
      <c r="B857"/>
      <c r="C857"/>
      <c r="D857"/>
      <c r="E857"/>
      <c r="F857"/>
      <c r="G857"/>
      <c r="H857"/>
      <c r="I857"/>
      <c r="N857"/>
      <c r="O857"/>
      <c r="P857" s="1" t="e">
        <f t="shared" si="49"/>
        <v>#DIV/0!</v>
      </c>
      <c r="Q857" s="1" t="e">
        <f t="shared" si="50"/>
        <v>#DIV/0!</v>
      </c>
      <c r="R857" s="1" t="e">
        <f t="shared" si="51"/>
        <v>#DIV/0!</v>
      </c>
      <c r="S857" s="1" t="e">
        <f t="shared" si="52"/>
        <v>#DIV/0!</v>
      </c>
    </row>
    <row r="858" spans="1:19" x14ac:dyDescent="0.3">
      <c r="A858"/>
      <c r="B858"/>
      <c r="C858"/>
      <c r="D858"/>
      <c r="E858"/>
      <c r="F858"/>
      <c r="G858"/>
      <c r="H858"/>
      <c r="I858"/>
      <c r="N858"/>
      <c r="O858"/>
      <c r="P858" s="1" t="e">
        <f t="shared" si="49"/>
        <v>#DIV/0!</v>
      </c>
      <c r="Q858" s="1" t="e">
        <f t="shared" si="50"/>
        <v>#DIV/0!</v>
      </c>
      <c r="R858" s="1" t="e">
        <f t="shared" si="51"/>
        <v>#DIV/0!</v>
      </c>
      <c r="S858" s="1" t="e">
        <f t="shared" si="52"/>
        <v>#DIV/0!</v>
      </c>
    </row>
    <row r="859" spans="1:19" x14ac:dyDescent="0.3">
      <c r="A859"/>
      <c r="B859"/>
      <c r="C859"/>
      <c r="D859"/>
      <c r="E859"/>
      <c r="F859"/>
      <c r="G859"/>
      <c r="H859"/>
      <c r="I859"/>
      <c r="N859"/>
      <c r="O859"/>
      <c r="P859" s="1" t="e">
        <f t="shared" si="49"/>
        <v>#DIV/0!</v>
      </c>
      <c r="Q859" s="1" t="e">
        <f t="shared" si="50"/>
        <v>#DIV/0!</v>
      </c>
      <c r="R859" s="1" t="e">
        <f t="shared" si="51"/>
        <v>#DIV/0!</v>
      </c>
      <c r="S859" s="1" t="e">
        <f t="shared" si="52"/>
        <v>#DIV/0!</v>
      </c>
    </row>
    <row r="860" spans="1:19" x14ac:dyDescent="0.3">
      <c r="A860"/>
      <c r="B860"/>
      <c r="C860"/>
      <c r="D860"/>
      <c r="E860"/>
      <c r="F860"/>
      <c r="G860"/>
      <c r="H860"/>
      <c r="I860"/>
      <c r="N860"/>
      <c r="O860"/>
      <c r="P860" s="1" t="e">
        <f t="shared" si="49"/>
        <v>#DIV/0!</v>
      </c>
      <c r="Q860" s="1" t="e">
        <f t="shared" si="50"/>
        <v>#DIV/0!</v>
      </c>
      <c r="R860" s="1" t="e">
        <f t="shared" si="51"/>
        <v>#DIV/0!</v>
      </c>
      <c r="S860" s="1" t="e">
        <f t="shared" si="52"/>
        <v>#DIV/0!</v>
      </c>
    </row>
    <row r="861" spans="1:19" x14ac:dyDescent="0.3">
      <c r="A861"/>
      <c r="B861"/>
      <c r="C861"/>
      <c r="D861"/>
      <c r="E861"/>
      <c r="F861"/>
      <c r="G861"/>
      <c r="H861"/>
      <c r="I861"/>
      <c r="N861"/>
      <c r="O861"/>
      <c r="P861" s="1" t="e">
        <f t="shared" si="49"/>
        <v>#DIV/0!</v>
      </c>
      <c r="Q861" s="1" t="e">
        <f t="shared" si="50"/>
        <v>#DIV/0!</v>
      </c>
      <c r="R861" s="1" t="e">
        <f t="shared" si="51"/>
        <v>#DIV/0!</v>
      </c>
      <c r="S861" s="1" t="e">
        <f t="shared" si="52"/>
        <v>#DIV/0!</v>
      </c>
    </row>
    <row r="862" spans="1:19" x14ac:dyDescent="0.3">
      <c r="A862"/>
      <c r="B862"/>
      <c r="C862"/>
      <c r="D862"/>
      <c r="E862"/>
      <c r="F862"/>
      <c r="G862"/>
      <c r="H862"/>
      <c r="I862"/>
      <c r="N862"/>
      <c r="O862"/>
      <c r="P862" s="1" t="e">
        <f t="shared" ref="P862:P873" si="53">(B844+Q$35)/P$35</f>
        <v>#DIV/0!</v>
      </c>
      <c r="Q862" s="1" t="e">
        <f t="shared" ref="Q862:Q873" si="54">(C844+Q$35)/P$35</f>
        <v>#DIV/0!</v>
      </c>
      <c r="R862" s="1" t="e">
        <f t="shared" ref="R862:R873" si="55">(D844+Q$37)/P$37</f>
        <v>#DIV/0!</v>
      </c>
      <c r="S862" s="1" t="e">
        <f t="shared" ref="S862:S873" si="56">(E844+Q$38)/P$38</f>
        <v>#DIV/0!</v>
      </c>
    </row>
    <row r="863" spans="1:19" x14ac:dyDescent="0.3">
      <c r="A863"/>
      <c r="B863"/>
      <c r="C863"/>
      <c r="D863"/>
      <c r="E863"/>
      <c r="F863"/>
      <c r="G863"/>
      <c r="H863"/>
      <c r="I863"/>
      <c r="N863"/>
      <c r="O863"/>
      <c r="P863" s="1" t="e">
        <f t="shared" si="53"/>
        <v>#DIV/0!</v>
      </c>
      <c r="Q863" s="1" t="e">
        <f t="shared" si="54"/>
        <v>#DIV/0!</v>
      </c>
      <c r="R863" s="1" t="e">
        <f t="shared" si="55"/>
        <v>#DIV/0!</v>
      </c>
      <c r="S863" s="1" t="e">
        <f t="shared" si="56"/>
        <v>#DIV/0!</v>
      </c>
    </row>
    <row r="864" spans="1:19" x14ac:dyDescent="0.3">
      <c r="A864"/>
      <c r="B864"/>
      <c r="C864"/>
      <c r="D864"/>
      <c r="E864"/>
      <c r="F864"/>
      <c r="G864"/>
      <c r="H864"/>
      <c r="I864"/>
      <c r="N864"/>
      <c r="O864"/>
      <c r="P864" s="1" t="e">
        <f t="shared" si="53"/>
        <v>#DIV/0!</v>
      </c>
      <c r="Q864" s="1" t="e">
        <f t="shared" si="54"/>
        <v>#DIV/0!</v>
      </c>
      <c r="R864" s="1" t="e">
        <f t="shared" si="55"/>
        <v>#DIV/0!</v>
      </c>
      <c r="S864" s="1" t="e">
        <f t="shared" si="56"/>
        <v>#DIV/0!</v>
      </c>
    </row>
    <row r="865" spans="1:19" x14ac:dyDescent="0.3">
      <c r="A865"/>
      <c r="B865"/>
      <c r="C865"/>
      <c r="D865"/>
      <c r="E865"/>
      <c r="F865"/>
      <c r="G865"/>
      <c r="H865"/>
      <c r="I865"/>
      <c r="N865"/>
      <c r="O865"/>
      <c r="P865" s="1" t="e">
        <f t="shared" si="53"/>
        <v>#DIV/0!</v>
      </c>
      <c r="Q865" s="1" t="e">
        <f t="shared" si="54"/>
        <v>#DIV/0!</v>
      </c>
      <c r="R865" s="1" t="e">
        <f t="shared" si="55"/>
        <v>#DIV/0!</v>
      </c>
      <c r="S865" s="1" t="e">
        <f t="shared" si="56"/>
        <v>#DIV/0!</v>
      </c>
    </row>
    <row r="866" spans="1:19" x14ac:dyDescent="0.3">
      <c r="A866"/>
      <c r="B866"/>
      <c r="C866"/>
      <c r="D866"/>
      <c r="E866"/>
      <c r="F866"/>
      <c r="G866"/>
      <c r="H866"/>
      <c r="I866"/>
      <c r="N866"/>
      <c r="O866"/>
      <c r="P866" s="1" t="e">
        <f t="shared" si="53"/>
        <v>#DIV/0!</v>
      </c>
      <c r="Q866" s="1" t="e">
        <f t="shared" si="54"/>
        <v>#DIV/0!</v>
      </c>
      <c r="R866" s="1" t="e">
        <f t="shared" si="55"/>
        <v>#DIV/0!</v>
      </c>
      <c r="S866" s="1" t="e">
        <f t="shared" si="56"/>
        <v>#DIV/0!</v>
      </c>
    </row>
    <row r="867" spans="1:19" x14ac:dyDescent="0.3">
      <c r="A867"/>
      <c r="B867"/>
      <c r="C867"/>
      <c r="D867"/>
      <c r="E867"/>
      <c r="F867"/>
      <c r="G867"/>
      <c r="H867"/>
      <c r="I867"/>
      <c r="N867"/>
      <c r="O867"/>
      <c r="P867" s="1" t="e">
        <f t="shared" si="53"/>
        <v>#DIV/0!</v>
      </c>
      <c r="Q867" s="1" t="e">
        <f t="shared" si="54"/>
        <v>#DIV/0!</v>
      </c>
      <c r="R867" s="1" t="e">
        <f t="shared" si="55"/>
        <v>#DIV/0!</v>
      </c>
      <c r="S867" s="1" t="e">
        <f t="shared" si="56"/>
        <v>#DIV/0!</v>
      </c>
    </row>
    <row r="868" spans="1:19" x14ac:dyDescent="0.3">
      <c r="A868"/>
      <c r="B868"/>
      <c r="C868"/>
      <c r="D868"/>
      <c r="E868"/>
      <c r="F868"/>
      <c r="G868"/>
      <c r="H868"/>
      <c r="I868"/>
      <c r="N868"/>
      <c r="O868"/>
      <c r="P868" s="1" t="e">
        <f t="shared" si="53"/>
        <v>#DIV/0!</v>
      </c>
      <c r="Q868" s="1" t="e">
        <f t="shared" si="54"/>
        <v>#DIV/0!</v>
      </c>
      <c r="R868" s="1" t="e">
        <f t="shared" si="55"/>
        <v>#DIV/0!</v>
      </c>
      <c r="S868" s="1" t="e">
        <f t="shared" si="56"/>
        <v>#DIV/0!</v>
      </c>
    </row>
    <row r="869" spans="1:19" x14ac:dyDescent="0.3">
      <c r="A869"/>
      <c r="B869"/>
      <c r="C869"/>
      <c r="D869"/>
      <c r="E869"/>
      <c r="F869"/>
      <c r="G869"/>
      <c r="H869"/>
      <c r="I869"/>
      <c r="N869"/>
      <c r="O869"/>
      <c r="P869" s="1" t="e">
        <f t="shared" si="53"/>
        <v>#DIV/0!</v>
      </c>
      <c r="Q869" s="1" t="e">
        <f t="shared" si="54"/>
        <v>#DIV/0!</v>
      </c>
      <c r="R869" s="1" t="e">
        <f t="shared" si="55"/>
        <v>#DIV/0!</v>
      </c>
      <c r="S869" s="1" t="e">
        <f t="shared" si="56"/>
        <v>#DIV/0!</v>
      </c>
    </row>
    <row r="870" spans="1:19" x14ac:dyDescent="0.3">
      <c r="A870"/>
      <c r="B870"/>
      <c r="C870"/>
      <c r="D870"/>
      <c r="E870"/>
      <c r="F870"/>
      <c r="G870"/>
      <c r="H870"/>
      <c r="I870"/>
      <c r="N870"/>
      <c r="O870"/>
      <c r="P870" s="1" t="e">
        <f t="shared" si="53"/>
        <v>#DIV/0!</v>
      </c>
      <c r="Q870" s="1" t="e">
        <f t="shared" si="54"/>
        <v>#DIV/0!</v>
      </c>
      <c r="R870" s="1" t="e">
        <f t="shared" si="55"/>
        <v>#DIV/0!</v>
      </c>
      <c r="S870" s="1" t="e">
        <f t="shared" si="56"/>
        <v>#DIV/0!</v>
      </c>
    </row>
    <row r="871" spans="1:19" x14ac:dyDescent="0.3">
      <c r="A871"/>
      <c r="B871"/>
      <c r="C871"/>
      <c r="D871"/>
      <c r="E871"/>
      <c r="F871"/>
      <c r="G871"/>
      <c r="H871"/>
      <c r="I871"/>
      <c r="N871"/>
      <c r="O871"/>
      <c r="P871" s="1" t="e">
        <f t="shared" si="53"/>
        <v>#DIV/0!</v>
      </c>
      <c r="Q871" s="1" t="e">
        <f t="shared" si="54"/>
        <v>#DIV/0!</v>
      </c>
      <c r="R871" s="1" t="e">
        <f t="shared" si="55"/>
        <v>#DIV/0!</v>
      </c>
      <c r="S871" s="1" t="e">
        <f t="shared" si="56"/>
        <v>#DIV/0!</v>
      </c>
    </row>
    <row r="872" spans="1:19" x14ac:dyDescent="0.3">
      <c r="A872"/>
      <c r="B872"/>
      <c r="C872"/>
      <c r="D872"/>
      <c r="E872"/>
      <c r="F872"/>
      <c r="G872"/>
      <c r="H872"/>
      <c r="I872"/>
      <c r="N872"/>
      <c r="O872"/>
      <c r="P872" s="1" t="e">
        <f t="shared" si="53"/>
        <v>#DIV/0!</v>
      </c>
      <c r="Q872" s="1" t="e">
        <f t="shared" si="54"/>
        <v>#DIV/0!</v>
      </c>
      <c r="R872" s="1" t="e">
        <f t="shared" si="55"/>
        <v>#DIV/0!</v>
      </c>
      <c r="S872" s="1" t="e">
        <f t="shared" si="56"/>
        <v>#DIV/0!</v>
      </c>
    </row>
    <row r="873" spans="1:19" x14ac:dyDescent="0.3">
      <c r="A873"/>
      <c r="B873"/>
      <c r="C873"/>
      <c r="D873"/>
      <c r="E873"/>
      <c r="F873"/>
      <c r="G873"/>
      <c r="H873"/>
      <c r="I873"/>
      <c r="N873"/>
      <c r="O873"/>
      <c r="P873" s="1" t="e">
        <f t="shared" si="53"/>
        <v>#DIV/0!</v>
      </c>
      <c r="Q873" s="1" t="e">
        <f t="shared" si="54"/>
        <v>#DIV/0!</v>
      </c>
      <c r="R873" s="1" t="e">
        <f t="shared" si="55"/>
        <v>#DIV/0!</v>
      </c>
      <c r="S873" s="1" t="e">
        <f t="shared" si="56"/>
        <v>#DIV/0!</v>
      </c>
    </row>
    <row r="874" spans="1:19" x14ac:dyDescent="0.3">
      <c r="A874"/>
      <c r="B874"/>
      <c r="C874"/>
      <c r="D874"/>
      <c r="E874"/>
      <c r="F874"/>
      <c r="G874"/>
      <c r="H874"/>
      <c r="I874"/>
      <c r="N874"/>
      <c r="O874"/>
    </row>
    <row r="875" spans="1:19" x14ac:dyDescent="0.3">
      <c r="A875"/>
      <c r="B875"/>
      <c r="C875"/>
      <c r="D875"/>
      <c r="E875"/>
      <c r="F875"/>
      <c r="G875"/>
      <c r="H875"/>
      <c r="I875"/>
      <c r="N875"/>
      <c r="O875"/>
    </row>
    <row r="876" spans="1:19" x14ac:dyDescent="0.3">
      <c r="A876"/>
      <c r="B876"/>
      <c r="C876"/>
      <c r="D876"/>
      <c r="E876"/>
      <c r="F876"/>
      <c r="G876"/>
      <c r="H876"/>
      <c r="I876"/>
      <c r="N876"/>
      <c r="O876"/>
    </row>
    <row r="877" spans="1:19" x14ac:dyDescent="0.3">
      <c r="A877"/>
      <c r="B877"/>
      <c r="C877"/>
      <c r="D877"/>
      <c r="E877"/>
      <c r="F877"/>
      <c r="G877"/>
      <c r="H877"/>
      <c r="I877"/>
      <c r="N877"/>
      <c r="O877"/>
    </row>
    <row r="878" spans="1:19" x14ac:dyDescent="0.3">
      <c r="A878"/>
      <c r="B878"/>
      <c r="C878"/>
      <c r="D878"/>
      <c r="E878"/>
      <c r="F878"/>
      <c r="G878"/>
      <c r="H878"/>
      <c r="I878"/>
      <c r="N878"/>
      <c r="O878"/>
    </row>
    <row r="879" spans="1:19" x14ac:dyDescent="0.3">
      <c r="A879"/>
      <c r="B879"/>
      <c r="C879"/>
      <c r="D879"/>
      <c r="E879"/>
      <c r="F879"/>
      <c r="G879"/>
      <c r="H879"/>
      <c r="I879"/>
      <c r="N879"/>
      <c r="O879"/>
    </row>
    <row r="880" spans="1:19" x14ac:dyDescent="0.3">
      <c r="A880"/>
      <c r="B880"/>
      <c r="C880"/>
      <c r="D880"/>
      <c r="E880"/>
      <c r="F880"/>
      <c r="G880"/>
      <c r="H880"/>
      <c r="I880"/>
      <c r="N880"/>
      <c r="O880"/>
    </row>
    <row r="881" spans="1:15" x14ac:dyDescent="0.3">
      <c r="A881"/>
      <c r="B881"/>
      <c r="C881"/>
      <c r="D881"/>
      <c r="E881"/>
      <c r="F881"/>
      <c r="G881"/>
      <c r="H881"/>
      <c r="I881"/>
      <c r="N881"/>
      <c r="O881"/>
    </row>
    <row r="882" spans="1:15" x14ac:dyDescent="0.3">
      <c r="A882"/>
      <c r="B882"/>
      <c r="C882"/>
      <c r="D882"/>
      <c r="E882"/>
      <c r="F882"/>
      <c r="G882"/>
      <c r="H882"/>
      <c r="I882"/>
      <c r="N882"/>
      <c r="O882"/>
    </row>
    <row r="883" spans="1:15" x14ac:dyDescent="0.3">
      <c r="A883"/>
      <c r="B883"/>
      <c r="C883"/>
      <c r="D883"/>
      <c r="E883"/>
      <c r="F883"/>
      <c r="G883"/>
      <c r="H883"/>
      <c r="I883"/>
      <c r="N883"/>
      <c r="O883"/>
    </row>
    <row r="884" spans="1:15" x14ac:dyDescent="0.3">
      <c r="A884"/>
      <c r="B884"/>
      <c r="C884"/>
      <c r="D884"/>
      <c r="E884"/>
      <c r="F884"/>
      <c r="G884"/>
      <c r="H884"/>
      <c r="I884"/>
      <c r="N884"/>
      <c r="O884"/>
    </row>
    <row r="885" spans="1:15" x14ac:dyDescent="0.3">
      <c r="A885"/>
      <c r="B885"/>
      <c r="C885"/>
      <c r="D885"/>
      <c r="E885"/>
      <c r="F885"/>
      <c r="G885"/>
      <c r="H885"/>
      <c r="I885"/>
      <c r="N885"/>
      <c r="O885"/>
    </row>
    <row r="886" spans="1:15" x14ac:dyDescent="0.3">
      <c r="A886"/>
      <c r="B886"/>
      <c r="C886"/>
      <c r="D886"/>
      <c r="E886"/>
      <c r="F886"/>
      <c r="G886"/>
      <c r="H886"/>
      <c r="I886"/>
      <c r="N886"/>
      <c r="O886"/>
    </row>
    <row r="887" spans="1:15" x14ac:dyDescent="0.3">
      <c r="A887"/>
      <c r="B887"/>
      <c r="C887"/>
      <c r="D887"/>
      <c r="E887"/>
      <c r="F887"/>
      <c r="G887"/>
      <c r="H887"/>
      <c r="I887"/>
      <c r="N887"/>
      <c r="O887"/>
    </row>
    <row r="888" spans="1:15" x14ac:dyDescent="0.3">
      <c r="A888"/>
      <c r="B888"/>
      <c r="C888"/>
      <c r="D888"/>
      <c r="E888"/>
      <c r="F888"/>
      <c r="G888"/>
      <c r="H888"/>
      <c r="I888"/>
      <c r="N888"/>
      <c r="O888"/>
    </row>
    <row r="889" spans="1:15" x14ac:dyDescent="0.3">
      <c r="A889"/>
      <c r="B889"/>
      <c r="C889"/>
      <c r="D889"/>
      <c r="E889"/>
      <c r="F889"/>
      <c r="G889"/>
      <c r="H889"/>
      <c r="I889"/>
      <c r="N889"/>
      <c r="O889"/>
    </row>
    <row r="890" spans="1:15" x14ac:dyDescent="0.3">
      <c r="A890"/>
      <c r="B890"/>
      <c r="C890"/>
      <c r="D890"/>
      <c r="E890"/>
      <c r="F890"/>
      <c r="G890"/>
      <c r="H890"/>
      <c r="I890"/>
      <c r="N890"/>
      <c r="O890"/>
    </row>
    <row r="891" spans="1:15" x14ac:dyDescent="0.3">
      <c r="A891"/>
      <c r="B891"/>
      <c r="C891"/>
      <c r="D891"/>
      <c r="E891"/>
      <c r="F891"/>
      <c r="G891"/>
      <c r="H891"/>
      <c r="I891"/>
      <c r="N891"/>
      <c r="O891"/>
    </row>
    <row r="892" spans="1:15" x14ac:dyDescent="0.3">
      <c r="A892"/>
      <c r="B892"/>
      <c r="C892"/>
      <c r="D892"/>
      <c r="E892"/>
      <c r="F892"/>
      <c r="G892"/>
      <c r="H892"/>
      <c r="I892"/>
      <c r="N892"/>
      <c r="O892"/>
    </row>
    <row r="893" spans="1:15" x14ac:dyDescent="0.3">
      <c r="A893"/>
      <c r="B893"/>
      <c r="C893"/>
      <c r="D893"/>
      <c r="E893"/>
      <c r="F893"/>
      <c r="G893"/>
      <c r="H893"/>
      <c r="I893"/>
      <c r="N893"/>
      <c r="O893"/>
    </row>
    <row r="894" spans="1:15" x14ac:dyDescent="0.3">
      <c r="A894"/>
      <c r="B894"/>
      <c r="C894"/>
      <c r="D894"/>
      <c r="E894"/>
      <c r="F894"/>
      <c r="G894"/>
      <c r="H894"/>
      <c r="I894"/>
      <c r="N894"/>
      <c r="O894"/>
    </row>
    <row r="895" spans="1:15" x14ac:dyDescent="0.3">
      <c r="A895"/>
      <c r="B895"/>
      <c r="C895"/>
      <c r="D895"/>
      <c r="E895"/>
      <c r="F895"/>
      <c r="G895"/>
      <c r="H895"/>
      <c r="I895"/>
      <c r="N895"/>
      <c r="O895"/>
    </row>
    <row r="896" spans="1:15" x14ac:dyDescent="0.3">
      <c r="A896"/>
      <c r="B896"/>
      <c r="C896"/>
      <c r="D896"/>
      <c r="E896"/>
      <c r="F896"/>
      <c r="G896"/>
      <c r="H896"/>
      <c r="I896"/>
      <c r="N896"/>
      <c r="O896"/>
    </row>
    <row r="897" spans="1:15" x14ac:dyDescent="0.3">
      <c r="A897"/>
      <c r="B897"/>
      <c r="C897"/>
      <c r="D897"/>
      <c r="E897"/>
      <c r="F897"/>
      <c r="G897"/>
      <c r="H897"/>
      <c r="I897"/>
      <c r="N897"/>
      <c r="O897"/>
    </row>
    <row r="898" spans="1:15" x14ac:dyDescent="0.3">
      <c r="A898"/>
      <c r="B898"/>
      <c r="C898"/>
      <c r="D898"/>
      <c r="E898"/>
      <c r="F898"/>
      <c r="G898"/>
      <c r="H898"/>
      <c r="I898"/>
      <c r="N898"/>
      <c r="O898"/>
    </row>
    <row r="899" spans="1:15" x14ac:dyDescent="0.3">
      <c r="A899"/>
      <c r="B899"/>
      <c r="C899"/>
      <c r="D899"/>
      <c r="E899"/>
      <c r="F899"/>
      <c r="G899"/>
      <c r="H899"/>
      <c r="I899"/>
      <c r="N899"/>
      <c r="O899"/>
    </row>
    <row r="900" spans="1:15" x14ac:dyDescent="0.3">
      <c r="A900"/>
      <c r="B900"/>
      <c r="C900"/>
      <c r="D900"/>
      <c r="E900"/>
      <c r="F900"/>
      <c r="G900"/>
      <c r="H900"/>
      <c r="I900"/>
      <c r="N900"/>
      <c r="O900"/>
    </row>
    <row r="901" spans="1:15" x14ac:dyDescent="0.3">
      <c r="A901"/>
      <c r="B901"/>
      <c r="C901"/>
      <c r="D901"/>
      <c r="E901"/>
      <c r="F901"/>
      <c r="G901"/>
      <c r="H901"/>
      <c r="I901"/>
      <c r="N901"/>
      <c r="O901"/>
    </row>
    <row r="902" spans="1:15" x14ac:dyDescent="0.3">
      <c r="A902"/>
      <c r="B902"/>
      <c r="C902"/>
      <c r="D902"/>
      <c r="E902"/>
      <c r="F902"/>
      <c r="G902"/>
      <c r="H902"/>
      <c r="I902"/>
      <c r="N902"/>
      <c r="O902"/>
    </row>
    <row r="903" spans="1:15" x14ac:dyDescent="0.3">
      <c r="A903"/>
      <c r="B903"/>
      <c r="C903"/>
      <c r="D903"/>
      <c r="E903"/>
      <c r="F903"/>
      <c r="G903"/>
      <c r="H903"/>
      <c r="I903"/>
      <c r="N903"/>
      <c r="O903"/>
    </row>
    <row r="904" spans="1:15" x14ac:dyDescent="0.3">
      <c r="A904"/>
      <c r="B904"/>
      <c r="C904"/>
      <c r="D904"/>
      <c r="E904"/>
      <c r="F904"/>
      <c r="G904"/>
      <c r="H904"/>
      <c r="I904"/>
      <c r="N904"/>
      <c r="O904"/>
    </row>
    <row r="905" spans="1:15" x14ac:dyDescent="0.3">
      <c r="A905"/>
      <c r="B905"/>
      <c r="C905"/>
      <c r="D905"/>
      <c r="E905"/>
      <c r="F905"/>
      <c r="G905"/>
      <c r="H905"/>
      <c r="I905"/>
      <c r="N905"/>
      <c r="O905"/>
    </row>
    <row r="906" spans="1:15" x14ac:dyDescent="0.3">
      <c r="A906"/>
      <c r="B906"/>
      <c r="C906"/>
      <c r="D906"/>
      <c r="E906"/>
      <c r="F906"/>
      <c r="G906"/>
      <c r="H906"/>
      <c r="I906"/>
      <c r="N906"/>
      <c r="O906"/>
    </row>
    <row r="907" spans="1:15" x14ac:dyDescent="0.3">
      <c r="A907"/>
      <c r="B907"/>
      <c r="C907"/>
      <c r="D907"/>
      <c r="E907"/>
      <c r="F907"/>
      <c r="G907"/>
      <c r="H907"/>
      <c r="I907"/>
      <c r="N907"/>
      <c r="O907"/>
    </row>
    <row r="908" spans="1:15" x14ac:dyDescent="0.3">
      <c r="A908"/>
      <c r="B908"/>
      <c r="C908"/>
      <c r="D908"/>
      <c r="E908"/>
      <c r="F908"/>
      <c r="G908"/>
      <c r="H908"/>
      <c r="I908"/>
      <c r="N908"/>
      <c r="O908"/>
    </row>
    <row r="909" spans="1:15" x14ac:dyDescent="0.3">
      <c r="A909"/>
      <c r="B909"/>
      <c r="C909"/>
      <c r="D909"/>
      <c r="E909"/>
      <c r="F909"/>
      <c r="G909"/>
      <c r="H909"/>
      <c r="I909"/>
      <c r="N909"/>
      <c r="O909"/>
    </row>
    <row r="910" spans="1:15" x14ac:dyDescent="0.3">
      <c r="A910"/>
      <c r="B910"/>
      <c r="C910"/>
      <c r="D910"/>
      <c r="E910"/>
      <c r="F910"/>
      <c r="G910"/>
      <c r="H910"/>
      <c r="I910"/>
      <c r="N910"/>
      <c r="O910"/>
    </row>
    <row r="911" spans="1:15" x14ac:dyDescent="0.3">
      <c r="A911"/>
      <c r="B911"/>
      <c r="C911"/>
      <c r="D911"/>
      <c r="E911"/>
      <c r="F911"/>
      <c r="G911"/>
      <c r="H911"/>
      <c r="I911"/>
      <c r="N911"/>
      <c r="O911"/>
    </row>
    <row r="912" spans="1:15" x14ac:dyDescent="0.3">
      <c r="A912"/>
      <c r="B912"/>
      <c r="C912"/>
      <c r="D912"/>
      <c r="E912"/>
      <c r="F912"/>
      <c r="G912"/>
      <c r="H912"/>
      <c r="I912"/>
      <c r="N912"/>
      <c r="O912"/>
    </row>
    <row r="913" spans="1:15" x14ac:dyDescent="0.3">
      <c r="A913"/>
      <c r="B913"/>
      <c r="C913"/>
      <c r="D913"/>
      <c r="E913"/>
      <c r="F913"/>
      <c r="G913"/>
      <c r="H913"/>
      <c r="I913"/>
      <c r="N913"/>
      <c r="O913"/>
    </row>
    <row r="914" spans="1:15" x14ac:dyDescent="0.3">
      <c r="A914"/>
      <c r="B914"/>
      <c r="C914"/>
      <c r="D914"/>
      <c r="E914"/>
      <c r="F914"/>
      <c r="G914"/>
      <c r="H914"/>
      <c r="I914"/>
      <c r="N914"/>
      <c r="O914"/>
    </row>
    <row r="915" spans="1:15" x14ac:dyDescent="0.3">
      <c r="A915"/>
      <c r="B915"/>
      <c r="C915"/>
      <c r="D915"/>
      <c r="E915"/>
      <c r="F915"/>
      <c r="G915"/>
      <c r="H915"/>
      <c r="I915"/>
      <c r="N915"/>
      <c r="O915"/>
    </row>
    <row r="916" spans="1:15" x14ac:dyDescent="0.3">
      <c r="A916"/>
      <c r="B916"/>
      <c r="C916"/>
      <c r="D916"/>
      <c r="E916"/>
      <c r="F916"/>
      <c r="G916"/>
      <c r="H916"/>
      <c r="I916"/>
      <c r="N916"/>
      <c r="O916"/>
    </row>
    <row r="917" spans="1:15" x14ac:dyDescent="0.3">
      <c r="A917"/>
      <c r="B917"/>
      <c r="C917"/>
      <c r="D917"/>
      <c r="E917"/>
      <c r="F917"/>
      <c r="G917"/>
      <c r="H917"/>
      <c r="I917"/>
      <c r="N917"/>
      <c r="O917"/>
    </row>
    <row r="918" spans="1:15" x14ac:dyDescent="0.3">
      <c r="A918"/>
      <c r="B918"/>
      <c r="C918"/>
      <c r="D918"/>
      <c r="E918"/>
      <c r="F918"/>
      <c r="G918"/>
      <c r="H918"/>
      <c r="I918"/>
      <c r="N918"/>
      <c r="O918"/>
    </row>
    <row r="919" spans="1:15" x14ac:dyDescent="0.3">
      <c r="A919"/>
      <c r="B919"/>
      <c r="C919"/>
      <c r="D919"/>
      <c r="E919"/>
      <c r="F919"/>
      <c r="G919"/>
      <c r="H919"/>
      <c r="I919"/>
      <c r="N919"/>
      <c r="O919"/>
    </row>
    <row r="920" spans="1:15" x14ac:dyDescent="0.3">
      <c r="A920"/>
      <c r="B920"/>
      <c r="C920"/>
      <c r="D920"/>
      <c r="E920"/>
      <c r="F920"/>
      <c r="G920"/>
      <c r="H920"/>
      <c r="I920"/>
      <c r="N920"/>
      <c r="O920"/>
    </row>
    <row r="921" spans="1:15" x14ac:dyDescent="0.3">
      <c r="A921"/>
      <c r="B921"/>
      <c r="C921"/>
      <c r="D921"/>
      <c r="E921"/>
      <c r="F921"/>
      <c r="G921"/>
      <c r="H921"/>
      <c r="I921"/>
      <c r="N921"/>
      <c r="O921"/>
    </row>
    <row r="922" spans="1:15" x14ac:dyDescent="0.3">
      <c r="A922"/>
      <c r="B922"/>
      <c r="C922"/>
      <c r="D922"/>
      <c r="E922"/>
      <c r="F922"/>
      <c r="G922"/>
      <c r="H922"/>
      <c r="I922"/>
      <c r="N922"/>
      <c r="O922"/>
    </row>
    <row r="923" spans="1:15" x14ac:dyDescent="0.3">
      <c r="A923"/>
      <c r="B923"/>
      <c r="C923"/>
      <c r="D923"/>
      <c r="E923"/>
      <c r="F923"/>
      <c r="G923"/>
      <c r="H923"/>
      <c r="I923"/>
      <c r="N923"/>
      <c r="O923"/>
    </row>
    <row r="924" spans="1:15" x14ac:dyDescent="0.3">
      <c r="A924"/>
      <c r="B924"/>
      <c r="C924"/>
      <c r="D924"/>
      <c r="E924"/>
      <c r="F924"/>
      <c r="G924"/>
      <c r="H924"/>
      <c r="I924"/>
      <c r="N924"/>
      <c r="O924"/>
    </row>
    <row r="925" spans="1:15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5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5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5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</row>
    <row r="1043" spans="1:15" x14ac:dyDescent="0.3">
      <c r="A1043"/>
      <c r="B1043"/>
      <c r="C1043"/>
      <c r="D1043"/>
      <c r="E1043"/>
      <c r="F1043"/>
      <c r="G1043"/>
      <c r="H1043"/>
      <c r="I1043"/>
    </row>
    <row r="1044" spans="1:15" x14ac:dyDescent="0.3">
      <c r="A1044"/>
      <c r="B1044"/>
      <c r="C1044"/>
      <c r="D1044"/>
      <c r="E1044"/>
      <c r="F1044"/>
      <c r="G1044"/>
      <c r="H1044"/>
      <c r="I1044"/>
    </row>
    <row r="1045" spans="1:15" x14ac:dyDescent="0.3">
      <c r="A1045"/>
      <c r="B1045"/>
      <c r="C1045"/>
      <c r="D1045"/>
      <c r="E1045"/>
      <c r="F1045"/>
      <c r="G1045"/>
      <c r="H1045"/>
      <c r="I1045"/>
    </row>
    <row r="1046" spans="1:15" x14ac:dyDescent="0.3">
      <c r="A1046"/>
      <c r="B1046"/>
      <c r="C1046"/>
      <c r="D1046"/>
      <c r="E1046"/>
      <c r="F1046"/>
      <c r="G1046"/>
      <c r="H1046"/>
      <c r="I1046"/>
    </row>
    <row r="1047" spans="1:15" x14ac:dyDescent="0.3">
      <c r="A1047"/>
      <c r="B1047"/>
      <c r="C1047"/>
      <c r="D1047"/>
      <c r="E1047"/>
      <c r="F1047"/>
      <c r="G1047"/>
      <c r="H1047"/>
      <c r="I1047"/>
    </row>
    <row r="1048" spans="1:15" x14ac:dyDescent="0.3">
      <c r="A1048"/>
      <c r="B1048"/>
      <c r="C1048"/>
      <c r="D1048"/>
      <c r="E1048"/>
      <c r="F1048"/>
      <c r="G1048"/>
      <c r="H1048"/>
      <c r="I1048"/>
    </row>
    <row r="1049" spans="1:15" x14ac:dyDescent="0.3">
      <c r="A1049"/>
      <c r="B1049"/>
      <c r="C1049"/>
      <c r="D1049"/>
      <c r="E1049"/>
      <c r="F1049"/>
      <c r="G1049"/>
      <c r="H1049"/>
      <c r="I1049"/>
    </row>
    <row r="1050" spans="1:15" x14ac:dyDescent="0.3">
      <c r="A1050"/>
      <c r="B1050"/>
      <c r="C1050"/>
      <c r="D1050"/>
      <c r="E1050"/>
      <c r="F1050"/>
      <c r="G1050"/>
      <c r="H1050"/>
      <c r="I1050"/>
    </row>
    <row r="1051" spans="1:15" x14ac:dyDescent="0.3">
      <c r="A1051"/>
      <c r="B1051"/>
      <c r="C1051"/>
      <c r="D1051"/>
      <c r="E1051"/>
      <c r="F1051"/>
      <c r="G1051"/>
      <c r="H1051"/>
      <c r="I1051"/>
    </row>
    <row r="1052" spans="1:15" x14ac:dyDescent="0.3">
      <c r="A1052"/>
      <c r="B1052"/>
      <c r="C1052"/>
      <c r="D1052"/>
      <c r="E1052"/>
      <c r="F1052"/>
      <c r="G1052"/>
      <c r="H1052"/>
      <c r="I1052"/>
    </row>
    <row r="1053" spans="1:15" x14ac:dyDescent="0.3">
      <c r="A1053"/>
      <c r="B1053"/>
      <c r="C1053"/>
      <c r="D1053"/>
      <c r="E1053"/>
      <c r="F1053"/>
      <c r="G1053"/>
      <c r="H1053"/>
      <c r="I1053"/>
    </row>
    <row r="1054" spans="1:15" x14ac:dyDescent="0.3">
      <c r="A1054"/>
      <c r="B1054"/>
      <c r="C1054"/>
      <c r="D1054"/>
      <c r="E1054"/>
      <c r="F1054"/>
      <c r="G1054"/>
      <c r="H1054"/>
      <c r="I1054"/>
    </row>
    <row r="1055" spans="1:15" x14ac:dyDescent="0.3">
      <c r="A1055"/>
      <c r="B1055"/>
      <c r="C1055"/>
      <c r="D1055"/>
      <c r="E1055"/>
      <c r="F1055"/>
      <c r="G1055"/>
      <c r="H1055"/>
      <c r="I1055"/>
    </row>
    <row r="1056" spans="1:15" x14ac:dyDescent="0.3">
      <c r="A1056"/>
      <c r="B1056"/>
      <c r="C1056"/>
      <c r="D1056"/>
      <c r="E1056"/>
      <c r="F1056"/>
      <c r="G1056"/>
      <c r="H1056"/>
      <c r="I1056"/>
    </row>
    <row r="1057" spans="1:9" x14ac:dyDescent="0.3">
      <c r="A1057"/>
      <c r="B1057"/>
      <c r="C1057"/>
      <c r="D1057"/>
      <c r="E1057"/>
      <c r="F1057"/>
      <c r="G1057"/>
      <c r="H1057"/>
      <c r="I1057"/>
    </row>
    <row r="1058" spans="1:9" x14ac:dyDescent="0.3">
      <c r="A1058"/>
      <c r="B1058"/>
      <c r="C1058"/>
      <c r="D1058"/>
      <c r="E1058"/>
      <c r="F1058"/>
      <c r="G1058"/>
      <c r="H1058"/>
      <c r="I1058"/>
    </row>
    <row r="1059" spans="1:9" x14ac:dyDescent="0.3">
      <c r="A1059"/>
      <c r="B1059"/>
      <c r="C1059"/>
      <c r="D1059"/>
      <c r="E1059"/>
      <c r="F1059"/>
      <c r="G1059"/>
      <c r="H1059"/>
      <c r="I1059"/>
    </row>
    <row r="1060" spans="1:9" x14ac:dyDescent="0.3">
      <c r="A1060"/>
      <c r="B1060"/>
      <c r="C1060"/>
      <c r="D1060"/>
      <c r="E1060"/>
      <c r="F1060"/>
      <c r="G1060"/>
      <c r="H1060"/>
      <c r="I1060"/>
    </row>
    <row r="1061" spans="1:9" x14ac:dyDescent="0.3">
      <c r="A1061"/>
      <c r="B1061"/>
      <c r="C1061"/>
      <c r="D1061"/>
      <c r="E1061"/>
      <c r="F1061"/>
      <c r="G1061"/>
      <c r="H1061"/>
      <c r="I1061"/>
    </row>
    <row r="1062" spans="1:9" x14ac:dyDescent="0.3">
      <c r="A1062"/>
      <c r="B1062"/>
      <c r="C1062"/>
      <c r="D1062"/>
      <c r="E1062"/>
      <c r="F1062"/>
      <c r="G1062"/>
      <c r="H1062"/>
      <c r="I1062"/>
    </row>
    <row r="1063" spans="1:9" x14ac:dyDescent="0.3">
      <c r="A1063"/>
      <c r="B1063"/>
      <c r="C1063"/>
      <c r="D1063"/>
      <c r="E1063"/>
      <c r="F1063"/>
      <c r="G1063"/>
      <c r="H1063"/>
      <c r="I1063"/>
    </row>
    <row r="1064" spans="1:9" x14ac:dyDescent="0.3">
      <c r="A1064"/>
      <c r="B1064"/>
      <c r="C1064"/>
      <c r="D1064"/>
      <c r="E1064"/>
      <c r="F1064"/>
      <c r="G1064"/>
      <c r="H1064"/>
      <c r="I1064"/>
    </row>
    <row r="1065" spans="1:9" x14ac:dyDescent="0.3">
      <c r="A1065"/>
      <c r="B1065"/>
      <c r="C1065"/>
      <c r="D1065"/>
      <c r="E1065"/>
      <c r="F1065"/>
      <c r="G1065"/>
      <c r="H1065"/>
      <c r="I1065"/>
    </row>
    <row r="1066" spans="1:9" x14ac:dyDescent="0.3">
      <c r="A1066"/>
      <c r="B1066"/>
      <c r="C1066"/>
      <c r="D1066"/>
      <c r="E1066"/>
      <c r="F1066"/>
      <c r="G1066"/>
      <c r="H1066"/>
      <c r="I1066"/>
    </row>
    <row r="1067" spans="1:9" x14ac:dyDescent="0.3">
      <c r="A1067"/>
      <c r="B1067"/>
      <c r="C1067"/>
      <c r="D1067"/>
      <c r="E1067"/>
      <c r="F1067"/>
      <c r="G1067"/>
      <c r="H1067"/>
      <c r="I1067"/>
    </row>
    <row r="1068" spans="1:9" x14ac:dyDescent="0.3">
      <c r="A1068"/>
      <c r="B1068"/>
      <c r="C1068"/>
      <c r="D1068"/>
      <c r="E1068"/>
      <c r="F1068"/>
      <c r="G1068"/>
      <c r="H1068"/>
      <c r="I1068"/>
    </row>
    <row r="1069" spans="1:9" x14ac:dyDescent="0.3">
      <c r="A1069"/>
      <c r="B1069"/>
      <c r="C1069"/>
      <c r="D1069"/>
      <c r="E1069"/>
      <c r="F1069"/>
      <c r="G1069"/>
      <c r="H1069"/>
      <c r="I1069"/>
    </row>
    <row r="1070" spans="1:9" x14ac:dyDescent="0.3">
      <c r="A1070"/>
      <c r="B1070"/>
      <c r="C1070"/>
      <c r="D1070"/>
      <c r="E1070"/>
      <c r="F1070"/>
      <c r="G1070"/>
      <c r="H1070"/>
      <c r="I1070"/>
    </row>
    <row r="1071" spans="1:9" x14ac:dyDescent="0.3">
      <c r="A1071"/>
      <c r="B1071"/>
      <c r="C1071"/>
      <c r="D1071"/>
      <c r="E1071"/>
      <c r="F1071"/>
      <c r="G1071"/>
      <c r="H1071"/>
      <c r="I1071"/>
    </row>
    <row r="1072" spans="1:9" x14ac:dyDescent="0.3">
      <c r="A1072"/>
      <c r="B1072"/>
      <c r="C1072"/>
      <c r="D1072"/>
      <c r="E1072"/>
      <c r="F1072"/>
      <c r="G1072"/>
      <c r="H1072"/>
      <c r="I1072"/>
    </row>
    <row r="1073" spans="1:9" x14ac:dyDescent="0.3">
      <c r="A1073"/>
      <c r="B1073"/>
      <c r="C1073"/>
      <c r="D1073"/>
      <c r="E1073"/>
      <c r="F1073"/>
      <c r="G1073"/>
      <c r="H1073"/>
      <c r="I1073"/>
    </row>
    <row r="1074" spans="1:9" x14ac:dyDescent="0.3">
      <c r="A1074"/>
      <c r="B1074"/>
      <c r="C1074"/>
      <c r="D1074"/>
      <c r="E1074"/>
      <c r="F1074"/>
      <c r="G1074"/>
      <c r="H1074"/>
      <c r="I1074"/>
    </row>
    <row r="1075" spans="1:9" x14ac:dyDescent="0.3">
      <c r="A1075"/>
      <c r="B1075"/>
      <c r="C1075"/>
      <c r="D1075"/>
      <c r="E1075"/>
      <c r="F1075"/>
      <c r="G1075"/>
      <c r="H1075"/>
      <c r="I1075"/>
    </row>
    <row r="1076" spans="1:9" x14ac:dyDescent="0.3">
      <c r="A1076"/>
      <c r="B1076"/>
      <c r="C1076"/>
      <c r="D1076"/>
      <c r="E1076"/>
      <c r="F1076"/>
      <c r="G1076"/>
      <c r="H1076"/>
      <c r="I1076"/>
    </row>
    <row r="1077" spans="1:9" x14ac:dyDescent="0.3">
      <c r="A1077"/>
      <c r="B1077"/>
      <c r="C1077"/>
      <c r="D1077"/>
      <c r="E1077"/>
      <c r="F1077"/>
      <c r="G1077"/>
      <c r="H1077"/>
      <c r="I1077"/>
    </row>
    <row r="1078" spans="1:9" x14ac:dyDescent="0.3">
      <c r="A1078"/>
      <c r="B1078"/>
      <c r="C1078"/>
      <c r="D1078"/>
      <c r="E1078"/>
      <c r="F1078"/>
      <c r="G1078"/>
      <c r="H1078"/>
      <c r="I1078"/>
    </row>
    <row r="1079" spans="1:9" x14ac:dyDescent="0.3">
      <c r="A1079"/>
      <c r="B1079"/>
      <c r="C1079"/>
      <c r="D1079"/>
      <c r="E1079"/>
      <c r="F1079"/>
      <c r="G1079"/>
      <c r="H1079"/>
      <c r="I1079"/>
    </row>
    <row r="1080" spans="1:9" x14ac:dyDescent="0.3">
      <c r="A1080"/>
      <c r="B1080"/>
      <c r="C1080"/>
      <c r="D1080"/>
      <c r="E1080"/>
      <c r="F1080"/>
      <c r="G1080"/>
      <c r="H1080"/>
      <c r="I1080"/>
    </row>
    <row r="1081" spans="1:9" x14ac:dyDescent="0.3">
      <c r="A1081"/>
      <c r="B1081"/>
      <c r="C1081"/>
      <c r="D1081"/>
      <c r="E1081"/>
      <c r="F1081"/>
      <c r="G1081"/>
      <c r="H1081"/>
      <c r="I1081"/>
    </row>
    <row r="1082" spans="1:9" x14ac:dyDescent="0.3">
      <c r="A1082"/>
      <c r="B1082"/>
      <c r="C1082"/>
      <c r="D1082"/>
      <c r="E1082"/>
      <c r="F1082"/>
      <c r="G1082"/>
      <c r="H1082"/>
      <c r="I1082"/>
    </row>
    <row r="1083" spans="1:9" x14ac:dyDescent="0.3">
      <c r="A1083"/>
      <c r="B1083"/>
      <c r="C1083"/>
      <c r="D1083"/>
      <c r="E1083"/>
      <c r="F1083"/>
      <c r="G1083"/>
      <c r="H1083"/>
      <c r="I1083"/>
    </row>
    <row r="1084" spans="1:9" x14ac:dyDescent="0.3">
      <c r="A1084"/>
      <c r="B1084"/>
      <c r="C1084"/>
      <c r="D1084"/>
      <c r="E1084"/>
      <c r="F1084"/>
      <c r="G1084"/>
      <c r="H1084"/>
      <c r="I1084"/>
    </row>
    <row r="1085" spans="1:9" x14ac:dyDescent="0.3">
      <c r="A1085"/>
      <c r="B1085"/>
      <c r="C1085"/>
      <c r="D1085"/>
      <c r="E1085"/>
      <c r="F1085"/>
      <c r="G1085"/>
      <c r="H1085"/>
      <c r="I1085"/>
    </row>
    <row r="1086" spans="1:9" x14ac:dyDescent="0.3">
      <c r="A1086"/>
      <c r="B1086"/>
      <c r="C1086"/>
      <c r="D1086"/>
      <c r="E1086"/>
      <c r="F1086"/>
      <c r="G1086"/>
      <c r="H1086"/>
      <c r="I1086"/>
    </row>
    <row r="1087" spans="1:9" x14ac:dyDescent="0.3">
      <c r="A1087"/>
      <c r="B1087"/>
      <c r="C1087"/>
      <c r="D1087"/>
      <c r="E1087"/>
      <c r="F1087"/>
      <c r="G1087"/>
      <c r="H1087"/>
      <c r="I1087"/>
    </row>
    <row r="1088" spans="1:9" x14ac:dyDescent="0.3">
      <c r="A1088"/>
      <c r="B1088"/>
      <c r="C1088"/>
      <c r="D1088"/>
      <c r="E1088"/>
      <c r="F1088"/>
      <c r="G1088"/>
      <c r="H1088"/>
      <c r="I1088"/>
    </row>
    <row r="1089" spans="1:9" x14ac:dyDescent="0.3">
      <c r="A1089"/>
      <c r="B1089"/>
      <c r="C1089"/>
      <c r="D1089"/>
      <c r="E1089"/>
      <c r="F1089"/>
      <c r="G1089"/>
      <c r="H1089"/>
      <c r="I1089"/>
    </row>
    <row r="1090" spans="1:9" x14ac:dyDescent="0.3">
      <c r="A1090"/>
      <c r="B1090"/>
      <c r="C1090"/>
      <c r="D1090"/>
      <c r="E1090"/>
      <c r="F1090"/>
      <c r="G1090"/>
      <c r="H1090"/>
      <c r="I1090"/>
    </row>
    <row r="1091" spans="1:9" x14ac:dyDescent="0.3">
      <c r="A1091"/>
      <c r="B1091"/>
      <c r="C1091"/>
      <c r="D1091"/>
      <c r="E1091"/>
      <c r="F1091"/>
      <c r="G1091"/>
      <c r="H1091"/>
      <c r="I1091"/>
    </row>
    <row r="1092" spans="1:9" x14ac:dyDescent="0.3">
      <c r="A1092"/>
      <c r="B1092"/>
      <c r="C1092"/>
      <c r="D1092"/>
      <c r="E1092"/>
      <c r="F1092"/>
      <c r="G1092"/>
      <c r="H1092"/>
      <c r="I1092"/>
    </row>
    <row r="1093" spans="1:9" x14ac:dyDescent="0.3">
      <c r="A1093"/>
      <c r="B1093"/>
      <c r="C1093"/>
      <c r="D1093"/>
      <c r="E1093"/>
      <c r="F1093"/>
      <c r="G1093"/>
      <c r="H1093"/>
      <c r="I1093"/>
    </row>
    <row r="1094" spans="1:9" x14ac:dyDescent="0.3">
      <c r="A1094"/>
      <c r="B1094"/>
      <c r="C1094"/>
      <c r="D1094"/>
      <c r="E1094"/>
      <c r="F1094"/>
      <c r="G1094"/>
      <c r="H1094"/>
      <c r="I1094"/>
    </row>
    <row r="1095" spans="1:9" x14ac:dyDescent="0.3">
      <c r="A1095"/>
      <c r="B1095"/>
      <c r="C1095"/>
      <c r="D1095"/>
      <c r="E1095"/>
      <c r="F1095"/>
      <c r="G1095"/>
      <c r="H1095"/>
      <c r="I1095"/>
    </row>
    <row r="1096" spans="1:9" x14ac:dyDescent="0.3">
      <c r="A1096"/>
      <c r="B1096"/>
      <c r="C1096"/>
      <c r="D1096"/>
      <c r="E1096"/>
      <c r="F1096"/>
      <c r="G1096"/>
      <c r="H1096"/>
      <c r="I1096"/>
    </row>
    <row r="1097" spans="1:9" x14ac:dyDescent="0.3">
      <c r="A1097"/>
      <c r="B1097"/>
      <c r="C1097"/>
      <c r="D1097"/>
      <c r="E1097"/>
      <c r="F1097"/>
      <c r="G1097"/>
      <c r="H1097"/>
      <c r="I1097"/>
    </row>
    <row r="1098" spans="1:9" x14ac:dyDescent="0.3">
      <c r="A1098"/>
      <c r="B1098"/>
      <c r="C1098"/>
      <c r="D1098"/>
      <c r="E1098"/>
      <c r="F1098"/>
      <c r="G1098"/>
      <c r="H1098"/>
      <c r="I1098"/>
    </row>
    <row r="1099" spans="1:9" x14ac:dyDescent="0.3">
      <c r="A1099"/>
      <c r="B1099"/>
      <c r="C1099"/>
      <c r="D1099"/>
      <c r="E1099"/>
      <c r="F1099"/>
      <c r="G1099"/>
      <c r="H1099"/>
      <c r="I1099"/>
    </row>
    <row r="1100" spans="1:9" x14ac:dyDescent="0.3">
      <c r="A1100"/>
      <c r="B1100"/>
      <c r="C1100"/>
      <c r="D1100"/>
      <c r="E1100"/>
      <c r="F1100"/>
      <c r="G1100"/>
      <c r="H1100"/>
      <c r="I1100"/>
    </row>
    <row r="1101" spans="1:9" x14ac:dyDescent="0.3">
      <c r="A1101"/>
      <c r="B1101"/>
      <c r="C1101"/>
      <c r="D1101"/>
      <c r="E1101"/>
      <c r="F1101"/>
      <c r="G1101"/>
      <c r="H1101"/>
      <c r="I1101"/>
    </row>
    <row r="1102" spans="1:9" x14ac:dyDescent="0.3">
      <c r="A1102"/>
      <c r="B1102"/>
      <c r="C1102"/>
      <c r="D1102"/>
      <c r="E1102"/>
      <c r="F1102"/>
      <c r="G1102"/>
      <c r="H1102"/>
      <c r="I1102"/>
    </row>
    <row r="1103" spans="1:9" x14ac:dyDescent="0.3">
      <c r="A1103"/>
      <c r="B1103"/>
      <c r="C1103"/>
      <c r="D1103"/>
      <c r="E1103"/>
      <c r="F1103"/>
      <c r="G1103"/>
      <c r="H1103"/>
      <c r="I1103"/>
    </row>
    <row r="1104" spans="1:9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19" x14ac:dyDescent="0.3">
      <c r="A1217"/>
      <c r="B1217"/>
      <c r="C1217"/>
      <c r="D1217"/>
      <c r="E1217"/>
      <c r="F1217"/>
      <c r="G1217"/>
      <c r="H1217"/>
      <c r="I1217"/>
    </row>
    <row r="1218" spans="1:19" x14ac:dyDescent="0.3">
      <c r="A1218"/>
      <c r="B1218"/>
      <c r="C1218"/>
      <c r="D1218"/>
      <c r="E1218"/>
      <c r="F1218"/>
      <c r="G1218"/>
      <c r="H1218"/>
      <c r="I1218"/>
    </row>
    <row r="1219" spans="1:19" x14ac:dyDescent="0.3">
      <c r="A1219"/>
      <c r="B1219"/>
      <c r="C1219"/>
      <c r="D1219"/>
      <c r="E1219"/>
      <c r="F1219"/>
      <c r="G1219"/>
      <c r="H1219"/>
      <c r="I1219"/>
    </row>
    <row r="1220" spans="1:19" x14ac:dyDescent="0.3">
      <c r="A1220"/>
      <c r="B1220"/>
      <c r="C1220"/>
      <c r="D1220"/>
      <c r="E1220"/>
      <c r="F1220"/>
      <c r="G1220"/>
      <c r="H1220"/>
      <c r="I1220"/>
    </row>
    <row r="1221" spans="1:19" x14ac:dyDescent="0.3">
      <c r="A1221"/>
      <c r="B1221"/>
      <c r="C1221"/>
      <c r="D1221"/>
      <c r="E1221"/>
      <c r="F1221"/>
      <c r="G1221"/>
      <c r="H1221"/>
      <c r="I1221"/>
    </row>
    <row r="1222" spans="1:19" x14ac:dyDescent="0.3">
      <c r="A1222"/>
      <c r="B1222"/>
      <c r="C1222"/>
      <c r="D1222"/>
      <c r="E1222"/>
      <c r="F1222"/>
      <c r="G1222"/>
      <c r="H1222"/>
      <c r="I1222"/>
    </row>
    <row r="1223" spans="1:19" x14ac:dyDescent="0.3">
      <c r="A1223"/>
      <c r="B1223"/>
      <c r="C1223"/>
      <c r="D1223"/>
      <c r="E1223"/>
      <c r="F1223"/>
      <c r="G1223"/>
      <c r="H1223"/>
      <c r="I1223"/>
    </row>
    <row r="1224" spans="1:19" x14ac:dyDescent="0.3">
      <c r="P1224" s="1" t="e">
        <f t="shared" ref="P1224:P1241" si="57">(B1206+Q$35)/P$35</f>
        <v>#DIV/0!</v>
      </c>
      <c r="Q1224" s="1" t="e">
        <f t="shared" ref="Q1224:Q1241" si="58">(C1206+Q$35)/P$35</f>
        <v>#DIV/0!</v>
      </c>
      <c r="R1224" s="1" t="e">
        <f t="shared" ref="R1224:R1241" si="59">(D1206+Q$37)/P$37</f>
        <v>#DIV/0!</v>
      </c>
      <c r="S1224" s="1" t="e">
        <f t="shared" ref="S1224:S1241" si="60">(E1206+Q$38)/P$38</f>
        <v>#DIV/0!</v>
      </c>
    </row>
    <row r="1225" spans="1:19" x14ac:dyDescent="0.3">
      <c r="P1225" s="1" t="e">
        <f t="shared" si="57"/>
        <v>#DIV/0!</v>
      </c>
      <c r="Q1225" s="1" t="e">
        <f t="shared" si="58"/>
        <v>#DIV/0!</v>
      </c>
      <c r="R1225" s="1" t="e">
        <f t="shared" si="59"/>
        <v>#DIV/0!</v>
      </c>
      <c r="S1225" s="1" t="e">
        <f t="shared" si="60"/>
        <v>#DIV/0!</v>
      </c>
    </row>
    <row r="1226" spans="1:19" x14ac:dyDescent="0.3">
      <c r="P1226" s="1" t="e">
        <f t="shared" si="57"/>
        <v>#DIV/0!</v>
      </c>
      <c r="Q1226" s="1" t="e">
        <f t="shared" si="58"/>
        <v>#DIV/0!</v>
      </c>
      <c r="R1226" s="1" t="e">
        <f t="shared" si="59"/>
        <v>#DIV/0!</v>
      </c>
      <c r="S1226" s="1" t="e">
        <f t="shared" si="60"/>
        <v>#DIV/0!</v>
      </c>
    </row>
    <row r="1227" spans="1:19" x14ac:dyDescent="0.3">
      <c r="P1227" s="1" t="e">
        <f t="shared" si="57"/>
        <v>#DIV/0!</v>
      </c>
      <c r="Q1227" s="1" t="e">
        <f t="shared" si="58"/>
        <v>#DIV/0!</v>
      </c>
      <c r="R1227" s="1" t="e">
        <f t="shared" si="59"/>
        <v>#DIV/0!</v>
      </c>
      <c r="S1227" s="1" t="e">
        <f t="shared" si="60"/>
        <v>#DIV/0!</v>
      </c>
    </row>
    <row r="1228" spans="1:19" x14ac:dyDescent="0.3">
      <c r="P1228" s="1" t="e">
        <f t="shared" si="57"/>
        <v>#DIV/0!</v>
      </c>
      <c r="Q1228" s="1" t="e">
        <f t="shared" si="58"/>
        <v>#DIV/0!</v>
      </c>
      <c r="R1228" s="1" t="e">
        <f t="shared" si="59"/>
        <v>#DIV/0!</v>
      </c>
      <c r="S1228" s="1" t="e">
        <f t="shared" si="60"/>
        <v>#DIV/0!</v>
      </c>
    </row>
    <row r="1229" spans="1:19" x14ac:dyDescent="0.3">
      <c r="P1229" s="1" t="e">
        <f t="shared" si="57"/>
        <v>#DIV/0!</v>
      </c>
      <c r="Q1229" s="1" t="e">
        <f t="shared" si="58"/>
        <v>#DIV/0!</v>
      </c>
      <c r="R1229" s="1" t="e">
        <f t="shared" si="59"/>
        <v>#DIV/0!</v>
      </c>
      <c r="S1229" s="1" t="e">
        <f t="shared" si="60"/>
        <v>#DIV/0!</v>
      </c>
    </row>
    <row r="1230" spans="1:19" x14ac:dyDescent="0.3">
      <c r="P1230" s="1" t="e">
        <f t="shared" si="57"/>
        <v>#DIV/0!</v>
      </c>
      <c r="Q1230" s="1" t="e">
        <f t="shared" si="58"/>
        <v>#DIV/0!</v>
      </c>
      <c r="R1230" s="1" t="e">
        <f t="shared" si="59"/>
        <v>#DIV/0!</v>
      </c>
      <c r="S1230" s="1" t="e">
        <f t="shared" si="60"/>
        <v>#DIV/0!</v>
      </c>
    </row>
    <row r="1231" spans="1:19" x14ac:dyDescent="0.3">
      <c r="P1231" s="1" t="e">
        <f t="shared" si="57"/>
        <v>#DIV/0!</v>
      </c>
      <c r="Q1231" s="1" t="e">
        <f t="shared" si="58"/>
        <v>#DIV/0!</v>
      </c>
      <c r="R1231" s="1" t="e">
        <f t="shared" si="59"/>
        <v>#DIV/0!</v>
      </c>
      <c r="S1231" s="1" t="e">
        <f t="shared" si="60"/>
        <v>#DIV/0!</v>
      </c>
    </row>
    <row r="1232" spans="1:19" x14ac:dyDescent="0.3">
      <c r="P1232" s="1" t="e">
        <f t="shared" si="57"/>
        <v>#DIV/0!</v>
      </c>
      <c r="Q1232" s="1" t="e">
        <f t="shared" si="58"/>
        <v>#DIV/0!</v>
      </c>
      <c r="R1232" s="1" t="e">
        <f t="shared" si="59"/>
        <v>#DIV/0!</v>
      </c>
      <c r="S1232" s="1" t="e">
        <f t="shared" si="60"/>
        <v>#DIV/0!</v>
      </c>
    </row>
    <row r="1233" spans="16:19" x14ac:dyDescent="0.3">
      <c r="P1233" s="1" t="e">
        <f t="shared" si="57"/>
        <v>#DIV/0!</v>
      </c>
      <c r="Q1233" s="1" t="e">
        <f t="shared" si="58"/>
        <v>#DIV/0!</v>
      </c>
      <c r="R1233" s="1" t="e">
        <f t="shared" si="59"/>
        <v>#DIV/0!</v>
      </c>
      <c r="S1233" s="1" t="e">
        <f t="shared" si="60"/>
        <v>#DIV/0!</v>
      </c>
    </row>
    <row r="1234" spans="16:19" x14ac:dyDescent="0.3">
      <c r="P1234" s="1" t="e">
        <f t="shared" si="57"/>
        <v>#DIV/0!</v>
      </c>
      <c r="Q1234" s="1" t="e">
        <f t="shared" si="58"/>
        <v>#DIV/0!</v>
      </c>
      <c r="R1234" s="1" t="e">
        <f t="shared" si="59"/>
        <v>#DIV/0!</v>
      </c>
      <c r="S1234" s="1" t="e">
        <f t="shared" si="60"/>
        <v>#DIV/0!</v>
      </c>
    </row>
    <row r="1235" spans="16:19" x14ac:dyDescent="0.3">
      <c r="P1235" s="1" t="e">
        <f t="shared" si="57"/>
        <v>#DIV/0!</v>
      </c>
      <c r="Q1235" s="1" t="e">
        <f t="shared" si="58"/>
        <v>#DIV/0!</v>
      </c>
      <c r="R1235" s="1" t="e">
        <f t="shared" si="59"/>
        <v>#DIV/0!</v>
      </c>
      <c r="S1235" s="1" t="e">
        <f t="shared" si="60"/>
        <v>#DIV/0!</v>
      </c>
    </row>
    <row r="1236" spans="16:19" x14ac:dyDescent="0.3">
      <c r="P1236" s="1" t="e">
        <f t="shared" si="57"/>
        <v>#DIV/0!</v>
      </c>
      <c r="Q1236" s="1" t="e">
        <f t="shared" si="58"/>
        <v>#DIV/0!</v>
      </c>
      <c r="R1236" s="1" t="e">
        <f t="shared" si="59"/>
        <v>#DIV/0!</v>
      </c>
      <c r="S1236" s="1" t="e">
        <f t="shared" si="60"/>
        <v>#DIV/0!</v>
      </c>
    </row>
    <row r="1237" spans="16:19" x14ac:dyDescent="0.3">
      <c r="P1237" s="1" t="e">
        <f t="shared" si="57"/>
        <v>#DIV/0!</v>
      </c>
      <c r="Q1237" s="1" t="e">
        <f t="shared" si="58"/>
        <v>#DIV/0!</v>
      </c>
      <c r="R1237" s="1" t="e">
        <f t="shared" si="59"/>
        <v>#DIV/0!</v>
      </c>
      <c r="S1237" s="1" t="e">
        <f t="shared" si="60"/>
        <v>#DIV/0!</v>
      </c>
    </row>
    <row r="1238" spans="16:19" x14ac:dyDescent="0.3">
      <c r="P1238" s="1" t="e">
        <f t="shared" si="57"/>
        <v>#DIV/0!</v>
      </c>
      <c r="Q1238" s="1" t="e">
        <f t="shared" si="58"/>
        <v>#DIV/0!</v>
      </c>
      <c r="R1238" s="1" t="e">
        <f t="shared" si="59"/>
        <v>#DIV/0!</v>
      </c>
      <c r="S1238" s="1" t="e">
        <f t="shared" si="60"/>
        <v>#DIV/0!</v>
      </c>
    </row>
    <row r="1239" spans="16:19" x14ac:dyDescent="0.3">
      <c r="P1239" s="1" t="e">
        <f t="shared" si="57"/>
        <v>#DIV/0!</v>
      </c>
      <c r="Q1239" s="1" t="e">
        <f t="shared" si="58"/>
        <v>#DIV/0!</v>
      </c>
      <c r="R1239" s="1" t="e">
        <f t="shared" si="59"/>
        <v>#DIV/0!</v>
      </c>
      <c r="S1239" s="1" t="e">
        <f t="shared" si="60"/>
        <v>#DIV/0!</v>
      </c>
    </row>
    <row r="1240" spans="16:19" x14ac:dyDescent="0.3">
      <c r="P1240" s="1" t="e">
        <f t="shared" si="57"/>
        <v>#DIV/0!</v>
      </c>
      <c r="Q1240" s="1" t="e">
        <f t="shared" si="58"/>
        <v>#DIV/0!</v>
      </c>
      <c r="R1240" s="1" t="e">
        <f t="shared" si="59"/>
        <v>#DIV/0!</v>
      </c>
      <c r="S1240" s="1" t="e">
        <f t="shared" si="60"/>
        <v>#DIV/0!</v>
      </c>
    </row>
    <row r="1241" spans="16:19" x14ac:dyDescent="0.3">
      <c r="P1241" s="1" t="e">
        <f t="shared" si="57"/>
        <v>#DIV/0!</v>
      </c>
      <c r="Q1241" s="1" t="e">
        <f t="shared" si="58"/>
        <v>#DIV/0!</v>
      </c>
      <c r="R1241" s="1" t="e">
        <f t="shared" si="59"/>
        <v>#DIV/0!</v>
      </c>
      <c r="S1241" s="1" t="e">
        <f t="shared" si="60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Plain Chip 20C old</vt:lpstr>
      <vt:lpstr>Plain Chip 30C old</vt:lpstr>
      <vt:lpstr>Plain Chip 40C old</vt:lpstr>
      <vt:lpstr>Plain Chip 80% old</vt:lpstr>
      <vt:lpstr>Plain Chip 50C Old</vt:lpstr>
      <vt:lpstr>Plain Chip 60%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Nooruldeen Mustafa</dc:creator>
  <cp:lastModifiedBy>Nooruldeen Mustafa</cp:lastModifiedBy>
  <dcterms:created xsi:type="dcterms:W3CDTF">2026-06-18T21:14:10Z</dcterms:created>
  <dcterms:modified xsi:type="dcterms:W3CDTF">2026-06-18T21:14:32Z</dcterms:modified>
</cp:coreProperties>
</file>